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Projetos" sheetId="2" r:id="rId6"/>
    <sheet state="hidden" name="PrjAdd" sheetId="3" r:id="rId7"/>
    <sheet state="visible" name="Timesheet" sheetId="4" r:id="rId8"/>
    <sheet state="visible" name="Cópia de Timesheet" sheetId="5" r:id="rId9"/>
    <sheet state="visible" name="Pessoal" sheetId="6" r:id="rId10"/>
    <sheet state="visible" name="#Form" sheetId="7" r:id="rId11"/>
    <sheet state="visible" name="Investimentos" sheetId="8" r:id="rId12"/>
  </sheets>
  <definedNames>
    <definedName hidden="1" localSheetId="1" name="_xlnm._FilterDatabase">Projetos!$A$5:$L$42</definedName>
    <definedName hidden="1" localSheetId="3" name="_xlnm._FilterDatabase">Timesheet!$A$6:$K$3492</definedName>
    <definedName hidden="1" localSheetId="4" name="_xlnm._FilterDatabase">'Cópia de Timesheet'!$A$6:$K$3492</definedName>
    <definedName hidden="1" localSheetId="7" name="_xlnm._FilterDatabase">Investimentos!$A$5:$W$200</definedName>
    <definedName hidden="1" localSheetId="7" name="Z_677742FE_2131_43C5_B1D2_EB6F7E78FE10_.wvu.FilterData">Investimentos!$A$5:$W$199</definedName>
    <definedName hidden="1" localSheetId="7" name="Z_1E1FDDB0_AB52_4120_A515_9815C39E73B9_.wvu.FilterData">Investimentos!$A$2:$W$105</definedName>
  </definedNames>
  <calcPr/>
  <customWorkbookViews>
    <customWorkbookView activeSheetId="0" maximized="1" windowHeight="0" windowWidth="0" guid="{1E1FDDB0-AB52-4120-A515-9815C39E73B9}" name="Filtro 1"/>
    <customWorkbookView activeSheetId="0" maximized="1" windowHeight="0" windowWidth="0" guid="{677742FE-2131-43C5-B1D2-EB6F7E78FE10}" name="Filtro 2"/>
  </customWorkbookViews>
</workbook>
</file>

<file path=xl/sharedStrings.xml><?xml version="1.0" encoding="utf-8"?>
<sst xmlns="http://schemas.openxmlformats.org/spreadsheetml/2006/main" count="23728" uniqueCount="2711">
  <si>
    <t>Resumo dos investimentos</t>
  </si>
  <si>
    <t>BENEFÍCIO FISCAL DE PD&amp;I 2020</t>
  </si>
  <si>
    <t>2019-088 PRODIET</t>
  </si>
  <si>
    <t>PRODIET NUTRIÇÃO CLINICA LTDA</t>
  </si>
  <si>
    <t>CNPJ 08.183.359/0001-53</t>
  </si>
  <si>
    <t>Rua General Potiguara, 1428, Lotes 20 e 21, Novo Mundo - PR - SUL - CURITIBA - CEP 81.050-500 - fone: (41) 3342-2825</t>
  </si>
  <si>
    <t>Natureza</t>
  </si>
  <si>
    <t>Totalizadores</t>
  </si>
  <si>
    <t>( i ) Origem dos dados</t>
  </si>
  <si>
    <t>Material</t>
  </si>
  <si>
    <r>
      <rPr>
        <rFont val="Cairo"/>
        <i/>
        <color rgb="FF496C60"/>
        <sz val="10.0"/>
      </rPr>
      <t xml:space="preserve">(a1) Material consumido - </t>
    </r>
    <r>
      <rPr>
        <rFont val="Cairo"/>
        <i/>
        <color rgb="FF496C60"/>
        <sz val="10.0"/>
        <u/>
      </rPr>
      <t>planilha Investimentos</t>
    </r>
  </si>
  <si>
    <t>Terceiros</t>
  </si>
  <si>
    <r>
      <rPr>
        <rFont val="Cairo"/>
        <i/>
        <color rgb="FF496C60"/>
        <sz val="10.0"/>
      </rPr>
      <t xml:space="preserve">(a2) Serviços contratados - </t>
    </r>
    <r>
      <rPr>
        <rFont val="Cairo"/>
        <i/>
        <color rgb="FF496C60"/>
        <sz val="10.0"/>
        <u/>
      </rPr>
      <t>planilha Investimentos</t>
    </r>
  </si>
  <si>
    <r>
      <rPr>
        <rFont val="Cairo"/>
        <color rgb="FF000000"/>
        <sz val="10.0"/>
      </rPr>
      <t>RH (</t>
    </r>
    <r>
      <rPr>
        <rFont val="Cairo"/>
        <i/>
        <color rgb="FF000000"/>
        <sz val="10.0"/>
      </rPr>
      <t>Parcial inovação</t>
    </r>
    <r>
      <rPr>
        <rFont val="Cairo"/>
        <color rgb="FF000000"/>
        <sz val="10.0"/>
      </rPr>
      <t>)</t>
    </r>
  </si>
  <si>
    <r>
      <rPr>
        <rFont val="Cairo"/>
        <i/>
        <color rgb="FF496C60"/>
        <sz val="10.0"/>
      </rPr>
      <t xml:space="preserve">(b) Dispêndio com funcionários de dedicação parcial - </t>
    </r>
    <r>
      <rPr>
        <rFont val="Cairo"/>
        <i/>
        <color rgb="FF496C60"/>
        <sz val="10.0"/>
        <u/>
      </rPr>
      <t>planilha Timesheet</t>
    </r>
  </si>
  <si>
    <r>
      <rPr>
        <rFont val="Cairo"/>
        <color rgb="FF000000"/>
        <sz val="10.0"/>
      </rPr>
      <t>RH (</t>
    </r>
    <r>
      <rPr>
        <rFont val="Cairo"/>
        <i/>
        <color rgb="FF000000"/>
        <sz val="10.0"/>
      </rPr>
      <t>Exclusivo inovação</t>
    </r>
    <r>
      <rPr>
        <rFont val="Cairo"/>
        <color rgb="FF000000"/>
        <sz val="10.0"/>
      </rPr>
      <t>)</t>
    </r>
  </si>
  <si>
    <r>
      <rPr>
        <rFont val="Cairo"/>
        <i/>
        <color rgb="FF496C60"/>
        <sz val="10.0"/>
      </rPr>
      <t xml:space="preserve">(c) Custo total dos funcionários com dedicação exclusiva - </t>
    </r>
    <r>
      <rPr>
        <rFont val="Cairo"/>
        <i/>
        <color rgb="FF496C60"/>
        <sz val="10.0"/>
        <u/>
      </rPr>
      <t>planilha Salários</t>
    </r>
  </si>
  <si>
    <t>Total</t>
  </si>
  <si>
    <t>Percentual Exclusão</t>
  </si>
  <si>
    <t>60%</t>
  </si>
  <si>
    <t>+10%</t>
  </si>
  <si>
    <t>+20%</t>
  </si>
  <si>
    <t>Exclusão da Base de cálculo do IRPJ e CSLL</t>
  </si>
  <si>
    <t>Benefício padrão</t>
  </si>
  <si>
    <t>Incremento &lt;5% de pesquisadores exclusivos</t>
  </si>
  <si>
    <t>Incremento &gt;5% de pesquisadores exclusivos</t>
  </si>
  <si>
    <t>Dispendios com registro de patente</t>
  </si>
  <si>
    <r>
      <rPr>
        <rFont val="Cairo"/>
        <b/>
        <color rgb="FFFFFFFF"/>
        <sz val="10.0"/>
      </rPr>
      <t>Economia Estimada [</t>
    </r>
    <r>
      <rPr>
        <rFont val="Cairo"/>
        <b/>
        <color rgb="FFFFFFFF"/>
        <sz val="10.0"/>
      </rPr>
      <t>34%</t>
    </r>
    <r>
      <rPr>
        <rFont val="Cairo"/>
        <b/>
        <color rgb="FFFFFFFF"/>
        <sz val="10.0"/>
      </rPr>
      <t>]</t>
    </r>
  </si>
  <si>
    <t>Comissão McBenner</t>
  </si>
  <si>
    <t>Observações:</t>
  </si>
  <si>
    <t>1. Os dispêndios devem ser registrados na contabilidade em conta específica</t>
  </si>
  <si>
    <t>2. O benefício deve ser aproveitado na ECF do respectivo ano/competência</t>
  </si>
  <si>
    <t>3. O formulário do MCTIC (governo) deve ser enviado até fim de setembro/2021</t>
  </si>
  <si>
    <t>4. Os projetos estão descritos em arquivo a parte a ser anexado no FORM PD&amp;I</t>
  </si>
  <si>
    <t>5. Alguns benefícios previstos na Lei do Bem não foram utilizados:</t>
  </si>
  <si>
    <t>--- 5.1. Depreciação acelerada</t>
  </si>
  <si>
    <t>--- 5.2. Redução de IPI na aquisição de equipamento para PD&amp;I</t>
  </si>
  <si>
    <t>Equipe de PD&amp;I</t>
  </si>
  <si>
    <t>Quadro de resumo</t>
  </si>
  <si>
    <t>Dedicação Parcial</t>
  </si>
  <si>
    <t>Dedicação Exclusiva</t>
  </si>
  <si>
    <t>Qtd</t>
  </si>
  <si>
    <t>Valor gasto</t>
  </si>
  <si>
    <t>Horas</t>
  </si>
  <si>
    <t>Técnico</t>
  </si>
  <si>
    <t>Tecnologo</t>
  </si>
  <si>
    <t>Superior Completo</t>
  </si>
  <si>
    <t>Pós graduado</t>
  </si>
  <si>
    <t>Mestrado</t>
  </si>
  <si>
    <t>Doutorado</t>
  </si>
  <si>
    <t>Valores por projeto de PD&amp;I</t>
  </si>
  <si>
    <t>Projetos</t>
  </si>
  <si>
    <t>Identificação</t>
  </si>
  <si>
    <t>Vlr materiais</t>
  </si>
  <si>
    <t>Vlr terceiros</t>
  </si>
  <si>
    <t>Vlr Rh parcial</t>
  </si>
  <si>
    <t>Vlr exclusivos</t>
  </si>
  <si>
    <t>Novos Produtos</t>
  </si>
  <si>
    <t>NP</t>
  </si>
  <si>
    <t>Novas Matérias-primas</t>
  </si>
  <si>
    <t>Nmp</t>
  </si>
  <si>
    <t>Melhoria de Produto</t>
  </si>
  <si>
    <t>Mprod</t>
  </si>
  <si>
    <t>Melhoria de Processos</t>
  </si>
  <si>
    <t>Mproc</t>
  </si>
  <si>
    <t>Segurança Alimentar</t>
  </si>
  <si>
    <t>SgAlim</t>
  </si>
  <si>
    <t>Subtotais</t>
  </si>
  <si>
    <t>BENEFÍCIO FISCAL DE PD&amp;I 2019</t>
  </si>
  <si>
    <t>Projeto</t>
  </si>
  <si>
    <t>Agrupamento</t>
  </si>
  <si>
    <t>Categoria do projeto</t>
  </si>
  <si>
    <t>Elemento tecnologicamente novo ou inovador</t>
  </si>
  <si>
    <t>Barreira ou desafio tecnológico a superar</t>
  </si>
  <si>
    <t>Metodologia empregada</t>
  </si>
  <si>
    <t>Data início</t>
  </si>
  <si>
    <t>Data de término (estimada)</t>
  </si>
  <si>
    <t>Descrição</t>
  </si>
  <si>
    <t>Attachments</t>
  </si>
  <si>
    <t>Timesheet</t>
  </si>
  <si>
    <t>Lei do Bem</t>
  </si>
  <si>
    <t/>
  </si>
  <si>
    <t>CarboCH</t>
  </si>
  <si>
    <t>Centro de Inovação</t>
  </si>
  <si>
    <t>Cicatrização</t>
  </si>
  <si>
    <t>Congresso ESPEN</t>
  </si>
  <si>
    <t>Congresso Ganepão</t>
  </si>
  <si>
    <t>Congressos</t>
  </si>
  <si>
    <t>Diamax IG</t>
  </si>
  <si>
    <t>Dieta artesanal</t>
  </si>
  <si>
    <t>EE - 2020</t>
  </si>
  <si>
    <t>Energyzip 1.0</t>
  </si>
  <si>
    <t>Energyzip baunilha</t>
  </si>
  <si>
    <t>Energyzip Chocolate</t>
  </si>
  <si>
    <t>Energyzip Fiber</t>
  </si>
  <si>
    <t>Energyzip Junior (Turquia)</t>
  </si>
  <si>
    <t>Energyzip morango</t>
  </si>
  <si>
    <t>Energyzip Sênior</t>
  </si>
  <si>
    <t>Estabilidade misturas secas</t>
  </si>
  <si>
    <t>HDmax 1.5</t>
  </si>
  <si>
    <t>HDmax 2.0</t>
  </si>
  <si>
    <t>Immax - etapa final da Pesquisa Clínica</t>
  </si>
  <si>
    <t>Inovação industrial - misturas secas</t>
  </si>
  <si>
    <t>InstanTH CLEAR (espessante)</t>
  </si>
  <si>
    <t>InstanTH NEO</t>
  </si>
  <si>
    <t>Novos Produtos Turquia</t>
  </si>
  <si>
    <t>Pesquisas Clínicas</t>
  </si>
  <si>
    <t>ProteinPT</t>
  </si>
  <si>
    <t>Retort (Sistema Fechado)</t>
  </si>
  <si>
    <t>Sachê</t>
  </si>
  <si>
    <t>Sarcopenia</t>
  </si>
  <si>
    <t>Software P&amp;D</t>
  </si>
  <si>
    <t>Suplemento hiperproteico líquido</t>
  </si>
  <si>
    <t>Trophic 1.5 250mL - Edge</t>
  </si>
  <si>
    <t>Trophic Basic pó</t>
  </si>
  <si>
    <t>Trophic Junior Powder (China)</t>
  </si>
  <si>
    <t>Trophic Soya 1.5 Fiber</t>
  </si>
  <si>
    <t>Vulcano (pote jumbo e sachês a vácuo)</t>
  </si>
  <si>
    <t>Concorrente</t>
  </si>
  <si>
    <t>Parcial</t>
  </si>
  <si>
    <t>Exclusivo</t>
  </si>
  <si>
    <t>TOTAL</t>
  </si>
  <si>
    <t>Cod</t>
  </si>
  <si>
    <t>Pessoa</t>
  </si>
  <si>
    <t>Start</t>
  </si>
  <si>
    <t>Tempo aplicado</t>
  </si>
  <si>
    <t>Atividade incentivada</t>
  </si>
  <si>
    <t>Valor (R$)</t>
  </si>
  <si>
    <t>Custo</t>
  </si>
  <si>
    <t>checkprojetos</t>
  </si>
  <si>
    <t>Ademir Mararangoni</t>
  </si>
  <si>
    <t>Coordenar pesagem e produção</t>
  </si>
  <si>
    <t>Coordenar separação, emissão de NF e envio dos materiais para produção</t>
  </si>
  <si>
    <t>Adequação da linha de produção para o envase (Novo Twister, Envasadora, Esteira tampadora Plock off)</t>
  </si>
  <si>
    <t>Implementação do projeto balança onde integraliza a pesagem do fracionamento com o estrutura do sistema para minimizar erros</t>
  </si>
  <si>
    <t>Teste de n² com enertizado da Brasilata</t>
  </si>
  <si>
    <t>Primeira produção do Instant clear</t>
  </si>
  <si>
    <t>Apontamento, triangulazação de NF</t>
  </si>
  <si>
    <t>Bemmax Sabor Neutro</t>
  </si>
  <si>
    <t>Teste de envase -peso alcançado 350g</t>
  </si>
  <si>
    <t>Separação de MP fisico e sistema para pesagem de teste</t>
  </si>
  <si>
    <t>Validação com comercial e manutenção pra aquisição de strechadeira automática</t>
  </si>
  <si>
    <t>Alinhamento do projeto balança onde integraliza a pesagem do fracionamento com o estrutura do sistema para minimizar erros</t>
  </si>
  <si>
    <t>Envase do lote 002</t>
  </si>
  <si>
    <t>Envase do lote 001</t>
  </si>
  <si>
    <t>Limpeza da sacheteira, equipamento de envase em sachês</t>
  </si>
  <si>
    <t>Envase do lote 001 - com VPC</t>
  </si>
  <si>
    <t>Teste de nova formula para estudo de estabilidade</t>
  </si>
  <si>
    <t>Produção de Immax</t>
  </si>
  <si>
    <t>Produção de Bemmax</t>
  </si>
  <si>
    <t>-</t>
  </si>
  <si>
    <t>Produção Bemmax</t>
  </si>
  <si>
    <t>Produção Immax</t>
  </si>
  <si>
    <t>Envio de Bobinas para teste na DSM</t>
  </si>
  <si>
    <t>Documentação de Qualidade e P&amp;D para teste</t>
  </si>
  <si>
    <t>Start up da sacheteira para inciarmos a pimeira produção</t>
  </si>
  <si>
    <t>Definição de fluxograma de processo</t>
  </si>
  <si>
    <t>Definição de data com DSM para produção do 2º Lote</t>
  </si>
  <si>
    <t>Alinhamento com time multifuncional sobre the next step da produção do 2º lote</t>
  </si>
  <si>
    <t>Start da produção do Sachê Humalin 45g</t>
  </si>
  <si>
    <t>Acompanhamento da produção do Sachê Humalin 45g</t>
  </si>
  <si>
    <t>montagem dos display e acondicionamento em caixas de expedição</t>
  </si>
  <si>
    <t>Envase de 02 bins de Instanth Clear</t>
  </si>
  <si>
    <t>Envase de 05 bins de Immax</t>
  </si>
  <si>
    <t>Alinhamento com time multifuncional para produção de Modulos em saches</t>
  </si>
  <si>
    <t>Fornecimento de MP's para testes sacheteira</t>
  </si>
  <si>
    <t>Alinhamento sobre a produção DSM</t>
  </si>
  <si>
    <t>Mistura e ajuste para teste com lata</t>
  </si>
  <si>
    <t>mistura e envase com MPC Vitalus no Immax</t>
  </si>
  <si>
    <t>Teste recravadeira</t>
  </si>
  <si>
    <t>produção de 01 Bin de Instanth Clear</t>
  </si>
  <si>
    <t>produção de 02 Bin de Immax</t>
  </si>
  <si>
    <t>Teste de N² na empresa Protesa</t>
  </si>
  <si>
    <t>Teste de Headspace para 400g</t>
  </si>
  <si>
    <t>Teste Misturador a Vácuo empresa Geiger</t>
  </si>
  <si>
    <t>Alinhamento produção de sachê Prodiet</t>
  </si>
  <si>
    <t>Teste interno do misturador a vácuo empresa Geiger</t>
  </si>
  <si>
    <t>Produção de 02 Bins de Immax</t>
  </si>
  <si>
    <t>Produção de 01 Bins de Immax</t>
  </si>
  <si>
    <t>Produção de 01 Bins de Instanth Clear</t>
  </si>
  <si>
    <t>Teste de nova MP - WPI GERMAN PROT 9000</t>
  </si>
  <si>
    <t>TESTE DE NOVA FOS - 2471 - Frutooligassacarídeo Galam -</t>
  </si>
  <si>
    <t>TESTE DE NOVA MALTO - 002465 -MALTO INDEMIL</t>
  </si>
  <si>
    <t>Teste de envase de Trophic Basic em nova gramatura de lata 400g</t>
  </si>
  <si>
    <t>Teste de envase de Trophic Basic em nova gramatura de lata 2kg</t>
  </si>
  <si>
    <t>Definição de volumes de sachês para pesquisa clinica</t>
  </si>
  <si>
    <t>Teste de envase de Trophic Fiber em nova gramatura de lata 2kg</t>
  </si>
  <si>
    <t>Produção 01Bins de Immax</t>
  </si>
  <si>
    <t>Teste de envase Trophic Jumbo</t>
  </si>
  <si>
    <t>Teste rótulo do trophic Jumbo</t>
  </si>
  <si>
    <t>Teste da caixa de embarque do trophic Jumbo</t>
  </si>
  <si>
    <t>Visita tecnica no fornecedor Ekontech do Misturador 50L</t>
  </si>
  <si>
    <t>Teste de capacidade da caixa de expedição Sachês</t>
  </si>
  <si>
    <t>Teste da encaixotamento e vedação da caixa de expedição</t>
  </si>
  <si>
    <t>Arianna Schreiber</t>
  </si>
  <si>
    <t>Conferência de arte do rótulo</t>
  </si>
  <si>
    <t>Orientações para criação de material técnico do produto</t>
  </si>
  <si>
    <t>Projeto de construção do Centro de Inovação</t>
  </si>
  <si>
    <t>Gravações de vídeos técnicos do produto</t>
  </si>
  <si>
    <t>Revisão e alinhamento de detalhes da embalagem</t>
  </si>
  <si>
    <t>Aprovação da embalagem e rótulo</t>
  </si>
  <si>
    <t>Desenvolvimento de material científico</t>
  </si>
  <si>
    <t>Desenvolvimento de embalagens</t>
  </si>
  <si>
    <t>Desenvolvimento de material técnico</t>
  </si>
  <si>
    <t>Desenvolvimento de embalagem</t>
  </si>
  <si>
    <t>Revisão embalagens</t>
  </si>
  <si>
    <t>Revisão embalagem</t>
  </si>
  <si>
    <t>Planejamento de lançamento</t>
  </si>
  <si>
    <t>Estratégias de comunicação do produto</t>
  </si>
  <si>
    <t>Desenvolvimento material técnico</t>
  </si>
  <si>
    <t>Planejamento de conteúdo</t>
  </si>
  <si>
    <t>Pesquisa de posicionamento</t>
  </si>
  <si>
    <t>Desenvolvimento embalagens</t>
  </si>
  <si>
    <t>Denise Barros Ferreira</t>
  </si>
  <si>
    <t>Treinamento viscosímetro</t>
  </si>
  <si>
    <t>Envio de amostra para análise externa NF 38435 (228,00)</t>
  </si>
  <si>
    <t>Análise dos resultados, registro, laudo e liberação</t>
  </si>
  <si>
    <t>Análise sensorial do produto</t>
  </si>
  <si>
    <t>Análise microbiológica</t>
  </si>
  <si>
    <t>Análise microbiológica Enterfiber</t>
  </si>
  <si>
    <t>Acondicionamento de amostras nas estufas - Immax</t>
  </si>
  <si>
    <t>Envio de amostra laboratório externo Bemmax</t>
  </si>
  <si>
    <t>Microbiologia Immax</t>
  </si>
  <si>
    <t>Microbiologia Carboch</t>
  </si>
  <si>
    <t>Microbiologia ProteinPT</t>
  </si>
  <si>
    <t>Microbiologia Trophic Basic</t>
  </si>
  <si>
    <t>Análise microbiológica do Immax</t>
  </si>
  <si>
    <t>Análise microbiológica do Immax com absorvedor</t>
  </si>
  <si>
    <t>Análise microbiológica do Immax sem absorvedor</t>
  </si>
  <si>
    <t>Teste das latas na Protesa, coleta de swab para acompanhamento da limpeza</t>
  </si>
  <si>
    <t>Análise microbiológica do Immax teste Protesa</t>
  </si>
  <si>
    <t>Análise microbiológica Immax</t>
  </si>
  <si>
    <t>Análise microbiológica Basic</t>
  </si>
  <si>
    <t>Emanuela Adam Bechlin Picheki</t>
  </si>
  <si>
    <t>Alinhamento Técnico</t>
  </si>
  <si>
    <t>Análise de Fornecedor</t>
  </si>
  <si>
    <t>Discussão Técnica</t>
  </si>
  <si>
    <t>Planejamento com o Fornecedor</t>
  </si>
  <si>
    <t>Discussão com o Fornecedor</t>
  </si>
  <si>
    <t>Planejamento de Custos</t>
  </si>
  <si>
    <t>Discussão com o fornecedor</t>
  </si>
  <si>
    <t>Alinhamento técnico</t>
  </si>
  <si>
    <t>Alinhamento com o fornecedor</t>
  </si>
  <si>
    <t>Discussão técnica</t>
  </si>
  <si>
    <t>Fabiano Ribeiro da Silva</t>
  </si>
  <si>
    <t>VISITA DSM (CAMPINAS)</t>
  </si>
  <si>
    <t>TESTES SACHETEIRA</t>
  </si>
  <si>
    <t>AJUSTES LINHA PRODUÇÃO INSTANTH CLEAR</t>
  </si>
  <si>
    <t>TESTES INERTIZADORA BRASILATA (N2)</t>
  </si>
  <si>
    <t>AJUSTES LINHA PRODUÇÃO INSTANTH CLEAR (LOOP)</t>
  </si>
  <si>
    <t>TESTES INERTIZADORA ENVASADORA (N2)</t>
  </si>
  <si>
    <t>AJUSTES FILME SACHETEIRA</t>
  </si>
  <si>
    <t>IMPLANTAÇAO TUBULAÇÃO N2 CILINDRO</t>
  </si>
  <si>
    <t>IMPLANTAÇÃO VALVULA N2</t>
  </si>
  <si>
    <t>AJUSTE SACHETEIRA PARA PRODUÇÃO</t>
  </si>
  <si>
    <t>INICIO PRODUÇÃO SACHETEIRA</t>
  </si>
  <si>
    <t>ACOMPANHAMENTO PRODUÇÃO SACHES</t>
  </si>
  <si>
    <t>TESTE FILTROS (PCC) SACHETEIRA</t>
  </si>
  <si>
    <t>Testes Saches 1gr a 25 grs.</t>
  </si>
  <si>
    <t>Teste latas Envasadora (Sistema Vibração)</t>
  </si>
  <si>
    <t>Teste Recravadora (Brasilata).</t>
  </si>
  <si>
    <t>TESTE SACHES (CARBOCH E PROTEIN PT)</t>
  </si>
  <si>
    <t>TESTE SACHES (CLEAR)</t>
  </si>
  <si>
    <t>TESTE SACHES (CLEAR E NEO)</t>
  </si>
  <si>
    <t>TESTE SACHES (NEO)</t>
  </si>
  <si>
    <t>VISITA PROTESA (TESTE LATAS)</t>
  </si>
  <si>
    <t>AVALIAÇÃO DOCUMENTOS EQUPTOS RETORT</t>
  </si>
  <si>
    <t>AVALIAÇÃO DOCUMENTOS CENTRO INOVAÇÃO</t>
  </si>
  <si>
    <t>Testes na Empresa Geiger</t>
  </si>
  <si>
    <t>Regulagem Sacheteira (Neo e Enterfiber)</t>
  </si>
  <si>
    <t>Análise Check List Retort</t>
  </si>
  <si>
    <t>Teste Rosca Sacheteira (1gr) "Clear"</t>
  </si>
  <si>
    <t>Teste na Empresa Geiger</t>
  </si>
  <si>
    <t>Documentação Retort</t>
  </si>
  <si>
    <t>Cotações Equipamentos Retort</t>
  </si>
  <si>
    <t>Estudo Chiller - Mistura Seca</t>
  </si>
  <si>
    <t>Estudo automação Linha Sachê</t>
  </si>
  <si>
    <t>Teste Descida Produto - Funil Sacheteira.</t>
  </si>
  <si>
    <t>Teste Peneira 2,0mm</t>
  </si>
  <si>
    <t>Projeto Laboratorio Processos</t>
  </si>
  <si>
    <t>Testes Sacheteira</t>
  </si>
  <si>
    <t>Trabalhos Antesala Produção</t>
  </si>
  <si>
    <t>Testes Misturador Novo</t>
  </si>
  <si>
    <t>Regulagem Sacheteira</t>
  </si>
  <si>
    <t>Testes Estrela Envasadora</t>
  </si>
  <si>
    <t>Kézia Rithássia Piccoli</t>
  </si>
  <si>
    <t>Acompanhamento montagem da inertizadora na linha</t>
  </si>
  <si>
    <t>Teste inserção N2 no T. Infant.</t>
  </si>
  <si>
    <t>Teste inserção N2 Immax.</t>
  </si>
  <si>
    <t>Acompanhamento na primeira produção do InstanTH NEO na DSM</t>
  </si>
  <si>
    <t>Acompanhamento de ajustes na sacheteira com inserção de N2.</t>
  </si>
  <si>
    <t>Alinhamento das MPs utilizadas no teste.</t>
  </si>
  <si>
    <t>Alinhamento troca de data do teste</t>
  </si>
  <si>
    <t>Envio da formulação para iniciar pesagem</t>
  </si>
  <si>
    <t>Pesagem dos itens em pó da formulação</t>
  </si>
  <si>
    <t>Pesagem dos itens da formulação</t>
  </si>
  <si>
    <t>Pesagem dos itens e identificação</t>
  </si>
  <si>
    <t>Identificação amostras, montagem paletes, informações por e-mail de lote, armazém para emissão NF</t>
  </si>
  <si>
    <t>Emissão de NF e acompanhamento ao carregamento caminhão</t>
  </si>
  <si>
    <t>Pesagens dos itens faltantes - informação dos lotes por e-mail</t>
  </si>
  <si>
    <t>Teste envase Bemmax lata - definido 350g</t>
  </si>
  <si>
    <t>Definição de layout da sala da sacheteria, controle de mudanças, equipamentos</t>
  </si>
  <si>
    <t>Definição de layout da sala da sacheteria, controle de mudanças, equipamentos na fábrica</t>
  </si>
  <si>
    <t>Preparação e envase do teste de EE no IMMAX v05</t>
  </si>
  <si>
    <t>1ª validação da limpeza dos equipamentos sacheteria</t>
  </si>
  <si>
    <t>2ª validação da limpeza dos equipamentos sacheteria</t>
  </si>
  <si>
    <t>3ª validação da limpeza dos equipamentos sacheteria</t>
  </si>
  <si>
    <t>Elaboração dos documentos do processo de sachês</t>
  </si>
  <si>
    <t>Montagem da linha da sacheteira</t>
  </si>
  <si>
    <t>Montagem e teste de envase - sacheteira</t>
  </si>
  <si>
    <t>Inicio produção sache</t>
  </si>
  <si>
    <t>Acompanhamento da produção do Sachê Humalin 45g, testes de hermeticidade e pesos</t>
  </si>
  <si>
    <t>Alinhamento para produção de Modulos em saches</t>
  </si>
  <si>
    <t>Acompanhamento teste Caseinato Laita</t>
  </si>
  <si>
    <t>Alinhamento teste Polidextrose</t>
  </si>
  <si>
    <t>Alinhamento teste com latas recravadas + absorvedores</t>
  </si>
  <si>
    <t>Recebimento de material para teste</t>
  </si>
  <si>
    <t>Mistura e envase com MPC no Immax</t>
  </si>
  <si>
    <t>Conferência e envio do dossie do Immax</t>
  </si>
  <si>
    <t>teste immax nas latas recravadas</t>
  </si>
  <si>
    <t>Recebimento da receita e conferência de material que temos na fábrica</t>
  </si>
  <si>
    <t>Solicitação de material para castrolanda</t>
  </si>
  <si>
    <t>Recebimento da informação dos novos testes embrapa</t>
  </si>
  <si>
    <t>Ajustes e testes dos sachês modulos com filme suprema</t>
  </si>
  <si>
    <t>Acompanhamento testes sachês modulos com filme suprema</t>
  </si>
  <si>
    <t>Produção Sustenlac com Leite Castrolanda</t>
  </si>
  <si>
    <t>Alinhamento das atividades para teste Protesa</t>
  </si>
  <si>
    <t>Pesagem, abastecimento e mistura do produto Immax para teste Protesa</t>
  </si>
  <si>
    <t>Teste envase Protesa</t>
  </si>
  <si>
    <t>Emissão relatório do teste</t>
  </si>
  <si>
    <t>Envio relatório do teste protesa</t>
  </si>
  <si>
    <t>Recebimento receitas dos 27 batchs teste retort e compilado das quantidades para emissão etiquetas</t>
  </si>
  <si>
    <t>Emissão das 370 etiquetas individuais das receitas e separação das etiquetas  para pesagem</t>
  </si>
  <si>
    <t>Acompanhamento pesagem dos batchs</t>
  </si>
  <si>
    <t>Produção enterfiber com Polidextrose STA</t>
  </si>
  <si>
    <t>Teste mistura à vacuo - Geiger</t>
  </si>
  <si>
    <t>Pesagens produtos líquidos e conferência Batchs</t>
  </si>
  <si>
    <t>Conferencia batchs testes e envio das informações para demais departamentos</t>
  </si>
  <si>
    <t>Alinhamento proximos passos para produção Neo e saches fabrica</t>
  </si>
  <si>
    <t>Recebimento dos produtos testes na fabrica</t>
  </si>
  <si>
    <t>Alinhamento técnico para produção</t>
  </si>
  <si>
    <t>Alinhamento de adequações do processo - recravadeira</t>
  </si>
  <si>
    <t>Definições produção módulos sachês</t>
  </si>
  <si>
    <t>Teste  T. Basic - WPI German</t>
  </si>
  <si>
    <t>Teste  IMmax - FOS Galan</t>
  </si>
  <si>
    <t>Teste pote 3800mL</t>
  </si>
  <si>
    <t>Teste pote 3800mL, emissão do relatório</t>
  </si>
  <si>
    <t>teste pote  3800ml na rotuladora</t>
  </si>
  <si>
    <t>Visita Solumix para alinhamento envase pouch-refil vacuo</t>
  </si>
  <si>
    <t>Teste envase T. Basic 2Kg - pote de 3800ml</t>
  </si>
  <si>
    <t>Teste T. Basic - manimalto</t>
  </si>
  <si>
    <t>Teste envase T. Fiber 2Kg - pote de 3800ml</t>
  </si>
  <si>
    <t>Teste envase no pote 3800mL na envasadora.</t>
  </si>
  <si>
    <t>Testes soldas e pesagens sachês</t>
  </si>
  <si>
    <t>Testes com a peneira de malha 2mm e peneira perfurada de 2mm na sacheteira</t>
  </si>
  <si>
    <t>Teste manimalto no T. FIber</t>
  </si>
  <si>
    <t>Luciana Dutra</t>
  </si>
  <si>
    <t>Análise de resultados e laudos EE</t>
  </si>
  <si>
    <t>Discussão técnica dossiê DSM</t>
  </si>
  <si>
    <t>Alinhamento técnico DSM</t>
  </si>
  <si>
    <t>Alinhamento prioridades no setor técnico</t>
  </si>
  <si>
    <t>Discussão técnica com laboratório de análises</t>
  </si>
  <si>
    <t>Alinhamento de próximos passos para novos equipamentos para fábrica</t>
  </si>
  <si>
    <t>Discussão técnica com fornecedor (contábil) para CI</t>
  </si>
  <si>
    <t>Teste piloto</t>
  </si>
  <si>
    <t>Alinhamento técnico para CI</t>
  </si>
  <si>
    <t>Alinhamento pré-produção</t>
  </si>
  <si>
    <t>Análise orçamento de análises</t>
  </si>
  <si>
    <t>Discussão técnica testes realizados em 2019</t>
  </si>
  <si>
    <t>Desenvolvimento de novo mix junto ao fornecedor</t>
  </si>
  <si>
    <t>Alinhamento técnico EIP</t>
  </si>
  <si>
    <t>Alinhamento pós-produção</t>
  </si>
  <si>
    <t>Alinhamento técnico Dupont</t>
  </si>
  <si>
    <t>Alinhamento pré operacional</t>
  </si>
  <si>
    <t>Alinhamento técnico Brasilatas</t>
  </si>
  <si>
    <t>Suppliers meeting</t>
  </si>
  <si>
    <t>Alinhamento pré evento</t>
  </si>
  <si>
    <t>Alinahmento técnico EIP</t>
  </si>
  <si>
    <t>Treinamento interno com a equipe international business</t>
  </si>
  <si>
    <t>Alinhamento técnico de modelos de cronogramas</t>
  </si>
  <si>
    <t>Alinhamento técnico novas embalagens</t>
  </si>
  <si>
    <t>Compilação de análise e resultados dos EE</t>
  </si>
  <si>
    <t>Alinahmento técnico DSM</t>
  </si>
  <si>
    <t>Alinhamento pré teste piloto</t>
  </si>
  <si>
    <t>Treinamento interno com a equipe operacional</t>
  </si>
  <si>
    <t>Alinhamento técnico sobre novo modelo de especificações</t>
  </si>
  <si>
    <t>Avaliação de resultados de EE para DSM</t>
  </si>
  <si>
    <t>Apresentação de resultados à diretoria</t>
  </si>
  <si>
    <t>Alinhamento técnico com diferentes consultores</t>
  </si>
  <si>
    <t>Treinamento/direcionamento para equipe Controle de Qualidade</t>
  </si>
  <si>
    <t>Alinhamento com equipe de Produção e Qualidade sobre teste piloto - Immax nova fórmula</t>
  </si>
  <si>
    <t>Acompanhamento de produção</t>
  </si>
  <si>
    <t>Avaliação de atividades junto com a equipe</t>
  </si>
  <si>
    <t>Avaliação de andamento de projetos junto à equipe</t>
  </si>
  <si>
    <t>Alinhamento técnico Mcassab</t>
  </si>
  <si>
    <t>Avaliação de resultados de novas diluições</t>
  </si>
  <si>
    <t>Avaliação de resultados de EE de fórmulas Retort</t>
  </si>
  <si>
    <t>Alinhamento técnico com equipes de P&amp;D e AR</t>
  </si>
  <si>
    <t>Trativas de estrategia de comunicação - inicio</t>
  </si>
  <si>
    <t>Avaliação de resultados de EE</t>
  </si>
  <si>
    <t>Trativas de estrategia de comunicação - finalização</t>
  </si>
  <si>
    <t>Alinhamento de projeto com a TI</t>
  </si>
  <si>
    <t>Apresentação de novos desenhos nutrionais pelo Científico</t>
  </si>
  <si>
    <t>Compilação de status de projetos</t>
  </si>
  <si>
    <t>Alinhamento técnico Cargill</t>
  </si>
  <si>
    <t>Discussão interna com a diretoria</t>
  </si>
  <si>
    <t>Alinhamento técnico interno com a equipe de IB</t>
  </si>
  <si>
    <t>Alinhamento técnico com a Diretoria Industrial para novos testes</t>
  </si>
  <si>
    <t>Apresentação de novos projetos em parcerias externas</t>
  </si>
  <si>
    <t>Discussão de melhorias de formaulção em parcerias externas</t>
  </si>
  <si>
    <t>Alinhamento técnico interno com a equipe de Produção</t>
  </si>
  <si>
    <t>Alinhamento técnico interno com a equipe</t>
  </si>
  <si>
    <t>Alinhamento técnico Bring Solutions</t>
  </si>
  <si>
    <t>Alinhamento de próximos passos para novos em sachê</t>
  </si>
  <si>
    <t>Definição de cronograma para o projeto</t>
  </si>
  <si>
    <t>Atualização de atividades dos projetos</t>
  </si>
  <si>
    <t>Discussão sobre cadastro de produtos</t>
  </si>
  <si>
    <t>Webinar Tetra Pak - Inovando com o processamento UHT</t>
  </si>
  <si>
    <t>Avaliação de IN no EE com a DSM</t>
  </si>
  <si>
    <t>Discussão técnica - nova consultoria</t>
  </si>
  <si>
    <t>Planejamento novos projetos junto a diretoria</t>
  </si>
  <si>
    <t>Avaliação de EE e ações futuras</t>
  </si>
  <si>
    <t>Update com fornecedor DSM</t>
  </si>
  <si>
    <t>Apresentação para diretoria - CAD</t>
  </si>
  <si>
    <t>Programação de novo teste com latas recravadas</t>
  </si>
  <si>
    <t>Visita à fornecedor - Brasilatas</t>
  </si>
  <si>
    <t>Insights curso de embalagens</t>
  </si>
  <si>
    <t>Alinhamneto para atividades de laboratório</t>
  </si>
  <si>
    <t>Apresentação de POP projeto China</t>
  </si>
  <si>
    <t>Alinahmento de projeto China</t>
  </si>
  <si>
    <t>Projeto de automatização de Instrução de Fabricação</t>
  </si>
  <si>
    <t>Discussão técnica para aprovação de software</t>
  </si>
  <si>
    <t>Planejamento de atividades</t>
  </si>
  <si>
    <t>Avaliação dos EE com a DSM</t>
  </si>
  <si>
    <t>Discussão técnica com consultor - Anderson</t>
  </si>
  <si>
    <t>Discussão técnica com diretoria</t>
  </si>
  <si>
    <t>Discussão técnica de novo target nutricional</t>
  </si>
  <si>
    <t>Elaboração de dossie de EE - Energyzip</t>
  </si>
  <si>
    <t>Discussão técnica dos próximos passos</t>
  </si>
  <si>
    <t>Elaboração de custos de nova fórmula</t>
  </si>
  <si>
    <t>Apresentação de novos fornecedores de embalagens</t>
  </si>
  <si>
    <t>Apresentação de relatório de visita técnica ao fornecedor Brasilatas</t>
  </si>
  <si>
    <t>Teste industrial com nova embalagem - Brasilata</t>
  </si>
  <si>
    <t>Discussão técnica de novo teste piloto - Protesa</t>
  </si>
  <si>
    <t>Planejamento de novo teste piloto - Protesa</t>
  </si>
  <si>
    <t>Avaliação de resultados de produção Castrolanda e novos testes</t>
  </si>
  <si>
    <t>Comitê Covid</t>
  </si>
  <si>
    <t>Definição de especificações técnicas de pré-mix</t>
  </si>
  <si>
    <t>Atualização dos projetos com MKT</t>
  </si>
  <si>
    <t>Apresentação do científico no Ganepão</t>
  </si>
  <si>
    <t>Reunião bimestral da área técnica</t>
  </si>
  <si>
    <t>Esclarecimento de metodologias aplicadas com TÜV, DSM e consultor</t>
  </si>
  <si>
    <t>Acompanhamento de resultados de EE</t>
  </si>
  <si>
    <t>Discussão técnica com consultor Anderson</t>
  </si>
  <si>
    <t>Alinhamento para novo teste Protesa</t>
  </si>
  <si>
    <t>Painel de atividades do prjeto Retort</t>
  </si>
  <si>
    <t>Discussão técnica de atualização de especificações</t>
  </si>
  <si>
    <t>Avaliação de planta piloto UFJF</t>
  </si>
  <si>
    <t>Alinhamento de teste em produção de novas MPs</t>
  </si>
  <si>
    <t>Apresentação MKT de novos projetos</t>
  </si>
  <si>
    <t>Integração com especialista de estudo de estabilidade</t>
  </si>
  <si>
    <t>Avaliação de resultados de estudo de estabilidade</t>
  </si>
  <si>
    <t>Alinhamentos com especialista de estudo de estabilidade</t>
  </si>
  <si>
    <t>Reunião com a consultoria DSM</t>
  </si>
  <si>
    <t>Reunião com a consultoria DSM - revisão de contrato</t>
  </si>
  <si>
    <t>Desenvolvimento de novos laboratórios</t>
  </si>
  <si>
    <t>Racional de desnevolvimento de mix Retprt ajustado</t>
  </si>
  <si>
    <t>Apresentação para diretoria do novo mix Retort</t>
  </si>
  <si>
    <t>Pesquisa de novas MP e fornecedores</t>
  </si>
  <si>
    <t>Desenvolvimento de formulação</t>
  </si>
  <si>
    <t>Definir estratégia de Trophic Standard</t>
  </si>
  <si>
    <t>Alinhamento para densenvolvimento de novos SKU / peso líquido</t>
  </si>
  <si>
    <t>Racional de desnevolvimento de mix infantil</t>
  </si>
  <si>
    <t>desenvolvimento de novo mix</t>
  </si>
  <si>
    <t>Reunião com fornecedor - desenvolvimento de embalagem</t>
  </si>
  <si>
    <t>Teste Embrapa/RJ</t>
  </si>
  <si>
    <t>Avaliação de testes Embrapa/RJ</t>
  </si>
  <si>
    <t>reunião com a diretoria</t>
  </si>
  <si>
    <t>Alinhamento para produção de lançamento de sachê</t>
  </si>
  <si>
    <t>Definição de novos modelos de especificação técnica de matéria-prima</t>
  </si>
  <si>
    <t>Reunião com a diretoria</t>
  </si>
  <si>
    <t>Reunião com fornecedor - matéria-prima inovadora</t>
  </si>
  <si>
    <t>Reunião com equipe de Supply</t>
  </si>
  <si>
    <t>Reunião de status de projetos</t>
  </si>
  <si>
    <t>Acompanhamento de resultados pós produção em copacker Castrolanda</t>
  </si>
  <si>
    <t>Reunião com fornecedor Alibra</t>
  </si>
  <si>
    <t>Apresentação de resultados dos testes realizados</t>
  </si>
  <si>
    <t>Automatização de Instrução de fabricação</t>
  </si>
  <si>
    <t>Discussão de metodologia de aminograma</t>
  </si>
  <si>
    <t>Apresentação de softwares por TI</t>
  </si>
  <si>
    <t>Reunião com consultor</t>
  </si>
  <si>
    <t>Reunião de implementação de FSSC 22000</t>
  </si>
  <si>
    <t>Discussão de metodologia de aminograma com fornecedor Dupont</t>
  </si>
  <si>
    <t>Apresentação de resultados de aplicação de novo estabilizante</t>
  </si>
  <si>
    <t>Reunião bimestral da diretoria</t>
  </si>
  <si>
    <t>Reunião de alinhamento de novos projetos</t>
  </si>
  <si>
    <t>Reunião com consultor analítico de Estudo de Estabilidade</t>
  </si>
  <si>
    <t>Discussão de versão 5.1 SGQ</t>
  </si>
  <si>
    <t>FSSC 22000 - implementação</t>
  </si>
  <si>
    <t>Reunião com equipe de TI e Fiscal</t>
  </si>
  <si>
    <t>Reunião com diretoria</t>
  </si>
  <si>
    <t>Reunião Kick-off Artesanal</t>
  </si>
  <si>
    <t>Avaliação analítica de resultados de análises</t>
  </si>
  <si>
    <t>Apresentação de resultados de EE - Bemmax</t>
  </si>
  <si>
    <t>Apresentação de desenvolvimento de produto, e análise sensorial</t>
  </si>
  <si>
    <t>Apresentação de participação de congresso Brain</t>
  </si>
  <si>
    <t>Reunião com copacker - Castrolanda</t>
  </si>
  <si>
    <t>Reunião com fornecedor de embalagem</t>
  </si>
  <si>
    <t>Marcella Malucelli Baltazar</t>
  </si>
  <si>
    <t>Teste de N2 com enertizadora da Brasilata</t>
  </si>
  <si>
    <t>Enclausuramento da envasadora para teste de nitrogenio - manutenção</t>
  </si>
  <si>
    <t>Acompanhamento projeto da balança na linha de produção</t>
  </si>
  <si>
    <t>Acompanhamento limpeza e liberação de linha para produção</t>
  </si>
  <si>
    <t>Acompanhamento teste de envase Bemmax 350g</t>
  </si>
  <si>
    <t>Envase Instant Clear</t>
  </si>
  <si>
    <t>Envase Bemmax 350g</t>
  </si>
  <si>
    <t>Envase Instanth Clear</t>
  </si>
  <si>
    <t>Higienização e desmontagem sacheteira</t>
  </si>
  <si>
    <t>Discussão</t>
  </si>
  <si>
    <t>Produção Clear</t>
  </si>
  <si>
    <t>mistura e envase com MPC no Immax</t>
  </si>
  <si>
    <t>Conferência batchs</t>
  </si>
  <si>
    <t>Produção enterfiber com nova polidextrose</t>
  </si>
  <si>
    <t>Acompanhamento pesagem batchs Geiger</t>
  </si>
  <si>
    <t>Teste de envase Geiger</t>
  </si>
  <si>
    <t>Produção 1 bin immax</t>
  </si>
  <si>
    <t>Teste envase pote 2kg</t>
  </si>
  <si>
    <t>Teste rótulo pote 2kg</t>
  </si>
  <si>
    <t>Marianne Stigar</t>
  </si>
  <si>
    <t>Preparação de documentação</t>
  </si>
  <si>
    <t>alinhamento técnico</t>
  </si>
  <si>
    <t>alinhamento testes</t>
  </si>
  <si>
    <t>Tahuany Leite</t>
  </si>
  <si>
    <t>Desenvolvimento de material de comunicação</t>
  </si>
  <si>
    <t>Aprovação material de comunicação</t>
  </si>
  <si>
    <t>Atualização de embalagem</t>
  </si>
  <si>
    <t>Aprovação peças de comunicação</t>
  </si>
  <si>
    <t>Preparação webinar</t>
  </si>
  <si>
    <t>Desenvolvimento material de comunicação estudos</t>
  </si>
  <si>
    <t>Webinar</t>
  </si>
  <si>
    <t>Atualização de material internacional</t>
  </si>
  <si>
    <t>Atualização de embalagem (Sachê)</t>
  </si>
  <si>
    <t>Atualização de embalagem display</t>
  </si>
  <si>
    <t>Reunião de planejamento de criação</t>
  </si>
  <si>
    <t>Reunião de planejamento com diretoria</t>
  </si>
  <si>
    <t>Reunião de planejamento entre áreas</t>
  </si>
  <si>
    <t>Aprovação de peças de comunicação</t>
  </si>
  <si>
    <t>Reunião de planejamento de ajustes para comunicação</t>
  </si>
  <si>
    <t>Aprovação de novo rótulo</t>
  </si>
  <si>
    <t>Aprovação de teste de cor do rótulo</t>
  </si>
  <si>
    <t>Ajuste de rótulo</t>
  </si>
  <si>
    <t>Atualização de site</t>
  </si>
  <si>
    <t>Desenvolvimento e criação de e-mails de comunicação</t>
  </si>
  <si>
    <t>Planejamento de ação de comunicação</t>
  </si>
  <si>
    <t>Aprovação de post de rede social</t>
  </si>
  <si>
    <t>liberação de arte</t>
  </si>
  <si>
    <t>Aprovação de arte com fornecedor</t>
  </si>
  <si>
    <t>Liberação de arte para produção</t>
  </si>
  <si>
    <t>Desenvolvimento de material de divulgação online</t>
  </si>
  <si>
    <t>Aprovação de material de divulgação online</t>
  </si>
  <si>
    <t>Ação de divulgação de amostras</t>
  </si>
  <si>
    <t>Aprovação de material de marketing digital</t>
  </si>
  <si>
    <t>Aprovação de material de comunicação</t>
  </si>
  <si>
    <t>Desenvolvimento de briefing de embalagem</t>
  </si>
  <si>
    <t>Reunião com agência sobre briefing de embalagem</t>
  </si>
  <si>
    <t>Debrifieng sobre desenvolvimento de embalagem</t>
  </si>
  <si>
    <t>Revisão de diretriz de rotulagem</t>
  </si>
  <si>
    <t>Alteração de rotulagem</t>
  </si>
  <si>
    <t>Liberação de embalagem</t>
  </si>
  <si>
    <t>Aprovação de materiais de comunicação</t>
  </si>
  <si>
    <t>Conferência final com fornecedor</t>
  </si>
  <si>
    <t>Envio de materiais de comunicação</t>
  </si>
  <si>
    <t>Conferência de arte e embalagem</t>
  </si>
  <si>
    <t>conferência de arte e embalagem</t>
  </si>
  <si>
    <t>conferência e liberação de embalagem</t>
  </si>
  <si>
    <t>Reunião de decisão de comunicação</t>
  </si>
  <si>
    <t>Aprovação e liberação ao fornecedor</t>
  </si>
  <si>
    <t>Briefing de desenvolvimento de embalagem</t>
  </si>
  <si>
    <t>Reunião com fornecedor e agência sobre arte de embalagem</t>
  </si>
  <si>
    <t>Desenvolvimento de arte</t>
  </si>
  <si>
    <t>Revisão de material de marketing</t>
  </si>
  <si>
    <t>Desenvolvimento de briefing de comunicação</t>
  </si>
  <si>
    <t>Liberação de arte de rótulo</t>
  </si>
  <si>
    <t>revisão de material técnico</t>
  </si>
  <si>
    <t>Alinhamento para desenvolvimento de caixa de expedição</t>
  </si>
  <si>
    <t>Desenvolvimento de caixa de expedição</t>
  </si>
  <si>
    <t>Briefing de desenvolvimento</t>
  </si>
  <si>
    <t>Revisão de informações de rótulo</t>
  </si>
  <si>
    <t>revisão de rótulo</t>
  </si>
  <si>
    <t>Liberação de rótulo</t>
  </si>
  <si>
    <t>Desenvolvimento de comunicação</t>
  </si>
  <si>
    <t>Ana Paula Celes</t>
  </si>
  <si>
    <t>Direcionamento de estudo de estabilidade de vitaminas e minerais</t>
  </si>
  <si>
    <t>Alinhamento global da aplicabilidade e estudos das vit e min</t>
  </si>
  <si>
    <t>Monitoramento de sistema de gaseamento</t>
  </si>
  <si>
    <t>Realinhamentos da com posição e definição das ações de produto</t>
  </si>
  <si>
    <t>Direcionamento do processo produtivo</t>
  </si>
  <si>
    <t>Realinhamento da comunicção de inovação ao mercado</t>
  </si>
  <si>
    <t>Diretrizes do processo de patente</t>
  </si>
  <si>
    <t>Discussão de linhas de pesquisa clinica</t>
  </si>
  <si>
    <t>Planejamento das embalagens</t>
  </si>
  <si>
    <t>Direcionamento global de todo sitema de tratamento termico</t>
  </si>
  <si>
    <t>Diretrizes e cmposição micronutrientes das fórmulas</t>
  </si>
  <si>
    <t>Definição do conceito de inovação e nutrientes da formula</t>
  </si>
  <si>
    <t>Análise e discussão da comunicção de inovação ao mercado</t>
  </si>
  <si>
    <t>Planejamento  para teste piloto</t>
  </si>
  <si>
    <t>Atualizações do projeto</t>
  </si>
  <si>
    <t>Fechamento de diretrizes do teste piloto</t>
  </si>
  <si>
    <t>Execução de tetes em planta piloto</t>
  </si>
  <si>
    <t>Monitoramento dos resultados de testes FQ</t>
  </si>
  <si>
    <t>Discuissão nutricional da linha de produtos</t>
  </si>
  <si>
    <t>Definição das ações de produto</t>
  </si>
  <si>
    <t>Reestudo de estruturas de embalagens</t>
  </si>
  <si>
    <t>Validação de teste</t>
  </si>
  <si>
    <t>Discussão de linhas de estudos de casos</t>
  </si>
  <si>
    <t>Validação do aceite de publicação em periodico Nutrition and Cancer</t>
  </si>
  <si>
    <t>Análise de viabilidade de teste piloto DSM</t>
  </si>
  <si>
    <t>Análise de processo industrial:recravadeiras</t>
  </si>
  <si>
    <t>Análise de temas cientificos</t>
  </si>
  <si>
    <t>Monitoramento de material de comunicacão</t>
  </si>
  <si>
    <t>Discussão de performance em suplementos</t>
  </si>
  <si>
    <t>Realinhamentos  e definição das ações de produto</t>
  </si>
  <si>
    <t>Reanálise e ajustes de comunicação de mercado</t>
  </si>
  <si>
    <t>Alinhamentos das diretrizes regulatória</t>
  </si>
  <si>
    <t>Reajustes dos processos de PE</t>
  </si>
  <si>
    <t>Estudo de novas estruturas de embalagens</t>
  </si>
  <si>
    <t>Finalização do processo de patente</t>
  </si>
  <si>
    <t>Alinhamento para comunicação dos beneficios para mercado internacional</t>
  </si>
  <si>
    <t>Investigação sobre homogeneidade de mix vitaminas</t>
  </si>
  <si>
    <t>Estudo de estruturas de embalagens e bicos</t>
  </si>
  <si>
    <t>Análise e monitoramento dos primeiros resultados  obtidos para 3 fórmulas retort</t>
  </si>
  <si>
    <t>Análise de processo industrail em terceiros</t>
  </si>
  <si>
    <t>Ajustes em processos de simulação de custos e produto</t>
  </si>
  <si>
    <t>Discussão estratégica de correlatos</t>
  </si>
  <si>
    <t>Análise de custos e simulação de preço de venda</t>
  </si>
  <si>
    <t>Discussão de fórmula e possiveis ajustes por conta de sensorial</t>
  </si>
  <si>
    <t>Reanálise e ajustes de comunicação de mercado cientifico</t>
  </si>
  <si>
    <t>Reanálise e ajustes de comunicação de mercado regulatório</t>
  </si>
  <si>
    <t>Direcionamento das atividades</t>
  </si>
  <si>
    <t>Continuação dos direcionamentos das atividades</t>
  </si>
  <si>
    <t>Realinhamento e novos direcionais dos projetos para a equipe por conta da COVID</t>
  </si>
  <si>
    <t>Realinhamento de uso de ferramentas para desenvolvimento de produtos</t>
  </si>
  <si>
    <t>Continuação do realinhamento e novos direcionais dos projetos para a equipe por conta da COVID</t>
  </si>
  <si>
    <t>Discussão dos resukltados de EE e composição de IN</t>
  </si>
  <si>
    <t>Discussão e alinhamento de direcionais nutricionais para a nova linha de produtos</t>
  </si>
  <si>
    <t>Discussão  de pesquisa clinica</t>
  </si>
  <si>
    <t>Continuação de análise de processo industrial</t>
  </si>
  <si>
    <t>Continuação de análise de processo industrial e discussão de fornecedores de embalagens</t>
  </si>
  <si>
    <t>Discussão  de protocolo de pesquisa clinica</t>
  </si>
  <si>
    <t>Diretrizes de melhorias em processo UHT/Manchas escuras</t>
  </si>
  <si>
    <t>Ajustes para os procedimentos, controle e manutenção de MF</t>
  </si>
  <si>
    <t>Direcionais dos projetos prioritários e inovação</t>
  </si>
  <si>
    <t>discussão de consultoria regulatória internacional</t>
  </si>
  <si>
    <t>validação de consultoria regulatória internacional</t>
  </si>
  <si>
    <t>Ajustes para os procedimentos, controle e manutenção de MF-In e EE</t>
  </si>
  <si>
    <t>Apresentação, discussão e definição de targets de micronutrientes adulto</t>
  </si>
  <si>
    <t>Análise e construção da IN Trophic EP</t>
  </si>
  <si>
    <t>Direcionamento para o EE do Energyzip M</t>
  </si>
  <si>
    <t>Discussão dos resultados da pesquisa de mercado para o direcional nutricional de Trophic Junior liq</t>
  </si>
  <si>
    <t>Fechamento das 3 versões para marca guarda chuva Energyzip junior (1.0-1.5-1.5cF)</t>
  </si>
  <si>
    <t>Estudos de embalagens lata e definição de teste piloto</t>
  </si>
  <si>
    <t>Discussão das alterações de embalagens e portifólio</t>
  </si>
  <si>
    <t>Monitoramento do EE e análise de resultados</t>
  </si>
  <si>
    <t>Estabelecimento de estartégias para parecria com universidade</t>
  </si>
  <si>
    <t>Definição de novas estruturas de embalagens/sache</t>
  </si>
  <si>
    <t>Fechamento dos ciclos de comunicação junto aos PDVs</t>
  </si>
  <si>
    <t>Análise e validação de conteudo e novos direcionais de comunicação</t>
  </si>
  <si>
    <t>Finalização das análises de teste piloto em autoclave vibratório</t>
  </si>
  <si>
    <t>Validação de embalagens e correlatos para compras</t>
  </si>
  <si>
    <t>Construção do protocolo de pC</t>
  </si>
  <si>
    <t>Redefinição da formula nutriconal</t>
  </si>
  <si>
    <t>Ajustes com a China deconceitos nutricionais</t>
  </si>
  <si>
    <t>Finalização da redefinição da formula nutriconal</t>
  </si>
  <si>
    <t>Discussão estratégica de direcionais nutricionais</t>
  </si>
  <si>
    <t>Análise de temas cientificos: round de discussão</t>
  </si>
  <si>
    <t>Discussão estratégica de direcionais nutricionais do Hdmax 1.5</t>
  </si>
  <si>
    <t>Planejamento de novas atividades relacionadas ao relacionamento ao consumidor</t>
  </si>
  <si>
    <t>Direcionamento dos Ees em curso e análise de Ts</t>
  </si>
  <si>
    <t>Continuidade dos direcionamento dos Ees em curso e análise de Ts</t>
  </si>
  <si>
    <t>Levantamento e decisão de consultoria</t>
  </si>
  <si>
    <t>Direcionamento de uso em pessoas saudáveis</t>
  </si>
  <si>
    <t>Discussão de parceria para PC</t>
  </si>
  <si>
    <t>Análise e aprovação de investimento em PC</t>
  </si>
  <si>
    <t>Discussão de ajustes em IN</t>
  </si>
  <si>
    <t>Estudos de reologias</t>
  </si>
  <si>
    <t>Monitoramento de desenvolvimento de embalagens e aquisição de equipamentos</t>
  </si>
  <si>
    <t>Diretrizes para embalagens e bicos-Ferropack</t>
  </si>
  <si>
    <t>Construção do painel de modalidades de testes</t>
  </si>
  <si>
    <t>Estudo e análise de embalagens flexiveis</t>
  </si>
  <si>
    <t>Continuidade dos estudo e análise de embalagens flexiveis</t>
  </si>
  <si>
    <t>Direcionamento de produto</t>
  </si>
  <si>
    <t>Monitoramento e discussão dos direcionais para o produto</t>
  </si>
  <si>
    <t>Direcionais ao processo de produto e EE</t>
  </si>
  <si>
    <t>Direcionais e decisão de investimentos</t>
  </si>
  <si>
    <t>definição e tratamento para nova embagaem: dose unica</t>
  </si>
  <si>
    <t>Apresentação final projeto dose unica</t>
  </si>
  <si>
    <t>Diretrizes de novas embalagens: Vulcano B</t>
  </si>
  <si>
    <t>Análise individual Vulcano B</t>
  </si>
  <si>
    <t>Direcionais para EEs</t>
  </si>
  <si>
    <t>Estudo de fórmula</t>
  </si>
  <si>
    <t>Estudo de mix  fórmula</t>
  </si>
  <si>
    <t>Estudo de fórmula plena</t>
  </si>
  <si>
    <t>Pesquisa basica, alinhamentos</t>
  </si>
  <si>
    <t>Pesquisa básica</t>
  </si>
  <si>
    <t>Apresentação das estabilidades de SF</t>
  </si>
  <si>
    <t>desenvolvimento de Novo mix retort</t>
  </si>
  <si>
    <t>Validação das formulas de teste retort (check list)</t>
  </si>
  <si>
    <t>Discussão de ajustes de embalagens</t>
  </si>
  <si>
    <t>Avaliação de desenvolvimento mix</t>
  </si>
  <si>
    <t>Acompanhamento de teste piloto</t>
  </si>
  <si>
    <t>Definição das ações de cehck list autoclave</t>
  </si>
  <si>
    <t>Fechamento e análise teste Embrapa</t>
  </si>
  <si>
    <t>Round sobre discussão recnica autoclave surdry</t>
  </si>
  <si>
    <t>Mix da fórmula Retort e validações/análises</t>
  </si>
  <si>
    <t>Análise e discussão dos resultados preliminares de T6AC</t>
  </si>
  <si>
    <t>Definição das frentes de PC</t>
  </si>
  <si>
    <t>Análise e discussão do painel de dietas e resultados FQ</t>
  </si>
  <si>
    <t>Definição das ações para fechar o aminograma</t>
  </si>
  <si>
    <t>Ajustes de despesas relacionadas ao projeto</t>
  </si>
  <si>
    <t>Discussão do painel dos estudos de produção Castrolanda</t>
  </si>
  <si>
    <t>cont definição das ações para fechar o aminograma</t>
  </si>
  <si>
    <t>Ajustes de protocolo de Pesquisa básica</t>
  </si>
  <si>
    <t>Discussão dos resultados de agregação de aditivo</t>
  </si>
  <si>
    <t>Cont ajustes de despesas relacionadas ao projeto</t>
  </si>
  <si>
    <t>pesquisa basica</t>
  </si>
  <si>
    <t>análise de resultados de testes bags</t>
  </si>
  <si>
    <t>continuação do item acima e análise das atividades DSM/EE</t>
  </si>
  <si>
    <t>análise de eenrgyzip B e C para processo Anvisa</t>
  </si>
  <si>
    <t>discussão dos dados do produto em EE</t>
  </si>
  <si>
    <t>análise de respaldo para registro</t>
  </si>
  <si>
    <t>Kick-off do projeto</t>
  </si>
  <si>
    <t>Esboço de contrato PC</t>
  </si>
  <si>
    <t>Estudo de produção in house</t>
  </si>
  <si>
    <t>Alinhamento de IN</t>
  </si>
  <si>
    <t>Análise de T6</t>
  </si>
  <si>
    <t>Análise Sensorial: versões de formula</t>
  </si>
  <si>
    <t>Alinhamentos do Congresso Brain</t>
  </si>
  <si>
    <t>Análise de alterações de processo UHT</t>
  </si>
  <si>
    <t>Análise de resultado do teste de envase Jupack</t>
  </si>
  <si>
    <t>Discussão respaldo Immax: linha de desenvolvimento</t>
  </si>
  <si>
    <t>Discussão dos resultados e compêndi aminograma PIS</t>
  </si>
  <si>
    <t>Inovações da FI</t>
  </si>
  <si>
    <t>Definições de ações do projeto Jumbo e sache vacuo</t>
  </si>
  <si>
    <t>Análise de atividades de P&amp;D</t>
  </si>
  <si>
    <t>Ana Claudia Zanini</t>
  </si>
  <si>
    <t>Desenvolvimento de protocolo de pesquisa clinica</t>
  </si>
  <si>
    <t>Pesquisa sobre profissionais para estudo de caso</t>
  </si>
  <si>
    <t>Pesquisa e desenvolvimento de novas fórmulas</t>
  </si>
  <si>
    <t>Treinamento para equipe externa</t>
  </si>
  <si>
    <t>Pesquisa basica para produção de material cientifico</t>
  </si>
  <si>
    <t>Pesquisa e desenvolvimento de nova fórmula</t>
  </si>
  <si>
    <t>Levantamento científico em congresso nacional de nutrição clinica</t>
  </si>
  <si>
    <t>Pesquisa para desenvolvimento de nova fórmula</t>
  </si>
  <si>
    <t>Pesquisa básica para desenvolvimento de protocolo de pesquisa clinica</t>
  </si>
  <si>
    <t>Desenvolvimento de rede de contatos profissionais, compartilhamento de material cientifico</t>
  </si>
  <si>
    <t>Camila Mendes Pereira</t>
  </si>
  <si>
    <t>Relatório testes PA Turquia</t>
  </si>
  <si>
    <t>Time line DSM</t>
  </si>
  <si>
    <t>Inserção de produtos na estufa</t>
  </si>
  <si>
    <t>Alinhamento com laboratório</t>
  </si>
  <si>
    <t>Discussão técnica testes</t>
  </si>
  <si>
    <t>Atualização sistema</t>
  </si>
  <si>
    <t>Análise de nova MP</t>
  </si>
  <si>
    <t>Alinhamento técnico sobre análises com o laboratório</t>
  </si>
  <si>
    <t>Envio amostras para análise</t>
  </si>
  <si>
    <t>Discussão técnica sobre análises com DSM</t>
  </si>
  <si>
    <t>Análise de resultados Nutrison Energy</t>
  </si>
  <si>
    <t>Solicitação de amostras para EE</t>
  </si>
  <si>
    <t>Discussão técnica sobre novas MPs</t>
  </si>
  <si>
    <t>Análise de resultados EE</t>
  </si>
  <si>
    <t>Discussão técnica CI</t>
  </si>
  <si>
    <t>Compilado laboratório CI</t>
  </si>
  <si>
    <t>Alinhamento técnico análises EE laboratório e DSM</t>
  </si>
  <si>
    <t>Envio de amostras para análise</t>
  </si>
  <si>
    <t>Revisão de laudos</t>
  </si>
  <si>
    <t>Visita ao fornecedor de novas estufas</t>
  </si>
  <si>
    <t>Atualização declaração Shelf Life</t>
  </si>
  <si>
    <t>Discussão técnica fornecedor MP</t>
  </si>
  <si>
    <t>Análise físico química</t>
  </si>
  <si>
    <t>Análises físico-químicas EE Turquia T0</t>
  </si>
  <si>
    <t>Alinhamento área técnica</t>
  </si>
  <si>
    <t>Discussão técnica fornecedor</t>
  </si>
  <si>
    <t>Alinhamento técnico fornecedor</t>
  </si>
  <si>
    <t>Compilado resultados EE Turquia</t>
  </si>
  <si>
    <t>Teste de bancada nova MP</t>
  </si>
  <si>
    <t>Envio de amostras para análise T0</t>
  </si>
  <si>
    <t>Análises físico-químicas T0</t>
  </si>
  <si>
    <t>Análise FQ T0</t>
  </si>
  <si>
    <t>Discussão técnica com fornecedor</t>
  </si>
  <si>
    <t>Discussão técnica cronograma</t>
  </si>
  <si>
    <t>Envio de amostra para análise T3A</t>
  </si>
  <si>
    <t>Avaliação resultados EE</t>
  </si>
  <si>
    <t>Contato com laboratório externo</t>
  </si>
  <si>
    <t>Solicitações/ envio de amostras laboratório externo</t>
  </si>
  <si>
    <t>Compilado estoque produtos em EE - COMEX</t>
  </si>
  <si>
    <t>Instrução GQ inserção de produtos estufa</t>
  </si>
  <si>
    <t>Solicitações de análise Fluor e Betacaroteno</t>
  </si>
  <si>
    <t>Contato laboratórios externos para correção de laudo</t>
  </si>
  <si>
    <t>Imput de resultados InstanTH NEO EEALD</t>
  </si>
  <si>
    <t>Atualização de Master File</t>
  </si>
  <si>
    <t>Solicitação de análise microbiologica</t>
  </si>
  <si>
    <t>Contato com a trasnportadora de amostras</t>
  </si>
  <si>
    <t>Imput resultados perfil lipídico T0</t>
  </si>
  <si>
    <t>Imput resultados macronutrientes T0</t>
  </si>
  <si>
    <t>Revisão imput de resultados perfil lipídico</t>
  </si>
  <si>
    <t>Compilado locais onde são realizadas as análises</t>
  </si>
  <si>
    <t>Conferência EEALD Retort IG, HN e NN</t>
  </si>
  <si>
    <t>Conferência EEALD Bemmax</t>
  </si>
  <si>
    <t>Discussão técnica sobre estrutura EEALD e resultados</t>
  </si>
  <si>
    <t>POP envio de amostras</t>
  </si>
  <si>
    <t>Imput resultados micronutrientes T3A</t>
  </si>
  <si>
    <t>Imput resultados micronutrientes T6A</t>
  </si>
  <si>
    <t>Imput resultado microbiologia Bemmax e solicitação de reanálise</t>
  </si>
  <si>
    <t>Alinhamento com fornecedor sobre análises e resultados</t>
  </si>
  <si>
    <t>Imput resultados de vitaminas e minerais Bemmax</t>
  </si>
  <si>
    <t>Contato laboratório e transportadora sobre envio de amostras</t>
  </si>
  <si>
    <t>Atualização planilha local onde são realizadas as análises</t>
  </si>
  <si>
    <t>Contato transportadora e laboratório</t>
  </si>
  <si>
    <t>Avaliação relatório calibração estufas</t>
  </si>
  <si>
    <t>Alinhamento envio de amostras</t>
  </si>
  <si>
    <t>Correção resultados EEALD InstanTH NEO</t>
  </si>
  <si>
    <t>Imput resultado de betacaroteno Trophic EP</t>
  </si>
  <si>
    <t>Verificação de limites InstanTH NEO</t>
  </si>
  <si>
    <t>Compra de sachês para conferência de O2</t>
  </si>
  <si>
    <t>Levantamento e solicitação NF envio de amostras</t>
  </si>
  <si>
    <t>Cadastro de laboratórios no sistema</t>
  </si>
  <si>
    <t>Conferência documentação Bemmax e laudos</t>
  </si>
  <si>
    <t>Conferência NF de análises realizadas</t>
  </si>
  <si>
    <t>Solicitações e envio de amostra para análise Energyzip 1.0 T3</t>
  </si>
  <si>
    <t>Solicitações e envio de amostra para análise Hdmax 2.0</t>
  </si>
  <si>
    <t>Teste de bancada TCM Alibra</t>
  </si>
  <si>
    <t>Medição oxigênio sachê</t>
  </si>
  <si>
    <t>Formulário reanálise PL Bemmax</t>
  </si>
  <si>
    <t>Solicitação envio amostra Bemmax GQ</t>
  </si>
  <si>
    <t>Alinhamento com fornecedor</t>
  </si>
  <si>
    <t>Solicitação Bemmax PL e B12</t>
  </si>
  <si>
    <t>Abertura cronograma</t>
  </si>
  <si>
    <t>Envio amostras Energyzip 1.0 análise T3LD</t>
  </si>
  <si>
    <t>Envio amostras Trophic Basic pó análise T18</t>
  </si>
  <si>
    <t>Análise físico-química Hdmax 2.0 CNA e R</t>
  </si>
  <si>
    <t>Análise físico química Trophic EP T3A e Energyzip 1.0 T3A</t>
  </si>
  <si>
    <t>Relatório TCM Alibra</t>
  </si>
  <si>
    <t>Apresentação NIZO</t>
  </si>
  <si>
    <t>Contato laboratório sobre inclusão de análise e atraso de resultados</t>
  </si>
  <si>
    <t>Criação de estrutura Instanth Clear VPC e VPC R</t>
  </si>
  <si>
    <t>Imput resultados Fluor Hdmax T6A e EP T3A</t>
  </si>
  <si>
    <t>Imput resultados FQ EP, Energyzip 1.0, Hdmax 2.0</t>
  </si>
  <si>
    <t>Imput resultado fosfatidilserina</t>
  </si>
  <si>
    <t>Solicitações de análise Energyzip morango, chocolate, Trophic Basic, Fiber e 1.5</t>
  </si>
  <si>
    <t>Solicitação de análise Diamax lactose</t>
  </si>
  <si>
    <t>Relação incertezas de análise Eurofins</t>
  </si>
  <si>
    <t>Conferência laudos retificados com resultado de alfa-tocoferol</t>
  </si>
  <si>
    <t>Análise FQ Basic, 1.5, Fiber, Energyzip morango e chocolate T3</t>
  </si>
  <si>
    <t>Envio Basic, 1.5, Fiber, Energyzip morango e chocolate para análise de T3</t>
  </si>
  <si>
    <t>Aferição teor de Oxigênio InstahNEO</t>
  </si>
  <si>
    <t>Envio Immax T0 para análise</t>
  </si>
  <si>
    <t>Atualização EE Enterfiber</t>
  </si>
  <si>
    <t>Atualização de resultados  Energyzip 1.0 T3A</t>
  </si>
  <si>
    <t>Conferência laudo óleos Energyzip 1.0 e Basic</t>
  </si>
  <si>
    <t>Alinhamento fornecedor sobre análises e resultados</t>
  </si>
  <si>
    <t>Avaliação laudo lactose Diamax</t>
  </si>
  <si>
    <t>Envio Carboch T6A para análise</t>
  </si>
  <si>
    <t>Envio ProteinPT T6A para análise</t>
  </si>
  <si>
    <t>FQ Immax T0</t>
  </si>
  <si>
    <t>FQ Trophic Basic T18LD</t>
  </si>
  <si>
    <t>Osmolalidade Bemmax</t>
  </si>
  <si>
    <t>Webinar estabilidade vitaminas</t>
  </si>
  <si>
    <t>Atualização EEALD Enterfiber com administração</t>
  </si>
  <si>
    <t>Imput resultados micronutrientes Hdmax 2.0 R T0</t>
  </si>
  <si>
    <t>Imput resultados micronutrientes Trophic 1.5 T3A e T3LD</t>
  </si>
  <si>
    <t>Imput resultados micronutrientes Energyzip morango T3A</t>
  </si>
  <si>
    <t>Imput resultados micronutrientes Energyzip chocolate T3A</t>
  </si>
  <si>
    <t>Imput resultados micronutrientes Energyzip 1.0</t>
  </si>
  <si>
    <t>Discussão técnica alinhamento mensal DSM</t>
  </si>
  <si>
    <t>Conferência NF análises realizadas</t>
  </si>
  <si>
    <t>Imput resultados micronutrientes Trophic Basic T3A</t>
  </si>
  <si>
    <t>Imput resultados micronutrientes Trophic Fiber T3A</t>
  </si>
  <si>
    <t>Imput resultados micronutrientes Trophic EP T3LD</t>
  </si>
  <si>
    <t>Imput resultados Hdmax 2.0 CNA T0</t>
  </si>
  <si>
    <t>Imput resultados Trophic Basic T18LD</t>
  </si>
  <si>
    <t>Apresentação sobre tendências de mercado</t>
  </si>
  <si>
    <t>Imput resultados macronutrientes Trophic Basic T3A</t>
  </si>
  <si>
    <t>Imput resultados macronutrientes Trophic Fiber T3A</t>
  </si>
  <si>
    <t>Imput resultados macronutrientes Energyzip morango</t>
  </si>
  <si>
    <t>Imput resultados macronutrientes Energyzip chocolate T3A</t>
  </si>
  <si>
    <t>Imput resultados macronutrientes Trophic 1.5 T3A</t>
  </si>
  <si>
    <t>Imput resultado ProteinPT T6A</t>
  </si>
  <si>
    <t>Imput resultado Carboch T6A</t>
  </si>
  <si>
    <t>Imput resultado carboidrato e valor calórico Trophic Fiber T3A</t>
  </si>
  <si>
    <t>Envio Retort T3A e LD para análise</t>
  </si>
  <si>
    <t>Conferência imput resultados retificados de vitamina E</t>
  </si>
  <si>
    <t>Discussão técnica sobre IN</t>
  </si>
  <si>
    <t>Teste de bancada estabilizantes Vogler e Dupont</t>
  </si>
  <si>
    <t>Conferência NF envio de amostras</t>
  </si>
  <si>
    <t>Imput resultado PL Trophic EP T3A</t>
  </si>
  <si>
    <t>Atualização planilha metodologias de análise</t>
  </si>
  <si>
    <t>Webinar formas vitamínicas DSM</t>
  </si>
  <si>
    <t>Alinhamento EE</t>
  </si>
  <si>
    <t>Abertura EEALD Immax</t>
  </si>
  <si>
    <t>Apresentação estudo micronutrientes Científico</t>
  </si>
  <si>
    <t>Imput resultados macronutrientes Immax T0</t>
  </si>
  <si>
    <t>Relatório Webinar formas vitamínicas</t>
  </si>
  <si>
    <t>Solicitações de análise Trophic EP T6</t>
  </si>
  <si>
    <t>Solicitações de análise Hdmax 1.5kcal T9LD</t>
  </si>
  <si>
    <t>Imput resultados micronutrientes Immax</t>
  </si>
  <si>
    <t>Avaliação viscosidade Trophic EP SL</t>
  </si>
  <si>
    <t>Envio Energyzip morango T12 SL para análise de PL Ital</t>
  </si>
  <si>
    <t>TB estabilizante Dupont</t>
  </si>
  <si>
    <t>Discussão técnica mix de vitaminas e minerais</t>
  </si>
  <si>
    <t>Discussão cronograma</t>
  </si>
  <si>
    <t>Solicitação e envio para análise Hdmax 2.0 T3 CNa e R</t>
  </si>
  <si>
    <t>TB avaliação oxidação lipídica</t>
  </si>
  <si>
    <t>Avaliação sensorial Hdmax 2.0 Cna e R T3A e LD</t>
  </si>
  <si>
    <t>Webinar Dupont</t>
  </si>
  <si>
    <t>Respaldo Immax sem sabor</t>
  </si>
  <si>
    <t>Estrutura Humalin 45g sem Display e selo</t>
  </si>
  <si>
    <t>Solicitação reanálise Trophic EP T3A</t>
  </si>
  <si>
    <t>Alinhamento interno sachês</t>
  </si>
  <si>
    <t>Cronograma sachês</t>
  </si>
  <si>
    <t>Apresentação benefícios da soja - população sênior</t>
  </si>
  <si>
    <t>Alinhamento projetos prioritários em curso</t>
  </si>
  <si>
    <t>Solicitação de análise Energyzip baunilha</t>
  </si>
  <si>
    <t>TB estabilizante Dupont - Lactarin</t>
  </si>
  <si>
    <t>TB estabilizante Dupont - Xanthan BEV</t>
  </si>
  <si>
    <t>Envio Energyzip baunilha para análise T0</t>
  </si>
  <si>
    <t>Avaliação sensorial oxidação lipídica</t>
  </si>
  <si>
    <t>Cronograma Protein Whey</t>
  </si>
  <si>
    <t>Cronograma sachê Carboidrato</t>
  </si>
  <si>
    <t>Alinhamento teste latas recravas</t>
  </si>
  <si>
    <t>Atualização planilha gerenciamento estufas</t>
  </si>
  <si>
    <t>Solicitação e envio para análise Energyzio 1.0 T6</t>
  </si>
  <si>
    <t>Envio Bemmax análise lactose</t>
  </si>
  <si>
    <t>Sensorial sachê carboidrato</t>
  </si>
  <si>
    <t>Avaliação diluição WPI Protein Whey</t>
  </si>
  <si>
    <t>Ajustes cronograma módulos sachês</t>
  </si>
  <si>
    <t>Atualizaçao MF ProteinPT dose 20g</t>
  </si>
  <si>
    <t>Atualizaçao MF Carboch dose 30g</t>
  </si>
  <si>
    <t>Discussão com fornecedor de aromas</t>
  </si>
  <si>
    <t>MF ProteinPT Whey</t>
  </si>
  <si>
    <t>Discussão técnica metodologias de análise China</t>
  </si>
  <si>
    <t>Solicitação de cadastro sachês módulos</t>
  </si>
  <si>
    <t>Envio de amostras sachê carboidrato</t>
  </si>
  <si>
    <t>Cronograma Enterfiber sachê</t>
  </si>
  <si>
    <t>Identificação análises realizada em EE, protocolo China</t>
  </si>
  <si>
    <t>Inserção de resultados ácido fólico Hdmax 2.0 T3 EEALD</t>
  </si>
  <si>
    <t>Inserção de resultado ácido fólico Hdmax 1.5 T9 EEALD</t>
  </si>
  <si>
    <t>Inserção resultado perfil lipídico E. morango SL EEALD</t>
  </si>
  <si>
    <t>Inserção resultados betacarotenoe ácido fólico E. chocolate T3</t>
  </si>
  <si>
    <t>Conferência mix China</t>
  </si>
  <si>
    <t>Alinhamento EEs Ana Paula</t>
  </si>
  <si>
    <t>Solicitação NF envio de amostras</t>
  </si>
  <si>
    <t>Solicitação de análises micronutrientes E. chocolate, Fiber, 1.5 e Basic</t>
  </si>
  <si>
    <t>Solicitação de análise perfil lipídico E. chocolate, Fiber, 1.5 e Basic</t>
  </si>
  <si>
    <t>Solicitação de análise macronutrientes E. chocolate, Fiber, 1.5 e Basic</t>
  </si>
  <si>
    <t>Envio para análise E. chocolate, Fiber, 1.5 e Basic</t>
  </si>
  <si>
    <t>Sensorial Amido modificado</t>
  </si>
  <si>
    <t>Cadastro sachê Neo Suprema</t>
  </si>
  <si>
    <t>Atualização Compliance check</t>
  </si>
  <si>
    <t>Relatório estabilizante Grindsted Xanthan BEV HD</t>
  </si>
  <si>
    <t>Relatório estabilizante LactarinDX2015</t>
  </si>
  <si>
    <t>Alinhamento NF</t>
  </si>
  <si>
    <t>Relatório sachê carboidrato</t>
  </si>
  <si>
    <t>Relatório sensorial sachê de carboidrato</t>
  </si>
  <si>
    <t>Levantamento FT inglês Junior China</t>
  </si>
  <si>
    <t>Solicitação de análise Bemmax marcadores</t>
  </si>
  <si>
    <t>Solicitação de análise E. morango micronutrientes</t>
  </si>
  <si>
    <t>Solicitação de análise E. morango macronutrientes</t>
  </si>
  <si>
    <t>Relatório diluição WPI ProteinPT Whey</t>
  </si>
  <si>
    <t>Retirada da estufa e envio para análise Energyzip morango</t>
  </si>
  <si>
    <t>Retirada da estufa e envio para análise Bemmax</t>
  </si>
  <si>
    <t>Teste de bancada clear em suco de uva</t>
  </si>
  <si>
    <t>Discussão técnica DSM</t>
  </si>
  <si>
    <t>Relatório teste de bancada clear em suco de uva</t>
  </si>
  <si>
    <t>Solicitação FT MP inglês Junior China</t>
  </si>
  <si>
    <t>Conferência mix Junior China</t>
  </si>
  <si>
    <t>Solicitação de análise Hdmax T12LD e InstanTH NEO</t>
  </si>
  <si>
    <t>Envio para análise Hdmax T12LD e InstanTH NEO T6LD</t>
  </si>
  <si>
    <t>Análise sensorial Bemmax T3</t>
  </si>
  <si>
    <t>Análise sensorial InstanTH NEO T6LD</t>
  </si>
  <si>
    <t>Apresentação embalagens</t>
  </si>
  <si>
    <t>Alinhamento DSM EE</t>
  </si>
  <si>
    <t>Solicitação laudo em inglês MP Junior China</t>
  </si>
  <si>
    <t>Atualização MF Carboch sachê</t>
  </si>
  <si>
    <t>Análise sensorial retém NEO</t>
  </si>
  <si>
    <t>Teste oxidação lipídica óleo de soja</t>
  </si>
  <si>
    <t>Retirada da estufa e envio para análise Immax T3A e T3LD</t>
  </si>
  <si>
    <t>Solicitação de análise Immax</t>
  </si>
  <si>
    <t>Acompanhamento pré teste lata recravada</t>
  </si>
  <si>
    <t>Alinhamento fornecedor Óleo de Canola</t>
  </si>
  <si>
    <t>Teste de bancadaTCM</t>
  </si>
  <si>
    <t>Alinhamento EE DSM</t>
  </si>
  <si>
    <t>Solicitação e envio para análise de aminograma Immax T3</t>
  </si>
  <si>
    <t>Solicitação e envio para análise de B12 WPI Provon 292</t>
  </si>
  <si>
    <t>Análise sensorial Humalin sachê T2</t>
  </si>
  <si>
    <t>Atualização planilha Compliance Check</t>
  </si>
  <si>
    <t>Apresentação Estabilizantes</t>
  </si>
  <si>
    <t>Diluição Trophic Basic com estabilizante em refrigeração</t>
  </si>
  <si>
    <t>Sensorial Immax teste lata recravada</t>
  </si>
  <si>
    <t>Sensorial Immax T3</t>
  </si>
  <si>
    <t>Retirada da estufa e sensorial lata recravada com N2</t>
  </si>
  <si>
    <t>Sensorial oxidação óleo de soja</t>
  </si>
  <si>
    <t>Diluição T12LD lata recravada c/ N2</t>
  </si>
  <si>
    <t>Alinhamento análises EE DSM</t>
  </si>
  <si>
    <t>Teste Immax lata recravada com absorvedor de O2</t>
  </si>
  <si>
    <t>Inserção  Immax lata recravada com absorvedor de O2 na estufa</t>
  </si>
  <si>
    <t>Volume final diluição sachê InstanTH NEO</t>
  </si>
  <si>
    <t>Conferência MPs teste Diamax</t>
  </si>
  <si>
    <t>Conferência IN InstanTH NEO (saturadas)</t>
  </si>
  <si>
    <t>Apresentação Anderson EE</t>
  </si>
  <si>
    <t>Solicitação microbiologia Immax lata recravada</t>
  </si>
  <si>
    <t>Levantamento laudos de mix Energyzips em EE</t>
  </si>
  <si>
    <t>Alinhamento teste Protesa</t>
  </si>
  <si>
    <t>Solicitação de análise aminograma Soya 1.5</t>
  </si>
  <si>
    <t>Atualização planilha estufas entrada novos produtos</t>
  </si>
  <si>
    <t>Solicitação FT e laudo MPs Junior China</t>
  </si>
  <si>
    <t>Conferência FT mix Junior China</t>
  </si>
  <si>
    <t>Sensorial T12LD lata recravada c/ N2</t>
  </si>
  <si>
    <t>Envio para análise T12LD lata recravada c/ N2</t>
  </si>
  <si>
    <t>Envio latas peel off 99x130 Protesa</t>
  </si>
  <si>
    <t>Levantamento laudos solicitação de apenas marcadores</t>
  </si>
  <si>
    <t>TB TCM Alibra</t>
  </si>
  <si>
    <t>Solicitação laudos reemissão marcadores</t>
  </si>
  <si>
    <t>Solicitação laudos informação EPA e DHA</t>
  </si>
  <si>
    <t>Avaliação FT TCM em pó InnoBio</t>
  </si>
  <si>
    <t>Discussão metodologias chinesas DSM</t>
  </si>
  <si>
    <t>Alinhamento reemisão de laudos SFDK</t>
  </si>
  <si>
    <t>POP EE</t>
  </si>
  <si>
    <t>Solicitação de análise Retort NN T6</t>
  </si>
  <si>
    <t>Solicitação de análise Retort IG T6</t>
  </si>
  <si>
    <t>Solicitação de análise concorrentes Pleni S e Isosource Soya</t>
  </si>
  <si>
    <t>Teste de bancada aromas Sarcopenia</t>
  </si>
  <si>
    <t>Conferência pesos sachês</t>
  </si>
  <si>
    <t>Discussão Guia prazo de validade</t>
  </si>
  <si>
    <t>Conferência laudo e FT MP Trophic Junior China</t>
  </si>
  <si>
    <t>Solicitação de análise Immax T0 (teste lata recravada)</t>
  </si>
  <si>
    <t>Retirada da estufa e envio para análise Retort IG e NN</t>
  </si>
  <si>
    <t>Alocação na estufa e envio para análise concorrentes</t>
  </si>
  <si>
    <t>Conferência laudo EPA e DHA</t>
  </si>
  <si>
    <t>Avaliação nova MP</t>
  </si>
  <si>
    <t>Amostra TB</t>
  </si>
  <si>
    <t>Alinhamento com fornecedor nova MP</t>
  </si>
  <si>
    <t>Conferência laudos marcadores Anvisa</t>
  </si>
  <si>
    <t>Envio amostra para sensorial Ana Paula</t>
  </si>
  <si>
    <t>Conferência latas multifoliada Sonoco</t>
  </si>
  <si>
    <t>Estrutura InstanTH NEO</t>
  </si>
  <si>
    <t>Retirada produto da estufa</t>
  </si>
  <si>
    <t>Workshop fornecedor</t>
  </si>
  <si>
    <t>Envio latas para teste Protesa</t>
  </si>
  <si>
    <t>Sensorial  T6A InstanTH NEO</t>
  </si>
  <si>
    <t>Sensorial Sachê Humalin</t>
  </si>
  <si>
    <t>Retirada da estufa Trophic EP T9</t>
  </si>
  <si>
    <t>Questionário Bemmax Sabor Neutro</t>
  </si>
  <si>
    <t>Solicitação de análise InstanTH NEO T6A</t>
  </si>
  <si>
    <t>Solicitação de análise Trophic EP T9</t>
  </si>
  <si>
    <t>Relatório investigação oxidação lipídica</t>
  </si>
  <si>
    <t>Avaliação resultado B12 WPI</t>
  </si>
  <si>
    <t>Alinhamento sachês com a Manutenção</t>
  </si>
  <si>
    <t>Envio para análise  T9LD Trophic EP</t>
  </si>
  <si>
    <t>Envio para análise T6A InstanTH NEO</t>
  </si>
  <si>
    <t>Teste industrial Protesa</t>
  </si>
  <si>
    <t>Discussão pós teste Protesa</t>
  </si>
  <si>
    <t>Conferência laudos mix Hdmax revalidação de registro</t>
  </si>
  <si>
    <t>Envio para análise microbiológica T6A InstanTH NEO</t>
  </si>
  <si>
    <t>Inserção de amostras na estufa teste Protesa</t>
  </si>
  <si>
    <t>Medição O2 teste Protesa</t>
  </si>
  <si>
    <t>Solicitação análise microbiológica Immax teste Protesa</t>
  </si>
  <si>
    <t>TB clear + café</t>
  </si>
  <si>
    <t>Relatório TB clear café</t>
  </si>
  <si>
    <t>Comitê MKT e Técnico</t>
  </si>
  <si>
    <t>Solicitação de análise NEO e Sharp fosfatidilserina</t>
  </si>
  <si>
    <t>Solicitação de análise NEO Menree</t>
  </si>
  <si>
    <t>Solicitação de análise aminoácidos Diamax</t>
  </si>
  <si>
    <t>Apresentação Ganepão</t>
  </si>
  <si>
    <t>Retirada da estufa Hdmax 2.0</t>
  </si>
  <si>
    <t>Envio para análise aminograma Diamax</t>
  </si>
  <si>
    <t>Envio para análise fosfatidilserina NEO Menree</t>
  </si>
  <si>
    <t>Teste oxidação lipídica óleo de canola Alibra com antioxidante</t>
  </si>
  <si>
    <t>Alinhamento aminograma Dupont</t>
  </si>
  <si>
    <t>Cronograma sachê fibra solúvel</t>
  </si>
  <si>
    <t>Solicitação de análise Hdmax 2.0 T6</t>
  </si>
  <si>
    <t>Envio para análise Hdmax 2.0 T6</t>
  </si>
  <si>
    <t>Preparo amostra para envio análise fosfatidilserina Israel</t>
  </si>
  <si>
    <t>Atualização EEALD InstanTH NEO T6A sensorial</t>
  </si>
  <si>
    <t>Avaliação metodologia aminoácidos Eurofins</t>
  </si>
  <si>
    <t>Orientações envio amostra InstanTH NEO e Sharp Israel</t>
  </si>
  <si>
    <t>Alinhamento bimestral área técnica</t>
  </si>
  <si>
    <t>Continuação teste de bancada aplicação Clear em café</t>
  </si>
  <si>
    <t>Atualização relatório Clear</t>
  </si>
  <si>
    <t>Relatório teste Protesa</t>
  </si>
  <si>
    <t>Solicitação de análise T0 Immax teste Protesa</t>
  </si>
  <si>
    <t>Abertura EEALD Immax teste Protesa</t>
  </si>
  <si>
    <t>Verificação headspace teste Protesa</t>
  </si>
  <si>
    <t>Sensorial canola+tocoferol</t>
  </si>
  <si>
    <t>TB sachê fibra soluvel</t>
  </si>
  <si>
    <t>Envio teste Protesa análise T0</t>
  </si>
  <si>
    <t>Abertura MF Basic pó com Xanthan BEV</t>
  </si>
  <si>
    <t>Conferência CoA fontes mix Basic pó com Xanthan BEV</t>
  </si>
  <si>
    <t>Solicitação de análise e envio Energyzip 1.0 T9LD</t>
  </si>
  <si>
    <t>Solicitação de análise  e envio Energyzip baunilha T3A e LD</t>
  </si>
  <si>
    <t>Solicitação de análise e envio WPI B12</t>
  </si>
  <si>
    <t>Teste oxidação lipídica com AO 0,021% tocoferol, palmitato de retinila e BHA</t>
  </si>
  <si>
    <t>Alinhamento fornecedor</t>
  </si>
  <si>
    <t>Sensorail vida de prateleira</t>
  </si>
  <si>
    <t>Discussão gomas CPKelco</t>
  </si>
  <si>
    <t>Relatório TB sachês fibra solúvel</t>
  </si>
  <si>
    <t>Elaboração resposta padrão IC bebidas</t>
  </si>
  <si>
    <t>Repetição TB sachê fibra solúvel</t>
  </si>
  <si>
    <t>Envio latas teste Sonoco Ana e Luciana</t>
  </si>
  <si>
    <t>Alinhamento produção InstanTH NEO e módulos sachês</t>
  </si>
  <si>
    <t>Estrutura NEO para produção Prodiet</t>
  </si>
  <si>
    <t>Inscrição NIZO</t>
  </si>
  <si>
    <t>Sensorial óleo de canola com AO</t>
  </si>
  <si>
    <t>Aplicação Xathan BEV Trophic Infant</t>
  </si>
  <si>
    <t>Avaliação estabilidade Trophic Infant com Xanthan BEV 0,85% 4h e 12h</t>
  </si>
  <si>
    <t>Conferência atendimento laudos fonte de nutrientes à farmacopeia</t>
  </si>
  <si>
    <t>Aplicação Xathan BEV Trophic Infant e Fiber</t>
  </si>
  <si>
    <t>Retirada da estufa T9LD Energyzip chocolate</t>
  </si>
  <si>
    <t>Retirada da estufa T9LD Trophic Fiber líq</t>
  </si>
  <si>
    <t>Medição O2 amostra de T3 InstanTH NEO</t>
  </si>
  <si>
    <t>Alinhamento de dúvidas CoA fontes nutrientes atendimento à farmacopeia</t>
  </si>
  <si>
    <t>Sensorial Canola com AO</t>
  </si>
  <si>
    <t>Retirada da estufa T9LD Trophic Basic liq</t>
  </si>
  <si>
    <t>Retirada da estufa T9LD Trophic 1.5</t>
  </si>
  <si>
    <t>Aplicação Xantahn BEV Trophic Fiber e Infat</t>
  </si>
  <si>
    <t>Apresentação ESPEN</t>
  </si>
  <si>
    <t>Controle de mudanças produtos sachês</t>
  </si>
  <si>
    <t>NIZO</t>
  </si>
  <si>
    <t>Retirada da estufa Bemmax T6</t>
  </si>
  <si>
    <t>Discussão CoA fontes micronutrientes DSM</t>
  </si>
  <si>
    <t>Cadastro fornecedor RS Blumos</t>
  </si>
  <si>
    <t>Análise laudo WPI vitamina B12</t>
  </si>
  <si>
    <t>Atualização cadastro e criação de estrutura ProteinPT Whey e Carboch sachê</t>
  </si>
  <si>
    <t>Solicitação de análise e envio leites em pó</t>
  </si>
  <si>
    <t>Solicitação de análise e envio B12 WPI</t>
  </si>
  <si>
    <t>Solicitação de análise e envio aminoácidos Trophic Basic Standard</t>
  </si>
  <si>
    <t>Administração e Osmolalidade Immax teste 08 e 09/2020</t>
  </si>
  <si>
    <t>Apresentação portfólio fornecedor</t>
  </si>
  <si>
    <t>Especificação ProteinPT Whey, ProteinPT e Carboch</t>
  </si>
  <si>
    <t>Inserção na estufa sachê fibra solúvel</t>
  </si>
  <si>
    <t>Retirada da estufa Immax T6A e LD</t>
  </si>
  <si>
    <t>Solicitação análise microbiológica Immax teste com absorvedor O2 T3</t>
  </si>
  <si>
    <t>Alinhamento pesquisa clínica InstanTH NEO</t>
  </si>
  <si>
    <t>Envio para análise PL Bemmax T6A</t>
  </si>
  <si>
    <t>Envio para análise PL Immax T6A</t>
  </si>
  <si>
    <t>TB TCM Innobio</t>
  </si>
  <si>
    <t>Inclusão açúcares MF Enterfiber sahcê</t>
  </si>
  <si>
    <t>Solicitação de análise e envio T9: Trophic Basic L, Trophic 1.5, Trophic Fiber L, Energyzip c e m</t>
  </si>
  <si>
    <t>Solicitação de análise e envio micronutrientes Immax e Bemmax T6A e LD</t>
  </si>
  <si>
    <t>Sensorial ProteinPT Whey</t>
  </si>
  <si>
    <t>Relatório Xanthan BEV Trophic Infant</t>
  </si>
  <si>
    <t>Apresentação produtos Tovani</t>
  </si>
  <si>
    <t>Alinhamento produção sachês</t>
  </si>
  <si>
    <t>Orientações envio de amostras SFDK</t>
  </si>
  <si>
    <t>Solicitação de análise InstanTH NEO T9LD</t>
  </si>
  <si>
    <t>Orientações envio de amostras Eurofins</t>
  </si>
  <si>
    <t>Solicitação de análise e envio macronutrientes Bemmax T6</t>
  </si>
  <si>
    <t>Solicitação de análise e envio macronutrientes Immax T6</t>
  </si>
  <si>
    <t>Análise sensorial - OC e OS</t>
  </si>
  <si>
    <t>Análise sensorial WPI padrão x Sooro</t>
  </si>
  <si>
    <t>TB menor [] TCM Innobio</t>
  </si>
  <si>
    <t>Relatório TB TCM Innobio menor concentração</t>
  </si>
  <si>
    <t>Relatório Xanthan BEV Trophic Fiber</t>
  </si>
  <si>
    <t>Estrutura InstanTH NEO Menree</t>
  </si>
  <si>
    <t>TB aplicação WPI Sooro em PA</t>
  </si>
  <si>
    <t>Avaliação sachês fibra em estufa</t>
  </si>
  <si>
    <t>Retirar da estufa Immax T3A e T3LD (teste com absorvedor)</t>
  </si>
  <si>
    <t>Administração roldana aberta (teste com absorvedor e teste Protesa)</t>
  </si>
  <si>
    <t>Relatório TB aplicação Sooro PA</t>
  </si>
  <si>
    <t>Solicitação reemisão laudo marcadores Anvisa E. baunilha</t>
  </si>
  <si>
    <t>MF V01 Placebo InstanTH NEO</t>
  </si>
  <si>
    <t>Avaliação marcadores Immax T3</t>
  </si>
  <si>
    <t>Alinhamento projetos Alibra</t>
  </si>
  <si>
    <t>Encaminhar para análise T3A e T3LD (teste com absorvedor O2)</t>
  </si>
  <si>
    <t>TB sensorial Energyzip Sênior</t>
  </si>
  <si>
    <t>TB sensorial placebo InstanTH NEO</t>
  </si>
  <si>
    <t>Osmolalidade T6A Immax</t>
  </si>
  <si>
    <t>Osmolalidade T6A Bemmax</t>
  </si>
  <si>
    <t>Envio para análise de vitamina B12 - WPI Sooro</t>
  </si>
  <si>
    <t>Conferência análises Retort</t>
  </si>
  <si>
    <t>Atualização planilha Mix x EE</t>
  </si>
  <si>
    <t>Solicitação de análise e envio T9LD Retort IG</t>
  </si>
  <si>
    <t>Solicitação de análise e envio T9LD Retort NN</t>
  </si>
  <si>
    <t>Discussão aplicação Xanthan BEV</t>
  </si>
  <si>
    <t>Conferência laudo microbiológico Basic pó T0</t>
  </si>
  <si>
    <t>Avaliação resultado vit. B12 WPI</t>
  </si>
  <si>
    <t>Análise sensorial T3 (teste com absorvedor de O2)</t>
  </si>
  <si>
    <t>TB Energyzip Sênior MF V02</t>
  </si>
  <si>
    <t>TB Optimsm</t>
  </si>
  <si>
    <t>Discussão projetos área técnica</t>
  </si>
  <si>
    <t>Planilha plantas piloto</t>
  </si>
  <si>
    <t>Simulação custo Energyzip Sênior</t>
  </si>
  <si>
    <t>Relatório Energyzip Sênior</t>
  </si>
  <si>
    <t>Avaliação de ficha técnica, validação selo</t>
  </si>
  <si>
    <t>Alinhamento entre Marketing e área técnica</t>
  </si>
  <si>
    <t>Relatório teste de bancada</t>
  </si>
  <si>
    <t>Discussão técnica melhoria em MP com fornecedor</t>
  </si>
  <si>
    <t>Atualização especificação</t>
  </si>
  <si>
    <t>Administração Immax e Bemmax T6A</t>
  </si>
  <si>
    <t>Preparar e enviar amostra Científico Energyzip Sênior</t>
  </si>
  <si>
    <t>Sensorial concorrentes Energyzip Sênior</t>
  </si>
  <si>
    <t>Diluição Optimsm para dose 1.5kcal</t>
  </si>
  <si>
    <t>Definição volume de água - Energyzip sênior MF V02</t>
  </si>
  <si>
    <t>Discussão resultado PL Immax T6A Ital</t>
  </si>
  <si>
    <t>Apresentação formulação</t>
  </si>
  <si>
    <t>Controle de mudança produtos jumbo</t>
  </si>
  <si>
    <t>Alinhamento atividades</t>
  </si>
  <si>
    <t>Avaliação sachê Enterfiber Prebiotic estufas A e LD</t>
  </si>
  <si>
    <t>Retirado da estufa Trophic EP T12LD</t>
  </si>
  <si>
    <t>Enviado contraprova T6A, T6LD e T3A teste c/ abs para análise PL Immax</t>
  </si>
  <si>
    <t>Solicitação e envio para análise de T0 PL (acompanhemento) Trophic Basic 400g</t>
  </si>
  <si>
    <t>Solicitação e envio para análise de T0 PL (acompanhamento) Trophic Fiber 400g</t>
  </si>
  <si>
    <t>Revisão MFV05 Immax</t>
  </si>
  <si>
    <t>Apresentação sensorial Energyzip Sênior</t>
  </si>
  <si>
    <t>Apresentação BRAIN</t>
  </si>
  <si>
    <t>Conferência laudos fontes de nutrientes Immax</t>
  </si>
  <si>
    <t>Ajuste controle de mudança Enterfiber Prebiotic</t>
  </si>
  <si>
    <t>Solicitação orçamento Eurofins Indaiatuba</t>
  </si>
  <si>
    <t>Solicitação cadastro fornecedor Eurofins indaiatuba</t>
  </si>
  <si>
    <t>Solicitação de análise e envio micro e macronutrientes Trophic Basic 400g (acompanhamento)</t>
  </si>
  <si>
    <t>Solicitação de análise e envio micro e macronutrientes Trophic Fiber 400g (acompanhamento)</t>
  </si>
  <si>
    <t>Solicitação análise e envio fósforo Nutren Sênior</t>
  </si>
  <si>
    <t>Preenchimento formulário análises PL contraprova Immax e Bemmax</t>
  </si>
  <si>
    <t>Liberação de códigos Protheus</t>
  </si>
  <si>
    <t>Discussão técnica aminograma PIS</t>
  </si>
  <si>
    <t>Ajuste especificação PA pó após retorno CQ</t>
  </si>
  <si>
    <t>TB Placebo InstanTH NEO</t>
  </si>
  <si>
    <t>Densidade PA pó ProteinPT Whey</t>
  </si>
  <si>
    <t>Densidade PA pó InstanTH NEO</t>
  </si>
  <si>
    <t>Diluição prática MFV05 Immax</t>
  </si>
  <si>
    <t>Retirado da estufa Immax T3 e T3LD (Brasilata e Sonoco)</t>
  </si>
  <si>
    <t>Preenchimento formulário reanálise Immax e Bemmax</t>
  </si>
  <si>
    <t>Apresentação FI Europe 2020</t>
  </si>
  <si>
    <t>Conferência laudo mix InstanTH NEO</t>
  </si>
  <si>
    <t>Solicitação NF para envio de amostras</t>
  </si>
  <si>
    <t>Solicitação de análise Trophic EP T12LD</t>
  </si>
  <si>
    <t>Solicitação de análise Hdmax 2.0 T9LD</t>
  </si>
  <si>
    <t>Solicitação de análise Immax T3A e LD com N2</t>
  </si>
  <si>
    <t>Alinhamento teste tempo de mistura misturador 50L</t>
  </si>
  <si>
    <t>TB Energyzip Sênior sem Xantana e Optismsm</t>
  </si>
  <si>
    <t>Colher medida Immax MFV05</t>
  </si>
  <si>
    <t>Conferência transcrição EE processo Immax alteração de fórmula</t>
  </si>
  <si>
    <t>Publicação/atualização lista de especificações PA pó</t>
  </si>
  <si>
    <t>Solicitação e envio de leite em pó para análise de fósforo</t>
  </si>
  <si>
    <t>Aferição teor de Oxigênio Brasilata e Sonoco T3</t>
  </si>
  <si>
    <t>Envio de Immax com N2 para análise de micronutrientes T3</t>
  </si>
  <si>
    <t>Envio Trophic EP para análise de macro e micronutrientes T12</t>
  </si>
  <si>
    <t>Colher medida Trophic Basic e Fiber dosador de cabo longo</t>
  </si>
  <si>
    <t>Alinhamento teste de mistura novo misturador</t>
  </si>
  <si>
    <t>Planejamento testes de bancada Placebo InstanTH NEO</t>
  </si>
  <si>
    <t>Preparação envio de amostras NPAL</t>
  </si>
  <si>
    <t>Teste de mistura novo misturador</t>
  </si>
  <si>
    <t>Alinhamento Vulcano B</t>
  </si>
  <si>
    <t>Alinhamento aividades P&amp;D</t>
  </si>
  <si>
    <t>Gabriela Faria de Oliveira</t>
  </si>
  <si>
    <t>Pesquisas e desenvolvimento de aminograma sobre novo produto</t>
  </si>
  <si>
    <t>Pesquisa e desenvolvimento de nova fórmula com matéria prima alternativa</t>
  </si>
  <si>
    <t>Pesquisa sobre material científico e profissionais para novo produto</t>
  </si>
  <si>
    <t>Desenvolvimento de material sobre produto</t>
  </si>
  <si>
    <t>Pesquisa e desenvolvimento de material científico sobre composição</t>
  </si>
  <si>
    <t>Análise e descrição de artigo sobre composição e funcionalidade da fórmula</t>
  </si>
  <si>
    <t>Desenvolvimento de material científico de apoio</t>
  </si>
  <si>
    <t>Análise de fórmulas semelhantes disponíveis em mercado</t>
  </si>
  <si>
    <t>Desenvolvimento de material científico de divulgação</t>
  </si>
  <si>
    <t>Desenvolvimento de parecer técnico/científico</t>
  </si>
  <si>
    <t>Desenho de estudos futuros sobre produto</t>
  </si>
  <si>
    <t>Análise de evento científico disfagia</t>
  </si>
  <si>
    <t>Desenvolvimento de briefing e direcionais para P&amp;D</t>
  </si>
  <si>
    <t>Desenho de fórmula a partir do entendimento de guidelines nacionais e internacionais</t>
  </si>
  <si>
    <t>Pesquisa em estudos por nutrientes recomendáveis para este objetivo</t>
  </si>
  <si>
    <t>Pesquisa de concorrentes para elaboração de material</t>
  </si>
  <si>
    <t>Pesquisa de concorrentes para elaboração de material para COMEX</t>
  </si>
  <si>
    <t>Pesquisa de produtos concorrentes para desenvolvimento de novo produto</t>
  </si>
  <si>
    <t>Direcionamento com distribuidores sobre características do produto e possibilidades de uso</t>
  </si>
  <si>
    <t>Pesquisa de material científico sobre possibilidades de uso do produto.</t>
  </si>
  <si>
    <t>Desenho de target ideal de micronutrientes para novo produto</t>
  </si>
  <si>
    <t>Pesquisa sobre os requerimentos nutricionais dos idosos</t>
  </si>
  <si>
    <t>Pesquisa de produtos concorrentes para comparativo para equipe comercial</t>
  </si>
  <si>
    <t>Desenvolvimento de conteúdo com informações científicas para site do produto</t>
  </si>
  <si>
    <t>Pesquisa e definição sobre os requerimentos nutricionais dos idosos</t>
  </si>
  <si>
    <t>Pesquisa em artigos cetose em doenças neurológicas</t>
  </si>
  <si>
    <t>Desenvolvimento de material sobre formas de ação de InstanTH NEO</t>
  </si>
  <si>
    <t>Elaboração de material de nutrientes na composição de Immax</t>
  </si>
  <si>
    <t>Desenvolvimento de novo produto - composição nutricional</t>
  </si>
  <si>
    <t>Desenvolvimento de novo produto - desenho nutricional</t>
  </si>
  <si>
    <t>Desenvolvimento de material sobre composição e evidências científicas direcionada a Instanth Clear</t>
  </si>
  <si>
    <t>Desenvolvimento de novo produto - levantamento científico e desenho nutricional</t>
  </si>
  <si>
    <t>Desenvolvimento de comunicação sobre formas de ação de InstanTH NEO</t>
  </si>
  <si>
    <t>Desenvolvimento de material sobre composição e evidências científicas direcionada a Instanth Clear para COMEX</t>
  </si>
  <si>
    <t>Pesquisa sobre composição de InstanTH NEO e formas de utilização</t>
  </si>
  <si>
    <t>Desenvolvimento de novo produto - levantamento científico</t>
  </si>
  <si>
    <t>Desenvolvimento de embasamento teórico sobre EE de Hdmax</t>
  </si>
  <si>
    <t>Desenvolvimento de embasamento teórico sobre EE de Energyzip morango</t>
  </si>
  <si>
    <t>Desenvolvimento de especificações da parte científica para software</t>
  </si>
  <si>
    <t>Desenvolvimento de novo produto - levantamento científico MP</t>
  </si>
  <si>
    <t>Análise de resultados da pesquisa</t>
  </si>
  <si>
    <t>Desenvolvimento de briefing sobre processsos necessários para software de desenvolvimento</t>
  </si>
  <si>
    <t>Desenvolvimento de respaldo científico com base em estudos de estabilidade</t>
  </si>
  <si>
    <t>Pesquisa de composição nutricional e diretrizes</t>
  </si>
  <si>
    <t>Levantamento científico sobre composição de fibras em sachê</t>
  </si>
  <si>
    <t>Levantamento científico em congresso internacional de nutrição enteral e parenteral</t>
  </si>
  <si>
    <t>Levantamento de diretrizes</t>
  </si>
  <si>
    <t>Levantamento de material científico</t>
  </si>
  <si>
    <t>Avaliação da composiçao nutricional no desenvolvimento de novo produto - Hdmax 2.0</t>
  </si>
  <si>
    <t>Desenvolvimento de pesquisa de novo produto - levantamento científico</t>
  </si>
  <si>
    <t>Desenvolvimento de rede de contatos profissionais compartilhamento de material científico</t>
  </si>
  <si>
    <t>Análise nutricional de novo ingrediente</t>
  </si>
  <si>
    <t>Lizianne Shmeil</t>
  </si>
  <si>
    <t>Atualizações MF novo mix</t>
  </si>
  <si>
    <t>Atualizações sistema</t>
  </si>
  <si>
    <t>Ajustes formulações</t>
  </si>
  <si>
    <t>Alinhamento junto à equipe</t>
  </si>
  <si>
    <t>Planejamento disponibilidade MP</t>
  </si>
  <si>
    <t>Alinhamento técnico - fornecedor mix</t>
  </si>
  <si>
    <t>Alinhamento estabilidade dietas - fornecedor</t>
  </si>
  <si>
    <t>Discussão técnica - Global Food</t>
  </si>
  <si>
    <t>Avaliação FT mix</t>
  </si>
  <si>
    <t>Avaliação docs novo mix</t>
  </si>
  <si>
    <t>Planejamento próximo teste Tetra Pak</t>
  </si>
  <si>
    <t>Planejamento junto às áreas para teste Tetra Pak</t>
  </si>
  <si>
    <t>Estudo novo mix</t>
  </si>
  <si>
    <t>Elaboração especificações MP</t>
  </si>
  <si>
    <t>Alinhamento nova formulação</t>
  </si>
  <si>
    <t>Atualização documentos internos</t>
  </si>
  <si>
    <t>Alinhamento entre áreas - primeira produção</t>
  </si>
  <si>
    <t>Planejamento novas MP's</t>
  </si>
  <si>
    <t>Avaliações mixes</t>
  </si>
  <si>
    <t>Alinhamento técnico - embalagens e equipamentos</t>
  </si>
  <si>
    <t>Apresentação de todo o projeto para a área Técnica</t>
  </si>
  <si>
    <t>Envio amostras bicos para fornecedor</t>
  </si>
  <si>
    <t>Elaboração briefing embalagens</t>
  </si>
  <si>
    <t>Análise para novo mix</t>
  </si>
  <si>
    <t>Contato com fornecedor - embalagens</t>
  </si>
  <si>
    <t>Planejamento próximo teste Embrapa</t>
  </si>
  <si>
    <t>Avaliação novo mix</t>
  </si>
  <si>
    <t>Alinhamento novo mix - fornecedor</t>
  </si>
  <si>
    <t>Contato fornecedores MP's + desenvolvimento novo mix</t>
  </si>
  <si>
    <t>Contato fornecedores MP's</t>
  </si>
  <si>
    <t>Atualizações sistema e MF</t>
  </si>
  <si>
    <t>Contato com fornecedor novo mix</t>
  </si>
  <si>
    <t>Ajustes MF</t>
  </si>
  <si>
    <t>TB</t>
  </si>
  <si>
    <t>Atualizações sistema e relatório</t>
  </si>
  <si>
    <t>Planejamento visita CI's Europa</t>
  </si>
  <si>
    <t>Justificativas P&amp;D</t>
  </si>
  <si>
    <t>Discussão técnica - DSM</t>
  </si>
  <si>
    <t>Planejamento teste Tetra Pak</t>
  </si>
  <si>
    <t>Contato fornecedor</t>
  </si>
  <si>
    <t>Planejamento teste Tetra Pak + viagem para teste</t>
  </si>
  <si>
    <t>Teste Tetra Pak</t>
  </si>
  <si>
    <t>Discussão técnica - CP Kelco</t>
  </si>
  <si>
    <t>Planejamento teste Embrapa</t>
  </si>
  <si>
    <t>Ajustes MF + planejamento teste Embrapa</t>
  </si>
  <si>
    <t>Alinhamento junto a fornecedor para teste Embrapa</t>
  </si>
  <si>
    <t>Atualização documento mix - novo fornecedor</t>
  </si>
  <si>
    <t>Envio amostras para fornecedor</t>
  </si>
  <si>
    <t>IF's para teste</t>
  </si>
  <si>
    <t>Viagem para teste</t>
  </si>
  <si>
    <t>Teste Embrapa</t>
  </si>
  <si>
    <t>Retorno teste Embrapa</t>
  </si>
  <si>
    <t>Contato com fornecedor</t>
  </si>
  <si>
    <t>Elaboração relatório</t>
  </si>
  <si>
    <t>Discussão técnica - geneticista</t>
  </si>
  <si>
    <t>Contato fornecedores + atualização sistema</t>
  </si>
  <si>
    <t>Alinhamentos internos</t>
  </si>
  <si>
    <t>Ajustes EEALD</t>
  </si>
  <si>
    <t>Relatório do teste</t>
  </si>
  <si>
    <t>Atualização do relatório</t>
  </si>
  <si>
    <t>Alinhamento técnico com equipe</t>
  </si>
  <si>
    <t>Alinhamentos pós teste</t>
  </si>
  <si>
    <t>Elaboração EEALD</t>
  </si>
  <si>
    <t>Contato com fornecedor de mix</t>
  </si>
  <si>
    <t>Alinhamento técnico com GQ e PPCP para novo teste</t>
  </si>
  <si>
    <t>Treinamento equipe comercial</t>
  </si>
  <si>
    <t>Atualização spec malto aglomerada</t>
  </si>
  <si>
    <t>TB + atualização relatório</t>
  </si>
  <si>
    <t>Alinhamento técnico com GQ</t>
  </si>
  <si>
    <t>Estudo embalagens</t>
  </si>
  <si>
    <t>Elaboração specs MP</t>
  </si>
  <si>
    <t>Contato fornecedores</t>
  </si>
  <si>
    <t>Atualizações sistema + pouches</t>
  </si>
  <si>
    <t>Estudo mixes</t>
  </si>
  <si>
    <t>Alinhamento técnico pós teste + pouches</t>
  </si>
  <si>
    <t>Análise custos</t>
  </si>
  <si>
    <t>Alinhamento junto a fornecedor</t>
  </si>
  <si>
    <t>Estudo operações unitárias</t>
  </si>
  <si>
    <t>Avaliação propostas pouches</t>
  </si>
  <si>
    <t>Webinar NIZO</t>
  </si>
  <si>
    <t>Atualização EEALD</t>
  </si>
  <si>
    <t>Contato fornecedores + avaliação propostas</t>
  </si>
  <si>
    <t>Avaliação resultados EEALD</t>
  </si>
  <si>
    <t>Contato com fornecedor + atualizações sistema</t>
  </si>
  <si>
    <t>Avaliação de FT's + contato fornecedores</t>
  </si>
  <si>
    <t>Elaboração cronograma</t>
  </si>
  <si>
    <t>Compilação anotações + elaboração apresentação - Webinar NIZO</t>
  </si>
  <si>
    <t>Avaliação PL OS</t>
  </si>
  <si>
    <t>Auxílio envio amostras</t>
  </si>
  <si>
    <t>Rastreabilidade mix</t>
  </si>
  <si>
    <t>Compra concorrentes</t>
  </si>
  <si>
    <t>Planejamnto TB</t>
  </si>
  <si>
    <t>Ação junto à consultora externa + CQ</t>
  </si>
  <si>
    <t>Coleta materiais TB</t>
  </si>
  <si>
    <t>Atualização spec malto</t>
  </si>
  <si>
    <t>FOR controle mudanças - teste novo fornecedor</t>
  </si>
  <si>
    <t>Atualizações novo fornecedor</t>
  </si>
  <si>
    <t>Atualização ETPR</t>
  </si>
  <si>
    <t>Atualização projetos junto a fornecedor</t>
  </si>
  <si>
    <t>Avaliação sachê</t>
  </si>
  <si>
    <t>Elaboração spec PS</t>
  </si>
  <si>
    <t>Atualizações EEALD - resultados</t>
  </si>
  <si>
    <t>Atualização custos</t>
  </si>
  <si>
    <t>Avaliação autoclave</t>
  </si>
  <si>
    <t>Discussão técnica resultados EEALD</t>
  </si>
  <si>
    <t>Coordenação junto a fornecedor</t>
  </si>
  <si>
    <t>Ações junto a fornecedores</t>
  </si>
  <si>
    <t>Aualizações sistema - embalagens</t>
  </si>
  <si>
    <t>Auxílio junto a ARI</t>
  </si>
  <si>
    <t>Diluição - AR</t>
  </si>
  <si>
    <t>Atualizações Protheus</t>
  </si>
  <si>
    <t>Investigação MF x estrutura</t>
  </si>
  <si>
    <t>Qtd lactose - Científico</t>
  </si>
  <si>
    <t>Discussão técnica - projetos x covid</t>
  </si>
  <si>
    <t>Discussão desvios Castro</t>
  </si>
  <si>
    <t>Discussão técnica - fornecedor</t>
  </si>
  <si>
    <t>Planejamento atividades lab</t>
  </si>
  <si>
    <t>Cronograma ativ P&amp;D - AR</t>
  </si>
  <si>
    <t>TB nova MP</t>
  </si>
  <si>
    <t>Finalização atividades lab</t>
  </si>
  <si>
    <t>Discussão técnica - sistema e MF</t>
  </si>
  <si>
    <t>Webinar DSM</t>
  </si>
  <si>
    <t>Relatórios TB (LPI e LPD)</t>
  </si>
  <si>
    <t>Atualização GQ e Supply (LPI e LPD)</t>
  </si>
  <si>
    <t>Avaliação email Vantage</t>
  </si>
  <si>
    <t>Discussão técnica - infos fornecedor</t>
  </si>
  <si>
    <t>Atualizações sistema (LPD e LPI)</t>
  </si>
  <si>
    <t>Relatório Webinar</t>
  </si>
  <si>
    <t>Atualização Protheus</t>
  </si>
  <si>
    <t>Webinar Cargill</t>
  </si>
  <si>
    <t>Discussão técnica - retorno fornecedor</t>
  </si>
  <si>
    <t>Medida colher sopa</t>
  </si>
  <si>
    <t>Discussão técnica - Científico + AR</t>
  </si>
  <si>
    <t>Atualização projetos - fornecedor</t>
  </si>
  <si>
    <t>Status novas MP's</t>
  </si>
  <si>
    <t>Sachê Humalin</t>
  </si>
  <si>
    <t>TB concorrentes</t>
  </si>
  <si>
    <t>Publicação nova spec malto</t>
  </si>
  <si>
    <t>TB consistência x tempo</t>
  </si>
  <si>
    <t>Atualização relatório</t>
  </si>
  <si>
    <t>TB concorrentes + compilação resultados</t>
  </si>
  <si>
    <t>MF V06 e V07</t>
  </si>
  <si>
    <t>Ações sobre sachê</t>
  </si>
  <si>
    <t>Atualização sistema - nova spec DHA</t>
  </si>
  <si>
    <t>Atualização sistema - nova spec PS</t>
  </si>
  <si>
    <t>Solicitação amostra DHA</t>
  </si>
  <si>
    <t>Planejamneto TB TCM</t>
  </si>
  <si>
    <t>Avaliação budget - curso Ital</t>
  </si>
  <si>
    <t>Conferência laudos</t>
  </si>
  <si>
    <t>Discussão padronização MF</t>
  </si>
  <si>
    <t>Relatório Protheus - MP/PA/PI</t>
  </si>
  <si>
    <t>Relatório TB + atualização Supply e GQ</t>
  </si>
  <si>
    <t>Contato fornecedor - planta piloto</t>
  </si>
  <si>
    <t>Avaliação Briefing + novo mix</t>
  </si>
  <si>
    <t>Webinar Food Conection</t>
  </si>
  <si>
    <t>Avaliação para novo mix</t>
  </si>
  <si>
    <t>Avaliação novos fornecdores autoclave</t>
  </si>
  <si>
    <t>Solicitação atualização simulador custos</t>
  </si>
  <si>
    <t>Discussão técnica - Financeiro</t>
  </si>
  <si>
    <t>Status equipamentos</t>
  </si>
  <si>
    <t>Discussão técnica Financeiro</t>
  </si>
  <si>
    <t>Discussão técnica - simulador custos</t>
  </si>
  <si>
    <t>Contato B+K</t>
  </si>
  <si>
    <t>Avaliação próximos marcadores</t>
  </si>
  <si>
    <t>Atualizações sistema - bags</t>
  </si>
  <si>
    <t>Análises FQ + TAP</t>
  </si>
  <si>
    <t>Planejamento cronograma lab</t>
  </si>
  <si>
    <t>Workshop Mastersense</t>
  </si>
  <si>
    <t>Compilação anotações Workshop</t>
  </si>
  <si>
    <t>Contato fornecedor - aromas</t>
  </si>
  <si>
    <t>Workshop Mkt Dupont</t>
  </si>
  <si>
    <t>Base para fornecedor</t>
  </si>
  <si>
    <t>Ajuste em MF</t>
  </si>
  <si>
    <t>Contato supply - fornecedor nova MP</t>
  </si>
  <si>
    <t>Elaboração relatório nova MP</t>
  </si>
  <si>
    <t>TB novas MPs</t>
  </si>
  <si>
    <t>Atualização homologação novas MPs</t>
  </si>
  <si>
    <t>Elaboração relatório - nova MP</t>
  </si>
  <si>
    <t>Planejamento atividades laboratório</t>
  </si>
  <si>
    <t>Planejamento elaboração MF</t>
  </si>
  <si>
    <t>Planejamento - atividades da área</t>
  </si>
  <si>
    <t>Planejamento técnico - demais áreas</t>
  </si>
  <si>
    <t>Webinar IMCD</t>
  </si>
  <si>
    <t>Relatório Webinar Cargill</t>
  </si>
  <si>
    <t>Discussão técnica - micronutrientes</t>
  </si>
  <si>
    <t>Atualizações SP</t>
  </si>
  <si>
    <t>Elaboração TAP + demais atualizações no sistema</t>
  </si>
  <si>
    <t>Discussão técnica com TI (sistema)</t>
  </si>
  <si>
    <t>Atualização MF</t>
  </si>
  <si>
    <t>Webinar DSM - Regulatory Dialogues</t>
  </si>
  <si>
    <t>Coordenação piloto industrial</t>
  </si>
  <si>
    <t>Discussão técnica projetos e próximos passos</t>
  </si>
  <si>
    <t>Atualização SP - nova MP</t>
  </si>
  <si>
    <t>Aualizações SP</t>
  </si>
  <si>
    <t>Call fornecedor</t>
  </si>
  <si>
    <t>Discussão técnica TI (sistema)</t>
  </si>
  <si>
    <t>Planejamento TB</t>
  </si>
  <si>
    <t>Coordenação piloto industrial - nova MP</t>
  </si>
  <si>
    <t>Discussão técnica MF</t>
  </si>
  <si>
    <t>Apresentação Dupont - benefícios da soja</t>
  </si>
  <si>
    <t>Discussão técnica Supply</t>
  </si>
  <si>
    <t>Análises FQ</t>
  </si>
  <si>
    <t>Discussão técnica - demais projetos e planjamento</t>
  </si>
  <si>
    <t>Desenvolvimento novas MP's</t>
  </si>
  <si>
    <t>Avaliação questionamento Prodiet em Casa</t>
  </si>
  <si>
    <t>Análise TB concorrentes e retorno Prodiet em Casa</t>
  </si>
  <si>
    <t>TB espessante suplemento (sem água)</t>
  </si>
  <si>
    <t>Retorno consultora interna</t>
  </si>
  <si>
    <t>Atualização respaldo SP</t>
  </si>
  <si>
    <t>Compartilhamento vídeos suplementos x espessante</t>
  </si>
  <si>
    <t>Contato fornecedor mix</t>
  </si>
  <si>
    <t>Atualização relatório nova MP</t>
  </si>
  <si>
    <t>Retorno fornecedor - nova MP</t>
  </si>
  <si>
    <t>Discussão técnica sobre mix alterado</t>
  </si>
  <si>
    <t>Atualização SP - desvio mix</t>
  </si>
  <si>
    <t>Avaliação documento TI - software P&amp;D</t>
  </si>
  <si>
    <t>Contato plantas piloto</t>
  </si>
  <si>
    <t>Avaliação invoice consultoria internacional</t>
  </si>
  <si>
    <t>Discussão técnica - próximos produtos</t>
  </si>
  <si>
    <t>Revisão spec - citrato K, CaCO3</t>
  </si>
  <si>
    <t>Revisão spec - carmin, isomaltulose</t>
  </si>
  <si>
    <t>Revisão spec - óleos líquidos</t>
  </si>
  <si>
    <t>Avaliação estabilidade dietas líquiddas - GQ</t>
  </si>
  <si>
    <t>Publicação e atualização sistema - novas specs</t>
  </si>
  <si>
    <t>Avaliação FT/CoA - óleo Cargill</t>
  </si>
  <si>
    <t>Avaliação IF's Castrolanda</t>
  </si>
  <si>
    <t>Contato fornecedor embalagem</t>
  </si>
  <si>
    <t>Contato fornecedor pouch</t>
  </si>
  <si>
    <t>Elaboração TAP</t>
  </si>
  <si>
    <t>Contato Unicamp (consultoria)</t>
  </si>
  <si>
    <t>Discussão técnica - Unicamp</t>
  </si>
  <si>
    <t>Compra produto SF para TB</t>
  </si>
  <si>
    <t>Envio NDA Unicamp</t>
  </si>
  <si>
    <t>TB adaptadores</t>
  </si>
  <si>
    <t>Avaliação retorno Unicamp</t>
  </si>
  <si>
    <t>Discussão técnica Unicamp (consultoria)</t>
  </si>
  <si>
    <t>Atualização SP</t>
  </si>
  <si>
    <t>Elaboração relatório adaptadores</t>
  </si>
  <si>
    <t>Solicitação cadastro sistema</t>
  </si>
  <si>
    <t>Trâmites internos - curso Ital</t>
  </si>
  <si>
    <t>Trâmites sistema - curso Ital</t>
  </si>
  <si>
    <t>Curso Ital - embalagens plásticas</t>
  </si>
  <si>
    <t>Discussão técnica MKT</t>
  </si>
  <si>
    <t>Atualizações SP - nova MP</t>
  </si>
  <si>
    <t>Discussão técnica - MKT, Produção, PCP, GQ, AR</t>
  </si>
  <si>
    <t>TB aplicação Alibra</t>
  </si>
  <si>
    <t>Webinar Duont - Nutrição e SI</t>
  </si>
  <si>
    <t>Coordenação TP + retorno fornecedor nova MP</t>
  </si>
  <si>
    <t>Planejamento TB oxidação lipídica</t>
  </si>
  <si>
    <t>Contato fornecedor - TB WPI</t>
  </si>
  <si>
    <t>Avaliação nova MP + relatório + coordenação TP</t>
  </si>
  <si>
    <t>Coordenação envio nova amostra - TB</t>
  </si>
  <si>
    <t>Coordenação TP</t>
  </si>
  <si>
    <t>Atualização MF's</t>
  </si>
  <si>
    <t>Coordenação TP nova MP</t>
  </si>
  <si>
    <t>Atualização Protheus - novas MP's</t>
  </si>
  <si>
    <t>Avaliação documentos e retorno GQ - estabilidade dietas líquidas</t>
  </si>
  <si>
    <t>Contato fornecedor + avaliação FT/CoA - óleo de soja</t>
  </si>
  <si>
    <t>Discussão técnica  novas MP's</t>
  </si>
  <si>
    <t>Discussão técnica DSM x EE</t>
  </si>
  <si>
    <t>Atualização spec óleo de soja</t>
  </si>
  <si>
    <t>Contato Castrolanda - atualização documentação P&amp;D</t>
  </si>
  <si>
    <t>Discussão técnica - docs P&amp;D para Castro</t>
  </si>
  <si>
    <t>Avaliação resultado macronutrientes + atualização SP/Protheus</t>
  </si>
  <si>
    <t>Suporte para Prodiet em Casa - Trophic 1.5</t>
  </si>
  <si>
    <t>Publicação novas specs óleos líquidos</t>
  </si>
  <si>
    <t>Contato fornecedor carmin - ácido fólico</t>
  </si>
  <si>
    <t>Avaliação novo fornecedor TCM líq</t>
  </si>
  <si>
    <t>Coordenação TP TCM líq + atualizações sistema</t>
  </si>
  <si>
    <t>Análises FQ - Energyzip 1.0</t>
  </si>
  <si>
    <t>TAP para Prodiet em Casa</t>
  </si>
  <si>
    <t>Atualização sistema - TCM líq</t>
  </si>
  <si>
    <t>Retorno Prodiet em Casa</t>
  </si>
  <si>
    <t>Elaboração EEALD - Energyzip Baunilha</t>
  </si>
  <si>
    <t>Discussão técnica emissão NF</t>
  </si>
  <si>
    <t>Relatório novo CasCa</t>
  </si>
  <si>
    <t>Planejamento atividades laboratório + respaldo Prodiet em Casa</t>
  </si>
  <si>
    <t>Contato fornecedor - aroma - ácido fólico</t>
  </si>
  <si>
    <t>Análises FQ - Energyzip Chocolate + Trophic Basic + Trophic 1.5</t>
  </si>
  <si>
    <t>Avaliação IF Protheus</t>
  </si>
  <si>
    <t>Busca em literatura - estabilidade dietas</t>
  </si>
  <si>
    <t>Atualização embalagens Edge</t>
  </si>
  <si>
    <t>Análises FQ - Trophic Fiber, Energyzip Baunilha, Energyzip Morango</t>
  </si>
  <si>
    <t>Atualização EEALD - Energyzip Morango, Energyzip Baunilha</t>
  </si>
  <si>
    <t>Contato fornecedores + solicitação cadastros IF Castro + contato TI</t>
  </si>
  <si>
    <t>Discussão técnica DSM x EE + cadastros Protheus teste IF</t>
  </si>
  <si>
    <t>Teste IF</t>
  </si>
  <si>
    <t>Observações Webinar Dupont (PIS)</t>
  </si>
  <si>
    <t>Evento online Roquette</t>
  </si>
  <si>
    <t>Avaliação custo proteínas</t>
  </si>
  <si>
    <t>Webinar IMCD - Soluções em estabilizantes</t>
  </si>
  <si>
    <t>Relatório webinar IMCD</t>
  </si>
  <si>
    <t>Atualização orçamento dispositivo viscosímetro</t>
  </si>
  <si>
    <t>Avaliação warm-up FiSA</t>
  </si>
  <si>
    <t>Discussão técnica - teste lata recravada</t>
  </si>
  <si>
    <t>Suporte consultoras externas</t>
  </si>
  <si>
    <t>Coordenação TB suco de uva</t>
  </si>
  <si>
    <t>Umidade PA</t>
  </si>
  <si>
    <t>Call GQ + contato fornecedor novo TCM</t>
  </si>
  <si>
    <t>Avaliação lactose nova MP</t>
  </si>
  <si>
    <t>Planejamento avaliação sachês</t>
  </si>
  <si>
    <t>Discussão técnica novos produtos</t>
  </si>
  <si>
    <t>Avaliação novo monodi + contato fornecedor</t>
  </si>
  <si>
    <t>Avaliação briefing + elaboração novo MF</t>
  </si>
  <si>
    <t>Avaliação FT's MPs</t>
  </si>
  <si>
    <t>Novo MF</t>
  </si>
  <si>
    <t>Novo MF + novo mix</t>
  </si>
  <si>
    <t>Avaliação proposta consultoria</t>
  </si>
  <si>
    <t>Retorno DSM</t>
  </si>
  <si>
    <t>Avaliação fornecedor pouches</t>
  </si>
  <si>
    <t>Atualização simulador custos</t>
  </si>
  <si>
    <t>Planejamento próximo teste</t>
  </si>
  <si>
    <t>Retorno fornecedor pouch e planejamento próximo teste</t>
  </si>
  <si>
    <t>TAP com novo adaptador</t>
  </si>
  <si>
    <t>Estudo osmolalidade</t>
  </si>
  <si>
    <t>Relatório adaptadores + estudo osmolalidade + contato Embrapa</t>
  </si>
  <si>
    <t>Discussão técnica - próximo teste/dietas</t>
  </si>
  <si>
    <t>Contato fornecedor - mix próximo teste</t>
  </si>
  <si>
    <t>Contato fornecedor - novo CasCa</t>
  </si>
  <si>
    <t>TB novos sachês módulos + envio para sensorial</t>
  </si>
  <si>
    <t>Atualização SP + avaliação doc Q&amp;A</t>
  </si>
  <si>
    <t>Download aulas curso Ital - Embalagens plásticas</t>
  </si>
  <si>
    <t>Download aulas curso Ital - Embalagens plásticas + atualização SP</t>
  </si>
  <si>
    <t>TB novo CasCa</t>
  </si>
  <si>
    <t>Avaliação FT maltogill + contato fornecedor</t>
  </si>
  <si>
    <t>Discussão técnica - novas MP's</t>
  </si>
  <si>
    <t>Elaboração apresentação Insights curso Ital</t>
  </si>
  <si>
    <t>Elaboração apresentação Insights curso Ital + apresentação para a área</t>
  </si>
  <si>
    <t>Contato Ital</t>
  </si>
  <si>
    <t>Apresentação curso Ital</t>
  </si>
  <si>
    <t>Call fornecedor nova MP</t>
  </si>
  <si>
    <t>Planejamento novos projetos junto a fornecedor</t>
  </si>
  <si>
    <t>Discussão técnica - novos projetos - novo fornecedor</t>
  </si>
  <si>
    <t>Mistura e envio base Prodiet</t>
  </si>
  <si>
    <t>Solicitação de NF para envio base Prodiet</t>
  </si>
  <si>
    <t>Discussão técnica - atualizações área</t>
  </si>
  <si>
    <t>Contato fornecedor - base Prodiet</t>
  </si>
  <si>
    <t>Discussão técnica com TI</t>
  </si>
  <si>
    <t>Avaliação documento Gabriel</t>
  </si>
  <si>
    <t>TB novo polissacarídeo de soja</t>
  </si>
  <si>
    <t>Relatório nova MP</t>
  </si>
  <si>
    <t>Avaliação retorno fornecedor nova MP</t>
  </si>
  <si>
    <t>Coordenação TP - polissacarídeo de soja</t>
  </si>
  <si>
    <t>Avaliação novo WPI + contato fornecedor</t>
  </si>
  <si>
    <t>Avaliação documentações novo fornecedor WPI</t>
  </si>
  <si>
    <t>TB novo WPI</t>
  </si>
  <si>
    <t>Avaliação lactose dietas - novo WPI</t>
  </si>
  <si>
    <t>Elaboração relatório TB - novo WPI + contato fornecedor + atualização sistema</t>
  </si>
  <si>
    <t>Discussão lactose novos WPI's</t>
  </si>
  <si>
    <t>Avaliação docs MP's novas + contato fornecedores + atualizações sistema</t>
  </si>
  <si>
    <t>Planejamento teste - aminograma + solicitação amostra</t>
  </si>
  <si>
    <t>Avaliação docs Tetra Pak + contato fornecedor</t>
  </si>
  <si>
    <t>Coordenação teste - aminograma</t>
  </si>
  <si>
    <t>Contato fornecedor novo TCM líquido</t>
  </si>
  <si>
    <t>Avaliação spec novo fornecedor monodi + contato fornecedor</t>
  </si>
  <si>
    <t>Atualizações sistema e teste IF Protheus</t>
  </si>
  <si>
    <t>TB nova maltodextrina</t>
  </si>
  <si>
    <t>Discussão ´tecnica DSM</t>
  </si>
  <si>
    <t>Análise documentações - manchas escuras</t>
  </si>
  <si>
    <t>Simulação teste IF Protheus</t>
  </si>
  <si>
    <t>Planejamento análises VP</t>
  </si>
  <si>
    <t>Discussão técnica DSM + planejamento compra concorrentes + atualização EEALD HDmax 1.5</t>
  </si>
  <si>
    <t>Planejamento ajustes mixes</t>
  </si>
  <si>
    <t>Discussão técnica com consultor</t>
  </si>
  <si>
    <t>Discussão técnica DSM + planejamento estufas e análises concorrentes</t>
  </si>
  <si>
    <t>Contato novo fornecedor TCM líq + avaliação docs citrato K</t>
  </si>
  <si>
    <t>Discussão prazos renovação mixes</t>
  </si>
  <si>
    <t>Coordenação envio calibração viscosímetro + discussão resultados EE</t>
  </si>
  <si>
    <t>Alocação produtos estufa + envio análises externas</t>
  </si>
  <si>
    <t>Avaliação doc IF Protheus</t>
  </si>
  <si>
    <t>Avaliação concorrentes</t>
  </si>
  <si>
    <t>Verificação testes (salinhas amostras P&amp;D)</t>
  </si>
  <si>
    <t>Discussão técnica novo fornecedor potes</t>
  </si>
  <si>
    <t>Atualização relatório TB nova malto</t>
  </si>
  <si>
    <t>Atualização doc teste piloto</t>
  </si>
  <si>
    <t>Planejamento discussão oxidação OC</t>
  </si>
  <si>
    <t>Discussão técnica oxidação + alinhamentos internos</t>
  </si>
  <si>
    <t>Contato fornecedor OC</t>
  </si>
  <si>
    <t>Avaliação oxímetro - teste N2</t>
  </si>
  <si>
    <t>Atualização descrição projetos</t>
  </si>
  <si>
    <t>Discussão técnica teste lata recravada</t>
  </si>
  <si>
    <t>Discussão técnica - controle mudanças fábrica Prodiet</t>
  </si>
  <si>
    <t>Contato fornecedores sachês</t>
  </si>
  <si>
    <t>Avaliação novo TCM IMCD</t>
  </si>
  <si>
    <t>Discussão junto à GQ - novas MP's</t>
  </si>
  <si>
    <t>Verificação volume final dose diária + atualização relatório</t>
  </si>
  <si>
    <t>Análise MF V03</t>
  </si>
  <si>
    <t>Alinhamento junto a Supply - novo TCM</t>
  </si>
  <si>
    <t>Atualização cronograma</t>
  </si>
  <si>
    <t>Verificação novo MF</t>
  </si>
  <si>
    <t>Solicitação códigos Edge+ atualização sistema</t>
  </si>
  <si>
    <t>Avaliação necessidades budget 2o semestre</t>
  </si>
  <si>
    <t>Simulação custos retort</t>
  </si>
  <si>
    <t>Rastreabilidade e compilação de custos TP últimos 2 anos + pesquisa Steriflow</t>
  </si>
  <si>
    <t>Planejamento e estudo próximo teste Embrapa</t>
  </si>
  <si>
    <t>Solicitação de amostras fornecedores</t>
  </si>
  <si>
    <t>Osmolalidades MP's</t>
  </si>
  <si>
    <t>Avaliação contrato novo teste + retorno Embrapa</t>
  </si>
  <si>
    <t>Rastreabilidade contratos Embrapa + call Financeiro + planejamento próximo teste</t>
  </si>
  <si>
    <t>Avaliação doc movo mix + contato fornecedor + novo código + atualizações sistema</t>
  </si>
  <si>
    <t>Avaliação novas amostras pouches</t>
  </si>
  <si>
    <t>Elaboração doc Trovita</t>
  </si>
  <si>
    <t>Coordenação envio análises EE</t>
  </si>
  <si>
    <t>TB amostras pouches</t>
  </si>
  <si>
    <t>Pré-resultados avaliação novos pouches</t>
  </si>
  <si>
    <t>Contato Embrapa - planejamento próximo teste</t>
  </si>
  <si>
    <t>Atualização planilha testes</t>
  </si>
  <si>
    <t>Avaliação PDS novo mix + assinatura</t>
  </si>
  <si>
    <t>TAP novos pouches + avaliação visual HN</t>
  </si>
  <si>
    <t>Planejamento TB novos pouches</t>
  </si>
  <si>
    <t>Coordenação eplanejamento próximo teste Embrapa</t>
  </si>
  <si>
    <t>Planejamento envio amostras pouches Embrapa</t>
  </si>
  <si>
    <t>Avaliação docs atualizados fornecedores</t>
  </si>
  <si>
    <t>Avaliação pesos módulos</t>
  </si>
  <si>
    <t>Compilaçao dados pesos módulos</t>
  </si>
  <si>
    <t>Atualização área Técnica - status projeto</t>
  </si>
  <si>
    <t>Contato Firmenich</t>
  </si>
  <si>
    <t>Planejamento novo TB</t>
  </si>
  <si>
    <t>Descrição projeto - relatório</t>
  </si>
  <si>
    <t>Atualizaçãop procedimento testes piloto</t>
  </si>
  <si>
    <t>Elaboração novo MF</t>
  </si>
  <si>
    <t>TB aromas</t>
  </si>
  <si>
    <t>Planejamento amostras para envio Científico</t>
  </si>
  <si>
    <t>Avaliação doumento</t>
  </si>
  <si>
    <t>Discussão técnica TI</t>
  </si>
  <si>
    <t>Discussão interna</t>
  </si>
  <si>
    <t>Discussão área Técnica</t>
  </si>
  <si>
    <t>Compartilhamento com TI + atualização doc</t>
  </si>
  <si>
    <t>Alinhamento laboratório - metodologias chinesas</t>
  </si>
  <si>
    <t>Pesquisa artigos estabilidade</t>
  </si>
  <si>
    <t>Coordenação e discussão entre áreas - TP</t>
  </si>
  <si>
    <t>Discussão técnica nova MP entre áreas</t>
  </si>
  <si>
    <t>Coordenação TP + avaliação CoA's</t>
  </si>
  <si>
    <t>Call fornecedor - novo WPI</t>
  </si>
  <si>
    <t>Auxílio GQ - WPI</t>
  </si>
  <si>
    <t>Planejamento teste Dupont</t>
  </si>
  <si>
    <t>Pesagem e envio MP's teste Dupont</t>
  </si>
  <si>
    <t>Elaboração IF teste Dupont + elaboração novas specs em inglês</t>
  </si>
  <si>
    <t>Coordenação teste Dupont</t>
  </si>
  <si>
    <t>Discussão técnica mkt</t>
  </si>
  <si>
    <t>Planejamento + cronograma 2021</t>
  </si>
  <si>
    <t>Verificação laudos Diamax IG x Retort IG</t>
  </si>
  <si>
    <t>Revisão POP-EE</t>
  </si>
  <si>
    <t>Discussão técnica junto ao fornecedor</t>
  </si>
  <si>
    <t>Contato fornecedor - nova MP</t>
  </si>
  <si>
    <t>Análise FQ concorrentes</t>
  </si>
  <si>
    <t>Discussão técnica GQ - specs Castro</t>
  </si>
  <si>
    <t>Atualizações sistema - embalagens</t>
  </si>
  <si>
    <t>Mistura MP's Energyzip &gt; ácido fólico</t>
  </si>
  <si>
    <t>Atualizações sistema - nova MP</t>
  </si>
  <si>
    <t>Avaliação FT's novos óleos</t>
  </si>
  <si>
    <t>Elaboração novas specs em inglês</t>
  </si>
  <si>
    <t>Call Supply - nova MP + ajustes MF E. Morango</t>
  </si>
  <si>
    <t>Auxílio GQ - spec CaCO3</t>
  </si>
  <si>
    <t>Análise FQ T9 - Trophic EP</t>
  </si>
  <si>
    <t>Avaliação FT nova MP + atualizações sistema</t>
  </si>
  <si>
    <t>Publicação specs</t>
  </si>
  <si>
    <t>Avaliação FT novas MP's + novo fornecedor + resultados TP Sustenlac</t>
  </si>
  <si>
    <t>Avaliação CoA's nova MP</t>
  </si>
  <si>
    <t>Ajuste MF - mistura mixes (E. Morango)</t>
  </si>
  <si>
    <t>TB's novas MP's</t>
  </si>
  <si>
    <t>Apresentação insights Ganepão 2020</t>
  </si>
  <si>
    <t>Avaliação FT novo fornecedor potes</t>
  </si>
  <si>
    <t>Discussão técnica resultados + avaiação FT mix 1.5</t>
  </si>
  <si>
    <t>Contato UFJF</t>
  </si>
  <si>
    <t>Contato UFJF - planta UHT</t>
  </si>
  <si>
    <t>Call Industrial - novo processo mistura/envase</t>
  </si>
  <si>
    <t>Avaliação HS latas recravadas</t>
  </si>
  <si>
    <t>Auxílio Científico- goma guar</t>
  </si>
  <si>
    <t>Planejamento produção Prodiet</t>
  </si>
  <si>
    <t>Ajustes Junior Líq - PL</t>
  </si>
  <si>
    <t>Call Científico - Júnior Líq -PL</t>
  </si>
  <si>
    <t>Ajuste MF Junior líq</t>
  </si>
  <si>
    <t>Elaboração relatório TB pouches Mondi</t>
  </si>
  <si>
    <t>Planejamento itinerário teste Embrapa</t>
  </si>
  <si>
    <t>Planejamento novo TB pouches</t>
  </si>
  <si>
    <t>TB pouches</t>
  </si>
  <si>
    <t>Planejamento receitas próximo teste retort</t>
  </si>
  <si>
    <t>Análises FQ T6A/T6LD</t>
  </si>
  <si>
    <t>Planejamento receitas próximo teste retort + contato fornecedor adaptadores</t>
  </si>
  <si>
    <t>Atualização MF receitas retort</t>
  </si>
  <si>
    <t>Discussão técnica - embalagens x mkt</t>
  </si>
  <si>
    <t>Teste selagem pouch</t>
  </si>
  <si>
    <t>Contato Embrapa - teste prévio pouch</t>
  </si>
  <si>
    <t>Discussão técnica ajustes receitas</t>
  </si>
  <si>
    <t>Call Embrapa</t>
  </si>
  <si>
    <t>Teste selagem pouch + alteração vôo teste Embrapa</t>
  </si>
  <si>
    <t>Contato fornecedor + ajustes MF + atualizações SP e Protheus</t>
  </si>
  <si>
    <t>Call Industrial + planejamento teste - pouches</t>
  </si>
  <si>
    <t>Atualização EEALD com resultados FQ + relatório adaptadores</t>
  </si>
  <si>
    <t>Planejamento teste pouch</t>
  </si>
  <si>
    <t>TB pouches + call fornecedor</t>
  </si>
  <si>
    <t>Ajustes MF + coordenação teste Embrapa</t>
  </si>
  <si>
    <t>Estruturação painel teste retort + compartilhamento com responsáveis</t>
  </si>
  <si>
    <t>Contato fornecedor adaptadores</t>
  </si>
  <si>
    <t>Documentos retort x Industrial</t>
  </si>
  <si>
    <t>Planejamento itinerário teste Embrapa´+ planejamento TB pouch</t>
  </si>
  <si>
    <t>Avaliação microbiologia novos produtos</t>
  </si>
  <si>
    <t>Avaliação FT + solicitação análises embalagem</t>
  </si>
  <si>
    <t>TB sensorial</t>
  </si>
  <si>
    <t>Planejamento atividades lab + envio amostra para sensorial</t>
  </si>
  <si>
    <t>BASF Business Innovation - ômegas</t>
  </si>
  <si>
    <t>Avaliação FT ômega + contato fornecedor</t>
  </si>
  <si>
    <t>Contato fornecedor - ômega</t>
  </si>
  <si>
    <t>Contato fornecedor + avaliação aminograma + planejamento formulação</t>
  </si>
  <si>
    <t>Discussão técnica fornecedor (aminograma) + planejamento formulação</t>
  </si>
  <si>
    <t>Discussão técnica - aminograma</t>
  </si>
  <si>
    <t>Planejamento envio análise aminograma</t>
  </si>
  <si>
    <t>Avaliação aminograma x fornecedor</t>
  </si>
  <si>
    <t>Contato fornecedor - aminograma</t>
  </si>
  <si>
    <t>Elaboração relatório TB novo WPI</t>
  </si>
  <si>
    <t>Atualizações sistema novo WPI</t>
  </si>
  <si>
    <t>Discussão técnica interna - aminograma</t>
  </si>
  <si>
    <t>Avaliação processo produção + embalagens Tetra Pak</t>
  </si>
  <si>
    <t>Avaliação processo produção + embalagens Tetra Pak + elaboração documento P&amp;D</t>
  </si>
  <si>
    <t>Ajuste MF + elaboração relatório nova MP</t>
  </si>
  <si>
    <t>Envio calibração viscosímetro</t>
  </si>
  <si>
    <t>Discussão técnica - ajuste MF E. Morango</t>
  </si>
  <si>
    <t>Discussão técnica interna - embalagens x AR</t>
  </si>
  <si>
    <t>Planejamento TP novas MP's Castrolanda + contato fornecedor</t>
  </si>
  <si>
    <t>Avaliação CoA CasCa TP Castro</t>
  </si>
  <si>
    <t>Atualizações sistema - nova malto</t>
  </si>
  <si>
    <t>Discussão técnica novas MP's - Supply, GQ</t>
  </si>
  <si>
    <t>Envio Trophic Soya 1.5 - aminograma + planejamento TP novo monodi</t>
  </si>
  <si>
    <t>Teste IF Protheus</t>
  </si>
  <si>
    <t>TB novo leite</t>
  </si>
  <si>
    <t>Treinamento processo - funcionária AR + atualização sistema novo monodi + nova estrutura E.morango</t>
  </si>
  <si>
    <t>Planejamento TP novo monodi</t>
  </si>
  <si>
    <t>Auxílio Comercial Interno - E.morango</t>
  </si>
  <si>
    <t>Análise FQ + compilação resultados produto concorrente</t>
  </si>
  <si>
    <t>Planejamento TP novas MP's Castrolanda</t>
  </si>
  <si>
    <t>Elaboração IF's testes novas MP's Castrolanda + avaliação CoA's novo TCM líquido</t>
  </si>
  <si>
    <t>Validação IF's Castrolanda - TP novas MP's + elaboração specs premixes</t>
  </si>
  <si>
    <t>Análise FQ - T9LD E. Morango e Trophic 1.5</t>
  </si>
  <si>
    <t>Apresentação prebióticos - CPKelco x Prodiet</t>
  </si>
  <si>
    <t>Respostas call Suíça - dúvidas técnicas</t>
  </si>
  <si>
    <t>Apresentação highlights ESPEN 2020</t>
  </si>
  <si>
    <t>Apresentação sachê + histórico desenvolvimento</t>
  </si>
  <si>
    <t>Análise O2</t>
  </si>
  <si>
    <t>Apresentação racional desenvolvimento novo mix</t>
  </si>
  <si>
    <t>Atualização relatório adaptadores + contato Embrapa</t>
  </si>
  <si>
    <t>Contato fornecedor pouch + discussão técnica interna mixes</t>
  </si>
  <si>
    <t>Planejamento teste Embrapa/RJ</t>
  </si>
  <si>
    <t>Discussão técnica com mkt/supply + planejamento teste Embrapa/RJ + estudo diferentes autoclaves</t>
  </si>
  <si>
    <t>Avaliação checklist autoclave + estudo autoclaves</t>
  </si>
  <si>
    <t>Treinamento processo - funcionária AR</t>
  </si>
  <si>
    <t>Atualização relatório adaptadores + plotagem planta concorrentes</t>
  </si>
  <si>
    <t>Discussão técnica checklist autoclave</t>
  </si>
  <si>
    <t>Avaliação agenda evento NIZO</t>
  </si>
  <si>
    <t>Discussão técnica - fornecedor pouches + compilação dados próximos passos (teste envasadora)</t>
  </si>
  <si>
    <t>Planejamento teste Embrapa/RJ + conferência teórica qtd MP's para emissão de NF</t>
  </si>
  <si>
    <t>Conferência física receitas teste Embrapa/RJ + separação pouches</t>
  </si>
  <si>
    <t>Alteração itinerário viagem</t>
  </si>
  <si>
    <t>Elaboração IF's retort + ajustes MF</t>
  </si>
  <si>
    <t>Planejamento detalhes finais teste Embrapa/RJ</t>
  </si>
  <si>
    <t>Atualização IF's teste Embrapa/RJ + viagem</t>
  </si>
  <si>
    <t>Contato Embrapa - relatório autoclave + elaboração relatório teste + discussão técnica checklist autoclave</t>
  </si>
  <si>
    <t>Solicitação novas amostras pouches + contato fornecedor misturador + elaboração relatório</t>
  </si>
  <si>
    <t>Alteração itinerário aéreo teste Embrapa/RJ</t>
  </si>
  <si>
    <t>Elaboração relatório teste Embrapa</t>
  </si>
  <si>
    <t>Elaboração relatório teste Embrapa + elaboração painel evolução testes + discussão técnica fornecedor autoclave</t>
  </si>
  <si>
    <t>Análises FQ teste retort</t>
  </si>
  <si>
    <t>Atualização relatório + discussão interna resultados FQ</t>
  </si>
  <si>
    <t>Contato fornecedores misturador alto cisalhamento</t>
  </si>
  <si>
    <t>Compilação NF's teste Embrapa/RJ</t>
  </si>
  <si>
    <t>Solicitação orçamento análises TPVA e TPO2</t>
  </si>
  <si>
    <t>Atualização SP - orçamento Ital</t>
  </si>
  <si>
    <t>Contato Instituto Mauá - análise TPVA e TPO2</t>
  </si>
  <si>
    <t>Discussão técnica fornecedor EPA+DHA</t>
  </si>
  <si>
    <t>Planejamento envio kit Aqia</t>
  </si>
  <si>
    <t>Discussão técnica - TI</t>
  </si>
  <si>
    <t>Solicitação criação códigos</t>
  </si>
  <si>
    <t>Contato fornecedor misturador alto cisalhamento</t>
  </si>
  <si>
    <t>Avaliação sustentabilidade x pouch retort</t>
  </si>
  <si>
    <t>Discussão técnica novas possibilidades MP</t>
  </si>
  <si>
    <t>Contato fornecedores novas MPs</t>
  </si>
  <si>
    <t>Avaliação docs misturador alto cisalhamento + compilação de dados dos testes</t>
  </si>
  <si>
    <t>Estruturação dados sobre novo PA</t>
  </si>
  <si>
    <t>Rastreabilidade despesas teste Embrapa</t>
  </si>
  <si>
    <t>Discussão técnica e avaliação validação equipamentos Castrolanda/Codap</t>
  </si>
  <si>
    <t>Análise embalagens Edge</t>
  </si>
  <si>
    <t>Planejamento atividades laboratório + contato fornecedor ômegas</t>
  </si>
  <si>
    <t>Contato Embrapa - documentos autoclave</t>
  </si>
  <si>
    <t>Análise viscosidade - Trophic Soya</t>
  </si>
  <si>
    <t>Análises FQ HN e NHcF</t>
  </si>
  <si>
    <t>Elaboração FT's premixes (após avaliação SD + resultados EE)</t>
  </si>
  <si>
    <t>Avaliação docs diluentes premix MCassab 201160 + retorno fornecedor</t>
  </si>
  <si>
    <t>Contato novo fornecedor de óleos + discussão técnica perfil nutricional óleos</t>
  </si>
  <si>
    <t>Rastreabilidade e avaliação diferentes PA's - aderência produto na embalagem</t>
  </si>
  <si>
    <t>Avaliação documentos novos premixes + contato fornecedor misturador alto cisalhamento</t>
  </si>
  <si>
    <t>Planejamento atividades laboratório + análises FQ fórmulas R e CNa</t>
  </si>
  <si>
    <t>Atualização EEALD's fórmulas R e CNa + interpretação dos resultados</t>
  </si>
  <si>
    <t>Coordenação TP novo WPI IMCD</t>
  </si>
  <si>
    <t>Contato fornecedor - análise aminoácidos</t>
  </si>
  <si>
    <t>Avaliação novas FT's premixes + planejamento atividades lab</t>
  </si>
  <si>
    <t>Contato Instituto Mauá - entendimento análises em embalagem</t>
  </si>
  <si>
    <t>Atualização planilhia testes P&amp;D</t>
  </si>
  <si>
    <t>Análise budget 2020 - envio amostras pouches para próximo teste</t>
  </si>
  <si>
    <t>Contato fornecedor nova MP + entendimento benefícios</t>
  </si>
  <si>
    <t>Planejamento atividades laboratório + treinamento envio de amostras para lab externo</t>
  </si>
  <si>
    <t>Compilação documentos de MP's</t>
  </si>
  <si>
    <t>Treinamento envio de amostras para lab externo + elaboração formulário para envio de amostra</t>
  </si>
  <si>
    <t>TB aplicação WPI Sooro em PA + Análise sensorial WPI padrão x Sooro</t>
  </si>
  <si>
    <t>Encaminhamento para análise externa pós TP - novas MP's CasCa e TCM líq</t>
  </si>
  <si>
    <t>Sensorial premix MCassab 201160 (renal) + TB premix MCassab 201160 (renal)</t>
  </si>
  <si>
    <t>Alinhamento técnico com Supply e Q - novas MP's</t>
  </si>
  <si>
    <t>Avaliação e retorno - empedramento</t>
  </si>
  <si>
    <t>Atualização relatório novo WPI</t>
  </si>
  <si>
    <t>Elaboração relatório novo mix MCassab</t>
  </si>
  <si>
    <t>Elaboração relatório novo monodi</t>
  </si>
  <si>
    <t>Planejamento envio amostras TP para sensorial</t>
  </si>
  <si>
    <t>Contato TI - opções empresas</t>
  </si>
  <si>
    <t>Análise prévia - relatório planta piloto</t>
  </si>
  <si>
    <t>Desenvolvimento novo mix + planejamento TP</t>
  </si>
  <si>
    <t>Planejamento atividades laboratório + análise viscosidade e osmolalidade NHcF</t>
  </si>
  <si>
    <t>Análise sensorial VP</t>
  </si>
  <si>
    <t>Análises FQ Trophic Basic, Energyzip Chocolate, Trophic Fiber e Energyzip 1.0</t>
  </si>
  <si>
    <t>Contato laboratório - análise nova MP</t>
  </si>
  <si>
    <t>Alinhamento técnico - atividades P&amp;D</t>
  </si>
  <si>
    <t>Compartilhamento novas FT premixes com Q</t>
  </si>
  <si>
    <t>Contato fornecedores misturador alto cisalhamento + avaliação teste Jupack novos pouches</t>
  </si>
  <si>
    <t>Planejamento TB novo monodi + elaboração specs aromas + leitura POP pHmetro</t>
  </si>
  <si>
    <t>Solicitação modelo spec embalagem</t>
  </si>
  <si>
    <t>Atualização EEALD's Trophic Basic, Energyzip Chocolate, Trophic Fiber e Energyzip 1.0</t>
  </si>
  <si>
    <t>Discussão técnica junto a fornecedor - oxidação óleos</t>
  </si>
  <si>
    <t>Elaboração planilha possíveis plantas piloto</t>
  </si>
  <si>
    <t>Contato plantas piloto -  Tetra Pak, Alibra, Doremus, Dupont, Castrolanda</t>
  </si>
  <si>
    <t>Avaliação FT óleo soja + leitura POP Qualificação fornecedores</t>
  </si>
  <si>
    <t>Contato Silverson - misturador próximo teste Embrapa + contato Embrapa + verificação quantidade premixes para teste</t>
  </si>
  <si>
    <t>Planejamento envio osmômetro (atualização equipamento)</t>
  </si>
  <si>
    <t>Cotação equipamentos novo lab P&amp;DI</t>
  </si>
  <si>
    <t>Contato Silverson - disponibilidade misturador próximo teste</t>
  </si>
  <si>
    <t>Atualizações sistema - estrutura Edge</t>
  </si>
  <si>
    <t>Discussão interna - próximo teste</t>
  </si>
  <si>
    <t>Contato PZL - alinhamento sobre osmômetro - análises que não dão resultado + alinhamento técnico Castrolanda</t>
  </si>
  <si>
    <t>Alinhamento interno - padronização processo Castrolanda</t>
  </si>
  <si>
    <t>Planejamento elaboração specs embalagens</t>
  </si>
  <si>
    <t>Avaliação MP's último teste + exposição sobre resultados e planejamento próximo teste</t>
  </si>
  <si>
    <t>Alinhamento IF Protheus</t>
  </si>
  <si>
    <t>Solicitação análise DP + planejamento envio amostras</t>
  </si>
  <si>
    <t>Avaliação cursos para budget 2021</t>
  </si>
  <si>
    <t>Elaboração spec sachê</t>
  </si>
  <si>
    <t>Avaliação visual dietas retort + planejamento próximo teste</t>
  </si>
  <si>
    <t>Entendimento nova planta lab de processo</t>
  </si>
  <si>
    <t>Avaliação necessidades BRDE</t>
  </si>
  <si>
    <t>Avaliação data TP (budget) + agendar junto à Tetra Pak (teste remoto)</t>
  </si>
  <si>
    <t>Planejamento início produção</t>
  </si>
  <si>
    <t>Contato Castrolanda - TP nova malto</t>
  </si>
  <si>
    <t>Avaliação TS para BRDE</t>
  </si>
  <si>
    <t>Planejamento atividades laboratório + análises FQ Energyzip Baunilha</t>
  </si>
  <si>
    <t>Elaboração specs dosadores</t>
  </si>
  <si>
    <t>Checagem despesas retort 2018-2020 BRDE</t>
  </si>
  <si>
    <t>Discussão técnica - análise aminoácidos</t>
  </si>
  <si>
    <t>Alinhamento interno - mix retort + checagem despesas retort 2018-2020 BRDE</t>
  </si>
  <si>
    <t>Alinhamento novo projeto lab junto ao arquiteto</t>
  </si>
  <si>
    <t>Checagem despesas retort 2018-2020 BRDE + alinhamento interno + contato Silverson</t>
  </si>
  <si>
    <t>Auxílio dúvida consultora externa - E. Morango</t>
  </si>
  <si>
    <t>Avaliação retorno fornecedor</t>
  </si>
  <si>
    <t>Solicitação FT's Edge + cx expedição</t>
  </si>
  <si>
    <t>Elaboração IF teste nova malto</t>
  </si>
  <si>
    <t>Atualização planilhia plantas piloto</t>
  </si>
  <si>
    <t>Webcast Tetra Pak - HSM para requeijão</t>
  </si>
  <si>
    <t>Alinhamento interno - próximos passos produção Castrolanda</t>
  </si>
  <si>
    <t>Inserção estrutura Protheus</t>
  </si>
  <si>
    <t>Avaliação documentos fornecedor</t>
  </si>
  <si>
    <t>Análise resultado macronutrientes - novo CasCa</t>
  </si>
  <si>
    <t>Planejamento atividades laboratório + dimensionamento salinha amostras</t>
  </si>
  <si>
    <t>Conferência recebimento pouches próximo teste</t>
  </si>
  <si>
    <t>Análise planilha amostras produtos teste Castrolanda</t>
  </si>
  <si>
    <t>Alinhamento interno - envio amostra PIS análise aminoácidos</t>
  </si>
  <si>
    <t>Avaliação custos análises retort</t>
  </si>
  <si>
    <t>Contato Ital - novo TCM em T. EP</t>
  </si>
  <si>
    <t>Planejamento envio amostras para análise</t>
  </si>
  <si>
    <t>Validação IF TP nova malto</t>
  </si>
  <si>
    <t>Elaboração solicitação envio análise</t>
  </si>
  <si>
    <t>Checagem despesas retort 2018-2020 BRDE + overview 2021</t>
  </si>
  <si>
    <t>Atualizações sistema novo CasCa aprovado + contato Supply e fornecedor</t>
  </si>
  <si>
    <t>Avaliação novas FT's premixes + checagem SD + atualizações sistema</t>
  </si>
  <si>
    <t>Verificação estoque Mg(OH)2</t>
  </si>
  <si>
    <t>Planejamento envio por transportadora - amostras para análise externa</t>
  </si>
  <si>
    <t>Planejamento atividades laboratório + envio de amostras para análise</t>
  </si>
  <si>
    <t>Apresentação projeto novos labs</t>
  </si>
  <si>
    <t>Planejamento 2021</t>
  </si>
  <si>
    <t>Análise retorno fornecedor junto à TI</t>
  </si>
  <si>
    <t>Avaliação resultados DP</t>
  </si>
  <si>
    <t>Avaliação projeto lab P&amp;DI</t>
  </si>
  <si>
    <t>Contato Embrapa</t>
  </si>
  <si>
    <t>Livestream Fi Europe</t>
  </si>
  <si>
    <t>Atualização IF TP nova malto</t>
  </si>
  <si>
    <t>Avaliação laudos DP</t>
  </si>
  <si>
    <t>Atualizações sistema + avaliação FT mix minerais</t>
  </si>
  <si>
    <t>Alinhamento interno junto ao mkt</t>
  </si>
  <si>
    <t>Contato Castrolanda - nova IF</t>
  </si>
  <si>
    <t>Contato Castrolanda novo SKU</t>
  </si>
  <si>
    <t>Fi Europe Connect</t>
  </si>
  <si>
    <t>Alinhamento 1a produção</t>
  </si>
  <si>
    <t>Avaliação pouch estrutura Al</t>
  </si>
  <si>
    <t>Discussão técnica fornecedor hidrocolóides</t>
  </si>
  <si>
    <t>Compilação documentos</t>
  </si>
  <si>
    <t>Retorno PCP - desenvolvimento novo CasCa</t>
  </si>
  <si>
    <t>Contato Embrapa próximo teste</t>
  </si>
  <si>
    <t>Avaliação planta novo lab P&amp;D</t>
  </si>
  <si>
    <t>Discussão técnica Tetra Pak - misturador HSM</t>
  </si>
  <si>
    <t>Contato NIZO - estabilidade formulações</t>
  </si>
  <si>
    <t>Alinhamento interno</t>
  </si>
  <si>
    <t>Contato fabricante osmômetro - entendimento análise + atualização equipamento</t>
  </si>
  <si>
    <t>Atualização painel pouches</t>
  </si>
  <si>
    <t>Contato fabricante osmômetro (atualização equipamento) + contato NIZO + contato Embrapa</t>
  </si>
  <si>
    <t>Atualização EEALD E. Baunilha T3 + análises viscosidade produtos teste novembro</t>
  </si>
  <si>
    <t>Contato fabricante osmômetro (atualização equipamento)  + contato Embrapa</t>
  </si>
  <si>
    <t>Envio novas especificações Prodiet para Q</t>
  </si>
  <si>
    <t>Entendimento uso PIS - estabilização de fórmula</t>
  </si>
  <si>
    <t>Contato Tetra Pak (HSM) + contato CEAMSA (hidrocolóides)</t>
  </si>
  <si>
    <t>Kick-off projeto</t>
  </si>
  <si>
    <t>Coordenação envio docs 1a produção</t>
  </si>
  <si>
    <t>Atualização specs premixes</t>
  </si>
  <si>
    <t>Discussão técnica NIZO (estabilidade formulações)</t>
  </si>
  <si>
    <t>Planejamento teste Trophic Junior líquido</t>
  </si>
  <si>
    <t>Contato Tetra Pak (HSM)</t>
  </si>
  <si>
    <t>Contato Dupont (aminograma)</t>
  </si>
  <si>
    <t>Confirmação unidades por caixa</t>
  </si>
  <si>
    <t>Avaliação FT's novos premixes (próximo teste)</t>
  </si>
  <si>
    <t>Discussão técnica interna</t>
  </si>
  <si>
    <t>Avaliação FT novo citrato K</t>
  </si>
  <si>
    <t>Discussão técnica interna - novos premixes</t>
  </si>
  <si>
    <t>Discussão técnica interna - novos premixes (Junior líquido)</t>
  </si>
  <si>
    <t>Análises viscosidade produtos teste novembro</t>
  </si>
  <si>
    <t>Contato Sweetmix - nova MP palationse</t>
  </si>
  <si>
    <t>Avaliação NDA NIZO</t>
  </si>
  <si>
    <t>Sensorial nova MP sucralose após TP</t>
  </si>
  <si>
    <t>Webcast NIZO + Análises viscosidade produtos teste novembro</t>
  </si>
  <si>
    <t>Avaliação bancada - pouch com Al</t>
  </si>
  <si>
    <t>Avaliação e preenchimento contraro próximo teste Junior líquido</t>
  </si>
  <si>
    <t>Atualização resultados viscosidades + análise crítica + Atualização EEALD E. Baunilha</t>
  </si>
  <si>
    <t>Avaliação laudo TCM Concepta no TP T. EP + contato Braseq resultados viscosidades</t>
  </si>
  <si>
    <t>Apresentação congresso BRAIN</t>
  </si>
  <si>
    <t>Trâmites fiscais internos - NF osmômetro</t>
  </si>
  <si>
    <t>Atualização specs premixes + publicação SP</t>
  </si>
  <si>
    <t>Alinhamento alterações sequenciamento produção Castrolanda</t>
  </si>
  <si>
    <t>Avaliação resultados teste envasadora Jupack x diferentes pouches</t>
  </si>
  <si>
    <t>Retorno DSM - novos premixes Junior líquido</t>
  </si>
  <si>
    <t>Coordenação documentos Castrolanda</t>
  </si>
  <si>
    <t>Revisão POP viscosímetro + revisão POP osmômetro</t>
  </si>
  <si>
    <t>Contato PZL</t>
  </si>
  <si>
    <t>Entendimento modelo autoclave Embrapa</t>
  </si>
  <si>
    <t>Revisão POP composição MF + revisão POP correção pH + revisão POP teste de bancada</t>
  </si>
  <si>
    <t>Atualizações sistema + MF V07</t>
  </si>
  <si>
    <t>Solicitação FT's inglês - Grécia</t>
  </si>
  <si>
    <t>Atualizações MF V07</t>
  </si>
  <si>
    <t>Elaboração relatório nova sucralose</t>
  </si>
  <si>
    <t>Avaliação manchas E. Morango + discussão interna</t>
  </si>
  <si>
    <t>Avaliação documentos próximo teste Junior líquido</t>
  </si>
  <si>
    <t>Discussão técnica - aminograma produtos soja</t>
  </si>
  <si>
    <t>Análise premix vitaminas (colina x validade)</t>
  </si>
  <si>
    <t>Investigação manchas E. Morango</t>
  </si>
  <si>
    <t>Análise FQ Trophic EP T12 + TB novo CasCa Alibra com KOH</t>
  </si>
  <si>
    <t>Elaboração IF teste + preenchimento documentos Tetra Pak - Junior líquido</t>
  </si>
  <si>
    <t>Atualizações sistema novo TCM líq + ajustes estrutura Diamax (PCP)</t>
  </si>
  <si>
    <t>Apresentação evento Fi Europe Connect</t>
  </si>
  <si>
    <t>Avaliação proposta Embrapa próximo teste</t>
  </si>
  <si>
    <t>Ajuste IF E. Morango com balança de premixes + atualizações sistema novo TCM líquido</t>
  </si>
  <si>
    <t>Avaliação FT's óleos Cargill (atualizadas) + atualização SP e Protheus / avaliação docs novo citrato K</t>
  </si>
  <si>
    <t>Planejamento próximo teste Embrapa + entendimento uso anti-espumante</t>
  </si>
  <si>
    <t>Planejamento TP emergencial</t>
  </si>
  <si>
    <t>Pesquisa e compra de produtos concorrentes (aminograma)</t>
  </si>
  <si>
    <t>Trâmites internos - RDV compra produtos concorrentes</t>
  </si>
  <si>
    <t>Planejamento TP emergencial + Avaliação sensorial - novo citrato K / Atualizçaão EEALD T. EP T12LD / Ajustes IF's Castro - produção janeiro/21 (Sucralose Kanbo + Manimalto + CasCa EM9 + TCM Concepta)</t>
  </si>
  <si>
    <t>Atualizações sistema novo citrato K + elaboração IF TP + coordenação TP</t>
  </si>
  <si>
    <t>Discussão técnica fornecedor envasadora manual Cetro + planejamento envio produtos teste</t>
  </si>
  <si>
    <t>Coordenação envio produtos concorrentes e retort - NPAL aminograma</t>
  </si>
  <si>
    <t>Planejamento próximo teste Embrapa + coleta pouches</t>
  </si>
  <si>
    <t>Planejamento envio produtos teste</t>
  </si>
  <si>
    <t>Atualização specs aromas + publicação sistema</t>
  </si>
  <si>
    <t>Alinhamento próximo teste sachê</t>
  </si>
  <si>
    <t>Validação IF's Castro (TP Citrato K Aksell + E. Morango com balanço de mixes)</t>
  </si>
  <si>
    <t>Avaliação propostas software</t>
  </si>
  <si>
    <t>Avaliação laudos OS 7007 x spec</t>
  </si>
  <si>
    <t>Elaboração novo MF HH - premixes</t>
  </si>
  <si>
    <t>Discussão técnica novos premixes</t>
  </si>
  <si>
    <t>Alinhamento interno - salinha P&amp;D</t>
  </si>
  <si>
    <t>Avaliação documentos premixes - Junior líquido</t>
  </si>
  <si>
    <t>Elaboração relatório novo CasCa Alibra com KOH</t>
  </si>
  <si>
    <t>Avaliação dosadores</t>
  </si>
  <si>
    <t>Hellin dos Santos</t>
  </si>
  <si>
    <t>Pesquisa Básica protocolo pesquisa clínica</t>
  </si>
  <si>
    <t>Pesquisa Básica - treinamento</t>
  </si>
  <si>
    <t>Pesquisa Básica Projeto Pediatria - fórmula junior líquido</t>
  </si>
  <si>
    <t>Pesquisa Básica Projeto micronutrientes</t>
  </si>
  <si>
    <t>Pesquisa Clínica - discussão dos resultados</t>
  </si>
  <si>
    <t>Pesquisa Básica novos materiais de treinamento</t>
  </si>
  <si>
    <t>Pesquisa Básica - treinamento/novo material</t>
  </si>
  <si>
    <t>Pesquisa Básica - treinamento/ novo material</t>
  </si>
  <si>
    <t>Pesquisa Básica-material treinamento Comex</t>
  </si>
  <si>
    <t>Pesquisa Básica - novo material</t>
  </si>
  <si>
    <t>Pesquisa Básica - protocolo de pesquisa clínica</t>
  </si>
  <si>
    <t>Material pesquisa</t>
  </si>
  <si>
    <t>Material Comex</t>
  </si>
  <si>
    <t>Pesquisa Básico - micronutrientes</t>
  </si>
  <si>
    <t>Congresso AAIC - Doença de Alzheimer - participação como ouvinte - estudo/ pesquisa básica</t>
  </si>
  <si>
    <t>Pesquisa Básica AAIC</t>
  </si>
  <si>
    <t>Pesquisa Clínica</t>
  </si>
  <si>
    <t>Pesquisa Básica - Treinamento</t>
  </si>
  <si>
    <t>Pesquisa Básica - conteúdo para materiais Prodiet</t>
  </si>
  <si>
    <t>Curso LLL - Pesquisa Básica</t>
  </si>
  <si>
    <t>Pesquisa Básica - treinamento com Cunnane</t>
  </si>
  <si>
    <t>Pesquisa clínica</t>
  </si>
  <si>
    <t>pesquisa básica materiais</t>
  </si>
  <si>
    <t>Curso de Pesquisa Clínica</t>
  </si>
  <si>
    <t>Treinamento</t>
  </si>
  <si>
    <t>Pesquisa Básica</t>
  </si>
  <si>
    <t>pesquisa básica - aminograma</t>
  </si>
  <si>
    <t>Treinamento - congresso BRAIN</t>
  </si>
  <si>
    <t>Pesquisa Bpasica de adequação nutricional</t>
  </si>
  <si>
    <t>Pesquisa Básica para frente de pesquisas 2020</t>
  </si>
  <si>
    <t>Pesquisa Básica para frente de pesquisas 2021</t>
  </si>
  <si>
    <t>Simpósio Friesland - eixo cérebro intestino</t>
  </si>
  <si>
    <t>pesquisa clínica artesanal</t>
  </si>
  <si>
    <t>pesquisa clínica UTI</t>
  </si>
  <si>
    <t>pesquisa clínica SARC</t>
  </si>
  <si>
    <t>Pesquisa Básica Congresso Brain</t>
  </si>
  <si>
    <t>Pesquisa Clínica UFRJ - protocolo</t>
  </si>
  <si>
    <t>Pesquisa Básica PIS</t>
  </si>
  <si>
    <t>Pessoal</t>
  </si>
  <si>
    <t>Salario bruto</t>
  </si>
  <si>
    <t>planilha RH</t>
  </si>
  <si>
    <t>RH atualizou online</t>
  </si>
  <si>
    <t>Nome Completo</t>
  </si>
  <si>
    <t>CPF</t>
  </si>
  <si>
    <t>notas</t>
  </si>
  <si>
    <t>Cargo/função</t>
  </si>
  <si>
    <t>Formação</t>
  </si>
  <si>
    <t>Salário 01</t>
  </si>
  <si>
    <t>Salário 02</t>
  </si>
  <si>
    <t>Salário 03</t>
  </si>
  <si>
    <t>Salário 04</t>
  </si>
  <si>
    <t>Salário 05</t>
  </si>
  <si>
    <t>Salário 06</t>
  </si>
  <si>
    <t>Salário 07</t>
  </si>
  <si>
    <t>Salário 08</t>
  </si>
  <si>
    <t>Salário 09</t>
  </si>
  <si>
    <t>Salário 10</t>
  </si>
  <si>
    <t>Salário 11</t>
  </si>
  <si>
    <t>Salário 12</t>
  </si>
  <si>
    <t>PD&amp;I time</t>
  </si>
  <si>
    <t>PD&amp;I (%)</t>
  </si>
  <si>
    <t>Classificação</t>
  </si>
  <si>
    <t>Pesquisador</t>
  </si>
  <si>
    <t xml:space="preserve"> 018.764.779-89 </t>
  </si>
  <si>
    <t>Coord. PCP</t>
  </si>
  <si>
    <t>076.046.519-33</t>
  </si>
  <si>
    <t>Analista Científico</t>
  </si>
  <si>
    <t>759.837.297-72</t>
  </si>
  <si>
    <t>Diretora Técnica</t>
  </si>
  <si>
    <t>PJ</t>
  </si>
  <si>
    <t>066.466.799-67</t>
  </si>
  <si>
    <t>Gerente Mkt</t>
  </si>
  <si>
    <t>083.832.289-10</t>
  </si>
  <si>
    <t>Assistente de P&amp;D</t>
  </si>
  <si>
    <t>796.047.576-87</t>
  </si>
  <si>
    <t>Coord. CQ</t>
  </si>
  <si>
    <t>065.358.929-80</t>
  </si>
  <si>
    <t>Compradora</t>
  </si>
  <si>
    <t>023.493.009-86</t>
  </si>
  <si>
    <t>Coord. Manutenção</t>
  </si>
  <si>
    <t>Flavia Firmano Coelho</t>
  </si>
  <si>
    <t xml:space="preserve">029.717.539-48 </t>
  </si>
  <si>
    <t>Analista AR</t>
  </si>
  <si>
    <t>087.823.469-17</t>
  </si>
  <si>
    <t>058.544.839-63</t>
  </si>
  <si>
    <t>Gerente Cientifico</t>
  </si>
  <si>
    <t>077.680.169-47</t>
  </si>
  <si>
    <t>Analista de GQ</t>
  </si>
  <si>
    <t>052.485.199-93</t>
  </si>
  <si>
    <t>Analista P&amp;D</t>
  </si>
  <si>
    <t>186.586.978-35</t>
  </si>
  <si>
    <t>Gerente Técnica</t>
  </si>
  <si>
    <t>Lucimari Reway dos Santos</t>
  </si>
  <si>
    <t>022.396.139-63</t>
  </si>
  <si>
    <t>Técnico em Alimentos</t>
  </si>
  <si>
    <t>Analista CQ</t>
  </si>
  <si>
    <t>098.146.729-63</t>
  </si>
  <si>
    <t>Superv. produção</t>
  </si>
  <si>
    <t>066.424.199-95</t>
  </si>
  <si>
    <t>Coord. GQ</t>
  </si>
  <si>
    <t>Naíssa Previde Bernardo</t>
  </si>
  <si>
    <t>215.916.758-47</t>
  </si>
  <si>
    <t>Especisalista EEE</t>
  </si>
  <si>
    <t>086.481.459-37</t>
  </si>
  <si>
    <t>Analista MKT</t>
  </si>
  <si>
    <t>Tais Carlotto</t>
  </si>
  <si>
    <t>034.226.309-96</t>
  </si>
  <si>
    <t>Coord. AR</t>
  </si>
  <si>
    <t>Cálculo do custo/hora</t>
  </si>
  <si>
    <t>Encargos sobre folha</t>
  </si>
  <si>
    <t>INSS</t>
  </si>
  <si>
    <t>Patronal</t>
  </si>
  <si>
    <t>FGTS</t>
  </si>
  <si>
    <t>Férias</t>
  </si>
  <si>
    <t>13º</t>
  </si>
  <si>
    <t>RAT</t>
  </si>
  <si>
    <t>Custo / Hora</t>
  </si>
  <si>
    <t>PD&amp;I R$</t>
  </si>
  <si>
    <t>Aprovado R$</t>
  </si>
  <si>
    <t>Feriados</t>
  </si>
  <si>
    <t>quarta-feira</t>
  </si>
  <si>
    <t>Confraternização Universal</t>
  </si>
  <si>
    <t>segunda-feira</t>
  </si>
  <si>
    <t>Carnaval</t>
  </si>
  <si>
    <t>terça-feira</t>
  </si>
  <si>
    <t>sexta-feira</t>
  </si>
  <si>
    <t>Paixão de Cristo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</si>
  <si>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</si>
  <si>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</si>
  <si>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</si>
  <si>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</si>
  <si>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</si>
  <si>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</si>
  <si>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</si>
  <si>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Vespera de natal</t>
  </si>
  <si>
    <t>Natal</t>
  </si>
  <si>
    <t>Véspera de ano novo</t>
  </si>
  <si>
    <t>MATERIAIS</t>
  </si>
  <si>
    <t>SERVIÇOS</t>
  </si>
  <si>
    <t>3.1</t>
  </si>
  <si>
    <t>RECEITAS</t>
  </si>
  <si>
    <t>3.2</t>
  </si>
  <si>
    <t>DEDUCOES DA RECEITA</t>
  </si>
  <si>
    <t>RECEITA LIQUIDA</t>
  </si>
  <si>
    <t>Investimentos</t>
  </si>
  <si>
    <t>Fornecedor</t>
  </si>
  <si>
    <t>CNPJ</t>
  </si>
  <si>
    <t>NF/ND</t>
  </si>
  <si>
    <t>Centro de custo</t>
  </si>
  <si>
    <t>Conta contábil</t>
  </si>
  <si>
    <t>Valor original</t>
  </si>
  <si>
    <t>R$ Incentivavel</t>
  </si>
  <si>
    <t>Data</t>
  </si>
  <si>
    <t>Inovação?</t>
  </si>
  <si>
    <t>Tipo</t>
  </si>
  <si>
    <t>Novas matérias-primas</t>
  </si>
  <si>
    <t>Melhoria de Processo</t>
  </si>
  <si>
    <t>Tipo2</t>
  </si>
  <si>
    <t>Proj incentivado?</t>
  </si>
  <si>
    <t>Aéreo congresso ASPEN</t>
  </si>
  <si>
    <t>NA</t>
  </si>
  <si>
    <t>Aéreo para o congresso da ASPEN</t>
  </si>
  <si>
    <t>Recibo - NA</t>
  </si>
  <si>
    <t>Serviço</t>
  </si>
  <si>
    <t>Serviço de terceiros</t>
  </si>
  <si>
    <t>InstanTH NEO/ Novos produtos</t>
  </si>
  <si>
    <t>Fundação de Apoio à Pesquisa a ao Desenvolvimento - FAPED</t>
  </si>
  <si>
    <t>00.849.774/0001-91</t>
  </si>
  <si>
    <t>Parcela de aluguel de planta Embrapa/RJ</t>
  </si>
  <si>
    <t>NF - 23642</t>
  </si>
  <si>
    <t>ALLPARK EMPREENDIMENTOS PARTICIPACOES SERVICOS S.A</t>
  </si>
  <si>
    <t>60.537.263/0001-66</t>
  </si>
  <si>
    <t>Estacionamento - trabalho externo junto a fornecedor</t>
  </si>
  <si>
    <t>Serviço próprios</t>
  </si>
  <si>
    <t>Anderson Mendonça Lima</t>
  </si>
  <si>
    <t>35.964.728/0001-18</t>
  </si>
  <si>
    <t>Consultoria EE</t>
  </si>
  <si>
    <t>NF - 4</t>
  </si>
  <si>
    <t>NF - 5</t>
  </si>
  <si>
    <t>Produtos em pó e líquidos</t>
  </si>
  <si>
    <t>Andrei Publicações Médicas Farmacêuticas Técnicas Ltda</t>
  </si>
  <si>
    <t>62.958.491/0001-35</t>
  </si>
  <si>
    <t>Publicação de material de comunicação</t>
  </si>
  <si>
    <t>NF - 61411</t>
  </si>
  <si>
    <t>Bemmax Sabor Neutro, Instanth NEO, InstanTH CLEAR (espessante)</t>
  </si>
  <si>
    <t>Bemmax Sabor Neutro, Instant NEO, Instanth Clear</t>
  </si>
  <si>
    <t>NF - 61734</t>
  </si>
  <si>
    <t>NF - 062593</t>
  </si>
  <si>
    <t>NF - 063092</t>
  </si>
  <si>
    <t>NF - 063550</t>
  </si>
  <si>
    <t>Studio MAD Creative Design Ltda - ME</t>
  </si>
  <si>
    <t>11.115.312/0001-67</t>
  </si>
  <si>
    <t>Serviços de marketing</t>
  </si>
  <si>
    <t>NF - 1061</t>
  </si>
  <si>
    <t>Instanth CLEAR</t>
  </si>
  <si>
    <t>B2W VIAGENS E TURISMO LTDA - Submarino viagens</t>
  </si>
  <si>
    <t>06.179.342/0001-05</t>
  </si>
  <si>
    <t>Aéreo teste Tetra Pak (Monte Mor/SP) - fev 2020</t>
  </si>
  <si>
    <t>Recibos - NA</t>
  </si>
  <si>
    <t>Bendito Gosto Eventos Ltda</t>
  </si>
  <si>
    <t>17.194.307/0001-73</t>
  </si>
  <si>
    <t>Coffee break evento InstanTH NEO</t>
  </si>
  <si>
    <t>NF - 2062</t>
  </si>
  <si>
    <t>Braseq Brasileira de Equipamentos Ltda</t>
  </si>
  <si>
    <t>57.017.774/0001-42</t>
  </si>
  <si>
    <t>NF - 201900000012738</t>
  </si>
  <si>
    <t>Produtos líquidos - todos os projetos</t>
  </si>
  <si>
    <t>BRAZILSUL Serviços Administrativos Ltda</t>
  </si>
  <si>
    <t>11.456.079/0001-86</t>
  </si>
  <si>
    <t>Elaboração da minuta para depósito e acompanhamento do pedido de patente</t>
  </si>
  <si>
    <t>NF - 1892</t>
  </si>
  <si>
    <t>Prestação de serviço - patente</t>
  </si>
  <si>
    <t>NF - 2273</t>
  </si>
  <si>
    <t>DECOLAR. COM LTDA - Decolar.com</t>
  </si>
  <si>
    <t>03.563.689/0001-50</t>
  </si>
  <si>
    <t>Hospedagem - Ana Paula - teste Embrapa/RJ - fev 2020</t>
  </si>
  <si>
    <t>Hospedagem - teste Tetra Pak (Monte Mor/SP) - fev 2020</t>
  </si>
  <si>
    <t>despesas de locomoção (uber) e refeições</t>
  </si>
  <si>
    <t>DHL</t>
  </si>
  <si>
    <t>02.836.056/0001-06</t>
  </si>
  <si>
    <t>Importação de amostras de embalagens para teste piloto</t>
  </si>
  <si>
    <t>Invoice - 2940252066</t>
  </si>
  <si>
    <t>Prodiet Nutrição Clínica Ltda</t>
  </si>
  <si>
    <t>08.183.359/0001-53</t>
  </si>
  <si>
    <t>MP para TB</t>
  </si>
  <si>
    <t>NF - 9072</t>
  </si>
  <si>
    <t>Prodiet não lançou em conta contábil específica e nem no centro de custo de inovação. Valor foi contabilizado nos custos e a empresa não irá remover,</t>
  </si>
  <si>
    <t>MP para TP</t>
  </si>
  <si>
    <t>NF - 9066</t>
  </si>
  <si>
    <t>Rafael Silva de Oliveira - Comunicação - EPP</t>
  </si>
  <si>
    <t>17.927.780/0001-12</t>
  </si>
  <si>
    <t>Publicações mkt</t>
  </si>
  <si>
    <t>NF - 685</t>
  </si>
  <si>
    <t>DPR Turismo Ltda.</t>
  </si>
  <si>
    <t>73.506.453/0001-68</t>
  </si>
  <si>
    <t>Fee da agencia Flytour pela operação de locação de carro - teste Embrapa/RJ</t>
  </si>
  <si>
    <t>NF - 45652</t>
  </si>
  <si>
    <t>Elsevier Editora Ltda</t>
  </si>
  <si>
    <t>42.546.531/0001-24</t>
  </si>
  <si>
    <t>Compra de pacote de 200 artigos científicos</t>
  </si>
  <si>
    <t>Invoice - NA</t>
  </si>
  <si>
    <t>Novos produtos</t>
  </si>
  <si>
    <t>FUNDAÇÃO ARTHUR BERNARDES</t>
  </si>
  <si>
    <t>20.320.503/0001-51</t>
  </si>
  <si>
    <t>Aluguel Embrapa/RJ - 1a/4 parcela</t>
  </si>
  <si>
    <t>NF - 202000000000425</t>
  </si>
  <si>
    <t>Aluguel Embrapa/RJ - 2a/4 parcela</t>
  </si>
  <si>
    <t>NF - 202000000000524</t>
  </si>
  <si>
    <t>Aluguel Embrapa/RJ - 3a/4 parcela</t>
  </si>
  <si>
    <t>NF - 202000000000660</t>
  </si>
  <si>
    <t>Nex Coworking</t>
  </si>
  <si>
    <t>19.012.195/0001-18</t>
  </si>
  <si>
    <t>Locação auditório - 1a parcela</t>
  </si>
  <si>
    <t>Locação auditório - 2a parcela</t>
  </si>
  <si>
    <t>Aguzzoli &amp; Aguzzoli Ltda - ME</t>
  </si>
  <si>
    <t>17.196.802/0001-11</t>
  </si>
  <si>
    <t>Apresentação de palestra - mkt</t>
  </si>
  <si>
    <t>NF - 2020/3</t>
  </si>
  <si>
    <t>Área 51 Polo Cultural Ltda</t>
  </si>
  <si>
    <t>22.992.736/0001-26</t>
  </si>
  <si>
    <t>Locação de sala</t>
  </si>
  <si>
    <t>Zupper</t>
  </si>
  <si>
    <t>73.431.686/0010-30</t>
  </si>
  <si>
    <t>Aéreo Rio para acompanhar palestra - mkt</t>
  </si>
  <si>
    <t>Aluguel Embrapa/RJ - 4a/4 parcela</t>
  </si>
  <si>
    <t>NF - 202000000000830</t>
  </si>
  <si>
    <t>Fundação de Apoio à Pesquisa e ao Desenvolvimento - FAPED</t>
  </si>
  <si>
    <t>Aluguel de planta - Embrapa/RJ (6a parcela)</t>
  </si>
  <si>
    <t>NF - 23708</t>
  </si>
  <si>
    <t>Fundação de Apoio à Universidade de São Paulo</t>
  </si>
  <si>
    <t>68.314.830/0001-27</t>
  </si>
  <si>
    <t>Análise de DP</t>
  </si>
  <si>
    <t>NF - 44694</t>
  </si>
  <si>
    <t>Fundação de desenv. da pesquisa do agronegócio - FUNDEPAG</t>
  </si>
  <si>
    <t>50.276.237/0001-78</t>
  </si>
  <si>
    <t>Análise de perfil lipídico</t>
  </si>
  <si>
    <t>NF - 115781</t>
  </si>
  <si>
    <t>Produtos líquidos</t>
  </si>
  <si>
    <t>NF - 115288</t>
  </si>
  <si>
    <t>Trophic Soya 1.5</t>
  </si>
  <si>
    <t>NF - 115287</t>
  </si>
  <si>
    <t>NF - 115195</t>
  </si>
  <si>
    <t>Luiz Volpato Arquitetura S/S</t>
  </si>
  <si>
    <t>08.921.374/0001-51</t>
  </si>
  <si>
    <t>Estudos e projetos arquitetônicos</t>
  </si>
  <si>
    <t>NF - 488</t>
  </si>
  <si>
    <t>NF - 115054</t>
  </si>
  <si>
    <t>NF - 700</t>
  </si>
  <si>
    <t>InstanTH NEO e InstanTH CLEAR (espessante)</t>
  </si>
  <si>
    <t>InstanTH NEO e Instanth Clear</t>
  </si>
  <si>
    <t>NF - 699</t>
  </si>
  <si>
    <t>Studio Madcreative Design Ltda - ME</t>
  </si>
  <si>
    <t>NF - 1104</t>
  </si>
  <si>
    <t>WJ Packaging Solutions Corp</t>
  </si>
  <si>
    <t>Logística de Comex para entrada de embalagens</t>
  </si>
  <si>
    <t>NF - 9171</t>
  </si>
  <si>
    <t>Análise de perfil lipídico - morango</t>
  </si>
  <si>
    <t>NF - 116066</t>
  </si>
  <si>
    <t>NF - 00119004</t>
  </si>
  <si>
    <t>NF - 00119451</t>
  </si>
  <si>
    <t>NF - 00119409</t>
  </si>
  <si>
    <t>Energyzip Baunilha</t>
  </si>
  <si>
    <t>NF - 00119563</t>
  </si>
  <si>
    <t>NF - 116840</t>
  </si>
  <si>
    <t>NF - 00120989</t>
  </si>
  <si>
    <t>NF - 00121162</t>
  </si>
  <si>
    <t>NF - 00121346</t>
  </si>
  <si>
    <t>Immax</t>
  </si>
  <si>
    <t>NF - 00121300</t>
  </si>
  <si>
    <t>NF - 00121781</t>
  </si>
  <si>
    <t>Análise de perfil lipídico (correção do laudo)</t>
  </si>
  <si>
    <t>NF - 117224</t>
  </si>
  <si>
    <t>Transmazili Transporte de Cargas e Logística Ltda</t>
  </si>
  <si>
    <t>14.574.799/0001-34</t>
  </si>
  <si>
    <t>Retorno de produtos-teste da Embrapa/RJ</t>
  </si>
  <si>
    <t>NF - 11861</t>
  </si>
  <si>
    <t>NF - 117007</t>
  </si>
  <si>
    <t>Bemmax Sabor Neutro, Instanth NEO</t>
  </si>
  <si>
    <t>Bemmax Sabor Neutro, Instant NEO</t>
  </si>
  <si>
    <t>Curso Ital - Embalagens plásticas</t>
  </si>
  <si>
    <t>NF - 00118015</t>
  </si>
  <si>
    <t>Produtos pó</t>
  </si>
  <si>
    <t>NF - 00118106</t>
  </si>
  <si>
    <t>Trophic EP</t>
  </si>
  <si>
    <t>NF - 1113</t>
  </si>
  <si>
    <t>InstanTH CLEAR (espessante), InstanTH NEO e Bemmax Sabor Neutro</t>
  </si>
  <si>
    <t>Instanth Clear, InstanTH NEO e Bemmax Sabor Neutro</t>
  </si>
  <si>
    <t>NF - 00110671</t>
  </si>
  <si>
    <t>NF - 00119738</t>
  </si>
  <si>
    <t>Trophic Basic L, Trophic Fiber L, Trophic 1.5, Energyzip Chocolate</t>
  </si>
  <si>
    <t>NF - 00119798</t>
  </si>
  <si>
    <t>HDmax e Instanth NEO</t>
  </si>
  <si>
    <t>HDmax e Instant Neo</t>
  </si>
  <si>
    <t>FUNDAÇÃO EDUCACIONAL CIÊNCIA E DESENVOLVIMENTO FECD</t>
  </si>
  <si>
    <t>03.078.688/0001-10</t>
  </si>
  <si>
    <t>Segunda eatapa pesquisa InstanTH NEO UFRJ</t>
  </si>
  <si>
    <t>NF - 5382</t>
  </si>
  <si>
    <t>Grupo HU Viagens e Turismo S.A. - Hurb</t>
  </si>
  <si>
    <t>12.954.744/0001-24</t>
  </si>
  <si>
    <t>Hospedagem - Lizianne - teste Embrapa/RJ - fev 2020</t>
  </si>
  <si>
    <t>Instituto Cristina Martins Educação e Pesquisa em Nutrição Ltda</t>
  </si>
  <si>
    <t>33.253.322/0001-00</t>
  </si>
  <si>
    <t>Serviço técnico - pesquisa básica sobre nutrientes essecnciais na diálise</t>
  </si>
  <si>
    <t>NF - 75</t>
  </si>
  <si>
    <t>Hdmax</t>
  </si>
  <si>
    <t>J&amp;J Serviços de Entregas Ltda - ME</t>
  </si>
  <si>
    <t>20.618.029/0001-49</t>
  </si>
  <si>
    <t>Envio de amostra para análise</t>
  </si>
  <si>
    <t>NF - 37473</t>
  </si>
  <si>
    <t>Labor Três Laboratórios e Consultoria Técnica Ltda</t>
  </si>
  <si>
    <t>02.021.076/0001-29</t>
  </si>
  <si>
    <t>Análise de Bacillus cereus</t>
  </si>
  <si>
    <t>NF - 38979</t>
  </si>
  <si>
    <t>NF - 38035</t>
  </si>
  <si>
    <t>NF - 36715</t>
  </si>
  <si>
    <t>NF - 39816</t>
  </si>
  <si>
    <t>NF - 40951</t>
  </si>
  <si>
    <t>NF - 41285</t>
  </si>
  <si>
    <t>NF - 42626</t>
  </si>
  <si>
    <t>NF - 40051</t>
  </si>
  <si>
    <t>Immax - etapa final da Pesquisa Clínica, ProteinPT e CarboCH</t>
  </si>
  <si>
    <t>Immax, ProteinPT e CarboCH</t>
  </si>
  <si>
    <t>NF - 40386</t>
  </si>
  <si>
    <t>Retort (Sistema Fechado) e Energyzip morango</t>
  </si>
  <si>
    <t>AD Literam Tradutores Associados Eireli</t>
  </si>
  <si>
    <t>04.498.297/0001-18</t>
  </si>
  <si>
    <t>Tradução de material publicitário</t>
  </si>
  <si>
    <t>NF - 445</t>
  </si>
  <si>
    <t>NF - 43919</t>
  </si>
  <si>
    <t>NF - 40716</t>
  </si>
  <si>
    <t>Trophic EP e HDmax</t>
  </si>
  <si>
    <t>NF - 44878</t>
  </si>
  <si>
    <t>NF - 41668</t>
  </si>
  <si>
    <t>Energyzip baunilha, Energyzip 1.0</t>
  </si>
  <si>
    <t>NF - 41951</t>
  </si>
  <si>
    <t>Trophic Basic, Trophic Fiber, Trophic 1.5 e Energyzip Chocolate</t>
  </si>
  <si>
    <t>NF - 42110</t>
  </si>
  <si>
    <t>Bemmax Sabor Neutro, InstanTH NEO, HDmax e Energyzip Morango</t>
  </si>
  <si>
    <t>NF - 43372</t>
  </si>
  <si>
    <t>Retort (Sistema Fechado) e Immax - etapa final da Pesquisa Clínica</t>
  </si>
  <si>
    <t>Retort (Sistema Fechado) e Immax</t>
  </si>
  <si>
    <t>NF - 00118237</t>
  </si>
  <si>
    <t>ANKofis Consulting Ltd</t>
  </si>
  <si>
    <t>Consultoria produtos Turquia</t>
  </si>
  <si>
    <t>NF - ANK-192020</t>
  </si>
  <si>
    <t>NF - 062231</t>
  </si>
  <si>
    <t>Desenvolvimento de peças e materiais de publicação</t>
  </si>
  <si>
    <t>NF - 716</t>
  </si>
  <si>
    <t>NF - 44455</t>
  </si>
  <si>
    <t>InstanTH NEO, Trophioc Soya 1.5, HDmax 2.0</t>
  </si>
  <si>
    <t>KONTIK FRANSTUR VIAGENS E TURISMO LTDA</t>
  </si>
  <si>
    <t>aéreo POA - evento InstanTH NEO</t>
  </si>
  <si>
    <t>aéreo Rio - para acompanhar a pesquisa pré-clínica InstanTH NEO</t>
  </si>
  <si>
    <t>Análise de Esterilidade Comercial - NN, CG, HN</t>
  </si>
  <si>
    <t>NF - 38598</t>
  </si>
  <si>
    <t>NF - 00040654</t>
  </si>
  <si>
    <t>Laboratório ALAC Ltda</t>
  </si>
  <si>
    <t>94.088.952/0001-52</t>
  </si>
  <si>
    <t>Análise de vitaminas de produto concorrente e análise de fibras</t>
  </si>
  <si>
    <t>NF - 56566</t>
  </si>
  <si>
    <t>Energyzip Fiber e Diamax IG</t>
  </si>
  <si>
    <t>NF - 1198</t>
  </si>
  <si>
    <t>InstanTH NEO, Bemmax Sabor Neutro e módulos</t>
  </si>
  <si>
    <t>GS1 BRASIL - ASSOCIAÇÃO BRASILEIRA DE AUTOMAÇÃO</t>
  </si>
  <si>
    <t>53.197.141/0001-02</t>
  </si>
  <si>
    <t>Criação de código de barras - mkt</t>
  </si>
  <si>
    <t>Recibo - 60</t>
  </si>
  <si>
    <t>InstanTH NEO, Bemmax Sabor Neutro, InstanTH CLEAR (espessante) e módulos</t>
  </si>
  <si>
    <t>InstanTH NEO, Bemmax Sabor Neutro, Instanth Clear e módulos</t>
  </si>
  <si>
    <t>Fukuma Advogados e Consultores Jurídicos</t>
  </si>
  <si>
    <t>05.456.169/0001-74</t>
  </si>
  <si>
    <t>Consultoria para comunicação de marketing</t>
  </si>
  <si>
    <t>NF - 00007820</t>
  </si>
  <si>
    <t>Análise de macronutrientes</t>
  </si>
  <si>
    <t>NF - 57840</t>
  </si>
  <si>
    <t>Produtos Turquia e HDmax</t>
  </si>
  <si>
    <t>Análise de macronutrientes e vitaminas</t>
  </si>
  <si>
    <t>NF - 58827</t>
  </si>
  <si>
    <t>Bemmax Sabor Neutro, Instanth NEO e produtos pó</t>
  </si>
  <si>
    <t>Bemmax Sabor Neutro, Instant NEO e produtos pó</t>
  </si>
  <si>
    <t>NF - 59059</t>
  </si>
  <si>
    <t>Retort (Sistema Fechado) e Produtos Turquia</t>
  </si>
  <si>
    <t>NF - 000010386</t>
  </si>
  <si>
    <t>Análise de vitaminas e minerais</t>
  </si>
  <si>
    <t>NF - 59583</t>
  </si>
  <si>
    <t>Análise de betacaroteno e flúor</t>
  </si>
  <si>
    <t>NF - 59197</t>
  </si>
  <si>
    <t>Análises de T18 completo e ácido fólico</t>
  </si>
  <si>
    <t>NF - 59917</t>
  </si>
  <si>
    <t>Trophic Basic e Energyzip 1.0</t>
  </si>
  <si>
    <t>Análises de EE</t>
  </si>
  <si>
    <t>NF - 59744</t>
  </si>
  <si>
    <t>Bemmax Sabor Neutro, Enterfiber e Energyzip 1.0</t>
  </si>
  <si>
    <t>NF - 000010455</t>
  </si>
  <si>
    <t>Trophic Fiber, HDmax</t>
  </si>
  <si>
    <t>NF - 59823</t>
  </si>
  <si>
    <t>HDmax 2.0 e Energyzip 1.0</t>
  </si>
  <si>
    <t>NF - 60493</t>
  </si>
  <si>
    <t>Trophic Fiber, Trophic Basic e Trophic 1.5T3A, Carboch e ProteinPT T6A</t>
  </si>
  <si>
    <t>iStock.com - Getty Images International</t>
  </si>
  <si>
    <t>VAT No. IE 3410443CH</t>
  </si>
  <si>
    <t>Aquisição de material de mídia para divulgação do produto</t>
  </si>
  <si>
    <t>NF - 60717</t>
  </si>
  <si>
    <t>Bemmax Sabor Neutro e Immax - etapa final da Pesquisa Clínica</t>
  </si>
  <si>
    <t>Bemmax Sabor Neutro e Immax</t>
  </si>
  <si>
    <t>NF - 000010491</t>
  </si>
  <si>
    <t>NF - 61599</t>
  </si>
  <si>
    <t>NF - 61913</t>
  </si>
  <si>
    <t>Energyzip Chocolate, HDmax</t>
  </si>
  <si>
    <t>IOS PRESS B.V.</t>
  </si>
  <si>
    <t>VAT number. NL008682410B01</t>
  </si>
  <si>
    <t>Pagamento publicação artigo InstanTH NEO - Journal of Alzheimer´s Disease</t>
  </si>
  <si>
    <t>Invoice - P20201670</t>
  </si>
  <si>
    <t>NF - 62194</t>
  </si>
  <si>
    <t>Energyzip Baunilha e HDmax 2.0</t>
  </si>
  <si>
    <t>NF - 62348</t>
  </si>
  <si>
    <t>Lunagraf Gráfica e Editora - Eireli</t>
  </si>
  <si>
    <t>12.589.764/0001-43</t>
  </si>
  <si>
    <t>Ações de marketing</t>
  </si>
  <si>
    <t>NF - 4224</t>
  </si>
  <si>
    <t>NF - 1223</t>
  </si>
  <si>
    <t>NF - 62499</t>
  </si>
  <si>
    <t>Análise de macronutrientes e lactose</t>
  </si>
  <si>
    <t>NF - 58946</t>
  </si>
  <si>
    <t>Análise de fibras</t>
  </si>
  <si>
    <t>NF - 56931</t>
  </si>
  <si>
    <t>Análise de betacaroteno e lactose</t>
  </si>
  <si>
    <t>NF - 62746</t>
  </si>
  <si>
    <t>Análise de vitaminas - investigação</t>
  </si>
  <si>
    <t>NF - 58066</t>
  </si>
  <si>
    <t>Análise de fosfatidilserina</t>
  </si>
  <si>
    <t>NF - 59362</t>
  </si>
  <si>
    <t>NF - 000010591</t>
  </si>
  <si>
    <t>ESPEN 2020 C/O MCI Suisse SA</t>
  </si>
  <si>
    <t>Invoice - 2281-1</t>
  </si>
  <si>
    <t>Invoice - 2301-1</t>
  </si>
  <si>
    <t>NF - 61430</t>
  </si>
  <si>
    <t>NF - 62600</t>
  </si>
  <si>
    <t>Análise de macronutrientes, perfil lipídico e ác fólico</t>
  </si>
  <si>
    <t>NF - 62816</t>
  </si>
  <si>
    <t>NF - 63114</t>
  </si>
  <si>
    <t>InstanTH NEO e Energyzip morango</t>
  </si>
  <si>
    <t>NF - 62999</t>
  </si>
  <si>
    <t>Trophic Basic L, Trophic 1.5, Energyzip Chocolate</t>
  </si>
  <si>
    <t>NF - 63438</t>
  </si>
  <si>
    <t>NF - 63664</t>
  </si>
  <si>
    <t>NF - 63978</t>
  </si>
  <si>
    <t>NF - 63527</t>
  </si>
  <si>
    <t>NF - 00120115</t>
  </si>
  <si>
    <t>Diamax, Energyzip baunilha, Trophic Basic pó e Trophic Soya 1.5 Fiber</t>
  </si>
  <si>
    <t>Diamax, Energyzip baunilha, Trophic Basic pó e Trophic Soya 1.5</t>
  </si>
  <si>
    <t>NF - 65283</t>
  </si>
  <si>
    <t>NF - 1248</t>
  </si>
  <si>
    <t>InstanTH NEO e Bemmax Sabor Neutro</t>
  </si>
  <si>
    <t>NF - 66378</t>
  </si>
  <si>
    <t>Análises de EE e de inovação industrial</t>
  </si>
  <si>
    <t>NF - 64338</t>
  </si>
  <si>
    <t>Retort (Sistema Fechado), Immax - etapa final da Pesquisa Clínica, InstanTH NEO e Sustenlac</t>
  </si>
  <si>
    <t>Retort (Sistema Fechado), Immax, InstanTH NEO e Sustenlac</t>
  </si>
  <si>
    <t>Gmaca Produções e Eventos Ltda</t>
  </si>
  <si>
    <t>30.759.896/0001-58</t>
  </si>
  <si>
    <t>Ação de amostras de marketing para consumidores e profissionais</t>
  </si>
  <si>
    <t>NF - 84</t>
  </si>
  <si>
    <t>NF - 64194</t>
  </si>
  <si>
    <t>Lata recravada, Retort (Sistema Fechado), Trophic Soya 1.5 Fiber</t>
  </si>
  <si>
    <t>Lata recravada, Retort (Sistema Fechado), Trophic Soya 1.5</t>
  </si>
  <si>
    <t>NF - 64754</t>
  </si>
  <si>
    <t>Trophic Fiber L</t>
  </si>
  <si>
    <t>NF - 64855</t>
  </si>
  <si>
    <t>InstanTH NEO e Retort (Sistema Fechado)</t>
  </si>
  <si>
    <t>NF - 65234</t>
  </si>
  <si>
    <t>NF - 65124</t>
  </si>
  <si>
    <t>InstanTH NEO e Trophic Fiber L</t>
  </si>
  <si>
    <t>NF - 65796</t>
  </si>
  <si>
    <t>Diamax IG, HDmax 2.0 e Immax - etapa final da Pesquisa Clínica</t>
  </si>
  <si>
    <t>Diamax IG, HDmax 2.0 e Immax</t>
  </si>
  <si>
    <t>NF - 65607</t>
  </si>
  <si>
    <t>Immax - etapa final da Pesquisa Clínica e Energyzip baunilha</t>
  </si>
  <si>
    <t>Immax e Energyzip baunilha</t>
  </si>
  <si>
    <t>Lunagraf Gráfica e Editora Eireli - ME</t>
  </si>
  <si>
    <t>Ação de divulgação do produto com distribuição de amostras</t>
  </si>
  <si>
    <t>NF - 4259</t>
  </si>
  <si>
    <t>Análises de EE e de MP para novo produto</t>
  </si>
  <si>
    <t>NF - 66535</t>
  </si>
  <si>
    <t>Trophic Basic e Energyzip sênior</t>
  </si>
  <si>
    <t>Compra de produtos concorrentes e despesas de viagem para teste Embrapa/RJ</t>
  </si>
  <si>
    <t>LATAM</t>
  </si>
  <si>
    <t>02.012.862/0001-60</t>
  </si>
  <si>
    <t>Troca de passagem para discussão técnica junto a fornecedores</t>
  </si>
  <si>
    <t>Produtos em pó</t>
  </si>
  <si>
    <t>Le Farma Principe Nutri e Prod para a Saude Eireli</t>
  </si>
  <si>
    <t>03.419.495/0001-86</t>
  </si>
  <si>
    <t>Compra de produtos concorrentes</t>
  </si>
  <si>
    <t>NF - 752</t>
  </si>
  <si>
    <t>InstanTH CLEAR (espessante) e InstanTH NEO</t>
  </si>
  <si>
    <t>Instanth Clear e InstanTH NEO</t>
  </si>
  <si>
    <t>LEFARMA - A.L.R. Nutrição e Produtos para Saúde Ltda - ME</t>
  </si>
  <si>
    <t>07.742.779-0001-60</t>
  </si>
  <si>
    <t>LOCALIZA RENT A CAR S/A</t>
  </si>
  <si>
    <t>16.670.085/0044-95</t>
  </si>
  <si>
    <t>Aluguel de carro - teste Embrapa/RJ</t>
  </si>
  <si>
    <t>NF - 868500</t>
  </si>
  <si>
    <t>Análise B12 MP</t>
  </si>
  <si>
    <t>NF - 000011317</t>
  </si>
  <si>
    <t>MP para TP na Embrapa/RJ</t>
  </si>
  <si>
    <t>NF - 000011328</t>
  </si>
  <si>
    <t>MM Turismo &amp; Viagens Ltda - Max Milhas</t>
  </si>
  <si>
    <t>16.988.607/0001-61</t>
  </si>
  <si>
    <t>Aéreo teste Embrapa/RJ - fev 2020</t>
  </si>
  <si>
    <t>Nutrihealth Comércio de Produtos Alimentícios</t>
  </si>
  <si>
    <t>14.942.128/0001-89</t>
  </si>
  <si>
    <t>Instanth Clear</t>
  </si>
  <si>
    <t>MP para TP na Protesa</t>
  </si>
  <si>
    <t>NF - 000011024</t>
  </si>
  <si>
    <t>ASPEN 2021 Nutrition Science &amp; Practice Conference</t>
  </si>
  <si>
    <t>Submissão abstract Pesquisa Pré-Clínica InstanTH NEO</t>
  </si>
  <si>
    <t>NF - 730</t>
  </si>
  <si>
    <t>InstanTH NEO, Bemmax Sabor Neutro, InstanTH CLEAR (espessante)</t>
  </si>
  <si>
    <t>InstanTH NEO, Bemmax Sabor Neutro, Instanth Clear</t>
  </si>
  <si>
    <t>Despesas com viagem - teste Embrapa/RJ</t>
  </si>
  <si>
    <t>NF - 738</t>
  </si>
  <si>
    <t>InstanTH NEO, InstanTH CLEAR (espessante)</t>
  </si>
  <si>
    <t>InstanTH NEO, Instanth Clear</t>
  </si>
  <si>
    <t>NF - 745</t>
  </si>
  <si>
    <t>Juliana de Mello Chagas Lima</t>
  </si>
  <si>
    <t>11.649.025/0001-37</t>
  </si>
  <si>
    <t>Divulgação do produto com evento internacional</t>
  </si>
  <si>
    <t>NF - 130</t>
  </si>
  <si>
    <t>Sisimar Máquinas Automáticas Ltda.</t>
  </si>
  <si>
    <t>01.703.315/0001-68</t>
  </si>
  <si>
    <t>Peças para adequação da sacheteira</t>
  </si>
  <si>
    <t>NF - 362</t>
  </si>
  <si>
    <t>Módulos, InstanTH NEO e InstanTH CLEAR (espessante)</t>
  </si>
  <si>
    <t>Módulos, InstanTH NEO e Instanth Clear</t>
  </si>
  <si>
    <t>RDV - Lizianne - teste Embrapa-RJ</t>
  </si>
  <si>
    <t>Ação de amostras e evento de marketing</t>
  </si>
  <si>
    <t>NF - 88</t>
  </si>
  <si>
    <t>Versão Brasileira Eireli - ME</t>
  </si>
  <si>
    <t>00.153.324/0001-60</t>
  </si>
  <si>
    <t>Evento internacional, tradução de materiais e site de divulgação</t>
  </si>
  <si>
    <t>NF - 1122</t>
  </si>
  <si>
    <t>RDV - Lizianne - teste Tetra Pak - Monte Mor/SP</t>
  </si>
  <si>
    <t>RDV - Luciana - teste Tetra Pak - Monte Mor/SP</t>
  </si>
  <si>
    <t>Desenvolvimento de material de comunicação, ajustes de embalagem</t>
  </si>
  <si>
    <t>NF - 1158</t>
  </si>
  <si>
    <t>Bemmax Sabor Neutro e InstanTH NEO</t>
  </si>
  <si>
    <t>Tetra Pak Ltda</t>
  </si>
  <si>
    <t>61.528.030/0001-60</t>
  </si>
  <si>
    <t>Aluguel de planta para teste</t>
  </si>
  <si>
    <t>NF - 16849</t>
  </si>
  <si>
    <t>Envio de materiais para teste na Embrapa/RJ</t>
  </si>
  <si>
    <t>NF - 11708</t>
  </si>
  <si>
    <t>Envio de materiais para teste na Tetra Pak</t>
  </si>
  <si>
    <t>NF - 11741</t>
  </si>
  <si>
    <t>Tovani Benzaquen Com Imp Exp e Repres Ltda.</t>
  </si>
  <si>
    <t>69.170.462/0001-53</t>
  </si>
  <si>
    <t>Amostra para teste de bancada</t>
  </si>
  <si>
    <t>NF - 000092298</t>
  </si>
  <si>
    <t>Energyzip sênior</t>
  </si>
  <si>
    <t>Retorno de produtos-teste da Tetra Pak</t>
  </si>
  <si>
    <t>NF - 12000</t>
  </si>
  <si>
    <t>Coleta de produto (1a produção DSM)</t>
  </si>
  <si>
    <t>NF - 11725</t>
  </si>
  <si>
    <t>NF - 1308</t>
  </si>
  <si>
    <t>NF - 063923</t>
  </si>
  <si>
    <t>Envio de materiais para teste Embrapa/RJ</t>
  </si>
  <si>
    <t>NF - 000013299</t>
  </si>
  <si>
    <t>Elsevier Ltd</t>
  </si>
  <si>
    <t>NL 801481247B01</t>
  </si>
  <si>
    <t>Evento NIZO</t>
  </si>
  <si>
    <t>NF - 172832</t>
  </si>
  <si>
    <t>NF - 764</t>
  </si>
  <si>
    <t>Retorno de materiais do teste Embrapa/RJ</t>
  </si>
  <si>
    <t>NF - 000013461</t>
  </si>
  <si>
    <t>TUV SUD SFDK Laboratório de Análise de Produtos Eireli</t>
  </si>
  <si>
    <t>55.953.079/0001-67</t>
  </si>
  <si>
    <t>NF - 00104933</t>
  </si>
  <si>
    <t>VIP CAR VEICULOS LTDA - VIPCars.com</t>
  </si>
  <si>
    <t>05.586.628/0006-49</t>
  </si>
  <si>
    <t>Aluguel carro - teste Tetra Pak (Monte Mor/SP) - fev 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</si>
</sst>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&quot;, &quot;mmmm&quot; de &quot;yyyy"/>
    <numFmt numFmtId="165" formatCode="_-* #,##0.00_-;\-* #,##0.00_-;_-* &quot;-&quot;??_-;_-@"/>
    <numFmt numFmtId="166" formatCode="#,##0.00;(#,##0.00)"/>
    <numFmt numFmtId="167" formatCode="dd/MM/yyyy"/>
    <numFmt numFmtId="168" formatCode="[$R$ -416]#,##0.00"/>
    <numFmt numFmtId="169" formatCode="0.0000%"/>
    <numFmt numFmtId="170" formatCode="dd/mm/yyyy"/>
    <numFmt numFmtId="171" formatCode="d/m/yyyy"/>
    <numFmt numFmtId="172" formatCode="dd&quot;, &quot;mmmyyyy"/>
  </numFmts>
  <fonts count="36">
    <font>
      <sz val="10.0"/>
      <color rgb="FF000000"/>
      <name val="Arial"/>
      <scheme val="minor"/>
    </font>
    <font>
      <b/>
      <sz val="10.0"/>
      <color rgb="FF000000"/>
      <name val="Cairo"/>
    </font>
    <font>
      <sz val="10.0"/>
      <color rgb="FF000000"/>
      <name val="Cairo"/>
    </font>
    <font>
      <sz val="20.0"/>
      <color rgb="FF000000"/>
      <name val="Cairo"/>
    </font>
    <font>
      <sz val="11.0"/>
      <color rgb="FF000000"/>
      <name val="Cairo"/>
    </font>
    <font>
      <b/>
      <sz val="11.0"/>
      <color rgb="FF000000"/>
      <name val="Cairo"/>
    </font>
    <font>
      <sz val="8.0"/>
      <color rgb="FF000000"/>
      <name val="Cairo"/>
    </font>
    <font>
      <i/>
      <sz val="10.0"/>
      <color rgb="FF000000"/>
      <name val="Cairo"/>
    </font>
    <font>
      <b/>
      <sz val="10.0"/>
      <color rgb="FFFFFFFF"/>
      <name val="Cairo"/>
    </font>
    <font>
      <i/>
      <sz val="10.0"/>
      <color rgb="FF496C60"/>
      <name val="Cairo"/>
    </font>
    <font>
      <sz val="10.0"/>
      <color rgb="FFFF0000"/>
      <name val="Cairo"/>
    </font>
    <font>
      <color theme="1"/>
      <name val="Cairo"/>
    </font>
    <font>
      <b/>
      <sz val="12.0"/>
      <color rgb="FF000000"/>
      <name val="Cairo"/>
    </font>
    <font>
      <sz val="10.0"/>
      <color theme="1"/>
      <name val="Cairo"/>
    </font>
    <font>
      <b/>
      <sz val="14.0"/>
      <color theme="1"/>
      <name val="Cairo"/>
    </font>
    <font>
      <b/>
      <sz val="10.0"/>
      <color theme="1"/>
      <name val="Cairo"/>
    </font>
    <font>
      <sz val="10.0"/>
      <color theme="1"/>
      <name val="Source Sans Pro"/>
    </font>
    <font>
      <sz val="10.0"/>
      <color rgb="FFFFFFFF"/>
      <name val="Cairo"/>
    </font>
    <font>
      <b/>
      <color theme="1"/>
      <name val="Cairo"/>
    </font>
    <font>
      <color theme="1"/>
      <name val="Arial"/>
    </font>
    <font>
      <i/>
      <sz val="8.0"/>
      <color theme="1"/>
      <name val="Cairo"/>
    </font>
    <font>
      <b/>
      <color rgb="FFFFFFFF"/>
      <name val="Cairo"/>
    </font>
    <font>
      <b/>
      <color rgb="FFFF0000"/>
      <name val="Cairo"/>
    </font>
    <font/>
    <font>
      <sz val="11.0"/>
      <color theme="1"/>
      <name val="Cairo"/>
    </font>
    <font>
      <b/>
      <color rgb="FF000000"/>
      <name val="Cairo"/>
    </font>
    <font>
      <color rgb="FF000000"/>
      <name val="Cairo"/>
    </font>
    <font>
      <sz val="10.0"/>
      <color rgb="FFCC0000"/>
      <name val="Cairo"/>
    </font>
    <font>
      <sz val="8.0"/>
      <color rgb="FF666666"/>
      <name val="Cairo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Montserrat"/>
    </font>
    <font>
      <b/>
      <sz val="9.0"/>
      <color rgb="FFFFFFFF"/>
      <name val="Cairo"/>
    </font>
    <font>
      <b/>
      <sz val="10.0"/>
      <color rgb="FF666666"/>
      <name val="Cairo"/>
    </font>
    <font>
      <sz val="9.0"/>
      <color rgb="FF000000"/>
      <name val="Cairo"/>
    </font>
    <font>
      <i/>
      <color theme="1"/>
      <name val="Cairo"/>
    </font>
  </fonts>
  <fills count="15">
    <fill>
      <patternFill patternType="none"/>
    </fill>
    <fill>
      <patternFill patternType="lightGray"/>
    </fill>
    <fill>
      <patternFill patternType="solid">
        <fgColor rgb="FF496C60"/>
        <bgColor rgb="FF496C60"/>
      </patternFill>
    </fill>
    <fill>
      <patternFill patternType="solid">
        <fgColor rgb="FF8B8D8E"/>
        <bgColor rgb="FF8B8D8E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1F1F2"/>
        <bgColor rgb="FFF1F1F2"/>
      </patternFill>
    </fill>
    <fill>
      <patternFill patternType="solid">
        <fgColor rgb="FF4472C4"/>
        <bgColor rgb="FF4472C4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2">
    <border/>
    <border>
      <top style="dotted">
        <color rgb="FF8B8D8E"/>
      </top>
    </border>
    <border>
      <bottom style="dotted">
        <color rgb="FF8B8D8E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/>
      <top style="thin">
        <color rgb="FF000000"/>
      </top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434343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right" readingOrder="0" vertical="center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6" numFmtId="164" xfId="0" applyAlignment="1" applyFont="1" applyNumberFormat="1">
      <alignment horizontal="right" readingOrder="0" vertical="top"/>
    </xf>
    <xf borderId="2" fillId="0" fontId="7" numFmtId="0" xfId="0" applyAlignment="1" applyBorder="1" applyFont="1">
      <alignment readingOrder="0" vertical="top"/>
    </xf>
    <xf borderId="2" fillId="0" fontId="2" numFmtId="0" xfId="0" applyAlignment="1" applyBorder="1" applyFont="1">
      <alignment vertical="top"/>
    </xf>
    <xf borderId="3" fillId="3" fontId="8" numFmtId="0" xfId="0" applyAlignment="1" applyBorder="1" applyFill="1" applyFont="1">
      <alignment vertical="center"/>
    </xf>
    <xf borderId="3" fillId="3" fontId="8" numFmtId="0" xfId="0" applyAlignment="1" applyBorder="1" applyFont="1">
      <alignment horizontal="center" readingOrder="0" vertical="center"/>
    </xf>
    <xf borderId="3" fillId="3" fontId="8" numFmtId="0" xfId="0" applyAlignment="1" applyBorder="1" applyFont="1">
      <alignment horizontal="left" readingOrder="0" vertical="center"/>
    </xf>
    <xf borderId="0" fillId="3" fontId="8" numFmtId="0" xfId="0" applyAlignment="1" applyFont="1">
      <alignment horizontal="left" readingOrder="0" vertical="center"/>
    </xf>
    <xf borderId="0" fillId="0" fontId="2" numFmtId="165" xfId="0" applyAlignment="1" applyFont="1" applyNumberForma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9" numFmtId="0" xfId="0" applyAlignment="1" applyFont="1">
      <alignment vertical="center"/>
    </xf>
    <xf borderId="4" fillId="2" fontId="8" numFmtId="0" xfId="0" applyAlignment="1" applyBorder="1" applyFont="1">
      <alignment vertical="center"/>
    </xf>
    <xf borderId="4" fillId="2" fontId="8" numFmtId="165" xfId="0" applyAlignment="1" applyBorder="1" applyFont="1" applyNumberFormat="1">
      <alignment vertical="center"/>
    </xf>
    <xf borderId="0" fillId="4" fontId="7" numFmtId="0" xfId="0" applyAlignment="1" applyFill="1" applyFont="1">
      <alignment vertical="center"/>
    </xf>
    <xf borderId="0" fillId="4" fontId="7" numFmtId="9" xfId="0" applyAlignment="1" applyFont="1" applyNumberFormat="1">
      <alignment readingOrder="0" vertical="center"/>
    </xf>
    <xf borderId="0" fillId="4" fontId="2" numFmtId="0" xfId="0" applyAlignment="1" applyFont="1">
      <alignment vertical="center"/>
    </xf>
    <xf quotePrefix="1" borderId="0" fillId="5" fontId="2" numFmtId="0" xfId="0" applyAlignment="1" applyFill="1" applyFont="1">
      <alignment horizontal="center" readingOrder="0" vertical="center"/>
    </xf>
    <xf quotePrefix="1" borderId="0" fillId="6" fontId="2" numFmtId="0" xfId="0" applyAlignment="1" applyFill="1" applyFont="1">
      <alignment horizontal="center" readingOrder="0" vertical="center"/>
    </xf>
    <xf quotePrefix="1"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ont="1">
      <alignment horizontal="center" readingOrder="0" vertical="center"/>
    </xf>
    <xf borderId="0" fillId="5" fontId="6" numFmtId="0" xfId="0" applyAlignment="1" applyFont="1">
      <alignment horizontal="center" readingOrder="0" shrinkToFit="0" vertical="top" wrapText="1"/>
    </xf>
    <xf borderId="0" fillId="6" fontId="6" numFmtId="0" xfId="0" applyAlignment="1" applyFont="1">
      <alignment horizontal="center" readingOrder="0" shrinkToFit="0" vertical="top" wrapText="1"/>
    </xf>
    <xf borderId="0" fillId="7" fontId="6" numFmtId="0" xfId="0" applyAlignment="1" applyFont="1">
      <alignment horizontal="center" readingOrder="0" shrinkToFit="0" vertical="top" wrapText="1"/>
    </xf>
    <xf borderId="0" fillId="0" fontId="2" numFmtId="4" xfId="0" applyAlignment="1" applyFont="1" applyNumberForma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166" xfId="0" applyAlignment="1" applyFont="1" applyNumberFormat="1">
      <alignment vertical="center"/>
    </xf>
    <xf borderId="0" fillId="0" fontId="11" numFmtId="0" xfId="0" applyFont="1"/>
    <xf borderId="0" fillId="3" fontId="8" numFmtId="0" xfId="0" applyAlignment="1" applyFont="1">
      <alignment readingOrder="0"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right" vertical="center"/>
    </xf>
    <xf quotePrefix="1"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2" numFmtId="0" xfId="0" applyFont="1"/>
    <xf borderId="0" fillId="5" fontId="1" numFmtId="0" xfId="0" applyAlignment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3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166" xfId="0" applyAlignment="1" applyFont="1" applyNumberFormat="1">
      <alignment vertical="center"/>
    </xf>
    <xf borderId="0" fillId="0" fontId="2" numFmtId="4" xfId="0" applyAlignment="1" applyFont="1" applyNumberFormat="1">
      <alignment vertical="center"/>
    </xf>
    <xf borderId="0" fillId="0" fontId="2" numFmtId="0" xfId="0" applyAlignment="1" applyFont="1">
      <alignment horizontal="left" readingOrder="0" vertical="center"/>
    </xf>
    <xf borderId="4" fillId="2" fontId="8" numFmtId="165" xfId="0" applyAlignment="1" applyBorder="1" applyFont="1" applyNumberFormat="1">
      <alignment readingOrder="0" vertical="center"/>
    </xf>
    <xf borderId="4" fillId="2" fontId="8" numFmtId="0" xfId="0" applyAlignment="1" applyBorder="1" applyFont="1">
      <alignment horizontal="center" vertical="center"/>
    </xf>
    <xf borderId="0" fillId="2" fontId="8" numFmtId="165" xfId="0" applyAlignment="1" applyFont="1" applyNumberFormat="1">
      <alignment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2" fontId="8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3" numFmtId="167" xfId="0" applyAlignment="1" applyFont="1" applyNumberFormat="1">
      <alignment horizontal="right" vertical="center"/>
    </xf>
    <xf borderId="0" fillId="0" fontId="13" numFmtId="46" xfId="0" applyAlignment="1" applyFont="1" applyNumberFormat="1">
      <alignment vertical="center"/>
    </xf>
    <xf borderId="0" fillId="5" fontId="2" numFmtId="0" xfId="0" applyAlignment="1" applyFont="1">
      <alignment horizontal="right" readingOrder="0" vertical="center"/>
    </xf>
    <xf borderId="0" fillId="0" fontId="13" numFmtId="168" xfId="0" applyAlignment="1" applyFont="1" applyNumberFormat="1">
      <alignment vertical="center"/>
    </xf>
    <xf borderId="0" fillId="0" fontId="13" numFmtId="168" xfId="0" applyAlignment="1" applyFont="1" applyNumberFormat="1">
      <alignment readingOrder="0" vertical="center"/>
    </xf>
    <xf borderId="0" fillId="5" fontId="1" numFmtId="0" xfId="0" applyAlignment="1" applyFont="1">
      <alignment horizontal="right" readingOrder="0" vertical="center"/>
    </xf>
    <xf borderId="0" fillId="0" fontId="15" numFmtId="168" xfId="0" applyAlignment="1" applyFont="1" applyNumberFormat="1">
      <alignment vertical="center"/>
    </xf>
    <xf borderId="0" fillId="0" fontId="15" numFmtId="0" xfId="0" applyAlignment="1" applyFont="1">
      <alignment vertical="center"/>
    </xf>
    <xf borderId="0" fillId="2" fontId="8" numFmtId="167" xfId="0" applyAlignment="1" applyFont="1" applyNumberFormat="1">
      <alignment horizontal="center" readingOrder="0" vertical="center"/>
    </xf>
    <xf borderId="0" fillId="2" fontId="8" numFmtId="46" xfId="0" applyAlignment="1" applyFont="1" applyNumberFormat="1">
      <alignment readingOrder="0" vertical="center"/>
    </xf>
    <xf borderId="0" fillId="7" fontId="17" numFmtId="0" xfId="0" applyAlignment="1" applyFont="1">
      <alignment horizontal="right" readingOrder="0" vertical="center"/>
    </xf>
    <xf borderId="0" fillId="0" fontId="13" numFmtId="0" xfId="0" applyAlignment="1" applyFont="1">
      <alignment horizontal="left" readingOrder="0" vertical="center"/>
    </xf>
    <xf borderId="0" fillId="0" fontId="13" numFmtId="167" xfId="0" applyAlignment="1" applyFont="1" applyNumberFormat="1">
      <alignment horizontal="right" readingOrder="0" vertical="center"/>
    </xf>
    <xf borderId="0" fillId="0" fontId="13" numFmtId="46" xfId="0" applyAlignment="1" applyFont="1" applyNumberFormat="1">
      <alignment readingOrder="0" vertical="center"/>
    </xf>
    <xf borderId="0" fillId="0" fontId="13" numFmtId="4" xfId="0" applyAlignment="1" applyFont="1" applyNumberFormat="1">
      <alignment readingOrder="0" vertical="center"/>
    </xf>
    <xf quotePrefix="1" borderId="0" fillId="0" fontId="13" numFmtId="0" xfId="0" applyAlignment="1" applyFont="1">
      <alignment readingOrder="0" vertical="center"/>
    </xf>
    <xf borderId="0" fillId="0" fontId="18" numFmtId="0" xfId="0" applyFont="1"/>
    <xf borderId="0" fillId="0" fontId="19" numFmtId="0" xfId="0" applyFont="1"/>
    <xf borderId="0" fillId="0" fontId="20" numFmtId="0" xfId="0" applyAlignment="1" applyFont="1">
      <alignment horizontal="right"/>
    </xf>
    <xf borderId="0" fillId="0" fontId="13" numFmtId="4" xfId="0" applyAlignment="1" applyFont="1" applyNumberFormat="1">
      <alignment vertical="center"/>
    </xf>
    <xf borderId="0" fillId="2" fontId="21" numFmtId="0" xfId="0" applyFont="1"/>
    <xf borderId="0" fillId="2" fontId="21" numFmtId="0" xfId="0" applyAlignment="1" applyFont="1">
      <alignment readingOrder="0"/>
    </xf>
    <xf borderId="0" fillId="2" fontId="21" numFmtId="0" xfId="0" applyAlignment="1" applyFont="1">
      <alignment horizontal="right"/>
    </xf>
    <xf borderId="0" fillId="7" fontId="17" numFmtId="0" xfId="0" applyAlignment="1" applyFont="1">
      <alignment horizontal="center" readingOrder="0" vertical="center"/>
    </xf>
    <xf borderId="0" fillId="0" fontId="11" numFmtId="0" xfId="0" applyFont="1"/>
    <xf borderId="5" fillId="0" fontId="11" numFmtId="0" xfId="0" applyAlignment="1" applyBorder="1" applyFont="1">
      <alignment shrinkToFit="0" wrapText="0"/>
    </xf>
    <xf borderId="0" fillId="0" fontId="11" numFmtId="168" xfId="0" applyAlignment="1" applyFont="1" applyNumberFormat="1">
      <alignment horizontal="right"/>
    </xf>
    <xf borderId="0" fillId="0" fontId="11" numFmtId="46" xfId="0" applyAlignment="1" applyFont="1" applyNumberFormat="1">
      <alignment horizontal="right"/>
    </xf>
    <xf borderId="0" fillId="0" fontId="11" numFmtId="10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readingOrder="0"/>
    </xf>
    <xf borderId="0" fillId="0" fontId="19" numFmtId="168" xfId="0" applyFont="1" applyNumberFormat="1"/>
    <xf borderId="6" fillId="0" fontId="22" numFmtId="0" xfId="0" applyAlignment="1" applyBorder="1" applyFont="1">
      <alignment horizontal="center" vertical="bottom"/>
    </xf>
    <xf borderId="7" fillId="0" fontId="23" numFmtId="0" xfId="0" applyBorder="1" applyFont="1"/>
    <xf borderId="8" fillId="0" fontId="23" numFmtId="0" xfId="0" applyBorder="1" applyFont="1"/>
    <xf borderId="0" fillId="0" fontId="24" numFmtId="0" xfId="0" applyAlignment="1" applyFont="1">
      <alignment vertical="bottom"/>
    </xf>
    <xf borderId="9" fillId="0" fontId="24" numFmtId="0" xfId="0" applyAlignment="1" applyBorder="1" applyFont="1">
      <alignment vertical="bottom"/>
    </xf>
    <xf borderId="10" fillId="0" fontId="22" numFmtId="0" xfId="0" applyAlignment="1" applyBorder="1" applyFont="1">
      <alignment horizontal="center" vertical="center"/>
    </xf>
    <xf borderId="11" fillId="8" fontId="25" numFmtId="0" xfId="0" applyAlignment="1" applyBorder="1" applyFill="1" applyFont="1">
      <alignment vertical="bottom"/>
    </xf>
    <xf borderId="8" fillId="0" fontId="26" numFmtId="10" xfId="0" applyAlignment="1" applyBorder="1" applyFont="1" applyNumberFormat="1">
      <alignment horizontal="right" readingOrder="0" vertical="bottom"/>
    </xf>
    <xf borderId="0" fillId="0" fontId="13" numFmtId="166" xfId="0" applyAlignment="1" applyFont="1" applyNumberFormat="1">
      <alignment vertical="center"/>
    </xf>
    <xf borderId="12" fillId="8" fontId="25" numFmtId="0" xfId="0" applyAlignment="1" applyBorder="1" applyFont="1">
      <alignment horizontal="right" vertical="bottom"/>
    </xf>
    <xf borderId="13" fillId="8" fontId="25" numFmtId="0" xfId="0" applyAlignment="1" applyBorder="1" applyFont="1">
      <alignment horizontal="right" vertical="bottom"/>
    </xf>
    <xf borderId="14" fillId="8" fontId="25" numFmtId="0" xfId="0" applyAlignment="1" applyBorder="1" applyFont="1">
      <alignment horizontal="right" vertical="bottom"/>
    </xf>
    <xf borderId="0" fillId="0" fontId="24" numFmtId="9" xfId="0" applyAlignment="1" applyFont="1" applyNumberFormat="1">
      <alignment readingOrder="0" vertical="bottom"/>
    </xf>
    <xf borderId="5" fillId="0" fontId="23" numFmtId="0" xfId="0" applyBorder="1" applyFont="1"/>
    <xf borderId="13" fillId="8" fontId="25" numFmtId="0" xfId="0" applyAlignment="1" applyBorder="1" applyFont="1">
      <alignment vertical="bottom"/>
    </xf>
    <xf borderId="14" fillId="0" fontId="26" numFmtId="10" xfId="0" applyAlignment="1" applyBorder="1" applyFont="1" applyNumberFormat="1">
      <alignment horizontal="right" readingOrder="0" vertical="bottom"/>
    </xf>
    <xf borderId="0" fillId="0" fontId="26" numFmtId="169" xfId="0" applyAlignment="1" applyFont="1" applyNumberFormat="1">
      <alignment horizontal="right" vertical="bottom"/>
    </xf>
    <xf borderId="0" fillId="0" fontId="26" numFmtId="169" xfId="0" applyAlignment="1" applyFont="1" applyNumberFormat="1">
      <alignment horizontal="right" readingOrder="0" vertical="bottom"/>
    </xf>
    <xf borderId="15" fillId="0" fontId="26" numFmtId="169" xfId="0" applyAlignment="1" applyBorder="1" applyFont="1" applyNumberFormat="1">
      <alignment horizontal="right" vertical="bottom"/>
    </xf>
    <xf borderId="15" fillId="0" fontId="25" numFmtId="169" xfId="0" applyAlignment="1" applyBorder="1" applyFont="1" applyNumberFormat="1">
      <alignment horizontal="right" vertical="bottom"/>
    </xf>
    <xf borderId="13" fillId="0" fontId="23" numFmtId="0" xfId="0" applyBorder="1" applyFont="1"/>
    <xf borderId="0" fillId="0" fontId="25" numFmtId="169" xfId="0" applyAlignment="1" applyFont="1" applyNumberFormat="1">
      <alignment horizontal="right" vertical="bottom"/>
    </xf>
    <xf borderId="0" fillId="0" fontId="22" numFmtId="0" xfId="0" applyAlignment="1" applyFont="1">
      <alignment horizontal="center" vertical="center"/>
    </xf>
    <xf borderId="0" fillId="9" fontId="25" numFmtId="0" xfId="0" applyAlignment="1" applyFill="1" applyFont="1">
      <alignment vertical="bottom"/>
    </xf>
    <xf borderId="0" fillId="0" fontId="26" numFmtId="10" xfId="0" applyAlignment="1" applyFont="1" applyNumberFormat="1">
      <alignment horizontal="right" vertical="bottom"/>
    </xf>
    <xf borderId="0" fillId="0" fontId="27" numFmtId="166" xfId="0" applyAlignment="1" applyFont="1" applyNumberFormat="1">
      <alignment vertical="center"/>
    </xf>
    <xf borderId="0" fillId="2" fontId="8" numFmtId="170" xfId="0" applyAlignment="1" applyFont="1" applyNumberFormat="1">
      <alignment horizontal="right" readingOrder="0" vertical="center"/>
    </xf>
    <xf borderId="0" fillId="2" fontId="8" numFmtId="171" xfId="0" applyAlignment="1" applyFont="1" applyNumberFormat="1">
      <alignment horizontal="right" readingOrder="0" vertical="center"/>
    </xf>
    <xf borderId="0" fillId="0" fontId="17" numFmtId="0" xfId="0" applyAlignment="1" applyFont="1">
      <alignment horizontal="center" readingOrder="0" vertical="center"/>
    </xf>
    <xf borderId="0" fillId="4" fontId="11" numFmtId="0" xfId="0" applyFont="1"/>
    <xf borderId="0" fillId="4" fontId="13" numFmtId="0" xfId="0" applyAlignment="1" applyFont="1">
      <alignment vertical="center"/>
    </xf>
    <xf borderId="0" fillId="4" fontId="13" numFmtId="168" xfId="0" applyAlignment="1" applyFont="1" applyNumberFormat="1">
      <alignment vertical="center"/>
    </xf>
    <xf borderId="0" fillId="0" fontId="13" numFmtId="14" xfId="0" applyAlignment="1" applyFont="1" applyNumberFormat="1">
      <alignment vertical="center"/>
    </xf>
    <xf borderId="0" fillId="9" fontId="28" numFmtId="172" xfId="0" applyAlignment="1" applyFont="1" applyNumberFormat="1">
      <alignment horizontal="left" readingOrder="0"/>
    </xf>
    <xf borderId="0" fillId="9" fontId="28" numFmtId="0" xfId="0" applyAlignment="1" applyFont="1">
      <alignment horizontal="left" readingOrder="0"/>
    </xf>
    <xf borderId="0" fillId="10" fontId="28" numFmtId="172" xfId="0" applyAlignment="1" applyFill="1" applyFont="1" applyNumberFormat="1">
      <alignment horizontal="left" readingOrder="0"/>
    </xf>
    <xf borderId="0" fillId="10" fontId="28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0" fontId="29" numFmtId="166" xfId="0" applyFont="1" applyNumberFormat="1"/>
    <xf borderId="0" fillId="0" fontId="29" numFmtId="166" xfId="0" applyAlignment="1" applyFont="1" applyNumberFormat="1">
      <alignment vertical="center"/>
    </xf>
    <xf borderId="0" fillId="0" fontId="30" numFmtId="0" xfId="0" applyFont="1"/>
    <xf borderId="0" fillId="0" fontId="30" numFmtId="166" xfId="0" applyFont="1" applyNumberFormat="1"/>
    <xf borderId="16" fillId="0" fontId="30" numFmtId="0" xfId="0" applyBorder="1" applyFont="1"/>
    <xf borderId="17" fillId="0" fontId="30" numFmtId="0" xfId="0" applyBorder="1" applyFont="1"/>
    <xf borderId="18" fillId="0" fontId="30" numFmtId="0" xfId="0" applyBorder="1" applyFont="1"/>
    <xf borderId="19" fillId="0" fontId="30" numFmtId="0" xfId="0" applyBorder="1" applyFont="1"/>
    <xf borderId="0" fillId="0" fontId="31" numFmtId="0" xfId="0" applyAlignment="1" applyFont="1">
      <alignment vertical="bottom"/>
    </xf>
    <xf borderId="0" fillId="0" fontId="31" numFmtId="166" xfId="0" applyAlignment="1" applyFont="1" applyNumberFormat="1">
      <alignment horizontal="right" vertical="bottom"/>
    </xf>
    <xf borderId="9" fillId="0" fontId="30" numFmtId="0" xfId="0" applyBorder="1" applyFont="1"/>
    <xf borderId="20" fillId="0" fontId="30" numFmtId="0" xfId="0" applyBorder="1" applyFont="1"/>
    <xf borderId="21" fillId="0" fontId="30" numFmtId="0" xfId="0" applyBorder="1" applyFont="1"/>
    <xf borderId="14" fillId="0" fontId="30" numFmtId="0" xfId="0" applyBorder="1" applyFont="1"/>
    <xf borderId="0" fillId="0" fontId="13" numFmtId="0" xfId="0" applyAlignment="1" applyFont="1">
      <alignment horizontal="right" vertical="center"/>
    </xf>
    <xf borderId="0" fillId="0" fontId="13" numFmtId="166" xfId="0" applyAlignment="1" applyFont="1" applyNumberFormat="1">
      <alignment horizontal="right" vertical="center"/>
    </xf>
    <xf borderId="0" fillId="5" fontId="13" numFmtId="0" xfId="0" applyAlignment="1" applyFont="1">
      <alignment vertical="center"/>
    </xf>
    <xf borderId="0" fillId="0" fontId="15" numFmtId="166" xfId="0" applyAlignment="1" applyFont="1" applyNumberFormat="1">
      <alignment horizontal="right" vertical="center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shrinkToFit="0" vertical="center" wrapText="1"/>
    </xf>
    <xf borderId="0" fillId="2" fontId="8" numFmtId="166" xfId="0" applyAlignment="1" applyFont="1" applyNumberFormat="1">
      <alignment horizontal="right" readingOrder="0" vertical="center"/>
    </xf>
    <xf borderId="0" fillId="2" fontId="8" numFmtId="0" xfId="0" applyAlignment="1" applyFont="1">
      <alignment horizontal="right" readingOrder="0" vertical="center"/>
    </xf>
    <xf borderId="0" fillId="11" fontId="32" numFmtId="166" xfId="0" applyAlignment="1" applyFill="1" applyFont="1" applyNumberFormat="1">
      <alignment horizontal="right" readingOrder="0" shrinkToFit="0" wrapText="1"/>
    </xf>
    <xf borderId="0" fillId="5" fontId="33" numFmtId="0" xfId="0" applyAlignment="1" applyFont="1">
      <alignment readingOrder="0" vertical="center"/>
    </xf>
    <xf borderId="0" fillId="2" fontId="8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center" vertical="center"/>
    </xf>
    <xf borderId="0" fillId="12" fontId="13" numFmtId="0" xfId="0" applyAlignment="1" applyFill="1" applyFont="1">
      <alignment vertical="center"/>
    </xf>
    <xf borderId="0" fillId="0" fontId="13" numFmtId="166" xfId="0" applyAlignment="1" applyFont="1" applyNumberFormat="1">
      <alignment horizontal="right" readingOrder="0" vertical="center"/>
    </xf>
    <xf borderId="0" fillId="0" fontId="13" numFmtId="172" xfId="0" applyAlignment="1" applyFont="1" applyNumberFormat="1">
      <alignment vertical="center"/>
    </xf>
    <xf borderId="0" fillId="0" fontId="19" numFmtId="0" xfId="0" applyAlignment="1" applyFont="1">
      <alignment readingOrder="0"/>
    </xf>
    <xf borderId="0" fillId="13" fontId="34" numFmtId="166" xfId="0" applyAlignment="1" applyFill="1" applyFont="1" applyNumberFormat="1">
      <alignment horizontal="right" readingOrder="0" shrinkToFit="0" wrapText="0"/>
    </xf>
    <xf borderId="0" fillId="5" fontId="13" numFmtId="0" xfId="0" applyAlignment="1" applyFont="1">
      <alignment readingOrder="0" vertical="center"/>
    </xf>
    <xf borderId="0" fillId="0" fontId="30" numFmtId="0" xfId="0" applyAlignment="1" applyFont="1">
      <alignment readingOrder="0"/>
    </xf>
    <xf borderId="0" fillId="0" fontId="19" numFmtId="0" xfId="0" applyFont="1"/>
    <xf borderId="0" fillId="0" fontId="13" numFmtId="0" xfId="0" applyAlignment="1" applyFont="1">
      <alignment horizontal="right" readingOrder="0" vertical="center"/>
    </xf>
    <xf borderId="0" fillId="0" fontId="35" numFmtId="0" xfId="0" applyAlignment="1" applyFont="1">
      <alignment readingOrder="0"/>
    </xf>
    <xf borderId="0" fillId="14" fontId="19" numFmtId="0" xfId="0" applyAlignment="1" applyFill="1" applyFont="1">
      <alignment readingOrder="0"/>
    </xf>
    <xf borderId="0" fillId="14" fontId="13" numFmtId="0" xfId="0" applyAlignment="1" applyFont="1">
      <alignment readingOrder="0" vertical="center"/>
    </xf>
    <xf borderId="0" fillId="0" fontId="13" numFmtId="0" xfId="0" applyAlignment="1" applyFont="1">
      <alignment horizontal="center" readingOrder="0" vertical="center"/>
    </xf>
    <xf borderId="0" fillId="14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RESUMO!$B$8</c:f>
            </c:strRef>
          </c:tx>
          <c:dPt>
            <c:idx val="0"/>
            <c:explosion val="0"/>
            <c:spPr>
              <a:solidFill>
                <a:srgbClr val="94DCC3"/>
              </a:solidFill>
            </c:spPr>
          </c:dPt>
          <c:dPt>
            <c:idx val="1"/>
            <c:spPr>
              <a:solidFill>
                <a:srgbClr val="496C60"/>
              </a:solidFill>
            </c:spPr>
          </c:dPt>
          <c:dPt>
            <c:idx val="2"/>
            <c:spPr>
              <a:solidFill>
                <a:srgbClr val="999999"/>
              </a:solidFill>
            </c:spPr>
          </c:dPt>
          <c:dPt>
            <c:idx val="3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RESUMO!$A$9:$A$12</c:f>
            </c:strRef>
          </c:cat>
          <c:val>
            <c:numRef>
              <c:f>RESUMO!$B$9:$B$12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1" sz="120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695325</xdr:colOff>
      <xdr:row>19</xdr:row>
      <xdr:rowOff>190500</xdr:rowOff>
    </xdr:from>
    <xdr:ext cx="3105150" cy="17526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447675</xdr:colOff>
      <xdr:row>1</xdr:row>
      <xdr:rowOff>123825</xdr:rowOff>
    </xdr:from>
    <xdr:ext cx="1428750" cy="295275"/>
    <xdr:pic>
      <xdr:nvPicPr>
        <xdr:cNvPr id="0" name="image1.jp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showGridLines="0" workbookViewId="0"/>
  </sheetViews>
  <sheetFormatPr customHeight="1" defaultColWidth="12.63" defaultRowHeight="15.75"/>
  <cols>
    <col customWidth="1" min="1" max="1" width="38.0"/>
    <col customWidth="1" min="2" max="3" width="10.13"/>
    <col customWidth="1" min="4" max="7" width="12.63"/>
    <col customWidth="1" min="8" max="8" width="7.13"/>
  </cols>
  <sheetData>
    <row r="1" ht="11.25" customHeight="1">
      <c r="A1" s="1"/>
      <c r="B1" s="2"/>
      <c r="C1" s="2"/>
      <c r="D1" s="2"/>
      <c r="E1" s="2"/>
      <c r="F1" s="2"/>
      <c r="G1" s="2"/>
      <c r="H1" s="2"/>
    </row>
    <row r="2" ht="16.5" customHeight="1">
      <c r="A2" s="3" t="s">
        <v>0</v>
      </c>
      <c r="B2" s="4"/>
      <c r="C2" s="4"/>
      <c r="D2" s="4"/>
      <c r="E2" s="4"/>
      <c r="F2" s="4"/>
      <c r="G2" s="4"/>
      <c r="H2" s="4"/>
    </row>
    <row r="3" ht="18.75" customHeight="1">
      <c r="A3" s="5" t="s">
        <v>1</v>
      </c>
      <c r="B3" s="4"/>
      <c r="C3" s="4"/>
      <c r="D3" s="4"/>
      <c r="E3" s="4"/>
      <c r="F3" s="4"/>
      <c r="G3" s="4"/>
      <c r="H3" s="4"/>
    </row>
    <row r="4" ht="11.25" customHeight="1">
      <c r="A4" s="6"/>
      <c r="B4" s="6"/>
      <c r="C4" s="6"/>
      <c r="D4" s="6"/>
      <c r="E4" s="6"/>
      <c r="F4" s="6"/>
      <c r="G4" s="7" t="s">
        <v>2</v>
      </c>
      <c r="H4" s="7"/>
    </row>
    <row r="5" ht="18.75" customHeight="1">
      <c r="A5" s="8" t="s">
        <v>3</v>
      </c>
      <c r="B5" s="8"/>
      <c r="C5" s="9"/>
      <c r="D5" s="8"/>
      <c r="E5" s="10" t="s">
        <v>4</v>
      </c>
      <c r="F5" s="6"/>
      <c r="G5" s="11">
        <f>TODAY()</f>
        <v>46168</v>
      </c>
      <c r="H5" s="11"/>
    </row>
    <row r="6" ht="18.75" customHeight="1">
      <c r="A6" s="12" t="s">
        <v>5</v>
      </c>
      <c r="B6" s="13"/>
      <c r="C6" s="13"/>
      <c r="D6" s="13"/>
      <c r="E6" s="13"/>
      <c r="F6" s="6"/>
      <c r="G6" s="6"/>
      <c r="H6" s="6"/>
    </row>
    <row r="7" ht="18.75" customHeight="1">
      <c r="A7" s="6"/>
      <c r="B7" s="6"/>
      <c r="C7" s="6"/>
      <c r="D7" s="6"/>
      <c r="E7" s="6"/>
      <c r="F7" s="6"/>
      <c r="G7" s="6"/>
      <c r="H7" s="6"/>
    </row>
    <row r="8" ht="18.75" customHeight="1">
      <c r="A8" s="14" t="s">
        <v>6</v>
      </c>
      <c r="B8" s="15" t="s">
        <v>7</v>
      </c>
      <c r="C8" s="16" t="s">
        <v>8</v>
      </c>
      <c r="D8" s="16"/>
      <c r="E8" s="16"/>
      <c r="F8" s="16"/>
      <c r="G8" s="16"/>
      <c r="H8" s="17"/>
    </row>
    <row r="9" ht="18.75" customHeight="1">
      <c r="A9" s="6" t="s">
        <v>9</v>
      </c>
      <c r="B9" s="18">
        <f>D48</f>
        <v>5084.71</v>
      </c>
      <c r="C9" s="19" t="s">
        <v>10</v>
      </c>
      <c r="D9" s="6"/>
      <c r="E9" s="6"/>
      <c r="F9" s="6"/>
      <c r="G9" s="6"/>
      <c r="H9" s="6"/>
    </row>
    <row r="10" ht="18.75" customHeight="1">
      <c r="A10" s="6" t="s">
        <v>11</v>
      </c>
      <c r="B10" s="18">
        <f>E48</f>
        <v>372736.95</v>
      </c>
      <c r="C10" s="19" t="s">
        <v>12</v>
      </c>
      <c r="D10" s="6"/>
      <c r="E10" s="6"/>
      <c r="F10" s="6"/>
      <c r="G10" s="6"/>
      <c r="H10" s="6"/>
    </row>
    <row r="11" ht="18.75" customHeight="1">
      <c r="A11" s="6" t="s">
        <v>13</v>
      </c>
      <c r="B11" s="18">
        <f>Pessoal!T32</f>
        <v>300723.9687</v>
      </c>
      <c r="C11" s="19" t="s">
        <v>14</v>
      </c>
      <c r="D11" s="20"/>
      <c r="E11" s="6"/>
      <c r="F11" s="6"/>
      <c r="G11" s="6"/>
      <c r="H11" s="6"/>
    </row>
    <row r="12" ht="18.75" customHeight="1">
      <c r="A12" s="6" t="s">
        <v>15</v>
      </c>
      <c r="B12" s="18">
        <f>Pessoal!T33</f>
        <v>0</v>
      </c>
      <c r="C12" s="21" t="s">
        <v>16</v>
      </c>
      <c r="D12" s="6"/>
      <c r="E12" s="6"/>
      <c r="F12" s="6"/>
      <c r="G12" s="6"/>
      <c r="H12" s="6"/>
    </row>
    <row r="13" ht="18.75" customHeight="1">
      <c r="A13" s="22" t="s">
        <v>17</v>
      </c>
      <c r="B13" s="23">
        <f>SUM(B9:B12)</f>
        <v>678545.6287</v>
      </c>
      <c r="C13" s="6"/>
      <c r="D13" s="6"/>
      <c r="E13" s="6"/>
      <c r="F13" s="6"/>
      <c r="G13" s="6"/>
      <c r="H13" s="6"/>
    </row>
    <row r="14" ht="18.75" customHeight="1">
      <c r="A14" s="24" t="s">
        <v>18</v>
      </c>
      <c r="B14" s="25">
        <v>0.6</v>
      </c>
      <c r="C14" s="26"/>
      <c r="D14" s="27" t="s">
        <v>19</v>
      </c>
      <c r="E14" s="28" t="s">
        <v>20</v>
      </c>
      <c r="F14" s="28" t="s">
        <v>21</v>
      </c>
      <c r="G14" s="29" t="s">
        <v>21</v>
      </c>
      <c r="H14" s="30"/>
    </row>
    <row r="15" ht="18.75" customHeight="1">
      <c r="A15" s="6" t="s">
        <v>22</v>
      </c>
      <c r="B15" s="18">
        <f>B13*B14</f>
        <v>407127.3772</v>
      </c>
      <c r="C15" s="6"/>
      <c r="D15" s="31" t="s">
        <v>23</v>
      </c>
      <c r="E15" s="32" t="s">
        <v>24</v>
      </c>
      <c r="F15" s="32" t="s">
        <v>25</v>
      </c>
      <c r="G15" s="33" t="s">
        <v>26</v>
      </c>
      <c r="H15" s="33"/>
    </row>
    <row r="16" ht="18.75" customHeight="1">
      <c r="A16" s="6"/>
      <c r="B16" s="6"/>
      <c r="C16" s="6"/>
      <c r="H16" s="33"/>
    </row>
    <row r="17" ht="18.75" customHeight="1">
      <c r="A17" s="22" t="s">
        <v>27</v>
      </c>
      <c r="B17" s="23">
        <f>B15*34%</f>
        <v>138423.3083</v>
      </c>
      <c r="C17" s="6"/>
      <c r="D17" s="34"/>
      <c r="E17" s="6"/>
      <c r="F17" s="18"/>
      <c r="G17" s="6"/>
      <c r="H17" s="6"/>
    </row>
    <row r="18" ht="18.75" hidden="1" customHeight="1">
      <c r="A18" s="35" t="s">
        <v>28</v>
      </c>
      <c r="B18" s="36">
        <f>B17*0.1</f>
        <v>13842.33083</v>
      </c>
      <c r="C18" s="6"/>
      <c r="D18" s="6"/>
      <c r="E18" s="6"/>
      <c r="F18" s="6"/>
      <c r="G18" s="6"/>
      <c r="H18" s="6"/>
    </row>
    <row r="19" ht="18.75" customHeight="1">
      <c r="A19" s="37"/>
      <c r="B19" s="37"/>
      <c r="C19" s="6"/>
      <c r="D19" s="6"/>
      <c r="E19" s="6"/>
      <c r="F19" s="6"/>
      <c r="G19" s="6"/>
      <c r="H19" s="6"/>
    </row>
    <row r="20" ht="18.75" customHeight="1">
      <c r="A20" s="38" t="s">
        <v>29</v>
      </c>
      <c r="B20" s="39"/>
      <c r="C20" s="6"/>
      <c r="D20" s="6"/>
      <c r="E20" s="6"/>
      <c r="F20" s="6"/>
      <c r="G20" s="6"/>
      <c r="H20" s="6"/>
    </row>
    <row r="21" ht="18.75" customHeight="1">
      <c r="A21" s="40" t="s">
        <v>30</v>
      </c>
      <c r="B21" s="6"/>
      <c r="C21" s="6"/>
      <c r="D21" s="6"/>
      <c r="E21" s="6"/>
      <c r="F21" s="6"/>
      <c r="G21" s="6"/>
      <c r="H21" s="6"/>
    </row>
    <row r="22" ht="18.75" customHeight="1">
      <c r="A22" s="40" t="s">
        <v>31</v>
      </c>
      <c r="B22" s="6"/>
      <c r="C22" s="6"/>
      <c r="D22" s="6"/>
      <c r="E22" s="6"/>
      <c r="F22" s="6"/>
      <c r="G22" s="6"/>
      <c r="H22" s="6"/>
    </row>
    <row r="23" ht="18.75" customHeight="1">
      <c r="A23" s="40" t="s">
        <v>32</v>
      </c>
      <c r="B23" s="6"/>
      <c r="C23" s="6"/>
      <c r="D23" s="6"/>
      <c r="E23" s="6"/>
      <c r="F23" s="6"/>
      <c r="G23" s="6"/>
      <c r="H23" s="6"/>
    </row>
    <row r="24" ht="16.5" customHeight="1">
      <c r="A24" s="40" t="s">
        <v>33</v>
      </c>
      <c r="B24" s="41"/>
      <c r="C24" s="6"/>
      <c r="D24" s="6"/>
      <c r="E24" s="6"/>
      <c r="F24" s="6"/>
      <c r="G24" s="6"/>
      <c r="H24" s="6"/>
    </row>
    <row r="25" ht="16.5" customHeight="1">
      <c r="A25" s="40" t="s">
        <v>34</v>
      </c>
      <c r="B25" s="6"/>
      <c r="C25" s="6"/>
      <c r="D25" s="6"/>
      <c r="E25" s="6"/>
      <c r="F25" s="6"/>
      <c r="G25" s="6"/>
      <c r="H25" s="6"/>
    </row>
    <row r="26" ht="16.5" customHeight="1">
      <c r="A26" s="42" t="s">
        <v>35</v>
      </c>
      <c r="B26" s="4"/>
      <c r="C26" s="6"/>
      <c r="D26" s="6"/>
      <c r="E26" s="6"/>
      <c r="F26" s="6"/>
      <c r="G26" s="6"/>
      <c r="H26" s="6"/>
    </row>
    <row r="27" ht="16.5" customHeight="1">
      <c r="A27" s="43" t="s">
        <v>36</v>
      </c>
      <c r="B27" s="4"/>
      <c r="C27" s="4"/>
      <c r="D27" s="4"/>
      <c r="E27" s="4"/>
      <c r="F27" s="4"/>
      <c r="G27" s="4"/>
      <c r="H27" s="4"/>
    </row>
    <row r="28" ht="16.5" customHeight="1">
      <c r="A28" s="4"/>
      <c r="B28" s="4"/>
      <c r="C28" s="4"/>
      <c r="D28" s="4"/>
      <c r="E28" s="4"/>
      <c r="F28" s="4"/>
      <c r="G28" s="4"/>
      <c r="H28" s="4"/>
    </row>
    <row r="29" ht="18.75" customHeight="1">
      <c r="A29" s="37"/>
      <c r="B29" s="37"/>
      <c r="C29" s="6"/>
      <c r="D29" s="6"/>
      <c r="E29" s="6"/>
      <c r="F29" s="6"/>
      <c r="G29" s="6"/>
      <c r="H29" s="6"/>
    </row>
    <row r="30" ht="16.5" customHeight="1">
      <c r="A30" s="44" t="s">
        <v>37</v>
      </c>
      <c r="B30" s="6"/>
      <c r="C30" s="6"/>
      <c r="D30" s="6"/>
      <c r="E30" s="37"/>
      <c r="F30" s="45"/>
      <c r="G30" s="6"/>
      <c r="H30" s="6"/>
    </row>
    <row r="31" ht="16.5" customHeight="1">
      <c r="A31" s="40" t="s">
        <v>38</v>
      </c>
      <c r="B31" s="46" t="s">
        <v>39</v>
      </c>
      <c r="E31" s="47" t="s">
        <v>40</v>
      </c>
      <c r="H31" s="47"/>
    </row>
    <row r="32" ht="16.5" customHeight="1">
      <c r="A32" s="48"/>
      <c r="B32" s="48" t="s">
        <v>41</v>
      </c>
      <c r="C32" s="48" t="s">
        <v>42</v>
      </c>
      <c r="D32" s="48" t="s">
        <v>43</v>
      </c>
      <c r="E32" s="48" t="s">
        <v>41</v>
      </c>
      <c r="F32" s="48" t="s">
        <v>42</v>
      </c>
      <c r="G32" s="48" t="s">
        <v>43</v>
      </c>
      <c r="H32" s="48"/>
    </row>
    <row r="33" ht="16.5" customHeight="1">
      <c r="A33" s="49" t="s">
        <v>44</v>
      </c>
      <c r="B33" s="50">
        <f>IFERROR(__xludf.DUMMYFUNCTION("COUNTA(IFERROR(FILTER(Pessoal!$E$6:$E$26,Pessoal!$E$6:$E$26 = $A33,Pessoal!$U$6:$U$26 = ""Parcial"",Pessoal!$U$37:$U$57 = TRUE),))"),0.0)</f>
        <v>0</v>
      </c>
      <c r="C33" s="51">
        <f>IFERROR(__xludf.DUMMYFUNCTION("SUM(IFERROR(FILTER(Pessoal!$T$37:$T$57,Pessoal!$E$37:$E$57 = $A33,Pessoal!$D$37:$D$57 = ""Parcial""),0))"),0.0)</f>
        <v>0</v>
      </c>
      <c r="D33" s="51">
        <f>IFERROR(__xludf.DUMMYFUNCTION("SUM(IFERROR(FILTER(Pessoal!$S$6:$S$26,Pessoal!$E$6:$E$26 = $A33,Pessoal!$U$6:$U$26 = ""Parcial""),0))*24"),0.0)</f>
        <v>0</v>
      </c>
      <c r="E33" s="50">
        <f>IFERROR(__xludf.DUMMYFUNCTION("COUNTA(IFERROR(FILTER(Pessoal!$E$6:$E$26,Pessoal!$E$6:$E$26 = $A33,Pessoal!$U$6:$U$26 = ""Exclusivo"",Pessoal!$U$37:$U$57 = TRUE),))"),0.0)</f>
        <v>0</v>
      </c>
      <c r="F33" s="51">
        <f>IFERROR(__xludf.DUMMYFUNCTION("SUM(IFERROR(FILTER(Pessoal!$T$37:$T$57,Pessoal!$E$37:$E$57 = $A33,Pessoal!$D$37:$D$57 = ""Exclusivo""),0))"),0.0)</f>
        <v>0</v>
      </c>
      <c r="G33" s="51">
        <f>IFERROR(__xludf.DUMMYFUNCTION("SUM(IFERROR(FILTER(Pessoal!$S$6:$S$26,Pessoal!$E$6:$E$26 = $A33,Pessoal!$U$6:$U$26 = ""Exclusivo""),0))*24"),0.0)</f>
        <v>0</v>
      </c>
      <c r="H33" s="52"/>
    </row>
    <row r="34" ht="16.5" customHeight="1">
      <c r="A34" s="53" t="s">
        <v>45</v>
      </c>
      <c r="B34" s="50">
        <f>IFERROR(__xludf.DUMMYFUNCTION("COUNTA(IFERROR(FILTER(Pessoal!$E$6:$E$26,Pessoal!$E$6:$E$26 = $A34,Pessoal!$U$6:$U$26 = ""Parcial"",Pessoal!$U$37:$U$57 = TRUE),))"),0.0)</f>
        <v>0</v>
      </c>
      <c r="C34" s="51">
        <f>IFERROR(__xludf.DUMMYFUNCTION("SUM(IFERROR(FILTER(Pessoal!$T$37:$T$57,Pessoal!$E$37:$E$57 = $A34,Pessoal!$D$37:$D$57 = ""Parcial""),0))"),0.0)</f>
        <v>0</v>
      </c>
      <c r="D34" s="51">
        <f>IFERROR(__xludf.DUMMYFUNCTION("SUM(IFERROR(FILTER(Pessoal!$S$6:$S$26,Pessoal!$E$6:$E$26 = $A34,Pessoal!$U$6:$U$26 = ""Parcial""),0))*24"),0.0)</f>
        <v>0</v>
      </c>
      <c r="E34" s="50">
        <f>IFERROR(__xludf.DUMMYFUNCTION("COUNTA(IFERROR(FILTER(Pessoal!$E$6:$E$26,Pessoal!$E$6:$E$26 = $A34,Pessoal!$U$6:$U$26 = ""Exclusivo"",Pessoal!$U$37:$U$57 = TRUE),))"),0.0)</f>
        <v>0</v>
      </c>
      <c r="F34" s="51">
        <f>IFERROR(__xludf.DUMMYFUNCTION("SUM(IFERROR(FILTER(Pessoal!$T$37:$T$57,Pessoal!$E$37:$E$57 = $A34,Pessoal!$D$37:$D$57 = ""Exclusivo""),0))"),0.0)</f>
        <v>0</v>
      </c>
      <c r="G34" s="51">
        <f>IFERROR(__xludf.DUMMYFUNCTION("SUM(IFERROR(FILTER(Pessoal!$S$6:$S$26,Pessoal!$E$6:$E$26 = $A34,Pessoal!$U$6:$U$26 = ""Exclusivo""),0))*24"),0.0)</f>
        <v>0</v>
      </c>
      <c r="H34" s="52"/>
    </row>
    <row r="35" ht="16.5" customHeight="1">
      <c r="A35" s="49" t="s">
        <v>46</v>
      </c>
      <c r="B35" s="50">
        <f>IFERROR(__xludf.DUMMYFUNCTION("COUNTA(IFERROR(FILTER(Pessoal!$E$6:$E$26,Pessoal!$E$6:$E$26 = $A35,Pessoal!$U$6:$U$26 = ""Parcial"",Pessoal!$U$37:$U$57 = TRUE),))"),3.0)</f>
        <v>3</v>
      </c>
      <c r="C35" s="51">
        <f>IFERROR(__xludf.DUMMYFUNCTION("SUM(IFERROR(FILTER(Pessoal!$T$37:$T$57,Pessoal!$E$37:$E$57 = $A35,Pessoal!$D$37:$D$57 = ""Parcial""),0))"),82186.17763465601)</f>
        <v>82186.17763</v>
      </c>
      <c r="D35" s="51">
        <f>IFERROR(__xludf.DUMMYFUNCTION("SUM(IFERROR(FILTER(Pessoal!$S$6:$S$26,Pessoal!$E$6:$E$26 = $A35,Pessoal!$U$6:$U$26 = ""Parcial""),0))*24"),2533.283333333333)</f>
        <v>2533.283333</v>
      </c>
      <c r="E35" s="50">
        <f>IFERROR(__xludf.DUMMYFUNCTION("COUNTA(IFERROR(FILTER(Pessoal!$E$6:$E$26,Pessoal!$E$6:$E$26 = $A35,Pessoal!$U$6:$U$26 = ""Exclusivo"",Pessoal!$U$37:$U$57 = TRUE),))"),0.0)</f>
        <v>0</v>
      </c>
      <c r="F35" s="51">
        <f>IFERROR(__xludf.DUMMYFUNCTION("SUM(IFERROR(FILTER(Pessoal!$T$37:$T$57,Pessoal!$E$37:$E$57 = $A35,Pessoal!$D$37:$D$57 = ""Exclusivo""),0))"),0.0)</f>
        <v>0</v>
      </c>
      <c r="G35" s="51">
        <f>IFERROR(__xludf.DUMMYFUNCTION("SUM(IFERROR(FILTER(Pessoal!$S$6:$S$26,Pessoal!$E$6:$E$26 = $A35,Pessoal!$U$6:$U$26 = ""Exclusivo""),0))*24"),0.0)</f>
        <v>0</v>
      </c>
      <c r="H35" s="52"/>
    </row>
    <row r="36" ht="16.5" customHeight="1">
      <c r="A36" s="53" t="s">
        <v>47</v>
      </c>
      <c r="B36" s="50">
        <f>IFERROR(__xludf.DUMMYFUNCTION("COUNTA(IFERROR(FILTER(Pessoal!$E$6:$E$26,Pessoal!$E$6:$E$26 = $A36,Pessoal!$U$6:$U$26 = ""Parcial"",Pessoal!$U$37:$U$57 = TRUE),))"),6.0)</f>
        <v>6</v>
      </c>
      <c r="C36" s="51">
        <f>IFERROR(__xludf.DUMMYFUNCTION("SUM(IFERROR(FILTER(Pessoal!$T$37:$T$57,Pessoal!$E$37:$E$57 = $A36,Pessoal!$D$37:$D$57 = ""Parcial""),0))"),66486.16777574933)</f>
        <v>66486.16778</v>
      </c>
      <c r="D36" s="51">
        <f>IFERROR(__xludf.DUMMYFUNCTION("SUM(IFERROR(FILTER(Pessoal!$S$6:$S$26,Pessoal!$E$6:$E$26 = $A36,Pessoal!$U$6:$U$26 = ""Parcial""),0))*24"),528.3833333333332)</f>
        <v>528.3833333</v>
      </c>
      <c r="E36" s="50">
        <f>IFERROR(__xludf.DUMMYFUNCTION("COUNTA(IFERROR(FILTER(Pessoal!$E$6:$E$26,Pessoal!$E$6:$E$26 = $A36,Pessoal!$U$6:$U$26 = ""Exclusivo"",Pessoal!$U$37:$U$57 = TRUE),))"),0.0)</f>
        <v>0</v>
      </c>
      <c r="F36" s="51">
        <f>IFERROR(__xludf.DUMMYFUNCTION("SUM(IFERROR(FILTER(Pessoal!$T$37:$T$57,Pessoal!$E$37:$E$57 = $A36,Pessoal!$D$37:$D$57 = ""Exclusivo""),0))"),0.0)</f>
        <v>0</v>
      </c>
      <c r="G36" s="51">
        <f>IFERROR(__xludf.DUMMYFUNCTION("SUM(IFERROR(FILTER(Pessoal!$S$6:$S$26,Pessoal!$E$6:$E$26 = $A36,Pessoal!$U$6:$U$26 = ""Exclusivo""),0))*24"),0.0)</f>
        <v>0</v>
      </c>
      <c r="H36" s="52"/>
    </row>
    <row r="37" ht="16.5" customHeight="1">
      <c r="A37" s="40" t="s">
        <v>48</v>
      </c>
      <c r="B37" s="50">
        <f>IFERROR(__xludf.DUMMYFUNCTION("COUNTA(IFERROR(FILTER(Pessoal!$E$6:$E$26,Pessoal!$E$6:$E$26 = $A37,Pessoal!$U$6:$U$26 = ""Parcial"",Pessoal!$U$37:$U$57 = TRUE),))"),2.0)</f>
        <v>2</v>
      </c>
      <c r="C37" s="51">
        <f>IFERROR(__xludf.DUMMYFUNCTION("SUM(IFERROR(FILTER(Pessoal!$T$37:$T$57,Pessoal!$E$37:$E$57 = $A37,Pessoal!$D$37:$D$57 = ""Parcial""),0))"),152051.6233288585)</f>
        <v>152051.6233</v>
      </c>
      <c r="D37" s="51">
        <f>IFERROR(__xludf.DUMMYFUNCTION("SUM(IFERROR(FILTER(Pessoal!$S$6:$S$26,Pessoal!$E$6:$E$26 = $A37,Pessoal!$U$6:$U$26 = ""Parcial""),0))*24"),2312.1166666666672)</f>
        <v>2312.116667</v>
      </c>
      <c r="E37" s="50">
        <f>IFERROR(__xludf.DUMMYFUNCTION("COUNTA(IFERROR(FILTER(Pessoal!$E$6:$E$26,Pessoal!$E$6:$E$26 = $A37,Pessoal!$U$6:$U$26 = ""Exclusivo"",Pessoal!$U$37:$U$57 = TRUE),))"),0.0)</f>
        <v>0</v>
      </c>
      <c r="F37" s="51">
        <f>IFERROR(__xludf.DUMMYFUNCTION("SUM(IFERROR(FILTER(Pessoal!$T$37:$T$57,Pessoal!$E$37:$E$57 = $A37,Pessoal!$D$37:$D$57 = ""Exclusivo""),0))"),0.0)</f>
        <v>0</v>
      </c>
      <c r="G37" s="51">
        <f>IFERROR(__xludf.DUMMYFUNCTION("SUM(IFERROR(FILTER(Pessoal!$S$6:$S$26,Pessoal!$E$6:$E$26 = $A37,Pessoal!$U$6:$U$26 = ""Exclusivo""),0))*24"),0.0)</f>
        <v>0</v>
      </c>
      <c r="H37" s="52"/>
    </row>
    <row r="38" ht="16.5" customHeight="1">
      <c r="A38" s="40" t="s">
        <v>49</v>
      </c>
      <c r="B38" s="50">
        <f>IFERROR(__xludf.DUMMYFUNCTION("COUNTA(IFERROR(FILTER(Pessoal!$E$6:$E$26,Pessoal!$E$6:$E$26 = $A38,Pessoal!$U$6:$U$26 = ""Parcial"",Pessoal!$U$37:$U$57 = TRUE),))"),0.0)</f>
        <v>0</v>
      </c>
      <c r="C38" s="51">
        <f>IFERROR(__xludf.DUMMYFUNCTION("SUM(IFERROR(FILTER(Pessoal!$T$37:$T$57,Pessoal!$E$37:$E$57 = $A38,Pessoal!$D$37:$D$57 = ""Parcial""),0))"),0.0)</f>
        <v>0</v>
      </c>
      <c r="D38" s="51">
        <f>IFERROR(__xludf.DUMMYFUNCTION("SUM(IFERROR(FILTER(Pessoal!$S$6:$S$26,Pessoal!$E$6:$E$26 = $A38,Pessoal!$U$6:$U$26 = ""Parcial""),0))*24"),0.0)</f>
        <v>0</v>
      </c>
      <c r="E38" s="50">
        <f>IFERROR(__xludf.DUMMYFUNCTION("COUNTA(IFERROR(FILTER(Pessoal!$E$6:$E$26,Pessoal!$E$6:$E$26 = $A38,Pessoal!$U$6:$U$26 = ""Exclusivo"",Pessoal!$U$37:$U$57 = TRUE),))"),0.0)</f>
        <v>0</v>
      </c>
      <c r="F38" s="51">
        <f>IFERROR(__xludf.DUMMYFUNCTION("SUM(IFERROR(FILTER(Pessoal!$T$37:$T$57,Pessoal!$E$37:$E$57 = $A38,Pessoal!$D$37:$D$57 = ""Exclusivo""),0))"),0.0)</f>
        <v>0</v>
      </c>
      <c r="G38" s="51">
        <f>IFERROR(__xludf.DUMMYFUNCTION("SUM(IFERROR(FILTER(Pessoal!$S$6:$S$26,Pessoal!$E$6:$E$26 = $A38,Pessoal!$U$6:$U$26 = ""Exclusivo""),0))*24"),0.0)</f>
        <v>0</v>
      </c>
      <c r="H38" s="52"/>
    </row>
    <row r="39" ht="16.5" customHeight="1">
      <c r="A39" s="54"/>
      <c r="B39" s="55">
        <f t="shared" ref="B39:G39" si="1">SUM(B33:B38)</f>
        <v>11</v>
      </c>
      <c r="C39" s="23">
        <f t="shared" si="1"/>
        <v>300723.9687</v>
      </c>
      <c r="D39" s="23">
        <f t="shared" si="1"/>
        <v>5373.783333</v>
      </c>
      <c r="E39" s="55">
        <f t="shared" si="1"/>
        <v>0</v>
      </c>
      <c r="F39" s="23">
        <f t="shared" si="1"/>
        <v>0</v>
      </c>
      <c r="G39" s="23">
        <f t="shared" si="1"/>
        <v>0</v>
      </c>
      <c r="H39" s="56"/>
    </row>
    <row r="40" ht="18.75" customHeight="1">
      <c r="A40" s="37"/>
      <c r="B40" s="37"/>
      <c r="C40" s="6"/>
      <c r="D40" s="6"/>
      <c r="E40" s="6"/>
      <c r="F40" s="6"/>
      <c r="G40" s="6"/>
      <c r="H40" s="6"/>
    </row>
    <row r="41" ht="18.75" customHeight="1">
      <c r="A41" s="44" t="s">
        <v>50</v>
      </c>
      <c r="B41" s="37"/>
      <c r="C41" s="6"/>
      <c r="D41" s="6"/>
      <c r="E41" s="6"/>
      <c r="F41" s="6"/>
      <c r="G41" s="6"/>
      <c r="H41" s="6"/>
    </row>
    <row r="42" ht="18.75" customHeight="1">
      <c r="A42" s="38" t="s">
        <v>51</v>
      </c>
      <c r="B42" s="38" t="s">
        <v>52</v>
      </c>
      <c r="C42" s="38"/>
      <c r="D42" s="38" t="s">
        <v>53</v>
      </c>
      <c r="E42" s="38" t="s">
        <v>54</v>
      </c>
      <c r="F42" s="38" t="s">
        <v>55</v>
      </c>
      <c r="G42" s="38" t="s">
        <v>56</v>
      </c>
      <c r="H42" s="38"/>
    </row>
    <row r="43" ht="18.75" customHeight="1">
      <c r="A43" s="6" t="s">
        <v>57</v>
      </c>
      <c r="B43" s="6" t="s">
        <v>58</v>
      </c>
      <c r="C43" s="4"/>
      <c r="D43" s="18">
        <f>IFERROR(__xludf.DUMMYFUNCTION("SUM(FILTER(Investimentos!$O:$O,Investimentos!$N:$N = ""Material"",Investimentos!$L:$L = TRUE))"),1511.75)</f>
        <v>1511.75</v>
      </c>
      <c r="E43" s="18">
        <f>IFERROR(__xludf.DUMMYFUNCTION("SUM(FILTER(Investimentos!$O:$O,Investimentos!$N:$N = ""Serviço"",Investimentos!$L:$L = TRUE))"),274463.99)</f>
        <v>274463.99</v>
      </c>
      <c r="F43" s="18">
        <f t="shared" ref="F43:F47" si="2">$B$11*(E43/$E$48)</f>
        <v>221437.398</v>
      </c>
      <c r="G43" s="18">
        <f t="shared" ref="G43:G47" si="3">$B$12*(E43/$E$48)</f>
        <v>0</v>
      </c>
      <c r="H43" s="18"/>
    </row>
    <row r="44" ht="18.75" customHeight="1">
      <c r="A44" s="40" t="s">
        <v>59</v>
      </c>
      <c r="B44" s="40" t="s">
        <v>60</v>
      </c>
      <c r="C44" s="4"/>
      <c r="D44" s="18">
        <f>IFERROR(__xludf.DUMMYFUNCTION("SUM(FILTER(Investimentos!$P:$P,Investimentos!$N:$N = ""Material"",Investimentos!$L:$L = TRUE,Investimentos!$W:$W = TRUE))"),0.0)</f>
        <v>0</v>
      </c>
      <c r="E44" s="18">
        <f>IFERROR(__xludf.DUMMYFUNCTION("SUM(FILTER(Investimentos!$P:$P,Investimentos!$N:$N = ""Serviço"",Investimentos!$L:$L = TRUE))"),0.0)</f>
        <v>0</v>
      </c>
      <c r="F44" s="18">
        <f t="shared" si="2"/>
        <v>0</v>
      </c>
      <c r="G44" s="18">
        <f t="shared" si="3"/>
        <v>0</v>
      </c>
      <c r="H44" s="18"/>
    </row>
    <row r="45" ht="18.75" customHeight="1">
      <c r="A45" s="6" t="s">
        <v>61</v>
      </c>
      <c r="B45" s="6" t="s">
        <v>62</v>
      </c>
      <c r="C45" s="4"/>
      <c r="D45" s="18">
        <f>IFERROR(__xludf.DUMMYFUNCTION("SUM(FILTER(Investimentos!$Q:$Q,Investimentos!$N:$N = ""Material"",Investimentos!$L:$L = TRUE()))"),362.9)</f>
        <v>362.9</v>
      </c>
      <c r="E45" s="18">
        <f>IFERROR(__xludf.DUMMYFUNCTION("SUM(FILTER(Investimentos!$Q:$Q,Investimentos!$N:$N = ""Serviço"",Investimentos!$L:$L = TRUE))"),84741.82000000002)</f>
        <v>84741.82</v>
      </c>
      <c r="F45" s="18">
        <f t="shared" si="2"/>
        <v>68369.65433</v>
      </c>
      <c r="G45" s="18">
        <f t="shared" si="3"/>
        <v>0</v>
      </c>
      <c r="H45" s="18"/>
    </row>
    <row r="46" ht="18.75" customHeight="1">
      <c r="A46" s="40" t="s">
        <v>63</v>
      </c>
      <c r="B46" s="40" t="s">
        <v>64</v>
      </c>
      <c r="C46" s="4"/>
      <c r="D46" s="18">
        <f>IFERROR(__xludf.DUMMYFUNCTION("SUM(FILTER(Investimentos!$R:$R,Investimentos!$N:$N = ""Material"",Investimentos!$L:$L = TRUE))"),3210.06)</f>
        <v>3210.06</v>
      </c>
      <c r="E46" s="18">
        <f>IFERROR(__xludf.DUMMYFUNCTION("SUM(FILTER(Investimentos!$R:$R,Investimentos!$N:$N = ""Serviço"",Investimentos!$L:$L = TRUE))"),13531.140000000001)</f>
        <v>13531.14</v>
      </c>
      <c r="F46" s="18">
        <f t="shared" si="2"/>
        <v>10916.9164</v>
      </c>
      <c r="G46" s="18">
        <f t="shared" si="3"/>
        <v>0</v>
      </c>
      <c r="H46" s="18"/>
    </row>
    <row r="47" ht="18.75" customHeight="1">
      <c r="A47" s="40" t="s">
        <v>65</v>
      </c>
      <c r="B47" s="40" t="s">
        <v>66</v>
      </c>
      <c r="C47" s="4"/>
      <c r="D47" s="18">
        <f>IFERROR(__xludf.DUMMYFUNCTION("SUM(FILTER(Investimentos!$S:$S,Investimentos!$N:$N = ""Material"",Investimentos!$L:$L = TRUE,Investimentos!$W:$W = TRUE))"),0.0)</f>
        <v>0</v>
      </c>
      <c r="E47" s="18">
        <f>IFERROR(__xludf.DUMMYFUNCTION("SUM(FILTER(Investimentos!$S:$S,Investimentos!$N:$N = ""Serviço"",Investimentos!$L:$L = TRUE,Investimentos!$W:$W &lt;&gt; FALSE))"),0.0)</f>
        <v>0</v>
      </c>
      <c r="F47" s="18">
        <f t="shared" si="2"/>
        <v>0</v>
      </c>
      <c r="G47" s="18">
        <f t="shared" si="3"/>
        <v>0</v>
      </c>
      <c r="H47" s="18"/>
    </row>
    <row r="48" ht="18.75" customHeight="1">
      <c r="A48" s="54" t="s">
        <v>67</v>
      </c>
      <c r="B48" s="23"/>
      <c r="C48" s="23"/>
      <c r="D48" s="23">
        <f t="shared" ref="D48:G48" si="4">SUM(D43:D47)</f>
        <v>5084.71</v>
      </c>
      <c r="E48" s="23">
        <f t="shared" si="4"/>
        <v>372736.95</v>
      </c>
      <c r="F48" s="23">
        <f t="shared" si="4"/>
        <v>300723.9687</v>
      </c>
      <c r="G48" s="23">
        <f t="shared" si="4"/>
        <v>0</v>
      </c>
      <c r="H48" s="56"/>
    </row>
  </sheetData>
  <mergeCells count="6">
    <mergeCell ref="D15:D16"/>
    <mergeCell ref="E15:E16"/>
    <mergeCell ref="F15:F16"/>
    <mergeCell ref="G15:G16"/>
    <mergeCell ref="B31:D31"/>
    <mergeCell ref="E31:G31"/>
  </mergeCells>
  <printOptions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15.0"/>
  </cols>
  <sheetData>
    <row r="1" ht="11.25" customHeight="1">
      <c r="A1" s="57"/>
      <c r="B1" s="57"/>
      <c r="C1" s="57"/>
      <c r="D1" s="57"/>
      <c r="E1" s="58"/>
      <c r="F1" s="58"/>
      <c r="G1" s="58"/>
      <c r="H1" s="58"/>
      <c r="I1" s="58"/>
      <c r="J1" s="58"/>
      <c r="K1" s="58"/>
      <c r="L1" s="58"/>
    </row>
    <row r="2">
      <c r="A2" s="59" t="s">
        <v>51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>
      <c r="A3" s="5" t="s">
        <v>68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>
      <c r="A4" s="60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>
      <c r="A5" s="61" t="s">
        <v>69</v>
      </c>
      <c r="B5" s="61" t="s">
        <v>70</v>
      </c>
      <c r="C5" s="61" t="s">
        <v>71</v>
      </c>
      <c r="D5" s="61" t="s">
        <v>72</v>
      </c>
      <c r="E5" s="61" t="s">
        <v>73</v>
      </c>
      <c r="F5" s="61" t="s">
        <v>74</v>
      </c>
      <c r="G5" s="61" t="s">
        <v>75</v>
      </c>
      <c r="H5" s="61" t="s">
        <v>76</v>
      </c>
      <c r="I5" s="61" t="s">
        <v>77</v>
      </c>
      <c r="J5" s="61" t="s">
        <v>78</v>
      </c>
      <c r="K5" s="61" t="s">
        <v>79</v>
      </c>
      <c r="L5" s="61" t="s">
        <v>80</v>
      </c>
    </row>
    <row r="6">
      <c r="A6" s="62" t="str">
        <f t="array" ref="A6:A42">SORT(UNIQUE({Timesheet!C7:C42;PrjAdd!A2:A10}),1,true)</f>
        <v>Bemmax Sabor Neutro</v>
      </c>
      <c r="B6" s="62"/>
      <c r="C6" s="62" t="s">
        <v>81</v>
      </c>
      <c r="D6" s="62"/>
      <c r="E6" s="62" t="s">
        <v>81</v>
      </c>
      <c r="F6" s="62" t="s">
        <v>81</v>
      </c>
      <c r="G6" s="62" t="s">
        <v>81</v>
      </c>
      <c r="H6" s="62" t="s">
        <v>81</v>
      </c>
      <c r="I6" s="62"/>
      <c r="J6" s="62" t="s">
        <v>81</v>
      </c>
      <c r="K6" s="62"/>
      <c r="L6" s="63" t="b">
        <v>1</v>
      </c>
    </row>
    <row r="7">
      <c r="A7" s="62" t="s">
        <v>82</v>
      </c>
      <c r="B7" s="62"/>
      <c r="C7" s="62" t="s">
        <v>81</v>
      </c>
      <c r="D7" s="62"/>
      <c r="E7" s="62" t="s">
        <v>81</v>
      </c>
      <c r="F7" s="62" t="s">
        <v>81</v>
      </c>
      <c r="G7" s="62" t="s">
        <v>81</v>
      </c>
      <c r="H7" s="62" t="s">
        <v>81</v>
      </c>
      <c r="I7" s="62"/>
      <c r="J7" s="62" t="s">
        <v>81</v>
      </c>
      <c r="K7" s="62"/>
      <c r="L7" s="63" t="b">
        <v>1</v>
      </c>
    </row>
    <row r="8">
      <c r="A8" s="62" t="s">
        <v>83</v>
      </c>
      <c r="B8" s="62"/>
      <c r="C8" s="62" t="s">
        <v>81</v>
      </c>
      <c r="D8" s="62"/>
      <c r="E8" s="62" t="s">
        <v>81</v>
      </c>
      <c r="F8" s="62" t="s">
        <v>81</v>
      </c>
      <c r="G8" s="62" t="s">
        <v>81</v>
      </c>
      <c r="H8" s="62" t="s">
        <v>81</v>
      </c>
      <c r="I8" s="62"/>
      <c r="J8" s="62" t="s">
        <v>81</v>
      </c>
      <c r="K8" s="62"/>
      <c r="L8" s="63" t="b">
        <v>0</v>
      </c>
    </row>
    <row r="9">
      <c r="A9" s="62" t="s">
        <v>84</v>
      </c>
      <c r="B9" s="62"/>
      <c r="C9" s="62" t="s">
        <v>81</v>
      </c>
      <c r="D9" s="62"/>
      <c r="E9" s="62" t="s">
        <v>81</v>
      </c>
      <c r="F9" s="62" t="s">
        <v>81</v>
      </c>
      <c r="G9" s="62" t="s">
        <v>81</v>
      </c>
      <c r="H9" s="62" t="s">
        <v>81</v>
      </c>
      <c r="I9" s="62"/>
      <c r="J9" s="62" t="s">
        <v>81</v>
      </c>
      <c r="K9" s="62"/>
      <c r="L9" s="63" t="b">
        <v>1</v>
      </c>
    </row>
    <row r="10">
      <c r="A10" s="62" t="s">
        <v>85</v>
      </c>
      <c r="B10" s="62"/>
      <c r="C10" s="62" t="s">
        <v>81</v>
      </c>
      <c r="D10" s="62"/>
      <c r="E10" s="62" t="s">
        <v>81</v>
      </c>
      <c r="F10" s="62" t="s">
        <v>81</v>
      </c>
      <c r="G10" s="62" t="s">
        <v>81</v>
      </c>
      <c r="H10" s="62" t="s">
        <v>81</v>
      </c>
      <c r="I10" s="62"/>
      <c r="J10" s="62" t="s">
        <v>81</v>
      </c>
      <c r="K10" s="62"/>
      <c r="L10" s="63" t="b">
        <v>1</v>
      </c>
    </row>
    <row r="11">
      <c r="A11" s="62" t="s">
        <v>86</v>
      </c>
      <c r="B11" s="62"/>
      <c r="C11" s="62" t="s">
        <v>81</v>
      </c>
      <c r="D11" s="62"/>
      <c r="E11" s="62" t="s">
        <v>81</v>
      </c>
      <c r="F11" s="62" t="s">
        <v>81</v>
      </c>
      <c r="G11" s="62" t="s">
        <v>81</v>
      </c>
      <c r="H11" s="62" t="s">
        <v>81</v>
      </c>
      <c r="I11" s="62"/>
      <c r="J11" s="62" t="s">
        <v>81</v>
      </c>
      <c r="K11" s="62"/>
      <c r="L11" s="63" t="b">
        <v>1</v>
      </c>
    </row>
    <row r="12">
      <c r="A12" s="62" t="s">
        <v>87</v>
      </c>
      <c r="B12" s="62"/>
      <c r="C12" s="62" t="s">
        <v>81</v>
      </c>
      <c r="D12" s="62"/>
      <c r="E12" s="62" t="s">
        <v>81</v>
      </c>
      <c r="F12" s="62" t="s">
        <v>81</v>
      </c>
      <c r="G12" s="62" t="s">
        <v>81</v>
      </c>
      <c r="H12" s="62" t="s">
        <v>81</v>
      </c>
      <c r="I12" s="62"/>
      <c r="J12" s="62" t="s">
        <v>81</v>
      </c>
      <c r="K12" s="62"/>
      <c r="L12" s="63" t="b">
        <v>1</v>
      </c>
    </row>
    <row r="13">
      <c r="A13" s="62" t="s">
        <v>88</v>
      </c>
      <c r="B13" s="62"/>
      <c r="C13" s="62" t="s">
        <v>81</v>
      </c>
      <c r="D13" s="62"/>
      <c r="E13" s="62" t="s">
        <v>81</v>
      </c>
      <c r="F13" s="62" t="s">
        <v>81</v>
      </c>
      <c r="G13" s="62" t="s">
        <v>81</v>
      </c>
      <c r="H13" s="62" t="s">
        <v>81</v>
      </c>
      <c r="I13" s="62"/>
      <c r="J13" s="62" t="s">
        <v>81</v>
      </c>
      <c r="K13" s="62"/>
      <c r="L13" s="63" t="b">
        <v>1</v>
      </c>
    </row>
    <row r="14">
      <c r="A14" s="62" t="s">
        <v>89</v>
      </c>
      <c r="B14" s="62"/>
      <c r="C14" s="62" t="s">
        <v>81</v>
      </c>
      <c r="D14" s="62"/>
      <c r="E14" s="62" t="s">
        <v>81</v>
      </c>
      <c r="F14" s="62" t="s">
        <v>81</v>
      </c>
      <c r="G14" s="62" t="s">
        <v>81</v>
      </c>
      <c r="H14" s="62" t="s">
        <v>81</v>
      </c>
      <c r="I14" s="62"/>
      <c r="J14" s="62" t="s">
        <v>81</v>
      </c>
      <c r="K14" s="62"/>
      <c r="L14" s="63" t="b">
        <v>1</v>
      </c>
    </row>
    <row r="15">
      <c r="A15" s="62" t="s">
        <v>90</v>
      </c>
      <c r="B15" s="62"/>
      <c r="C15" s="62" t="s">
        <v>81</v>
      </c>
      <c r="D15" s="62"/>
      <c r="E15" s="62" t="s">
        <v>81</v>
      </c>
      <c r="F15" s="62" t="s">
        <v>81</v>
      </c>
      <c r="G15" s="62" t="s">
        <v>81</v>
      </c>
      <c r="H15" s="62" t="s">
        <v>81</v>
      </c>
      <c r="I15" s="62"/>
      <c r="J15" s="62" t="s">
        <v>81</v>
      </c>
      <c r="K15" s="62"/>
      <c r="L15" s="63" t="b">
        <v>1</v>
      </c>
    </row>
    <row r="16">
      <c r="A16" s="62" t="s">
        <v>91</v>
      </c>
      <c r="B16" s="62"/>
      <c r="C16" s="62" t="s">
        <v>81</v>
      </c>
      <c r="D16" s="62"/>
      <c r="E16" s="62" t="s">
        <v>81</v>
      </c>
      <c r="F16" s="62" t="s">
        <v>81</v>
      </c>
      <c r="G16" s="62" t="s">
        <v>81</v>
      </c>
      <c r="H16" s="62" t="s">
        <v>81</v>
      </c>
      <c r="I16" s="62"/>
      <c r="J16" s="62" t="s">
        <v>81</v>
      </c>
      <c r="K16" s="62"/>
      <c r="L16" s="63" t="b">
        <v>1</v>
      </c>
    </row>
    <row r="17">
      <c r="A17" s="62" t="s">
        <v>92</v>
      </c>
      <c r="B17" s="62"/>
      <c r="C17" s="62" t="s">
        <v>81</v>
      </c>
      <c r="D17" s="62"/>
      <c r="E17" s="62" t="s">
        <v>81</v>
      </c>
      <c r="F17" s="62" t="s">
        <v>81</v>
      </c>
      <c r="G17" s="62" t="s">
        <v>81</v>
      </c>
      <c r="H17" s="62" t="s">
        <v>81</v>
      </c>
      <c r="I17" s="62"/>
      <c r="J17" s="62" t="s">
        <v>81</v>
      </c>
      <c r="K17" s="62"/>
      <c r="L17" s="63" t="b">
        <v>1</v>
      </c>
    </row>
    <row r="18">
      <c r="A18" s="62" t="s">
        <v>93</v>
      </c>
      <c r="B18" s="62"/>
      <c r="C18" s="62" t="s">
        <v>81</v>
      </c>
      <c r="D18" s="62"/>
      <c r="E18" s="62" t="s">
        <v>81</v>
      </c>
      <c r="F18" s="62" t="s">
        <v>81</v>
      </c>
      <c r="G18" s="62" t="s">
        <v>81</v>
      </c>
      <c r="H18" s="62" t="s">
        <v>81</v>
      </c>
      <c r="I18" s="62"/>
      <c r="J18" s="62" t="s">
        <v>81</v>
      </c>
      <c r="K18" s="62"/>
      <c r="L18" s="63" t="b">
        <v>1</v>
      </c>
    </row>
    <row r="19">
      <c r="A19" s="62" t="s">
        <v>94</v>
      </c>
      <c r="B19" s="62"/>
      <c r="C19" s="62" t="s">
        <v>81</v>
      </c>
      <c r="D19" s="62"/>
      <c r="E19" s="62" t="s">
        <v>81</v>
      </c>
      <c r="F19" s="62" t="s">
        <v>81</v>
      </c>
      <c r="G19" s="62" t="s">
        <v>81</v>
      </c>
      <c r="H19" s="62" t="s">
        <v>81</v>
      </c>
      <c r="I19" s="62"/>
      <c r="J19" s="62" t="s">
        <v>81</v>
      </c>
      <c r="K19" s="62"/>
      <c r="L19" s="63" t="b">
        <v>1</v>
      </c>
    </row>
    <row r="20">
      <c r="A20" s="62" t="s">
        <v>95</v>
      </c>
      <c r="B20" s="62"/>
      <c r="C20" s="62" t="s">
        <v>81</v>
      </c>
      <c r="D20" s="62"/>
      <c r="E20" s="62" t="s">
        <v>81</v>
      </c>
      <c r="F20" s="62" t="s">
        <v>81</v>
      </c>
      <c r="G20" s="62" t="s">
        <v>81</v>
      </c>
      <c r="H20" s="62" t="s">
        <v>81</v>
      </c>
      <c r="I20" s="62"/>
      <c r="J20" s="62" t="s">
        <v>81</v>
      </c>
      <c r="K20" s="62"/>
      <c r="L20" s="63" t="b">
        <v>1</v>
      </c>
    </row>
    <row r="21">
      <c r="A21" s="62" t="s">
        <v>96</v>
      </c>
      <c r="B21" s="62"/>
      <c r="C21" s="62" t="s">
        <v>81</v>
      </c>
      <c r="D21" s="62"/>
      <c r="E21" s="62" t="s">
        <v>81</v>
      </c>
      <c r="F21" s="62" t="s">
        <v>81</v>
      </c>
      <c r="G21" s="62" t="s">
        <v>81</v>
      </c>
      <c r="H21" s="62" t="s">
        <v>81</v>
      </c>
      <c r="I21" s="62"/>
      <c r="J21" s="62" t="s">
        <v>81</v>
      </c>
      <c r="K21" s="62"/>
      <c r="L21" s="63" t="b">
        <v>1</v>
      </c>
    </row>
    <row r="22">
      <c r="A22" s="62" t="s">
        <v>97</v>
      </c>
      <c r="B22" s="62"/>
      <c r="C22" s="62" t="s">
        <v>81</v>
      </c>
      <c r="D22" s="62"/>
      <c r="E22" s="62" t="s">
        <v>81</v>
      </c>
      <c r="F22" s="62" t="s">
        <v>81</v>
      </c>
      <c r="G22" s="62" t="s">
        <v>81</v>
      </c>
      <c r="H22" s="62" t="s">
        <v>81</v>
      </c>
      <c r="I22" s="62"/>
      <c r="J22" s="62" t="s">
        <v>81</v>
      </c>
      <c r="K22" s="62"/>
      <c r="L22" s="63" t="b">
        <v>1</v>
      </c>
    </row>
    <row r="23">
      <c r="A23" s="62" t="s">
        <v>98</v>
      </c>
      <c r="B23" s="62"/>
      <c r="C23" s="62" t="s">
        <v>81</v>
      </c>
      <c r="D23" s="62"/>
      <c r="E23" s="62" t="s">
        <v>81</v>
      </c>
      <c r="F23" s="62" t="s">
        <v>81</v>
      </c>
      <c r="G23" s="62" t="s">
        <v>81</v>
      </c>
      <c r="H23" s="62" t="s">
        <v>81</v>
      </c>
      <c r="I23" s="62"/>
      <c r="J23" s="62" t="s">
        <v>81</v>
      </c>
      <c r="K23" s="62"/>
      <c r="L23" s="63" t="b">
        <v>1</v>
      </c>
    </row>
    <row r="24">
      <c r="A24" s="62" t="s">
        <v>99</v>
      </c>
      <c r="B24" s="62"/>
      <c r="C24" s="62" t="s">
        <v>81</v>
      </c>
      <c r="D24" s="62"/>
      <c r="E24" s="62" t="s">
        <v>81</v>
      </c>
      <c r="F24" s="62" t="s">
        <v>81</v>
      </c>
      <c r="G24" s="62" t="s">
        <v>81</v>
      </c>
      <c r="H24" s="62" t="s">
        <v>81</v>
      </c>
      <c r="I24" s="62"/>
      <c r="J24" s="62" t="s">
        <v>81</v>
      </c>
      <c r="K24" s="62"/>
      <c r="L24" s="63" t="b">
        <v>1</v>
      </c>
    </row>
    <row r="25">
      <c r="A25" s="62" t="s">
        <v>100</v>
      </c>
      <c r="B25" s="62"/>
      <c r="C25" s="62" t="s">
        <v>81</v>
      </c>
      <c r="D25" s="62"/>
      <c r="E25" s="62" t="s">
        <v>81</v>
      </c>
      <c r="F25" s="62" t="s">
        <v>81</v>
      </c>
      <c r="G25" s="62" t="s">
        <v>81</v>
      </c>
      <c r="H25" s="62" t="s">
        <v>81</v>
      </c>
      <c r="I25" s="62"/>
      <c r="J25" s="62" t="s">
        <v>81</v>
      </c>
      <c r="K25" s="62"/>
      <c r="L25" s="63" t="b">
        <v>1</v>
      </c>
    </row>
    <row r="26">
      <c r="A26" s="62" t="s">
        <v>101</v>
      </c>
      <c r="B26" s="62"/>
      <c r="C26" s="62" t="s">
        <v>81</v>
      </c>
      <c r="D26" s="62"/>
      <c r="E26" s="62" t="s">
        <v>81</v>
      </c>
      <c r="F26" s="62" t="s">
        <v>81</v>
      </c>
      <c r="G26" s="62" t="s">
        <v>81</v>
      </c>
      <c r="H26" s="62" t="s">
        <v>81</v>
      </c>
      <c r="I26" s="62"/>
      <c r="J26" s="62" t="s">
        <v>81</v>
      </c>
      <c r="K26" s="62"/>
      <c r="L26" s="63" t="b">
        <v>1</v>
      </c>
    </row>
    <row r="27">
      <c r="A27" s="62" t="s">
        <v>102</v>
      </c>
      <c r="B27" s="62"/>
      <c r="C27" s="62" t="s">
        <v>81</v>
      </c>
      <c r="D27" s="62"/>
      <c r="E27" s="62" t="s">
        <v>81</v>
      </c>
      <c r="F27" s="62" t="s">
        <v>81</v>
      </c>
      <c r="G27" s="62" t="s">
        <v>81</v>
      </c>
      <c r="H27" s="62" t="s">
        <v>81</v>
      </c>
      <c r="I27" s="62"/>
      <c r="J27" s="62" t="s">
        <v>81</v>
      </c>
      <c r="K27" s="62"/>
      <c r="L27" s="63" t="b">
        <v>0</v>
      </c>
    </row>
    <row r="28">
      <c r="A28" s="62" t="s">
        <v>103</v>
      </c>
      <c r="B28" s="62"/>
      <c r="C28" s="62" t="s">
        <v>81</v>
      </c>
      <c r="D28" s="62"/>
      <c r="E28" s="62" t="s">
        <v>81</v>
      </c>
      <c r="F28" s="62" t="s">
        <v>81</v>
      </c>
      <c r="G28" s="62" t="s">
        <v>81</v>
      </c>
      <c r="H28" s="62" t="s">
        <v>81</v>
      </c>
      <c r="I28" s="62"/>
      <c r="J28" s="62" t="s">
        <v>81</v>
      </c>
      <c r="K28" s="62"/>
      <c r="L28" s="63" t="b">
        <v>1</v>
      </c>
    </row>
    <row r="29">
      <c r="A29" s="62" t="s">
        <v>104</v>
      </c>
      <c r="B29" s="62"/>
      <c r="C29" s="62" t="s">
        <v>81</v>
      </c>
      <c r="D29" s="62"/>
      <c r="E29" s="62" t="s">
        <v>81</v>
      </c>
      <c r="F29" s="62" t="s">
        <v>81</v>
      </c>
      <c r="G29" s="62" t="s">
        <v>81</v>
      </c>
      <c r="H29" s="62" t="s">
        <v>81</v>
      </c>
      <c r="I29" s="62"/>
      <c r="J29" s="62" t="s">
        <v>81</v>
      </c>
      <c r="K29" s="62"/>
      <c r="L29" s="63" t="b">
        <v>1</v>
      </c>
    </row>
    <row r="30">
      <c r="A30" s="62" t="s">
        <v>105</v>
      </c>
      <c r="B30" s="62"/>
      <c r="C30" s="62" t="s">
        <v>81</v>
      </c>
      <c r="D30" s="62"/>
      <c r="E30" s="62" t="s">
        <v>81</v>
      </c>
      <c r="F30" s="62" t="s">
        <v>81</v>
      </c>
      <c r="G30" s="62" t="s">
        <v>81</v>
      </c>
      <c r="H30" s="62" t="s">
        <v>81</v>
      </c>
      <c r="I30" s="62"/>
      <c r="J30" s="62" t="s">
        <v>81</v>
      </c>
      <c r="K30" s="62"/>
      <c r="L30" s="63" t="b">
        <v>1</v>
      </c>
    </row>
    <row r="31">
      <c r="A31" s="62" t="s">
        <v>106</v>
      </c>
      <c r="B31" s="62"/>
      <c r="C31" s="62"/>
      <c r="D31" s="62"/>
      <c r="E31" s="62" t="s">
        <v>81</v>
      </c>
      <c r="F31" s="62" t="s">
        <v>81</v>
      </c>
      <c r="G31" s="62" t="s">
        <v>81</v>
      </c>
      <c r="H31" s="62" t="s">
        <v>81</v>
      </c>
      <c r="I31" s="62"/>
      <c r="J31" s="62" t="s">
        <v>81</v>
      </c>
      <c r="K31" s="62"/>
      <c r="L31" s="63" t="b">
        <v>1</v>
      </c>
    </row>
    <row r="32">
      <c r="A32" s="62" t="s">
        <v>107</v>
      </c>
      <c r="B32" s="62"/>
      <c r="C32" s="62"/>
      <c r="D32" s="62"/>
      <c r="E32" s="62" t="s">
        <v>81</v>
      </c>
      <c r="F32" s="62" t="s">
        <v>81</v>
      </c>
      <c r="G32" s="62" t="s">
        <v>81</v>
      </c>
      <c r="H32" s="62" t="s">
        <v>81</v>
      </c>
      <c r="I32" s="62"/>
      <c r="J32" s="62" t="s">
        <v>81</v>
      </c>
      <c r="K32" s="62"/>
      <c r="L32" s="63" t="b">
        <v>1</v>
      </c>
    </row>
    <row r="33">
      <c r="A33" s="62" t="s">
        <v>108</v>
      </c>
      <c r="B33" s="62"/>
      <c r="C33" s="62" t="s">
        <v>81</v>
      </c>
      <c r="D33" s="62"/>
      <c r="E33" s="62" t="s">
        <v>81</v>
      </c>
      <c r="F33" s="62" t="s">
        <v>81</v>
      </c>
      <c r="G33" s="62" t="s">
        <v>81</v>
      </c>
      <c r="H33" s="62" t="s">
        <v>81</v>
      </c>
      <c r="I33" s="62"/>
      <c r="J33" s="62" t="s">
        <v>81</v>
      </c>
      <c r="K33" s="62"/>
      <c r="L33" s="63" t="b">
        <v>1</v>
      </c>
    </row>
    <row r="34">
      <c r="A34" s="62" t="s">
        <v>109</v>
      </c>
      <c r="B34" s="62"/>
      <c r="C34" s="62" t="s">
        <v>81</v>
      </c>
      <c r="D34" s="62"/>
      <c r="E34" s="62" t="s">
        <v>81</v>
      </c>
      <c r="F34" s="62" t="s">
        <v>81</v>
      </c>
      <c r="G34" s="62" t="s">
        <v>81</v>
      </c>
      <c r="H34" s="62" t="s">
        <v>81</v>
      </c>
      <c r="I34" s="62"/>
      <c r="J34" s="62" t="s">
        <v>81</v>
      </c>
      <c r="K34" s="62"/>
      <c r="L34" s="63" t="b">
        <v>0</v>
      </c>
    </row>
    <row r="35">
      <c r="A35" s="62" t="s">
        <v>110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 t="b">
        <v>1</v>
      </c>
    </row>
    <row r="36">
      <c r="A36" s="62" t="s">
        <v>111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 t="b">
        <v>0</v>
      </c>
    </row>
    <row r="37">
      <c r="A37" s="62" t="s">
        <v>112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 t="b">
        <v>1</v>
      </c>
    </row>
    <row r="38">
      <c r="A38" s="62" t="s">
        <v>113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 t="b">
        <v>1</v>
      </c>
    </row>
    <row r="39">
      <c r="A39" s="62" t="s">
        <v>114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 t="b">
        <v>1</v>
      </c>
    </row>
    <row r="40">
      <c r="A40" s="62" t="s">
        <v>115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 t="b">
        <v>1</v>
      </c>
    </row>
    <row r="41">
      <c r="A41" s="62" t="s">
        <v>116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 t="b">
        <v>1</v>
      </c>
    </row>
    <row r="42">
      <c r="A42" s="62" t="s">
        <v>117</v>
      </c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 t="b">
        <v>0</v>
      </c>
    </row>
  </sheetData>
  <autoFilter ref="$A$5:$L$4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2" t="s">
        <v>118</v>
      </c>
    </row>
    <row r="2">
      <c r="A2" s="62" t="s">
        <v>92</v>
      </c>
    </row>
    <row r="3">
      <c r="A3" s="62" t="s">
        <v>114</v>
      </c>
    </row>
    <row r="4">
      <c r="A4" s="62" t="s">
        <v>96</v>
      </c>
    </row>
    <row r="5">
      <c r="A5" s="62" t="s">
        <v>91</v>
      </c>
    </row>
    <row r="6">
      <c r="A6" s="62" t="s">
        <v>93</v>
      </c>
    </row>
    <row r="7">
      <c r="A7" s="62" t="s">
        <v>94</v>
      </c>
    </row>
    <row r="8">
      <c r="A8" s="62" t="s">
        <v>99</v>
      </c>
    </row>
    <row r="9">
      <c r="A9" s="62" t="s">
        <v>107</v>
      </c>
    </row>
    <row r="10">
      <c r="A10" s="62" t="s">
        <v>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1.38"/>
    <col customWidth="1" min="3" max="3" width="25.0"/>
    <col customWidth="1" min="4" max="4" width="73.88"/>
    <col customWidth="1" hidden="1" min="5" max="6" width="11.63"/>
    <col customWidth="1" min="7" max="7" width="15.88"/>
    <col customWidth="1" min="9" max="9" width="10.75"/>
    <col customWidth="1" min="10" max="11" width="11.75"/>
  </cols>
  <sheetData>
    <row r="1" ht="11.25" customHeight="1">
      <c r="A1" s="57"/>
      <c r="B1" s="57"/>
      <c r="C1" s="57"/>
      <c r="D1" s="37"/>
      <c r="E1" s="64"/>
      <c r="F1" s="65"/>
      <c r="G1" s="58"/>
      <c r="H1" s="58"/>
      <c r="I1" s="58"/>
      <c r="J1" s="58"/>
      <c r="K1" s="58"/>
    </row>
    <row r="2">
      <c r="A2" s="59" t="s">
        <v>79</v>
      </c>
      <c r="B2" s="58"/>
      <c r="C2" s="58"/>
      <c r="D2" s="58"/>
      <c r="E2" s="64"/>
      <c r="F2" s="65"/>
      <c r="G2" s="58"/>
      <c r="H2" s="58"/>
      <c r="I2" s="37"/>
      <c r="J2" s="37"/>
      <c r="K2" s="37"/>
    </row>
    <row r="3">
      <c r="A3" s="5" t="s">
        <v>68</v>
      </c>
      <c r="B3" s="58"/>
      <c r="C3" s="58"/>
      <c r="D3" s="58"/>
      <c r="E3" s="64"/>
      <c r="F3" s="65"/>
      <c r="G3" s="58"/>
      <c r="H3" s="58"/>
      <c r="I3" s="66" t="s">
        <v>119</v>
      </c>
      <c r="J3" s="67">
        <f>J5-J4</f>
        <v>312686.5612</v>
      </c>
      <c r="K3" s="58"/>
    </row>
    <row r="4">
      <c r="A4" s="60"/>
      <c r="B4" s="58"/>
      <c r="C4" s="58"/>
      <c r="D4" s="58"/>
      <c r="E4" s="64"/>
      <c r="F4" s="65"/>
      <c r="G4" s="58"/>
      <c r="H4" s="58"/>
      <c r="I4" s="66" t="s">
        <v>120</v>
      </c>
      <c r="J4" s="68">
        <f>IFERROR(__xludf.DUMMYFUNCTION("SUMIF($B$7:$B3492,FILTER(Pessoal!$A$10:$A$26,Pessoal!$U$10:$U$26 = ""Exclusivo"",MATCH(Pessoal!$A$10:$A$26,FILTER(Pessoal!$A$37:$A$57,Pessoal!$U$37:$U$57 = TRUE),0)),$J$7:$J3492)"),0.0)</f>
        <v>0</v>
      </c>
      <c r="K4" s="68"/>
    </row>
    <row r="5">
      <c r="A5" s="60"/>
      <c r="B5" s="58"/>
      <c r="C5" s="58"/>
      <c r="D5" s="58"/>
      <c r="E5" s="64"/>
      <c r="F5" s="65"/>
      <c r="G5" s="58"/>
      <c r="H5" s="58"/>
      <c r="I5" s="69" t="s">
        <v>121</v>
      </c>
      <c r="J5" s="70">
        <f>SUM(J7:J3492)</f>
        <v>312686.5612</v>
      </c>
      <c r="K5" s="71"/>
    </row>
    <row r="6">
      <c r="A6" s="61" t="s">
        <v>122</v>
      </c>
      <c r="B6" s="61" t="s">
        <v>123</v>
      </c>
      <c r="C6" s="61" t="s">
        <v>69</v>
      </c>
      <c r="D6" s="61" t="s">
        <v>77</v>
      </c>
      <c r="E6" s="72" t="s">
        <v>124</v>
      </c>
      <c r="F6" s="73" t="s">
        <v>125</v>
      </c>
      <c r="G6" s="61" t="s">
        <v>126</v>
      </c>
      <c r="H6" s="61" t="s">
        <v>78</v>
      </c>
      <c r="I6" s="74" t="s">
        <v>127</v>
      </c>
      <c r="J6" s="74" t="s">
        <v>128</v>
      </c>
      <c r="K6" s="74" t="s">
        <v>129</v>
      </c>
    </row>
    <row r="7">
      <c r="A7" s="75">
        <v>1.0</v>
      </c>
      <c r="B7" s="62" t="s">
        <v>130</v>
      </c>
      <c r="C7" s="62" t="s">
        <v>101</v>
      </c>
      <c r="D7" s="62" t="s">
        <v>131</v>
      </c>
      <c r="E7" s="76">
        <v>43846.0</v>
      </c>
      <c r="F7" s="77">
        <v>0.041666666666666664</v>
      </c>
      <c r="G7" s="62" t="b">
        <v>1</v>
      </c>
      <c r="H7" s="78" t="b">
        <f>IF(VLOOKUP(C7,Projetos!A:L,12,false)=TRUE,TRUE,FALSE)</f>
        <v>1</v>
      </c>
      <c r="I7" s="68">
        <f t="array" ref="I7:I3492">VLOOKUP(B7:B3492,Pessoal!$A$36:$R$57,MONTH(E7:E3492)+6,false)</f>
        <v>63.06587281</v>
      </c>
      <c r="J7" s="68">
        <f t="shared" ref="J7:J3492" si="1">IFERROR(IF(AND(G7=TRUE,YEAR(E7)&lt;2021),F7,"")*(I7*24),0)</f>
        <v>63.06587281</v>
      </c>
      <c r="K7" s="68" t="b">
        <f t="array" ref="K7:K3492">VLOOKUP(C7:C3492,Projetos!A6:L3492,12,false)</f>
        <v>1</v>
      </c>
    </row>
    <row r="8">
      <c r="A8" s="75">
        <v>2.0</v>
      </c>
      <c r="B8" s="62" t="s">
        <v>130</v>
      </c>
      <c r="C8" s="62" t="s">
        <v>104</v>
      </c>
      <c r="D8" s="62" t="s">
        <v>132</v>
      </c>
      <c r="E8" s="76">
        <v>43840.0</v>
      </c>
      <c r="F8" s="77">
        <v>0.08333333333333333</v>
      </c>
      <c r="G8" s="62" t="b">
        <v>1</v>
      </c>
      <c r="H8" s="78" t="b">
        <f>IF(VLOOKUP(C8,Projetos!A:L,12,false)=TRUE,TRUE,FALSE)</f>
        <v>1</v>
      </c>
      <c r="I8" s="68">
        <v>63.06587281144781</v>
      </c>
      <c r="J8" s="68">
        <f t="shared" si="1"/>
        <v>126.1317456</v>
      </c>
      <c r="K8" s="68" t="b">
        <v>1</v>
      </c>
    </row>
    <row r="9">
      <c r="A9" s="75">
        <v>3.0</v>
      </c>
      <c r="B9" s="62" t="s">
        <v>130</v>
      </c>
      <c r="C9" s="62" t="s">
        <v>103</v>
      </c>
      <c r="D9" s="62" t="s">
        <v>133</v>
      </c>
      <c r="E9" s="76">
        <v>43850.0</v>
      </c>
      <c r="F9" s="77">
        <v>0.40625</v>
      </c>
      <c r="G9" s="62" t="b">
        <v>1</v>
      </c>
      <c r="H9" s="78" t="b">
        <f>IF(VLOOKUP(C9,Projetos!A:L,12,false)=TRUE,TRUE,FALSE)</f>
        <v>1</v>
      </c>
      <c r="I9" s="68">
        <v>63.06587281144781</v>
      </c>
      <c r="J9" s="68">
        <f t="shared" si="1"/>
        <v>614.8922599</v>
      </c>
      <c r="K9" s="68" t="b">
        <v>1</v>
      </c>
    </row>
    <row r="10" hidden="1">
      <c r="A10" s="75">
        <v>4.0</v>
      </c>
      <c r="B10" s="62" t="s">
        <v>130</v>
      </c>
      <c r="C10" s="62" t="s">
        <v>102</v>
      </c>
      <c r="D10" s="62" t="s">
        <v>134</v>
      </c>
      <c r="E10" s="76">
        <v>43843.0</v>
      </c>
      <c r="F10" s="77">
        <v>0.40625</v>
      </c>
      <c r="G10" s="62" t="b">
        <v>0</v>
      </c>
      <c r="H10" s="78" t="b">
        <f>IF(VLOOKUP(C10,Projetos!A:L,12,false)=TRUE,TRUE,FALSE)</f>
        <v>0</v>
      </c>
      <c r="I10" s="68">
        <v>63.06587281144781</v>
      </c>
      <c r="J10" s="68">
        <f t="shared" si="1"/>
        <v>0</v>
      </c>
      <c r="K10" s="68" t="b">
        <v>0</v>
      </c>
    </row>
    <row r="11" hidden="1">
      <c r="A11" s="75">
        <v>5.0</v>
      </c>
      <c r="B11" s="62" t="s">
        <v>130</v>
      </c>
      <c r="C11" s="62" t="s">
        <v>102</v>
      </c>
      <c r="D11" s="62" t="s">
        <v>135</v>
      </c>
      <c r="E11" s="76">
        <v>43845.0</v>
      </c>
      <c r="F11" s="77">
        <v>0.23958333333333334</v>
      </c>
      <c r="G11" s="62" t="b">
        <v>0</v>
      </c>
      <c r="H11" s="78" t="b">
        <f>IF(VLOOKUP(C11,Projetos!A:L,12,false)=TRUE,TRUE,FALSE)</f>
        <v>0</v>
      </c>
      <c r="I11" s="68">
        <v>63.06587281144781</v>
      </c>
      <c r="J11" s="68">
        <f t="shared" si="1"/>
        <v>0</v>
      </c>
      <c r="K11" s="68" t="b">
        <v>0</v>
      </c>
    </row>
    <row r="12">
      <c r="A12" s="75">
        <v>6.0</v>
      </c>
      <c r="B12" s="62" t="s">
        <v>130</v>
      </c>
      <c r="C12" s="62" t="s">
        <v>103</v>
      </c>
      <c r="D12" s="62" t="s">
        <v>136</v>
      </c>
      <c r="E12" s="76">
        <v>43872.0</v>
      </c>
      <c r="F12" s="77">
        <v>0.08333333333333333</v>
      </c>
      <c r="G12" s="62" t="b">
        <v>1</v>
      </c>
      <c r="H12" s="78" t="b">
        <f>IF(VLOOKUP(C12,Projetos!A:L,12,false)=TRUE,TRUE,FALSE)</f>
        <v>1</v>
      </c>
      <c r="I12" s="68">
        <v>60.19924222910927</v>
      </c>
      <c r="J12" s="68">
        <f t="shared" si="1"/>
        <v>120.3984845</v>
      </c>
      <c r="K12" s="68" t="b">
        <v>1</v>
      </c>
    </row>
    <row r="13" hidden="1">
      <c r="A13" s="75">
        <v>7.0</v>
      </c>
      <c r="B13" s="62" t="s">
        <v>130</v>
      </c>
      <c r="C13" s="62" t="s">
        <v>104</v>
      </c>
      <c r="D13" s="62" t="s">
        <v>137</v>
      </c>
      <c r="E13" s="76">
        <v>43888.0</v>
      </c>
      <c r="F13" s="77">
        <v>0.08333333333333333</v>
      </c>
      <c r="G13" s="62" t="b">
        <v>0</v>
      </c>
      <c r="H13" s="78" t="b">
        <f>IF(VLOOKUP(C13,Projetos!A:L,12,false)=TRUE,TRUE,FALSE)</f>
        <v>1</v>
      </c>
      <c r="I13" s="68">
        <v>60.19924222910927</v>
      </c>
      <c r="J13" s="68">
        <f t="shared" si="1"/>
        <v>0</v>
      </c>
      <c r="K13" s="68" t="b">
        <v>1</v>
      </c>
    </row>
    <row r="14">
      <c r="A14" s="75">
        <v>8.0</v>
      </c>
      <c r="B14" s="62" t="s">
        <v>130</v>
      </c>
      <c r="C14" s="62" t="s">
        <v>138</v>
      </c>
      <c r="D14" s="62" t="s">
        <v>139</v>
      </c>
      <c r="E14" s="76">
        <v>43879.0</v>
      </c>
      <c r="F14" s="77">
        <v>0.10416666666666667</v>
      </c>
      <c r="G14" s="62" t="b">
        <v>1</v>
      </c>
      <c r="H14" s="78" t="b">
        <f>IF(VLOOKUP(C14,Projetos!A:L,12,false)=TRUE,TRUE,FALSE)</f>
        <v>1</v>
      </c>
      <c r="I14" s="68">
        <v>60.19924222910927</v>
      </c>
      <c r="J14" s="68">
        <f t="shared" si="1"/>
        <v>150.4981056</v>
      </c>
      <c r="K14" s="68" t="b">
        <v>1</v>
      </c>
    </row>
    <row r="15" hidden="1">
      <c r="A15" s="75">
        <v>9.0</v>
      </c>
      <c r="B15" s="62" t="s">
        <v>130</v>
      </c>
      <c r="C15" s="62" t="s">
        <v>108</v>
      </c>
      <c r="D15" s="62" t="s">
        <v>140</v>
      </c>
      <c r="E15" s="76">
        <v>43876.0</v>
      </c>
      <c r="F15" s="77">
        <v>0.08333333333333333</v>
      </c>
      <c r="G15" s="62" t="b">
        <v>0</v>
      </c>
      <c r="H15" s="78" t="b">
        <f>IF(VLOOKUP(C15,Projetos!A:L,12,false)=TRUE,TRUE,FALSE)</f>
        <v>1</v>
      </c>
      <c r="I15" s="68">
        <v>60.19924222910927</v>
      </c>
      <c r="J15" s="68">
        <f t="shared" si="1"/>
        <v>0</v>
      </c>
      <c r="K15" s="68" t="b">
        <v>1</v>
      </c>
    </row>
    <row r="16">
      <c r="A16" s="75">
        <v>10.0</v>
      </c>
      <c r="B16" s="62" t="s">
        <v>130</v>
      </c>
      <c r="C16" s="62" t="s">
        <v>100</v>
      </c>
      <c r="D16" s="62" t="s">
        <v>140</v>
      </c>
      <c r="E16" s="76">
        <v>43874.0</v>
      </c>
      <c r="F16" s="77">
        <v>0.08333333333333333</v>
      </c>
      <c r="G16" s="62" t="b">
        <v>1</v>
      </c>
      <c r="H16" s="78" t="b">
        <f>IF(VLOOKUP(C16,Projetos!A:L,12,false)=TRUE,TRUE,FALSE)</f>
        <v>1</v>
      </c>
      <c r="I16" s="68">
        <v>60.19924222910927</v>
      </c>
      <c r="J16" s="68">
        <f t="shared" si="1"/>
        <v>120.3984845</v>
      </c>
      <c r="K16" s="68" t="b">
        <v>1</v>
      </c>
    </row>
    <row r="17" hidden="1">
      <c r="A17" s="75">
        <v>11.0</v>
      </c>
      <c r="B17" s="62" t="s">
        <v>130</v>
      </c>
      <c r="C17" s="62" t="s">
        <v>102</v>
      </c>
      <c r="D17" s="62" t="s">
        <v>141</v>
      </c>
      <c r="E17" s="76">
        <v>43886.0</v>
      </c>
      <c r="F17" s="77">
        <v>0.08333333333333333</v>
      </c>
      <c r="G17" s="62" t="b">
        <v>0</v>
      </c>
      <c r="H17" s="78" t="b">
        <f>IF(VLOOKUP(C17,Projetos!A:L,12,false)=TRUE,TRUE,FALSE)</f>
        <v>0</v>
      </c>
      <c r="I17" s="68">
        <v>60.19924222910927</v>
      </c>
      <c r="J17" s="68">
        <f t="shared" si="1"/>
        <v>0</v>
      </c>
      <c r="K17" s="68" t="b">
        <v>0</v>
      </c>
    </row>
    <row r="18" hidden="1">
      <c r="A18" s="75">
        <v>12.0</v>
      </c>
      <c r="B18" s="62" t="s">
        <v>130</v>
      </c>
      <c r="C18" s="62" t="s">
        <v>102</v>
      </c>
      <c r="D18" s="62" t="s">
        <v>142</v>
      </c>
      <c r="E18" s="76">
        <v>43865.0</v>
      </c>
      <c r="F18" s="77">
        <v>0.041666666666666664</v>
      </c>
      <c r="G18" s="62" t="b">
        <v>0</v>
      </c>
      <c r="H18" s="78" t="b">
        <f>IF(VLOOKUP(C18,Projetos!A:L,12,false)=TRUE,TRUE,FALSE)</f>
        <v>0</v>
      </c>
      <c r="I18" s="68">
        <v>60.19924222910927</v>
      </c>
      <c r="J18" s="68">
        <f t="shared" si="1"/>
        <v>0</v>
      </c>
      <c r="K18" s="68" t="b">
        <v>0</v>
      </c>
    </row>
    <row r="19" hidden="1">
      <c r="A19" s="75">
        <v>13.0</v>
      </c>
      <c r="B19" s="62" t="s">
        <v>130</v>
      </c>
      <c r="C19" s="62" t="s">
        <v>102</v>
      </c>
      <c r="D19" s="62" t="s">
        <v>142</v>
      </c>
      <c r="E19" s="76">
        <v>43875.0</v>
      </c>
      <c r="F19" s="77">
        <v>0.08333333333333333</v>
      </c>
      <c r="G19" s="62" t="b">
        <v>0</v>
      </c>
      <c r="H19" s="78" t="b">
        <f>IF(VLOOKUP(C19,Projetos!A:L,12,false)=TRUE,TRUE,FALSE)</f>
        <v>0</v>
      </c>
      <c r="I19" s="68">
        <v>60.19924222910927</v>
      </c>
      <c r="J19" s="68">
        <f t="shared" si="1"/>
        <v>0</v>
      </c>
      <c r="K19" s="68" t="b">
        <v>0</v>
      </c>
    </row>
    <row r="20">
      <c r="A20" s="75">
        <v>14.0</v>
      </c>
      <c r="B20" s="62" t="s">
        <v>130</v>
      </c>
      <c r="C20" s="62" t="s">
        <v>103</v>
      </c>
      <c r="D20" s="62" t="s">
        <v>143</v>
      </c>
      <c r="E20" s="76">
        <v>43920.0</v>
      </c>
      <c r="F20" s="77">
        <v>0.08333333333333333</v>
      </c>
      <c r="G20" s="62" t="b">
        <v>1</v>
      </c>
      <c r="H20" s="78" t="b">
        <f>IF(VLOOKUP(C20,Projetos!A:L,12,false)=TRUE,TRUE,FALSE)</f>
        <v>1</v>
      </c>
      <c r="I20" s="68">
        <v>63.06587281144781</v>
      </c>
      <c r="J20" s="68">
        <f t="shared" si="1"/>
        <v>126.1317456</v>
      </c>
      <c r="K20" s="68" t="b">
        <v>1</v>
      </c>
    </row>
    <row r="21">
      <c r="A21" s="75">
        <v>15.0</v>
      </c>
      <c r="B21" s="62" t="s">
        <v>130</v>
      </c>
      <c r="C21" s="62" t="s">
        <v>138</v>
      </c>
      <c r="D21" s="62" t="s">
        <v>144</v>
      </c>
      <c r="E21" s="76">
        <v>43921.0</v>
      </c>
      <c r="F21" s="77">
        <v>0.041666666666666664</v>
      </c>
      <c r="G21" s="62" t="b">
        <v>1</v>
      </c>
      <c r="H21" s="78" t="b">
        <f>IF(VLOOKUP(C21,Projetos!A:L,12,false)=TRUE,TRUE,FALSE)</f>
        <v>1</v>
      </c>
      <c r="I21" s="68">
        <v>63.06587281144781</v>
      </c>
      <c r="J21" s="68">
        <f t="shared" si="1"/>
        <v>63.06587281</v>
      </c>
      <c r="K21" s="68" t="b">
        <v>1</v>
      </c>
    </row>
    <row r="22" hidden="1">
      <c r="A22" s="75">
        <v>16.0</v>
      </c>
      <c r="B22" s="62" t="s">
        <v>130</v>
      </c>
      <c r="C22" s="62" t="s">
        <v>102</v>
      </c>
      <c r="D22" s="62" t="s">
        <v>145</v>
      </c>
      <c r="E22" s="76">
        <v>43917.0</v>
      </c>
      <c r="F22" s="77">
        <v>0.07291666666666667</v>
      </c>
      <c r="G22" s="62" t="b">
        <v>0</v>
      </c>
      <c r="H22" s="78" t="b">
        <f>IF(VLOOKUP(C22,Projetos!A:L,12,false)=TRUE,TRUE,FALSE)</f>
        <v>0</v>
      </c>
      <c r="I22" s="68">
        <v>63.06587281144781</v>
      </c>
      <c r="J22" s="68">
        <f t="shared" si="1"/>
        <v>0</v>
      </c>
      <c r="K22" s="68" t="b">
        <v>0</v>
      </c>
    </row>
    <row r="23">
      <c r="A23" s="75">
        <v>17.0</v>
      </c>
      <c r="B23" s="62" t="s">
        <v>130</v>
      </c>
      <c r="C23" s="62" t="s">
        <v>101</v>
      </c>
      <c r="D23" s="62" t="s">
        <v>146</v>
      </c>
      <c r="E23" s="76">
        <v>43894.0</v>
      </c>
      <c r="F23" s="77">
        <v>0.041666666666666664</v>
      </c>
      <c r="G23" s="62" t="b">
        <v>1</v>
      </c>
      <c r="H23" s="78" t="b">
        <f>IF(VLOOKUP(C23,Projetos!A:L,12,false)=TRUE,TRUE,FALSE)</f>
        <v>1</v>
      </c>
      <c r="I23" s="68">
        <v>63.06587281144781</v>
      </c>
      <c r="J23" s="68">
        <f t="shared" si="1"/>
        <v>63.06587281</v>
      </c>
      <c r="K23" s="68" t="b">
        <v>1</v>
      </c>
    </row>
    <row r="24">
      <c r="A24" s="75">
        <v>18.0</v>
      </c>
      <c r="B24" s="62" t="s">
        <v>130</v>
      </c>
      <c r="C24" s="62" t="s">
        <v>101</v>
      </c>
      <c r="D24" s="62" t="s">
        <v>147</v>
      </c>
      <c r="E24" s="76">
        <v>43951.0</v>
      </c>
      <c r="F24" s="77">
        <v>0.027777777777777776</v>
      </c>
      <c r="G24" s="62" t="b">
        <v>1</v>
      </c>
      <c r="H24" s="78" t="b">
        <f>IF(VLOOKUP(C24,Projetos!A:L,12,false)=TRUE,TRUE,FALSE)</f>
        <v>1</v>
      </c>
      <c r="I24" s="68">
        <v>60.19924222910927</v>
      </c>
      <c r="J24" s="68">
        <f t="shared" si="1"/>
        <v>40.13282815</v>
      </c>
      <c r="K24" s="68" t="b">
        <v>1</v>
      </c>
    </row>
    <row r="25">
      <c r="A25" s="75">
        <v>19.0</v>
      </c>
      <c r="B25" s="62" t="s">
        <v>130</v>
      </c>
      <c r="C25" s="62" t="s">
        <v>101</v>
      </c>
      <c r="D25" s="62" t="s">
        <v>148</v>
      </c>
      <c r="E25" s="76">
        <v>43950.0</v>
      </c>
      <c r="F25" s="77">
        <v>0.10416666666666667</v>
      </c>
      <c r="G25" s="62" t="b">
        <v>1</v>
      </c>
      <c r="H25" s="78" t="b">
        <f>IF(VLOOKUP(C25,Projetos!A:L,12,false)=TRUE,TRUE,FALSE)</f>
        <v>1</v>
      </c>
      <c r="I25" s="68">
        <v>60.19924222910927</v>
      </c>
      <c r="J25" s="68">
        <f t="shared" si="1"/>
        <v>150.4981056</v>
      </c>
      <c r="K25" s="68" t="b">
        <v>1</v>
      </c>
    </row>
    <row r="26">
      <c r="A26" s="75">
        <v>20.0</v>
      </c>
      <c r="B26" s="62" t="s">
        <v>130</v>
      </c>
      <c r="C26" s="62" t="s">
        <v>138</v>
      </c>
      <c r="D26" s="62" t="s">
        <v>149</v>
      </c>
      <c r="E26" s="76">
        <v>43950.0</v>
      </c>
      <c r="F26" s="77">
        <v>0.052083333333333336</v>
      </c>
      <c r="G26" s="62" t="b">
        <v>1</v>
      </c>
      <c r="H26" s="78" t="b">
        <f>IF(VLOOKUP(C26,Projetos!A:L,12,false)=TRUE,TRUE,FALSE)</f>
        <v>1</v>
      </c>
      <c r="I26" s="68">
        <v>60.19924222910927</v>
      </c>
      <c r="J26" s="68">
        <f t="shared" si="1"/>
        <v>75.24905279</v>
      </c>
      <c r="K26" s="68" t="b">
        <v>1</v>
      </c>
    </row>
    <row r="27">
      <c r="A27" s="75">
        <v>21.0</v>
      </c>
      <c r="B27" s="62" t="s">
        <v>130</v>
      </c>
      <c r="C27" s="62" t="s">
        <v>101</v>
      </c>
      <c r="D27" s="62" t="s">
        <v>148</v>
      </c>
      <c r="E27" s="76">
        <v>43934.0</v>
      </c>
      <c r="F27" s="77">
        <v>0.09375</v>
      </c>
      <c r="G27" s="62" t="b">
        <v>1</v>
      </c>
      <c r="H27" s="78" t="b">
        <f>IF(VLOOKUP(C27,Projetos!A:L,12,false)=TRUE,TRUE,FALSE)</f>
        <v>1</v>
      </c>
      <c r="I27" s="68">
        <v>60.19924222910927</v>
      </c>
      <c r="J27" s="68">
        <f t="shared" si="1"/>
        <v>135.448295</v>
      </c>
      <c r="K27" s="68" t="b">
        <v>1</v>
      </c>
    </row>
    <row r="28" hidden="1">
      <c r="A28" s="75">
        <v>22.0</v>
      </c>
      <c r="B28" s="62" t="s">
        <v>130</v>
      </c>
      <c r="C28" s="62" t="s">
        <v>103</v>
      </c>
      <c r="D28" s="79" t="s">
        <v>150</v>
      </c>
      <c r="E28" s="76">
        <v>43950.0</v>
      </c>
      <c r="F28" s="77">
        <v>0.07291666666666667</v>
      </c>
      <c r="G28" s="62" t="b">
        <v>0</v>
      </c>
      <c r="H28" s="78" t="b">
        <f>IF(VLOOKUP(C28,Projetos!A:L,12,false)=TRUE,TRUE,FALSE)</f>
        <v>1</v>
      </c>
      <c r="I28" s="68">
        <v>60.19924222910927</v>
      </c>
      <c r="J28" s="68">
        <f t="shared" si="1"/>
        <v>0</v>
      </c>
      <c r="K28" s="68" t="b">
        <v>1</v>
      </c>
    </row>
    <row r="29">
      <c r="A29" s="75">
        <v>23.0</v>
      </c>
      <c r="B29" s="62" t="s">
        <v>130</v>
      </c>
      <c r="C29" s="62" t="s">
        <v>138</v>
      </c>
      <c r="D29" s="62" t="s">
        <v>151</v>
      </c>
      <c r="E29" s="76">
        <v>43973.0</v>
      </c>
      <c r="F29" s="77">
        <v>0.14583333333333334</v>
      </c>
      <c r="G29" s="62" t="b">
        <v>1</v>
      </c>
      <c r="H29" s="78" t="b">
        <f>IF(VLOOKUP(C29,Projetos!A:L,12,false)=TRUE,TRUE,FALSE)</f>
        <v>1</v>
      </c>
      <c r="I29" s="68">
        <v>63.06587281144781</v>
      </c>
      <c r="J29" s="68">
        <f t="shared" si="1"/>
        <v>220.7305548</v>
      </c>
      <c r="K29" s="68" t="b">
        <v>1</v>
      </c>
    </row>
    <row r="30">
      <c r="A30" s="75">
        <v>24.0</v>
      </c>
      <c r="B30" s="62" t="s">
        <v>130</v>
      </c>
      <c r="C30" s="62" t="s">
        <v>101</v>
      </c>
      <c r="D30" s="62" t="s">
        <v>152</v>
      </c>
      <c r="E30" s="76">
        <v>43966.0</v>
      </c>
      <c r="F30" s="77">
        <v>0.0625</v>
      </c>
      <c r="G30" s="62" t="b">
        <v>1</v>
      </c>
      <c r="H30" s="78" t="b">
        <f>IF(VLOOKUP(C30,Projetos!A:L,12,false)=TRUE,TRUE,FALSE)</f>
        <v>1</v>
      </c>
      <c r="I30" s="68">
        <v>63.06587281144781</v>
      </c>
      <c r="J30" s="68">
        <f t="shared" si="1"/>
        <v>94.59880922</v>
      </c>
      <c r="K30" s="68" t="b">
        <v>1</v>
      </c>
    </row>
    <row r="31">
      <c r="A31" s="75">
        <v>25.0</v>
      </c>
      <c r="B31" s="62" t="s">
        <v>130</v>
      </c>
      <c r="C31" s="62" t="s">
        <v>104</v>
      </c>
      <c r="D31" s="62" t="s">
        <v>153</v>
      </c>
      <c r="E31" s="76">
        <v>43962.0</v>
      </c>
      <c r="F31" s="77">
        <v>0.041666666666666664</v>
      </c>
      <c r="G31" s="62" t="b">
        <v>1</v>
      </c>
      <c r="H31" s="78" t="b">
        <f>IF(VLOOKUP(C31,Projetos!A:L,12,false)=TRUE,TRUE,FALSE)</f>
        <v>1</v>
      </c>
      <c r="I31" s="68">
        <v>63.06587281144781</v>
      </c>
      <c r="J31" s="68">
        <f t="shared" si="1"/>
        <v>63.06587281</v>
      </c>
      <c r="K31" s="68" t="b">
        <v>1</v>
      </c>
    </row>
    <row r="32">
      <c r="A32" s="75">
        <v>26.0</v>
      </c>
      <c r="B32" s="62" t="s">
        <v>130</v>
      </c>
      <c r="C32" s="62" t="s">
        <v>104</v>
      </c>
      <c r="D32" s="62" t="s">
        <v>154</v>
      </c>
      <c r="E32" s="76">
        <v>43965.0</v>
      </c>
      <c r="F32" s="77">
        <v>0.041666666666666664</v>
      </c>
      <c r="G32" s="62" t="b">
        <v>1</v>
      </c>
      <c r="H32" s="78" t="b">
        <f>IF(VLOOKUP(C32,Projetos!A:L,12,false)=TRUE,TRUE,FALSE)</f>
        <v>1</v>
      </c>
      <c r="I32" s="68">
        <v>63.06587281144781</v>
      </c>
      <c r="J32" s="68">
        <f t="shared" si="1"/>
        <v>63.06587281</v>
      </c>
      <c r="K32" s="68" t="b">
        <v>1</v>
      </c>
    </row>
    <row r="33" hidden="1">
      <c r="A33" s="75">
        <v>27.0</v>
      </c>
      <c r="B33" s="62" t="s">
        <v>130</v>
      </c>
      <c r="C33" s="62" t="s">
        <v>109</v>
      </c>
      <c r="D33" s="62" t="s">
        <v>155</v>
      </c>
      <c r="E33" s="76">
        <v>43978.0</v>
      </c>
      <c r="F33" s="77">
        <v>0.0625</v>
      </c>
      <c r="G33" s="62" t="b">
        <v>0</v>
      </c>
      <c r="H33" s="78" t="b">
        <f>IF(VLOOKUP(C33,Projetos!A:L,12,false)=TRUE,TRUE,FALSE)</f>
        <v>0</v>
      </c>
      <c r="I33" s="68">
        <v>63.06587281144781</v>
      </c>
      <c r="J33" s="68">
        <f t="shared" si="1"/>
        <v>0</v>
      </c>
      <c r="K33" s="68" t="b">
        <v>0</v>
      </c>
    </row>
    <row r="34" hidden="1">
      <c r="A34" s="75">
        <v>28.0</v>
      </c>
      <c r="B34" s="62" t="s">
        <v>130</v>
      </c>
      <c r="C34" s="62" t="s">
        <v>109</v>
      </c>
      <c r="D34" s="62" t="s">
        <v>156</v>
      </c>
      <c r="E34" s="76">
        <v>43971.0</v>
      </c>
      <c r="F34" s="77">
        <v>0.041666666666666664</v>
      </c>
      <c r="G34" s="62" t="b">
        <v>0</v>
      </c>
      <c r="H34" s="78" t="b">
        <f>IF(VLOOKUP(C34,Projetos!A:L,12,false)=TRUE,TRUE,FALSE)</f>
        <v>0</v>
      </c>
      <c r="I34" s="68">
        <v>63.06587281144781</v>
      </c>
      <c r="J34" s="68">
        <f t="shared" si="1"/>
        <v>0</v>
      </c>
      <c r="K34" s="68" t="b">
        <v>0</v>
      </c>
    </row>
    <row r="35">
      <c r="A35" s="75">
        <v>29.0</v>
      </c>
      <c r="B35" s="62" t="s">
        <v>130</v>
      </c>
      <c r="C35" s="62" t="s">
        <v>104</v>
      </c>
      <c r="D35" s="62" t="s">
        <v>157</v>
      </c>
      <c r="E35" s="76">
        <v>44004.0</v>
      </c>
      <c r="F35" s="77">
        <v>0.034027777777777775</v>
      </c>
      <c r="G35" s="62" t="b">
        <v>1</v>
      </c>
      <c r="H35" s="78" t="b">
        <f>IF(VLOOKUP(C35,Projetos!A:L,12,false)=TRUE,TRUE,FALSE)</f>
        <v>1</v>
      </c>
      <c r="I35" s="68">
        <v>60.19924222910927</v>
      </c>
      <c r="J35" s="68">
        <f t="shared" si="1"/>
        <v>49.16271449</v>
      </c>
      <c r="K35" s="68" t="b">
        <v>1</v>
      </c>
    </row>
    <row r="36">
      <c r="A36" s="75">
        <v>30.0</v>
      </c>
      <c r="B36" s="62" t="s">
        <v>130</v>
      </c>
      <c r="C36" s="62" t="s">
        <v>104</v>
      </c>
      <c r="D36" s="62" t="s">
        <v>158</v>
      </c>
      <c r="E36" s="76">
        <v>43997.0</v>
      </c>
      <c r="F36" s="77">
        <v>0.041666666666666664</v>
      </c>
      <c r="G36" s="62" t="b">
        <v>1</v>
      </c>
      <c r="H36" s="78" t="b">
        <f>IF(VLOOKUP(C36,Projetos!A:L,12,false)=TRUE,TRUE,FALSE)</f>
        <v>1</v>
      </c>
      <c r="I36" s="68">
        <v>60.19924222910927</v>
      </c>
      <c r="J36" s="68">
        <f t="shared" si="1"/>
        <v>60.19924223</v>
      </c>
      <c r="K36" s="68" t="b">
        <v>1</v>
      </c>
    </row>
    <row r="37" hidden="1">
      <c r="A37" s="75">
        <v>31.0</v>
      </c>
      <c r="B37" s="62" t="s">
        <v>130</v>
      </c>
      <c r="C37" s="62" t="s">
        <v>109</v>
      </c>
      <c r="D37" s="62" t="s">
        <v>159</v>
      </c>
      <c r="E37" s="76">
        <v>43983.0</v>
      </c>
      <c r="F37" s="77">
        <v>0.4166666666666667</v>
      </c>
      <c r="G37" s="62" t="b">
        <v>0</v>
      </c>
      <c r="H37" s="78" t="b">
        <f>IF(VLOOKUP(C37,Projetos!A:L,12,false)=TRUE,TRUE,FALSE)</f>
        <v>0</v>
      </c>
      <c r="I37" s="68">
        <v>60.19924222910927</v>
      </c>
      <c r="J37" s="68">
        <f t="shared" si="1"/>
        <v>0</v>
      </c>
      <c r="K37" s="68" t="b">
        <v>0</v>
      </c>
    </row>
    <row r="38" hidden="1">
      <c r="A38" s="75">
        <v>32.0</v>
      </c>
      <c r="B38" s="62" t="s">
        <v>130</v>
      </c>
      <c r="C38" s="62" t="s">
        <v>109</v>
      </c>
      <c r="D38" s="62" t="s">
        <v>160</v>
      </c>
      <c r="E38" s="76">
        <v>43985.0</v>
      </c>
      <c r="F38" s="77">
        <v>0.08333333333333333</v>
      </c>
      <c r="G38" s="62" t="b">
        <v>0</v>
      </c>
      <c r="H38" s="78" t="b">
        <f>IF(VLOOKUP(C38,Projetos!A:L,12,false)=TRUE,TRUE,FALSE)</f>
        <v>0</v>
      </c>
      <c r="I38" s="68">
        <v>60.19924222910927</v>
      </c>
      <c r="J38" s="68">
        <f t="shared" si="1"/>
        <v>0</v>
      </c>
      <c r="K38" s="68" t="b">
        <v>0</v>
      </c>
    </row>
    <row r="39" hidden="1">
      <c r="A39" s="75">
        <v>33.0</v>
      </c>
      <c r="B39" s="62" t="s">
        <v>130</v>
      </c>
      <c r="C39" s="62" t="s">
        <v>109</v>
      </c>
      <c r="D39" s="62" t="s">
        <v>161</v>
      </c>
      <c r="E39" s="76">
        <v>43992.0</v>
      </c>
      <c r="F39" s="77">
        <v>0.3333333333333333</v>
      </c>
      <c r="G39" s="62" t="b">
        <v>0</v>
      </c>
      <c r="H39" s="78" t="b">
        <f>IF(VLOOKUP(C39,Projetos!A:L,12,false)=TRUE,TRUE,FALSE)</f>
        <v>0</v>
      </c>
      <c r="I39" s="68">
        <v>60.19924222910927</v>
      </c>
      <c r="J39" s="68">
        <f t="shared" si="1"/>
        <v>0</v>
      </c>
      <c r="K39" s="68" t="b">
        <v>0</v>
      </c>
    </row>
    <row r="40">
      <c r="A40" s="75">
        <v>34.0</v>
      </c>
      <c r="B40" s="62" t="s">
        <v>130</v>
      </c>
      <c r="C40" s="62" t="s">
        <v>103</v>
      </c>
      <c r="D40" s="62" t="s">
        <v>162</v>
      </c>
      <c r="E40" s="76">
        <v>43999.0</v>
      </c>
      <c r="F40" s="77">
        <v>0.25</v>
      </c>
      <c r="G40" s="62" t="b">
        <v>1</v>
      </c>
      <c r="H40" s="78" t="b">
        <f>IF(VLOOKUP(C40,Projetos!A:L,12,false)=TRUE,TRUE,FALSE)</f>
        <v>1</v>
      </c>
      <c r="I40" s="68">
        <v>60.19924222910927</v>
      </c>
      <c r="J40" s="68">
        <f t="shared" si="1"/>
        <v>361.1954534</v>
      </c>
      <c r="K40" s="68" t="b">
        <v>1</v>
      </c>
    </row>
    <row r="41">
      <c r="A41" s="75">
        <v>35.0</v>
      </c>
      <c r="B41" s="62" t="s">
        <v>130</v>
      </c>
      <c r="C41" s="62" t="s">
        <v>101</v>
      </c>
      <c r="D41" s="62" t="s">
        <v>163</v>
      </c>
      <c r="E41" s="76">
        <v>44000.0</v>
      </c>
      <c r="F41" s="77">
        <v>0.041666666666666664</v>
      </c>
      <c r="G41" s="62" t="b">
        <v>1</v>
      </c>
      <c r="H41" s="78" t="b">
        <f>IF(VLOOKUP(C41,Projetos!A:L,12,false)=TRUE,TRUE,FALSE)</f>
        <v>1</v>
      </c>
      <c r="I41" s="68">
        <v>60.19924222910927</v>
      </c>
      <c r="J41" s="68">
        <f t="shared" si="1"/>
        <v>60.19924223</v>
      </c>
      <c r="K41" s="68" t="b">
        <v>1</v>
      </c>
    </row>
    <row r="42" hidden="1">
      <c r="A42" s="75">
        <v>36.0</v>
      </c>
      <c r="B42" s="62" t="s">
        <v>130</v>
      </c>
      <c r="C42" s="62" t="s">
        <v>109</v>
      </c>
      <c r="D42" s="62" t="s">
        <v>164</v>
      </c>
      <c r="E42" s="76">
        <v>44008.0</v>
      </c>
      <c r="F42" s="77">
        <v>0.041666666666666664</v>
      </c>
      <c r="G42" s="62" t="b">
        <v>0</v>
      </c>
      <c r="H42" s="78" t="b">
        <f>IF(VLOOKUP(C42,Projetos!A:L,12,false)=TRUE,TRUE,FALSE)</f>
        <v>0</v>
      </c>
      <c r="I42" s="68">
        <v>60.19924222910927</v>
      </c>
      <c r="J42" s="68">
        <f t="shared" si="1"/>
        <v>0</v>
      </c>
      <c r="K42" s="68" t="b">
        <v>0</v>
      </c>
    </row>
    <row r="43" hidden="1">
      <c r="A43" s="75">
        <v>37.0</v>
      </c>
      <c r="B43" s="62" t="s">
        <v>130</v>
      </c>
      <c r="C43" s="62" t="s">
        <v>109</v>
      </c>
      <c r="D43" s="62" t="s">
        <v>165</v>
      </c>
      <c r="E43" s="76">
        <v>44027.0</v>
      </c>
      <c r="F43" s="77">
        <v>0.125</v>
      </c>
      <c r="G43" s="62" t="b">
        <v>0</v>
      </c>
      <c r="H43" s="78" t="b">
        <f>IF(VLOOKUP(C43,Projetos!A:L,12,false)=TRUE,TRUE,FALSE)</f>
        <v>0</v>
      </c>
      <c r="I43" s="68">
        <v>63.06587281144781</v>
      </c>
      <c r="J43" s="68">
        <f t="shared" si="1"/>
        <v>0</v>
      </c>
      <c r="K43" s="68" t="b">
        <v>0</v>
      </c>
    </row>
    <row r="44">
      <c r="A44" s="75">
        <v>38.0</v>
      </c>
      <c r="B44" s="62" t="s">
        <v>130</v>
      </c>
      <c r="C44" s="62" t="s">
        <v>101</v>
      </c>
      <c r="D44" s="62" t="s">
        <v>152</v>
      </c>
      <c r="E44" s="76">
        <v>44028.0</v>
      </c>
      <c r="F44" s="77">
        <v>0.25</v>
      </c>
      <c r="G44" s="62" t="b">
        <v>1</v>
      </c>
      <c r="H44" s="78" t="b">
        <f>IF(VLOOKUP(C44,Projetos!A:L,12,false)=TRUE,TRUE,FALSE)</f>
        <v>1</v>
      </c>
      <c r="I44" s="68">
        <v>63.06587281144781</v>
      </c>
      <c r="J44" s="68">
        <f t="shared" si="1"/>
        <v>378.3952369</v>
      </c>
      <c r="K44" s="68" t="b">
        <v>1</v>
      </c>
    </row>
    <row r="45">
      <c r="A45" s="75">
        <v>39.0</v>
      </c>
      <c r="B45" s="62" t="s">
        <v>130</v>
      </c>
      <c r="C45" s="62" t="s">
        <v>104</v>
      </c>
      <c r="D45" s="62" t="s">
        <v>166</v>
      </c>
      <c r="E45" s="76">
        <v>44026.0</v>
      </c>
      <c r="F45" s="77">
        <v>0.08333333333333333</v>
      </c>
      <c r="G45" s="62" t="b">
        <v>1</v>
      </c>
      <c r="H45" s="78" t="b">
        <f>IF(VLOOKUP(C45,Projetos!A:L,12,false)=TRUE,TRUE,FALSE)</f>
        <v>1</v>
      </c>
      <c r="I45" s="68">
        <v>63.06587281144781</v>
      </c>
      <c r="J45" s="68">
        <f t="shared" si="1"/>
        <v>126.1317456</v>
      </c>
      <c r="K45" s="68" t="b">
        <v>1</v>
      </c>
    </row>
    <row r="46" hidden="1">
      <c r="A46" s="75">
        <v>40.0</v>
      </c>
      <c r="B46" s="62" t="s">
        <v>130</v>
      </c>
      <c r="C46" s="62" t="s">
        <v>102</v>
      </c>
      <c r="D46" s="62" t="s">
        <v>167</v>
      </c>
      <c r="E46" s="76">
        <v>44049.0</v>
      </c>
      <c r="F46" s="77">
        <v>0.0625</v>
      </c>
      <c r="G46" s="62" t="b">
        <v>0</v>
      </c>
      <c r="H46" s="78" t="b">
        <f>IF(VLOOKUP(C46,Projetos!A:L,12,false)=TRUE,TRUE,FALSE)</f>
        <v>0</v>
      </c>
      <c r="I46" s="68">
        <v>63.06587281144781</v>
      </c>
      <c r="J46" s="68">
        <f t="shared" si="1"/>
        <v>0</v>
      </c>
      <c r="K46" s="68" t="b">
        <v>0</v>
      </c>
    </row>
    <row r="47">
      <c r="A47" s="75">
        <v>41.0</v>
      </c>
      <c r="B47" s="62" t="s">
        <v>130</v>
      </c>
      <c r="C47" s="62" t="s">
        <v>98</v>
      </c>
      <c r="D47" s="62" t="s">
        <v>168</v>
      </c>
      <c r="E47" s="76">
        <v>44049.0</v>
      </c>
      <c r="F47" s="77">
        <v>0.0625</v>
      </c>
      <c r="G47" s="62" t="b">
        <v>1</v>
      </c>
      <c r="H47" s="78" t="b">
        <f>IF(VLOOKUP(C47,Projetos!A:L,12,false)=TRUE,TRUE,FALSE)</f>
        <v>1</v>
      </c>
      <c r="I47" s="68">
        <v>63.06587281144781</v>
      </c>
      <c r="J47" s="68">
        <f t="shared" si="1"/>
        <v>94.59880922</v>
      </c>
      <c r="K47" s="68" t="b">
        <v>1</v>
      </c>
    </row>
    <row r="48" hidden="1">
      <c r="A48" s="75">
        <v>42.0</v>
      </c>
      <c r="B48" s="62" t="s">
        <v>130</v>
      </c>
      <c r="C48" s="62" t="s">
        <v>102</v>
      </c>
      <c r="D48" s="62" t="s">
        <v>169</v>
      </c>
      <c r="E48" s="76">
        <v>44050.0</v>
      </c>
      <c r="F48" s="77">
        <v>0.2916666666666667</v>
      </c>
      <c r="G48" s="62" t="b">
        <v>0</v>
      </c>
      <c r="H48" s="78" t="b">
        <f>IF(VLOOKUP(C48,Projetos!A:L,12,false)=TRUE,TRUE,FALSE)</f>
        <v>0</v>
      </c>
      <c r="I48" s="68">
        <v>63.06587281144781</v>
      </c>
      <c r="J48" s="68">
        <f t="shared" si="1"/>
        <v>0</v>
      </c>
      <c r="K48" s="68" t="b">
        <v>0</v>
      </c>
    </row>
    <row r="49" hidden="1">
      <c r="A49" s="75">
        <v>43.0</v>
      </c>
      <c r="B49" s="62" t="s">
        <v>130</v>
      </c>
      <c r="C49" s="62" t="s">
        <v>102</v>
      </c>
      <c r="D49" s="62" t="s">
        <v>169</v>
      </c>
      <c r="E49" s="76">
        <v>44053.0</v>
      </c>
      <c r="F49" s="77">
        <v>0.25</v>
      </c>
      <c r="G49" s="62" t="b">
        <v>0</v>
      </c>
      <c r="H49" s="78" t="b">
        <f>IF(VLOOKUP(C49,Projetos!A:L,12,false)=TRUE,TRUE,FALSE)</f>
        <v>0</v>
      </c>
      <c r="I49" s="68">
        <v>63.06587281144781</v>
      </c>
      <c r="J49" s="68">
        <f t="shared" si="1"/>
        <v>0</v>
      </c>
      <c r="K49" s="68" t="b">
        <v>0</v>
      </c>
    </row>
    <row r="50" hidden="1">
      <c r="A50" s="75">
        <v>44.0</v>
      </c>
      <c r="B50" s="62" t="s">
        <v>130</v>
      </c>
      <c r="C50" s="62" t="s">
        <v>102</v>
      </c>
      <c r="D50" s="62" t="s">
        <v>169</v>
      </c>
      <c r="E50" s="76">
        <v>44054.0</v>
      </c>
      <c r="F50" s="77">
        <v>0.20833333333333334</v>
      </c>
      <c r="G50" s="62" t="b">
        <v>0</v>
      </c>
      <c r="H50" s="78" t="b">
        <f>IF(VLOOKUP(C50,Projetos!A:L,12,false)=TRUE,TRUE,FALSE)</f>
        <v>0</v>
      </c>
      <c r="I50" s="68">
        <v>63.06587281144781</v>
      </c>
      <c r="J50" s="68">
        <f t="shared" si="1"/>
        <v>0</v>
      </c>
      <c r="K50" s="68" t="b">
        <v>0</v>
      </c>
    </row>
    <row r="51">
      <c r="A51" s="75">
        <v>45.0</v>
      </c>
      <c r="B51" s="62" t="s">
        <v>130</v>
      </c>
      <c r="C51" s="62" t="s">
        <v>103</v>
      </c>
      <c r="D51" s="62" t="s">
        <v>170</v>
      </c>
      <c r="E51" s="76">
        <v>44077.0</v>
      </c>
      <c r="F51" s="77">
        <v>0.08333333333333333</v>
      </c>
      <c r="G51" s="62" t="b">
        <v>1</v>
      </c>
      <c r="H51" s="78" t="b">
        <f>IF(VLOOKUP(C51,Projetos!A:L,12,false)=TRUE,TRUE,FALSE)</f>
        <v>1</v>
      </c>
      <c r="I51" s="68">
        <v>63.20918774678603</v>
      </c>
      <c r="J51" s="68">
        <f t="shared" si="1"/>
        <v>126.4183755</v>
      </c>
      <c r="K51" s="68" t="b">
        <v>1</v>
      </c>
    </row>
    <row r="52">
      <c r="A52" s="75">
        <v>46.0</v>
      </c>
      <c r="B52" s="62" t="s">
        <v>130</v>
      </c>
      <c r="C52" s="62" t="s">
        <v>101</v>
      </c>
      <c r="D52" s="62" t="s">
        <v>171</v>
      </c>
      <c r="E52" s="76">
        <v>44078.0</v>
      </c>
      <c r="F52" s="77">
        <v>0.08333333333333333</v>
      </c>
      <c r="G52" s="62" t="b">
        <v>1</v>
      </c>
      <c r="H52" s="78" t="b">
        <f>IF(VLOOKUP(C52,Projetos!A:L,12,false)=TRUE,TRUE,FALSE)</f>
        <v>1</v>
      </c>
      <c r="I52" s="68">
        <v>63.20918774678603</v>
      </c>
      <c r="J52" s="68">
        <f t="shared" si="1"/>
        <v>126.4183755</v>
      </c>
      <c r="K52" s="68" t="b">
        <v>1</v>
      </c>
    </row>
    <row r="53" hidden="1">
      <c r="A53" s="75">
        <v>47.0</v>
      </c>
      <c r="B53" s="62" t="s">
        <v>130</v>
      </c>
      <c r="C53" s="62" t="s">
        <v>102</v>
      </c>
      <c r="D53" s="62" t="s">
        <v>172</v>
      </c>
      <c r="E53" s="76">
        <v>44090.0</v>
      </c>
      <c r="F53" s="77">
        <v>0.25</v>
      </c>
      <c r="G53" s="62" t="b">
        <v>0</v>
      </c>
      <c r="H53" s="78" t="b">
        <f>IF(VLOOKUP(C53,Projetos!A:L,12,false)=TRUE,TRUE,FALSE)</f>
        <v>0</v>
      </c>
      <c r="I53" s="68">
        <v>63.20918774678603</v>
      </c>
      <c r="J53" s="68">
        <f t="shared" si="1"/>
        <v>0</v>
      </c>
      <c r="K53" s="68" t="b">
        <v>0</v>
      </c>
    </row>
    <row r="54">
      <c r="A54" s="75">
        <v>48.0</v>
      </c>
      <c r="B54" s="62" t="s">
        <v>130</v>
      </c>
      <c r="C54" s="62" t="s">
        <v>101</v>
      </c>
      <c r="D54" s="62" t="s">
        <v>173</v>
      </c>
      <c r="E54" s="76">
        <v>43986.0</v>
      </c>
      <c r="F54" s="77">
        <v>0.041666666666666664</v>
      </c>
      <c r="G54" s="62" t="b">
        <v>1</v>
      </c>
      <c r="H54" s="78" t="b">
        <f>IF(VLOOKUP(C54,Projetos!A:L,12,false)=TRUE,TRUE,FALSE)</f>
        <v>1</v>
      </c>
      <c r="I54" s="68">
        <v>60.19924222910927</v>
      </c>
      <c r="J54" s="68">
        <f t="shared" si="1"/>
        <v>60.19924223</v>
      </c>
      <c r="K54" s="68" t="b">
        <v>1</v>
      </c>
    </row>
    <row r="55">
      <c r="A55" s="75">
        <v>49.0</v>
      </c>
      <c r="B55" s="62" t="s">
        <v>130</v>
      </c>
      <c r="C55" s="62" t="s">
        <v>101</v>
      </c>
      <c r="D55" s="62" t="s">
        <v>171</v>
      </c>
      <c r="E55" s="76">
        <v>44106.0</v>
      </c>
      <c r="F55" s="77">
        <v>0.08333333333333333</v>
      </c>
      <c r="G55" s="62" t="b">
        <v>1</v>
      </c>
      <c r="H55" s="78" t="b">
        <f>IF(VLOOKUP(C55,Projetos!A:L,12,false)=TRUE,TRUE,FALSE)</f>
        <v>1</v>
      </c>
      <c r="I55" s="68">
        <v>66.21914906806155</v>
      </c>
      <c r="J55" s="68">
        <f t="shared" si="1"/>
        <v>132.4382981</v>
      </c>
      <c r="K55" s="68" t="b">
        <v>1</v>
      </c>
    </row>
    <row r="56" hidden="1">
      <c r="A56" s="75">
        <v>50.0</v>
      </c>
      <c r="B56" s="62" t="s">
        <v>130</v>
      </c>
      <c r="C56" s="62" t="s">
        <v>102</v>
      </c>
      <c r="D56" s="62" t="s">
        <v>174</v>
      </c>
      <c r="E56" s="76">
        <v>44109.0</v>
      </c>
      <c r="F56" s="77">
        <v>0.125</v>
      </c>
      <c r="G56" s="62" t="b">
        <v>0</v>
      </c>
      <c r="H56" s="78" t="b">
        <f>IF(VLOOKUP(C56,Projetos!A:L,12,false)=TRUE,TRUE,FALSE)</f>
        <v>0</v>
      </c>
      <c r="I56" s="68">
        <v>66.21914906806155</v>
      </c>
      <c r="J56" s="68">
        <f t="shared" si="1"/>
        <v>0</v>
      </c>
      <c r="K56" s="68" t="b">
        <v>0</v>
      </c>
    </row>
    <row r="57" hidden="1">
      <c r="A57" s="75">
        <v>51.0</v>
      </c>
      <c r="B57" s="62" t="s">
        <v>130</v>
      </c>
      <c r="C57" s="62" t="s">
        <v>109</v>
      </c>
      <c r="D57" s="62" t="s">
        <v>175</v>
      </c>
      <c r="E57" s="76">
        <v>44112.0</v>
      </c>
      <c r="F57" s="77">
        <v>0.041666666666666664</v>
      </c>
      <c r="G57" s="62" t="b">
        <v>0</v>
      </c>
      <c r="H57" s="78" t="b">
        <f>IF(VLOOKUP(C57,Projetos!A:L,12,false)=TRUE,TRUE,FALSE)</f>
        <v>0</v>
      </c>
      <c r="I57" s="68">
        <v>66.21914906806155</v>
      </c>
      <c r="J57" s="68">
        <f t="shared" si="1"/>
        <v>0</v>
      </c>
      <c r="K57" s="68" t="b">
        <v>0</v>
      </c>
    </row>
    <row r="58" hidden="1">
      <c r="A58" s="75">
        <v>52.0</v>
      </c>
      <c r="B58" s="62" t="s">
        <v>130</v>
      </c>
      <c r="C58" s="62" t="s">
        <v>102</v>
      </c>
      <c r="D58" s="62" t="s">
        <v>176</v>
      </c>
      <c r="E58" s="76">
        <v>44110.0</v>
      </c>
      <c r="F58" s="77">
        <v>0.08333333333333333</v>
      </c>
      <c r="G58" s="62" t="b">
        <v>0</v>
      </c>
      <c r="H58" s="78" t="b">
        <f>IF(VLOOKUP(C58,Projetos!A:L,12,false)=TRUE,TRUE,FALSE)</f>
        <v>0</v>
      </c>
      <c r="I58" s="68">
        <v>66.21914906806155</v>
      </c>
      <c r="J58" s="68">
        <f t="shared" si="1"/>
        <v>0</v>
      </c>
      <c r="K58" s="68" t="b">
        <v>0</v>
      </c>
    </row>
    <row r="59">
      <c r="A59" s="75">
        <v>53.0</v>
      </c>
      <c r="B59" s="62" t="s">
        <v>130</v>
      </c>
      <c r="C59" s="62" t="s">
        <v>101</v>
      </c>
      <c r="D59" s="62" t="s">
        <v>177</v>
      </c>
      <c r="E59" s="76">
        <v>44147.0</v>
      </c>
      <c r="F59" s="77">
        <v>0.125</v>
      </c>
      <c r="G59" s="62" t="b">
        <v>1</v>
      </c>
      <c r="H59" s="78" t="b">
        <f>IF(VLOOKUP(C59,Projetos!A:L,12,false)=TRUE,TRUE,FALSE)</f>
        <v>1</v>
      </c>
      <c r="I59" s="68">
        <v>64.24580110192835</v>
      </c>
      <c r="J59" s="68">
        <f t="shared" si="1"/>
        <v>192.7374033</v>
      </c>
      <c r="K59" s="68" t="b">
        <v>1</v>
      </c>
    </row>
    <row r="60">
      <c r="A60" s="75">
        <v>54.0</v>
      </c>
      <c r="B60" s="62" t="s">
        <v>130</v>
      </c>
      <c r="C60" s="62" t="s">
        <v>101</v>
      </c>
      <c r="D60" s="62" t="s">
        <v>178</v>
      </c>
      <c r="E60" s="76">
        <v>44165.0</v>
      </c>
      <c r="F60" s="77">
        <v>0.05555555555555555</v>
      </c>
      <c r="G60" s="62" t="b">
        <v>1</v>
      </c>
      <c r="H60" s="78" t="b">
        <f>IF(VLOOKUP(C60,Projetos!A:L,12,false)=TRUE,TRUE,FALSE)</f>
        <v>1</v>
      </c>
      <c r="I60" s="68">
        <v>64.24580110192835</v>
      </c>
      <c r="J60" s="68">
        <f t="shared" si="1"/>
        <v>85.66106814</v>
      </c>
      <c r="K60" s="68" t="b">
        <v>1</v>
      </c>
    </row>
    <row r="61">
      <c r="A61" s="75">
        <v>55.0</v>
      </c>
      <c r="B61" s="62" t="s">
        <v>130</v>
      </c>
      <c r="C61" s="62" t="s">
        <v>103</v>
      </c>
      <c r="D61" s="62" t="s">
        <v>179</v>
      </c>
      <c r="E61" s="76">
        <v>44140.0</v>
      </c>
      <c r="F61" s="77">
        <v>0.10416666666666667</v>
      </c>
      <c r="G61" s="62" t="b">
        <v>1</v>
      </c>
      <c r="H61" s="78" t="b">
        <f>IF(VLOOKUP(C61,Projetos!A:L,12,false)=TRUE,TRUE,FALSE)</f>
        <v>1</v>
      </c>
      <c r="I61" s="68">
        <v>64.24580110192835</v>
      </c>
      <c r="J61" s="68">
        <f t="shared" si="1"/>
        <v>160.6145028</v>
      </c>
      <c r="K61" s="68" t="b">
        <v>1</v>
      </c>
    </row>
    <row r="62" hidden="1">
      <c r="A62" s="75">
        <v>56.0</v>
      </c>
      <c r="B62" s="62" t="s">
        <v>130</v>
      </c>
      <c r="C62" s="62" t="s">
        <v>102</v>
      </c>
      <c r="D62" s="62" t="s">
        <v>180</v>
      </c>
      <c r="E62" s="76">
        <v>44147.0</v>
      </c>
      <c r="F62" s="77">
        <v>0.041666666666666664</v>
      </c>
      <c r="G62" s="62" t="b">
        <v>0</v>
      </c>
      <c r="H62" s="78" t="b">
        <f>IF(VLOOKUP(C62,Projetos!A:L,12,false)=TRUE,TRUE,FALSE)</f>
        <v>0</v>
      </c>
      <c r="I62" s="68">
        <v>64.24580110192835</v>
      </c>
      <c r="J62" s="68">
        <f t="shared" si="1"/>
        <v>0</v>
      </c>
      <c r="K62" s="68" t="b">
        <v>0</v>
      </c>
    </row>
    <row r="63" hidden="1">
      <c r="A63" s="75">
        <v>57.0</v>
      </c>
      <c r="B63" s="62" t="s">
        <v>130</v>
      </c>
      <c r="C63" s="62" t="s">
        <v>102</v>
      </c>
      <c r="D63" s="62" t="s">
        <v>181</v>
      </c>
      <c r="E63" s="76">
        <v>44147.0</v>
      </c>
      <c r="F63" s="77">
        <v>0.125</v>
      </c>
      <c r="G63" s="62" t="b">
        <v>0</v>
      </c>
      <c r="H63" s="78" t="b">
        <f>IF(VLOOKUP(C63,Projetos!A:L,12,false)=TRUE,TRUE,FALSE)</f>
        <v>0</v>
      </c>
      <c r="I63" s="68">
        <v>64.24580110192835</v>
      </c>
      <c r="J63" s="68">
        <f t="shared" si="1"/>
        <v>0</v>
      </c>
      <c r="K63" s="68" t="b">
        <v>0</v>
      </c>
    </row>
    <row r="64" hidden="1">
      <c r="A64" s="75">
        <v>58.0</v>
      </c>
      <c r="B64" s="62" t="s">
        <v>130</v>
      </c>
      <c r="C64" s="62" t="s">
        <v>102</v>
      </c>
      <c r="D64" s="62" t="s">
        <v>182</v>
      </c>
      <c r="E64" s="76">
        <v>44155.0</v>
      </c>
      <c r="F64" s="77">
        <v>0.027777777777777776</v>
      </c>
      <c r="G64" s="62" t="b">
        <v>0</v>
      </c>
      <c r="H64" s="78" t="b">
        <f>IF(VLOOKUP(C64,Projetos!A:L,12,false)=TRUE,TRUE,FALSE)</f>
        <v>0</v>
      </c>
      <c r="I64" s="68">
        <v>64.24580110192835</v>
      </c>
      <c r="J64" s="68">
        <f t="shared" si="1"/>
        <v>0</v>
      </c>
      <c r="K64" s="68" t="b">
        <v>0</v>
      </c>
    </row>
    <row r="65" hidden="1">
      <c r="A65" s="75">
        <v>59.0</v>
      </c>
      <c r="B65" s="62" t="s">
        <v>130</v>
      </c>
      <c r="C65" s="62" t="s">
        <v>102</v>
      </c>
      <c r="D65" s="62" t="s">
        <v>183</v>
      </c>
      <c r="E65" s="76">
        <v>44152.0</v>
      </c>
      <c r="F65" s="77">
        <v>0.1111111111111111</v>
      </c>
      <c r="G65" s="62" t="b">
        <v>0</v>
      </c>
      <c r="H65" s="78" t="b">
        <f>IF(VLOOKUP(C65,Projetos!A:L,12,false)=TRUE,TRUE,FALSE)</f>
        <v>0</v>
      </c>
      <c r="I65" s="68">
        <v>64.24580110192835</v>
      </c>
      <c r="J65" s="68">
        <f t="shared" si="1"/>
        <v>0</v>
      </c>
      <c r="K65" s="68" t="b">
        <v>0</v>
      </c>
    </row>
    <row r="66" hidden="1">
      <c r="A66" s="75">
        <v>60.0</v>
      </c>
      <c r="B66" s="62" t="s">
        <v>130</v>
      </c>
      <c r="C66" s="62" t="s">
        <v>102</v>
      </c>
      <c r="D66" s="62" t="s">
        <v>184</v>
      </c>
      <c r="E66" s="76">
        <v>44153.0</v>
      </c>
      <c r="F66" s="77">
        <v>0.09722222222222222</v>
      </c>
      <c r="G66" s="62" t="b">
        <v>0</v>
      </c>
      <c r="H66" s="78" t="b">
        <f>IF(VLOOKUP(C66,Projetos!A:L,12,false)=TRUE,TRUE,FALSE)</f>
        <v>0</v>
      </c>
      <c r="I66" s="68">
        <v>64.24580110192835</v>
      </c>
      <c r="J66" s="68">
        <f t="shared" si="1"/>
        <v>0</v>
      </c>
      <c r="K66" s="68" t="b">
        <v>0</v>
      </c>
    </row>
    <row r="67" hidden="1">
      <c r="A67" s="75">
        <v>61.0</v>
      </c>
      <c r="B67" s="62" t="s">
        <v>130</v>
      </c>
      <c r="C67" s="62" t="s">
        <v>109</v>
      </c>
      <c r="D67" s="62" t="s">
        <v>185</v>
      </c>
      <c r="E67" s="76">
        <v>44154.0</v>
      </c>
      <c r="F67" s="77">
        <v>0.020833333333333332</v>
      </c>
      <c r="G67" s="62" t="b">
        <v>0</v>
      </c>
      <c r="H67" s="78" t="b">
        <f>IF(VLOOKUP(C67,Projetos!A:L,12,false)=TRUE,TRUE,FALSE)</f>
        <v>0</v>
      </c>
      <c r="I67" s="68">
        <v>64.24580110192835</v>
      </c>
      <c r="J67" s="68">
        <f t="shared" si="1"/>
        <v>0</v>
      </c>
      <c r="K67" s="68" t="b">
        <v>0</v>
      </c>
    </row>
    <row r="68" hidden="1">
      <c r="A68" s="75">
        <v>62.0</v>
      </c>
      <c r="B68" s="62" t="s">
        <v>130</v>
      </c>
      <c r="C68" s="62" t="s">
        <v>102</v>
      </c>
      <c r="D68" s="62" t="s">
        <v>186</v>
      </c>
      <c r="E68" s="76">
        <v>44161.0</v>
      </c>
      <c r="F68" s="77">
        <v>0.2520833333333333</v>
      </c>
      <c r="G68" s="62" t="b">
        <v>0</v>
      </c>
      <c r="H68" s="78" t="b">
        <f>IF(VLOOKUP(C68,Projetos!A:L,12,false)=TRUE,TRUE,FALSE)</f>
        <v>0</v>
      </c>
      <c r="I68" s="68">
        <v>64.24580110192835</v>
      </c>
      <c r="J68" s="68">
        <f t="shared" si="1"/>
        <v>0</v>
      </c>
      <c r="K68" s="68" t="b">
        <v>0</v>
      </c>
    </row>
    <row r="69">
      <c r="A69" s="75">
        <v>63.0</v>
      </c>
      <c r="B69" s="62" t="s">
        <v>130</v>
      </c>
      <c r="C69" s="62" t="s">
        <v>101</v>
      </c>
      <c r="D69" s="62" t="s">
        <v>187</v>
      </c>
      <c r="E69" s="76">
        <v>44166.0</v>
      </c>
      <c r="F69" s="77">
        <v>0.041666666666666664</v>
      </c>
      <c r="G69" s="62" t="b">
        <v>1</v>
      </c>
      <c r="H69" s="78" t="b">
        <f>IF(VLOOKUP(C69,Projetos!A:L,12,false)=TRUE,TRUE,FALSE)</f>
        <v>1</v>
      </c>
      <c r="I69" s="68">
        <v>67.30512496392495</v>
      </c>
      <c r="J69" s="68">
        <f t="shared" si="1"/>
        <v>67.30512496</v>
      </c>
      <c r="K69" s="68" t="b">
        <v>1</v>
      </c>
    </row>
    <row r="70" hidden="1">
      <c r="A70" s="75">
        <v>64.0</v>
      </c>
      <c r="B70" s="62" t="s">
        <v>130</v>
      </c>
      <c r="C70" s="62" t="s">
        <v>117</v>
      </c>
      <c r="D70" s="62" t="s">
        <v>188</v>
      </c>
      <c r="E70" s="76">
        <v>44166.0</v>
      </c>
      <c r="F70" s="77">
        <v>0.08333333333333333</v>
      </c>
      <c r="G70" s="62" t="b">
        <v>0</v>
      </c>
      <c r="H70" s="78" t="b">
        <f>IF(VLOOKUP(C70,Projetos!A:L,12,false)=TRUE,TRUE,FALSE)</f>
        <v>0</v>
      </c>
      <c r="I70" s="68">
        <v>67.30512496392495</v>
      </c>
      <c r="J70" s="68">
        <f t="shared" si="1"/>
        <v>0</v>
      </c>
      <c r="K70" s="68" t="b">
        <v>0</v>
      </c>
    </row>
    <row r="71" hidden="1">
      <c r="A71" s="75">
        <v>65.0</v>
      </c>
      <c r="B71" s="62" t="s">
        <v>130</v>
      </c>
      <c r="C71" s="62" t="s">
        <v>117</v>
      </c>
      <c r="D71" s="62" t="s">
        <v>189</v>
      </c>
      <c r="E71" s="76">
        <v>44172.0</v>
      </c>
      <c r="F71" s="77">
        <v>0.0625</v>
      </c>
      <c r="G71" s="62" t="b">
        <v>0</v>
      </c>
      <c r="H71" s="78" t="b">
        <f>IF(VLOOKUP(C71,Projetos!A:L,12,false)=TRUE,TRUE,FALSE)</f>
        <v>0</v>
      </c>
      <c r="I71" s="68">
        <v>67.30512496392495</v>
      </c>
      <c r="J71" s="68">
        <f t="shared" si="1"/>
        <v>0</v>
      </c>
      <c r="K71" s="68" t="b">
        <v>0</v>
      </c>
    </row>
    <row r="72" hidden="1">
      <c r="A72" s="75">
        <v>66.0</v>
      </c>
      <c r="B72" s="62" t="s">
        <v>130</v>
      </c>
      <c r="C72" s="62" t="s">
        <v>117</v>
      </c>
      <c r="D72" s="62" t="s">
        <v>190</v>
      </c>
      <c r="E72" s="76">
        <v>44183.0</v>
      </c>
      <c r="F72" s="77">
        <v>0.06944444444444445</v>
      </c>
      <c r="G72" s="62" t="b">
        <v>0</v>
      </c>
      <c r="H72" s="78" t="b">
        <f>IF(VLOOKUP(C72,Projetos!A:L,12,false)=TRUE,TRUE,FALSE)</f>
        <v>0</v>
      </c>
      <c r="I72" s="68">
        <v>67.30512496392495</v>
      </c>
      <c r="J72" s="68">
        <f t="shared" si="1"/>
        <v>0</v>
      </c>
      <c r="K72" s="68" t="b">
        <v>0</v>
      </c>
    </row>
    <row r="73">
      <c r="A73" s="75">
        <v>67.0</v>
      </c>
      <c r="B73" s="62" t="s">
        <v>130</v>
      </c>
      <c r="C73" s="62" t="s">
        <v>104</v>
      </c>
      <c r="D73" s="62" t="s">
        <v>191</v>
      </c>
      <c r="E73" s="76">
        <v>44174.0</v>
      </c>
      <c r="F73" s="77">
        <v>0.10416666666666667</v>
      </c>
      <c r="G73" s="62" t="b">
        <v>1</v>
      </c>
      <c r="H73" s="78" t="b">
        <f>IF(VLOOKUP(C73,Projetos!A:L,12,false)=TRUE,TRUE,FALSE)</f>
        <v>1</v>
      </c>
      <c r="I73" s="68">
        <v>67.30512496392495</v>
      </c>
      <c r="J73" s="68">
        <f t="shared" si="1"/>
        <v>168.2628124</v>
      </c>
      <c r="K73" s="68" t="b">
        <v>1</v>
      </c>
    </row>
    <row r="74" hidden="1">
      <c r="A74" s="75">
        <v>68.0</v>
      </c>
      <c r="B74" s="62" t="s">
        <v>130</v>
      </c>
      <c r="C74" s="62" t="s">
        <v>109</v>
      </c>
      <c r="D74" s="62" t="s">
        <v>192</v>
      </c>
      <c r="E74" s="76">
        <v>44175.0</v>
      </c>
      <c r="F74" s="77">
        <v>0.08333333333333333</v>
      </c>
      <c r="G74" s="62" t="b">
        <v>0</v>
      </c>
      <c r="H74" s="78" t="b">
        <f>IF(VLOOKUP(C74,Projetos!A:L,12,false)=TRUE,TRUE,FALSE)</f>
        <v>0</v>
      </c>
      <c r="I74" s="68">
        <v>67.30512496392495</v>
      </c>
      <c r="J74" s="68">
        <f t="shared" si="1"/>
        <v>0</v>
      </c>
      <c r="K74" s="68" t="b">
        <v>0</v>
      </c>
    </row>
    <row r="75" hidden="1">
      <c r="A75" s="75">
        <v>69.0</v>
      </c>
      <c r="B75" s="62" t="s">
        <v>130</v>
      </c>
      <c r="C75" s="62" t="s">
        <v>109</v>
      </c>
      <c r="D75" s="62" t="s">
        <v>193</v>
      </c>
      <c r="E75" s="76">
        <v>44180.0</v>
      </c>
      <c r="F75" s="77">
        <v>0.08333333333333333</v>
      </c>
      <c r="G75" s="62" t="b">
        <v>0</v>
      </c>
      <c r="H75" s="78" t="b">
        <f>IF(VLOOKUP(C75,Projetos!A:L,12,false)=TRUE,TRUE,FALSE)</f>
        <v>0</v>
      </c>
      <c r="I75" s="68">
        <v>67.30512496392495</v>
      </c>
      <c r="J75" s="68">
        <f t="shared" si="1"/>
        <v>0</v>
      </c>
      <c r="K75" s="68" t="b">
        <v>0</v>
      </c>
    </row>
    <row r="76">
      <c r="A76" s="75">
        <v>70.0</v>
      </c>
      <c r="B76" s="62" t="s">
        <v>194</v>
      </c>
      <c r="C76" s="62" t="s">
        <v>103</v>
      </c>
      <c r="D76" s="62" t="s">
        <v>195</v>
      </c>
      <c r="E76" s="76">
        <v>43850.0</v>
      </c>
      <c r="F76" s="77">
        <v>0.041666666666666664</v>
      </c>
      <c r="G76" s="62" t="b">
        <v>1</v>
      </c>
      <c r="H76" s="78" t="b">
        <f>IF(VLOOKUP(C76,Projetos!A:L,12,false)=TRUE,TRUE,FALSE)</f>
        <v>1</v>
      </c>
      <c r="I76" s="68">
        <v>68.4018789141414</v>
      </c>
      <c r="J76" s="68">
        <f t="shared" si="1"/>
        <v>68.40187891</v>
      </c>
      <c r="K76" s="68" t="b">
        <v>1</v>
      </c>
    </row>
    <row r="77" hidden="1">
      <c r="A77" s="75">
        <v>71.0</v>
      </c>
      <c r="B77" s="62" t="s">
        <v>194</v>
      </c>
      <c r="C77" s="62" t="s">
        <v>103</v>
      </c>
      <c r="D77" s="62" t="s">
        <v>196</v>
      </c>
      <c r="E77" s="76">
        <v>43852.0</v>
      </c>
      <c r="F77" s="77">
        <v>0.041666666666666664</v>
      </c>
      <c r="G77" s="62" t="b">
        <v>0</v>
      </c>
      <c r="H77" s="78" t="b">
        <f>IF(VLOOKUP(C77,Projetos!A:L,12,false)=TRUE,TRUE,FALSE)</f>
        <v>1</v>
      </c>
      <c r="I77" s="68">
        <v>68.4018789141414</v>
      </c>
      <c r="J77" s="68">
        <f t="shared" si="1"/>
        <v>0</v>
      </c>
      <c r="K77" s="68" t="b">
        <v>1</v>
      </c>
    </row>
    <row r="78" hidden="1">
      <c r="A78" s="75">
        <v>72.0</v>
      </c>
      <c r="B78" s="62" t="s">
        <v>194</v>
      </c>
      <c r="C78" s="62" t="s">
        <v>83</v>
      </c>
      <c r="D78" s="62" t="s">
        <v>197</v>
      </c>
      <c r="E78" s="76">
        <v>43853.0</v>
      </c>
      <c r="F78" s="77">
        <v>0.08333333333333333</v>
      </c>
      <c r="G78" s="62" t="b">
        <v>0</v>
      </c>
      <c r="H78" s="78" t="b">
        <f>IF(VLOOKUP(C78,Projetos!A:L,12,false)=TRUE,TRUE,FALSE)</f>
        <v>0</v>
      </c>
      <c r="I78" s="68">
        <v>68.4018789141414</v>
      </c>
      <c r="J78" s="68">
        <f t="shared" si="1"/>
        <v>0</v>
      </c>
      <c r="K78" s="68" t="b">
        <v>0</v>
      </c>
    </row>
    <row r="79">
      <c r="A79" s="75">
        <v>73.0</v>
      </c>
      <c r="B79" s="62" t="s">
        <v>194</v>
      </c>
      <c r="C79" s="62" t="s">
        <v>104</v>
      </c>
      <c r="D79" s="62" t="s">
        <v>198</v>
      </c>
      <c r="E79" s="76">
        <v>43835.0</v>
      </c>
      <c r="F79" s="77">
        <v>0.08333333333333333</v>
      </c>
      <c r="G79" s="62" t="b">
        <v>1</v>
      </c>
      <c r="H79" s="78" t="b">
        <f>IF(VLOOKUP(C79,Projetos!A:L,12,false)=TRUE,TRUE,FALSE)</f>
        <v>1</v>
      </c>
      <c r="I79" s="68">
        <v>68.4018789141414</v>
      </c>
      <c r="J79" s="68">
        <f t="shared" si="1"/>
        <v>136.8037578</v>
      </c>
      <c r="K79" s="68" t="b">
        <v>1</v>
      </c>
    </row>
    <row r="80">
      <c r="A80" s="75">
        <v>74.0</v>
      </c>
      <c r="B80" s="62" t="s">
        <v>194</v>
      </c>
      <c r="C80" s="62" t="s">
        <v>104</v>
      </c>
      <c r="D80" s="62" t="s">
        <v>199</v>
      </c>
      <c r="E80" s="76">
        <v>43872.0</v>
      </c>
      <c r="F80" s="77">
        <v>0.08333333333333333</v>
      </c>
      <c r="G80" s="62" t="b">
        <v>1</v>
      </c>
      <c r="H80" s="78" t="b">
        <f>IF(VLOOKUP(C80,Projetos!A:L,12,false)=TRUE,TRUE,FALSE)</f>
        <v>1</v>
      </c>
      <c r="I80" s="68">
        <v>65.29270259986224</v>
      </c>
      <c r="J80" s="68">
        <f t="shared" si="1"/>
        <v>130.5854052</v>
      </c>
      <c r="K80" s="68" t="b">
        <v>1</v>
      </c>
    </row>
    <row r="81">
      <c r="A81" s="75">
        <v>75.0</v>
      </c>
      <c r="B81" s="62" t="s">
        <v>194</v>
      </c>
      <c r="C81" s="62" t="s">
        <v>104</v>
      </c>
      <c r="D81" s="62" t="s">
        <v>199</v>
      </c>
      <c r="E81" s="76">
        <v>43879.0</v>
      </c>
      <c r="F81" s="77">
        <v>0.08333333333333333</v>
      </c>
      <c r="G81" s="62" t="b">
        <v>1</v>
      </c>
      <c r="H81" s="78" t="b">
        <f>IF(VLOOKUP(C81,Projetos!A:L,12,false)=TRUE,TRUE,FALSE)</f>
        <v>1</v>
      </c>
      <c r="I81" s="68">
        <v>65.29270259986224</v>
      </c>
      <c r="J81" s="68">
        <f t="shared" si="1"/>
        <v>130.5854052</v>
      </c>
      <c r="K81" s="68" t="b">
        <v>1</v>
      </c>
    </row>
    <row r="82">
      <c r="A82" s="75">
        <v>76.0</v>
      </c>
      <c r="B82" s="62" t="s">
        <v>194</v>
      </c>
      <c r="C82" s="62" t="s">
        <v>103</v>
      </c>
      <c r="D82" s="62" t="s">
        <v>200</v>
      </c>
      <c r="E82" s="76">
        <v>43873.0</v>
      </c>
      <c r="F82" s="77">
        <v>0.08333333333333333</v>
      </c>
      <c r="G82" s="62" t="b">
        <v>1</v>
      </c>
      <c r="H82" s="78" t="b">
        <f>IF(VLOOKUP(C82,Projetos!A:L,12,false)=TRUE,TRUE,FALSE)</f>
        <v>1</v>
      </c>
      <c r="I82" s="68">
        <v>65.29270259986224</v>
      </c>
      <c r="J82" s="68">
        <f t="shared" si="1"/>
        <v>130.5854052</v>
      </c>
      <c r="K82" s="68" t="b">
        <v>1</v>
      </c>
    </row>
    <row r="83" hidden="1">
      <c r="A83" s="75">
        <v>77.0</v>
      </c>
      <c r="B83" s="62" t="s">
        <v>194</v>
      </c>
      <c r="C83" s="62" t="s">
        <v>103</v>
      </c>
      <c r="D83" s="62" t="s">
        <v>201</v>
      </c>
      <c r="E83" s="76">
        <v>43880.0</v>
      </c>
      <c r="F83" s="77">
        <v>0.10416666666666667</v>
      </c>
      <c r="G83" s="62" t="b">
        <v>0</v>
      </c>
      <c r="H83" s="78" t="b">
        <f>IF(VLOOKUP(C83,Projetos!A:L,12,false)=TRUE,TRUE,FALSE)</f>
        <v>1</v>
      </c>
      <c r="I83" s="68">
        <v>65.29270259986224</v>
      </c>
      <c r="J83" s="68">
        <f t="shared" si="1"/>
        <v>0</v>
      </c>
      <c r="K83" s="68" t="b">
        <v>1</v>
      </c>
    </row>
    <row r="84" hidden="1">
      <c r="A84" s="75">
        <v>78.0</v>
      </c>
      <c r="B84" s="62" t="s">
        <v>194</v>
      </c>
      <c r="C84" s="62" t="s">
        <v>104</v>
      </c>
      <c r="D84" s="62" t="s">
        <v>201</v>
      </c>
      <c r="E84" s="76">
        <v>43894.0</v>
      </c>
      <c r="F84" s="77">
        <v>0.08333333333333333</v>
      </c>
      <c r="G84" s="62" t="b">
        <v>0</v>
      </c>
      <c r="H84" s="78" t="b">
        <f>IF(VLOOKUP(C84,Projetos!A:L,12,false)=TRUE,TRUE,FALSE)</f>
        <v>1</v>
      </c>
      <c r="I84" s="68">
        <v>68.4018789141414</v>
      </c>
      <c r="J84" s="68">
        <f t="shared" si="1"/>
        <v>0</v>
      </c>
      <c r="K84" s="68" t="b">
        <v>1</v>
      </c>
    </row>
    <row r="85" hidden="1">
      <c r="A85" s="75">
        <v>79.0</v>
      </c>
      <c r="B85" s="62" t="s">
        <v>194</v>
      </c>
      <c r="C85" s="62" t="s">
        <v>103</v>
      </c>
      <c r="D85" s="62" t="s">
        <v>201</v>
      </c>
      <c r="E85" s="76">
        <v>43900.0</v>
      </c>
      <c r="F85" s="77">
        <v>0.08333333333333333</v>
      </c>
      <c r="G85" s="62" t="b">
        <v>0</v>
      </c>
      <c r="H85" s="78" t="b">
        <f>IF(VLOOKUP(C85,Projetos!A:L,12,false)=TRUE,TRUE,FALSE)</f>
        <v>1</v>
      </c>
      <c r="I85" s="68">
        <v>68.4018789141414</v>
      </c>
      <c r="J85" s="68">
        <f t="shared" si="1"/>
        <v>0</v>
      </c>
      <c r="K85" s="68" t="b">
        <v>1</v>
      </c>
    </row>
    <row r="86" hidden="1">
      <c r="A86" s="75">
        <v>80.0</v>
      </c>
      <c r="B86" s="62" t="s">
        <v>194</v>
      </c>
      <c r="C86" s="62" t="s">
        <v>138</v>
      </c>
      <c r="D86" s="62" t="s">
        <v>201</v>
      </c>
      <c r="E86" s="76">
        <v>43901.0</v>
      </c>
      <c r="F86" s="77">
        <v>0.08333333333333333</v>
      </c>
      <c r="G86" s="62" t="b">
        <v>0</v>
      </c>
      <c r="H86" s="78" t="b">
        <f>IF(VLOOKUP(C86,Projetos!A:L,12,false)=TRUE,TRUE,FALSE)</f>
        <v>1</v>
      </c>
      <c r="I86" s="68">
        <v>68.4018789141414</v>
      </c>
      <c r="J86" s="68">
        <f t="shared" si="1"/>
        <v>0</v>
      </c>
      <c r="K86" s="68" t="b">
        <v>1</v>
      </c>
    </row>
    <row r="87" hidden="1">
      <c r="A87" s="75">
        <v>81.0</v>
      </c>
      <c r="B87" s="62" t="s">
        <v>194</v>
      </c>
      <c r="C87" s="62" t="s">
        <v>108</v>
      </c>
      <c r="D87" s="62" t="s">
        <v>202</v>
      </c>
      <c r="E87" s="76">
        <v>43903.0</v>
      </c>
      <c r="F87" s="77">
        <v>0.08333333333333333</v>
      </c>
      <c r="G87" s="62" t="b">
        <v>0</v>
      </c>
      <c r="H87" s="78" t="b">
        <f>IF(VLOOKUP(C87,Projetos!A:L,12,false)=TRUE,TRUE,FALSE)</f>
        <v>1</v>
      </c>
      <c r="I87" s="68">
        <v>68.4018789141414</v>
      </c>
      <c r="J87" s="68">
        <f t="shared" si="1"/>
        <v>0</v>
      </c>
      <c r="K87" s="68" t="b">
        <v>1</v>
      </c>
    </row>
    <row r="88" hidden="1">
      <c r="A88" s="75">
        <v>82.0</v>
      </c>
      <c r="B88" s="62" t="s">
        <v>194</v>
      </c>
      <c r="C88" s="62" t="s">
        <v>104</v>
      </c>
      <c r="D88" s="62" t="s">
        <v>203</v>
      </c>
      <c r="E88" s="76">
        <v>43928.0</v>
      </c>
      <c r="F88" s="77">
        <v>0.08333333333333333</v>
      </c>
      <c r="G88" s="62" t="b">
        <v>0</v>
      </c>
      <c r="H88" s="78" t="b">
        <f>IF(VLOOKUP(C88,Projetos!A:L,12,false)=TRUE,TRUE,FALSE)</f>
        <v>1</v>
      </c>
      <c r="I88" s="68">
        <v>65.29270259986224</v>
      </c>
      <c r="J88" s="68">
        <f t="shared" si="1"/>
        <v>0</v>
      </c>
      <c r="K88" s="68" t="b">
        <v>1</v>
      </c>
    </row>
    <row r="89" hidden="1">
      <c r="A89" s="75">
        <v>83.0</v>
      </c>
      <c r="B89" s="62" t="s">
        <v>194</v>
      </c>
      <c r="C89" s="62" t="s">
        <v>103</v>
      </c>
      <c r="D89" s="62" t="s">
        <v>201</v>
      </c>
      <c r="E89" s="76">
        <v>43935.0</v>
      </c>
      <c r="F89" s="77">
        <v>0.125</v>
      </c>
      <c r="G89" s="62" t="b">
        <v>0</v>
      </c>
      <c r="H89" s="78" t="b">
        <f>IF(VLOOKUP(C89,Projetos!A:L,12,false)=TRUE,TRUE,FALSE)</f>
        <v>1</v>
      </c>
      <c r="I89" s="68">
        <v>65.29270259986224</v>
      </c>
      <c r="J89" s="68">
        <f t="shared" si="1"/>
        <v>0</v>
      </c>
      <c r="K89" s="68" t="b">
        <v>1</v>
      </c>
    </row>
    <row r="90">
      <c r="A90" s="75">
        <v>84.0</v>
      </c>
      <c r="B90" s="62" t="s">
        <v>194</v>
      </c>
      <c r="C90" s="62" t="s">
        <v>138</v>
      </c>
      <c r="D90" s="62" t="s">
        <v>204</v>
      </c>
      <c r="E90" s="76">
        <v>43936.0</v>
      </c>
      <c r="F90" s="77">
        <v>0.16666666666666666</v>
      </c>
      <c r="G90" s="62" t="b">
        <v>1</v>
      </c>
      <c r="H90" s="78" t="b">
        <f>IF(VLOOKUP(C90,Projetos!A:L,12,false)=TRUE,TRUE,FALSE)</f>
        <v>1</v>
      </c>
      <c r="I90" s="68">
        <v>65.29270259986224</v>
      </c>
      <c r="J90" s="68">
        <f t="shared" si="1"/>
        <v>261.1708104</v>
      </c>
      <c r="K90" s="68" t="b">
        <v>1</v>
      </c>
    </row>
    <row r="91" hidden="1">
      <c r="A91" s="75">
        <v>85.0</v>
      </c>
      <c r="B91" s="62" t="s">
        <v>194</v>
      </c>
      <c r="C91" s="62" t="s">
        <v>109</v>
      </c>
      <c r="D91" s="62" t="s">
        <v>205</v>
      </c>
      <c r="E91" s="76">
        <v>43937.0</v>
      </c>
      <c r="F91" s="77">
        <v>0.08333333333333333</v>
      </c>
      <c r="G91" s="62" t="b">
        <v>0</v>
      </c>
      <c r="H91" s="78" t="b">
        <f>IF(VLOOKUP(C91,Projetos!A:L,12,false)=TRUE,TRUE,FALSE)</f>
        <v>0</v>
      </c>
      <c r="I91" s="68">
        <v>65.29270259986224</v>
      </c>
      <c r="J91" s="68">
        <f t="shared" si="1"/>
        <v>0</v>
      </c>
      <c r="K91" s="68" t="b">
        <v>0</v>
      </c>
    </row>
    <row r="92" hidden="1">
      <c r="A92" s="75">
        <v>86.0</v>
      </c>
      <c r="B92" s="62" t="s">
        <v>194</v>
      </c>
      <c r="C92" s="62" t="s">
        <v>104</v>
      </c>
      <c r="D92" s="79" t="s">
        <v>150</v>
      </c>
      <c r="E92" s="76">
        <v>43941.0</v>
      </c>
      <c r="F92" s="77">
        <v>0.125</v>
      </c>
      <c r="G92" s="62" t="b">
        <v>0</v>
      </c>
      <c r="H92" s="78" t="b">
        <f>IF(VLOOKUP(C92,Projetos!A:L,12,false)=TRUE,TRUE,FALSE)</f>
        <v>1</v>
      </c>
      <c r="I92" s="68">
        <v>65.29270259986224</v>
      </c>
      <c r="J92" s="68">
        <f t="shared" si="1"/>
        <v>0</v>
      </c>
      <c r="K92" s="68" t="b">
        <v>1</v>
      </c>
    </row>
    <row r="93" hidden="1">
      <c r="A93" s="75">
        <v>87.0</v>
      </c>
      <c r="B93" s="62" t="s">
        <v>194</v>
      </c>
      <c r="C93" s="62" t="s">
        <v>104</v>
      </c>
      <c r="D93" s="62" t="s">
        <v>201</v>
      </c>
      <c r="E93" s="76">
        <v>43956.0</v>
      </c>
      <c r="F93" s="77">
        <v>0.125</v>
      </c>
      <c r="G93" s="62" t="b">
        <v>0</v>
      </c>
      <c r="H93" s="78" t="b">
        <f>IF(VLOOKUP(C93,Projetos!A:L,12,false)=TRUE,TRUE,FALSE)</f>
        <v>1</v>
      </c>
      <c r="I93" s="68">
        <v>68.4018789141414</v>
      </c>
      <c r="J93" s="68">
        <f t="shared" si="1"/>
        <v>0</v>
      </c>
      <c r="K93" s="68" t="b">
        <v>1</v>
      </c>
    </row>
    <row r="94" hidden="1">
      <c r="A94" s="75">
        <v>88.0</v>
      </c>
      <c r="B94" s="62" t="s">
        <v>194</v>
      </c>
      <c r="C94" s="62" t="s">
        <v>103</v>
      </c>
      <c r="D94" s="62" t="s">
        <v>201</v>
      </c>
      <c r="E94" s="76">
        <v>43963.0</v>
      </c>
      <c r="F94" s="77">
        <v>0.125</v>
      </c>
      <c r="G94" s="62" t="b">
        <v>0</v>
      </c>
      <c r="H94" s="78" t="b">
        <f>IF(VLOOKUP(C94,Projetos!A:L,12,false)=TRUE,TRUE,FALSE)</f>
        <v>1</v>
      </c>
      <c r="I94" s="68">
        <v>68.4018789141414</v>
      </c>
      <c r="J94" s="68">
        <f t="shared" si="1"/>
        <v>0</v>
      </c>
      <c r="K94" s="68" t="b">
        <v>1</v>
      </c>
    </row>
    <row r="95">
      <c r="A95" s="75">
        <v>89.0</v>
      </c>
      <c r="B95" s="62" t="s">
        <v>194</v>
      </c>
      <c r="C95" s="62" t="s">
        <v>103</v>
      </c>
      <c r="D95" s="62" t="s">
        <v>206</v>
      </c>
      <c r="E95" s="76">
        <v>43971.0</v>
      </c>
      <c r="F95" s="77">
        <v>0.125</v>
      </c>
      <c r="G95" s="62" t="b">
        <v>1</v>
      </c>
      <c r="H95" s="78" t="b">
        <f>IF(VLOOKUP(C95,Projetos!A:L,12,false)=TRUE,TRUE,FALSE)</f>
        <v>1</v>
      </c>
      <c r="I95" s="68">
        <v>68.4018789141414</v>
      </c>
      <c r="J95" s="68">
        <f t="shared" si="1"/>
        <v>205.2056367</v>
      </c>
      <c r="K95" s="68" t="b">
        <v>1</v>
      </c>
    </row>
    <row r="96" hidden="1">
      <c r="A96" s="75">
        <v>90.0</v>
      </c>
      <c r="B96" s="62" t="s">
        <v>194</v>
      </c>
      <c r="C96" s="62" t="s">
        <v>138</v>
      </c>
      <c r="D96" s="62" t="s">
        <v>201</v>
      </c>
      <c r="E96" s="76">
        <v>43971.0</v>
      </c>
      <c r="F96" s="77">
        <v>0.08333333333333333</v>
      </c>
      <c r="G96" s="62" t="b">
        <v>0</v>
      </c>
      <c r="H96" s="78" t="b">
        <f>IF(VLOOKUP(C96,Projetos!A:L,12,false)=TRUE,TRUE,FALSE)</f>
        <v>1</v>
      </c>
      <c r="I96" s="68">
        <v>68.4018789141414</v>
      </c>
      <c r="J96" s="68">
        <f t="shared" si="1"/>
        <v>0</v>
      </c>
      <c r="K96" s="68" t="b">
        <v>1</v>
      </c>
    </row>
    <row r="97" hidden="1">
      <c r="A97" s="75">
        <v>91.0</v>
      </c>
      <c r="B97" s="62" t="s">
        <v>194</v>
      </c>
      <c r="C97" s="62" t="s">
        <v>138</v>
      </c>
      <c r="D97" s="62" t="s">
        <v>201</v>
      </c>
      <c r="E97" s="76">
        <v>43965.0</v>
      </c>
      <c r="F97" s="77">
        <v>0.125</v>
      </c>
      <c r="G97" s="62" t="b">
        <v>0</v>
      </c>
      <c r="H97" s="78" t="b">
        <f>IF(VLOOKUP(C97,Projetos!A:L,12,false)=TRUE,TRUE,FALSE)</f>
        <v>1</v>
      </c>
      <c r="I97" s="68">
        <v>68.4018789141414</v>
      </c>
      <c r="J97" s="68">
        <f t="shared" si="1"/>
        <v>0</v>
      </c>
      <c r="K97" s="68" t="b">
        <v>1</v>
      </c>
    </row>
    <row r="98" hidden="1">
      <c r="A98" s="75">
        <v>92.0</v>
      </c>
      <c r="B98" s="62" t="s">
        <v>194</v>
      </c>
      <c r="C98" s="62" t="s">
        <v>83</v>
      </c>
      <c r="D98" s="62" t="s">
        <v>207</v>
      </c>
      <c r="E98" s="76">
        <v>43972.0</v>
      </c>
      <c r="F98" s="77">
        <v>0.08333333333333333</v>
      </c>
      <c r="G98" s="62" t="b">
        <v>0</v>
      </c>
      <c r="H98" s="78" t="b">
        <f>IF(VLOOKUP(C98,Projetos!A:L,12,false)=TRUE,TRUE,FALSE)</f>
        <v>0</v>
      </c>
      <c r="I98" s="68">
        <v>68.4018789141414</v>
      </c>
      <c r="J98" s="68">
        <f t="shared" si="1"/>
        <v>0</v>
      </c>
      <c r="K98" s="68" t="b">
        <v>0</v>
      </c>
    </row>
    <row r="99" hidden="1">
      <c r="A99" s="75">
        <v>93.0</v>
      </c>
      <c r="B99" s="62" t="s">
        <v>194</v>
      </c>
      <c r="C99" s="62" t="s">
        <v>104</v>
      </c>
      <c r="D99" s="62" t="s">
        <v>208</v>
      </c>
      <c r="E99" s="76">
        <v>43991.0</v>
      </c>
      <c r="F99" s="77">
        <v>0.08333333333333333</v>
      </c>
      <c r="G99" s="62" t="b">
        <v>0</v>
      </c>
      <c r="H99" s="78" t="b">
        <f>IF(VLOOKUP(C99,Projetos!A:L,12,false)=TRUE,TRUE,FALSE)</f>
        <v>1</v>
      </c>
      <c r="I99" s="68">
        <v>65.29270259986224</v>
      </c>
      <c r="J99" s="68">
        <f t="shared" si="1"/>
        <v>0</v>
      </c>
      <c r="K99" s="68" t="b">
        <v>1</v>
      </c>
    </row>
    <row r="100" hidden="1">
      <c r="A100" s="75">
        <v>94.0</v>
      </c>
      <c r="B100" s="62" t="s">
        <v>194</v>
      </c>
      <c r="C100" s="62" t="s">
        <v>104</v>
      </c>
      <c r="D100" s="62" t="s">
        <v>208</v>
      </c>
      <c r="E100" s="76">
        <v>43999.0</v>
      </c>
      <c r="F100" s="77">
        <v>0.125</v>
      </c>
      <c r="G100" s="62" t="b">
        <v>0</v>
      </c>
      <c r="H100" s="78" t="b">
        <f>IF(VLOOKUP(C100,Projetos!A:L,12,false)=TRUE,TRUE,FALSE)</f>
        <v>1</v>
      </c>
      <c r="I100" s="68">
        <v>65.29270259986224</v>
      </c>
      <c r="J100" s="68">
        <f t="shared" si="1"/>
        <v>0</v>
      </c>
      <c r="K100" s="68" t="b">
        <v>1</v>
      </c>
    </row>
    <row r="101" hidden="1">
      <c r="A101" s="75">
        <v>95.0</v>
      </c>
      <c r="B101" s="62" t="s">
        <v>194</v>
      </c>
      <c r="C101" s="62" t="s">
        <v>104</v>
      </c>
      <c r="D101" s="62" t="s">
        <v>208</v>
      </c>
      <c r="E101" s="76">
        <v>44005.0</v>
      </c>
      <c r="F101" s="77">
        <v>0.125</v>
      </c>
      <c r="G101" s="62" t="b">
        <v>0</v>
      </c>
      <c r="H101" s="78" t="b">
        <f>IF(VLOOKUP(C101,Projetos!A:L,12,false)=TRUE,TRUE,FALSE)</f>
        <v>1</v>
      </c>
      <c r="I101" s="68">
        <v>65.29270259986224</v>
      </c>
      <c r="J101" s="68">
        <f t="shared" si="1"/>
        <v>0</v>
      </c>
      <c r="K101" s="68" t="b">
        <v>1</v>
      </c>
    </row>
    <row r="102" hidden="1">
      <c r="A102" s="75">
        <v>96.0</v>
      </c>
      <c r="B102" s="62" t="s">
        <v>194</v>
      </c>
      <c r="C102" s="62" t="s">
        <v>138</v>
      </c>
      <c r="D102" s="62" t="s">
        <v>209</v>
      </c>
      <c r="E102" s="76">
        <v>44006.0</v>
      </c>
      <c r="F102" s="77">
        <v>0.08333333333333333</v>
      </c>
      <c r="G102" s="62" t="b">
        <v>0</v>
      </c>
      <c r="H102" s="78" t="b">
        <f>IF(VLOOKUP(C102,Projetos!A:L,12,false)=TRUE,TRUE,FALSE)</f>
        <v>1</v>
      </c>
      <c r="I102" s="68">
        <v>65.29270259986224</v>
      </c>
      <c r="J102" s="68">
        <f t="shared" si="1"/>
        <v>0</v>
      </c>
      <c r="K102" s="68" t="b">
        <v>1</v>
      </c>
    </row>
    <row r="103" hidden="1">
      <c r="A103" s="75">
        <v>97.0</v>
      </c>
      <c r="B103" s="62" t="s">
        <v>194</v>
      </c>
      <c r="C103" s="62" t="s">
        <v>103</v>
      </c>
      <c r="D103" s="62" t="s">
        <v>201</v>
      </c>
      <c r="E103" s="76">
        <v>44000.0</v>
      </c>
      <c r="F103" s="77">
        <v>0.08333333333333333</v>
      </c>
      <c r="G103" s="62" t="b">
        <v>0</v>
      </c>
      <c r="H103" s="78" t="b">
        <f>IF(VLOOKUP(C103,Projetos!A:L,12,false)=TRUE,TRUE,FALSE)</f>
        <v>1</v>
      </c>
      <c r="I103" s="68">
        <v>65.29270259986224</v>
      </c>
      <c r="J103" s="68">
        <f t="shared" si="1"/>
        <v>0</v>
      </c>
      <c r="K103" s="68" t="b">
        <v>1</v>
      </c>
    </row>
    <row r="104" hidden="1">
      <c r="A104" s="75">
        <v>98.0</v>
      </c>
      <c r="B104" s="62" t="s">
        <v>194</v>
      </c>
      <c r="C104" s="62" t="s">
        <v>104</v>
      </c>
      <c r="D104" s="62" t="s">
        <v>208</v>
      </c>
      <c r="E104" s="76">
        <v>44019.0</v>
      </c>
      <c r="F104" s="77">
        <v>0.08333333333333333</v>
      </c>
      <c r="G104" s="62" t="b">
        <v>0</v>
      </c>
      <c r="H104" s="78" t="b">
        <f>IF(VLOOKUP(C104,Projetos!A:L,12,false)=TRUE,TRUE,FALSE)</f>
        <v>1</v>
      </c>
      <c r="I104" s="68">
        <v>68.4018789141414</v>
      </c>
      <c r="J104" s="68">
        <f t="shared" si="1"/>
        <v>0</v>
      </c>
      <c r="K104" s="68" t="b">
        <v>1</v>
      </c>
    </row>
    <row r="105" hidden="1">
      <c r="A105" s="75">
        <v>99.0</v>
      </c>
      <c r="B105" s="62" t="s">
        <v>194</v>
      </c>
      <c r="C105" s="62" t="s">
        <v>103</v>
      </c>
      <c r="D105" s="62" t="s">
        <v>208</v>
      </c>
      <c r="E105" s="76">
        <v>44026.0</v>
      </c>
      <c r="F105" s="77">
        <v>0.125</v>
      </c>
      <c r="G105" s="62" t="b">
        <v>0</v>
      </c>
      <c r="H105" s="78" t="b">
        <f>IF(VLOOKUP(C105,Projetos!A:L,12,false)=TRUE,TRUE,FALSE)</f>
        <v>1</v>
      </c>
      <c r="I105" s="68">
        <v>68.4018789141414</v>
      </c>
      <c r="J105" s="68">
        <f t="shared" si="1"/>
        <v>0</v>
      </c>
      <c r="K105" s="68" t="b">
        <v>1</v>
      </c>
    </row>
    <row r="106" hidden="1">
      <c r="A106" s="75">
        <v>100.0</v>
      </c>
      <c r="B106" s="62" t="s">
        <v>194</v>
      </c>
      <c r="C106" s="62" t="s">
        <v>103</v>
      </c>
      <c r="D106" s="62" t="s">
        <v>208</v>
      </c>
      <c r="E106" s="76">
        <v>44033.0</v>
      </c>
      <c r="F106" s="77">
        <v>0.125</v>
      </c>
      <c r="G106" s="62" t="b">
        <v>0</v>
      </c>
      <c r="H106" s="78" t="b">
        <f>IF(VLOOKUP(C106,Projetos!A:L,12,false)=TRUE,TRUE,FALSE)</f>
        <v>1</v>
      </c>
      <c r="I106" s="68">
        <v>68.4018789141414</v>
      </c>
      <c r="J106" s="68">
        <f t="shared" si="1"/>
        <v>0</v>
      </c>
      <c r="K106" s="68" t="b">
        <v>1</v>
      </c>
    </row>
    <row r="107" hidden="1">
      <c r="A107" s="75">
        <v>101.0</v>
      </c>
      <c r="B107" s="62" t="s">
        <v>194</v>
      </c>
      <c r="C107" s="62" t="s">
        <v>138</v>
      </c>
      <c r="D107" s="62" t="s">
        <v>209</v>
      </c>
      <c r="E107" s="76">
        <v>44034.0</v>
      </c>
      <c r="F107" s="77">
        <v>0.08333333333333333</v>
      </c>
      <c r="G107" s="62" t="b">
        <v>0</v>
      </c>
      <c r="H107" s="78" t="b">
        <f>IF(VLOOKUP(C107,Projetos!A:L,12,false)=TRUE,TRUE,FALSE)</f>
        <v>1</v>
      </c>
      <c r="I107" s="68">
        <v>68.4018789141414</v>
      </c>
      <c r="J107" s="68">
        <f t="shared" si="1"/>
        <v>0</v>
      </c>
      <c r="K107" s="68" t="b">
        <v>1</v>
      </c>
    </row>
    <row r="108" hidden="1">
      <c r="A108" s="75">
        <v>102.0</v>
      </c>
      <c r="B108" s="62" t="s">
        <v>194</v>
      </c>
      <c r="C108" s="62" t="s">
        <v>138</v>
      </c>
      <c r="D108" s="62" t="s">
        <v>201</v>
      </c>
      <c r="E108" s="76">
        <v>44035.0</v>
      </c>
      <c r="F108" s="77">
        <v>0.125</v>
      </c>
      <c r="G108" s="62" t="b">
        <v>0</v>
      </c>
      <c r="H108" s="78" t="b">
        <f>IF(VLOOKUP(C108,Projetos!A:L,12,false)=TRUE,TRUE,FALSE)</f>
        <v>1</v>
      </c>
      <c r="I108" s="68">
        <v>68.4018789141414</v>
      </c>
      <c r="J108" s="68">
        <f t="shared" si="1"/>
        <v>0</v>
      </c>
      <c r="K108" s="68" t="b">
        <v>1</v>
      </c>
    </row>
    <row r="109" hidden="1">
      <c r="A109" s="75">
        <v>103.0</v>
      </c>
      <c r="B109" s="62" t="s">
        <v>194</v>
      </c>
      <c r="C109" s="62" t="s">
        <v>104</v>
      </c>
      <c r="D109" s="62" t="s">
        <v>208</v>
      </c>
      <c r="E109" s="76">
        <v>44053.0</v>
      </c>
      <c r="F109" s="77">
        <v>0.125</v>
      </c>
      <c r="G109" s="62" t="b">
        <v>0</v>
      </c>
      <c r="H109" s="78" t="b">
        <f>IF(VLOOKUP(C109,Projetos!A:L,12,false)=TRUE,TRUE,FALSE)</f>
        <v>1</v>
      </c>
      <c r="I109" s="68">
        <v>68.4018789141414</v>
      </c>
      <c r="J109" s="68">
        <f t="shared" si="1"/>
        <v>0</v>
      </c>
      <c r="K109" s="68" t="b">
        <v>1</v>
      </c>
    </row>
    <row r="110" hidden="1">
      <c r="A110" s="75">
        <v>104.0</v>
      </c>
      <c r="B110" s="62" t="s">
        <v>194</v>
      </c>
      <c r="C110" s="62" t="s">
        <v>103</v>
      </c>
      <c r="D110" s="62" t="s">
        <v>208</v>
      </c>
      <c r="E110" s="76">
        <v>44055.0</v>
      </c>
      <c r="F110" s="77">
        <v>0.125</v>
      </c>
      <c r="G110" s="62" t="b">
        <v>0</v>
      </c>
      <c r="H110" s="78" t="b">
        <f>IF(VLOOKUP(C110,Projetos!A:L,12,false)=TRUE,TRUE,FALSE)</f>
        <v>1</v>
      </c>
      <c r="I110" s="68">
        <v>68.4018789141414</v>
      </c>
      <c r="J110" s="68">
        <f t="shared" si="1"/>
        <v>0</v>
      </c>
      <c r="K110" s="68" t="b">
        <v>1</v>
      </c>
    </row>
    <row r="111" hidden="1">
      <c r="A111" s="75">
        <v>105.0</v>
      </c>
      <c r="B111" s="62" t="s">
        <v>194</v>
      </c>
      <c r="C111" s="62" t="s">
        <v>103</v>
      </c>
      <c r="D111" s="62" t="s">
        <v>208</v>
      </c>
      <c r="E111" s="76">
        <v>44060.0</v>
      </c>
      <c r="F111" s="77">
        <v>0.125</v>
      </c>
      <c r="G111" s="62" t="b">
        <v>0</v>
      </c>
      <c r="H111" s="78" t="b">
        <f>IF(VLOOKUP(C111,Projetos!A:L,12,false)=TRUE,TRUE,FALSE)</f>
        <v>1</v>
      </c>
      <c r="I111" s="68">
        <v>68.4018789141414</v>
      </c>
      <c r="J111" s="68">
        <f t="shared" si="1"/>
        <v>0</v>
      </c>
      <c r="K111" s="68" t="b">
        <v>1</v>
      </c>
    </row>
    <row r="112" hidden="1">
      <c r="A112" s="75">
        <v>106.0</v>
      </c>
      <c r="B112" s="62" t="s">
        <v>194</v>
      </c>
      <c r="C112" s="62" t="s">
        <v>138</v>
      </c>
      <c r="D112" s="62" t="s">
        <v>209</v>
      </c>
      <c r="E112" s="76">
        <v>44062.0</v>
      </c>
      <c r="F112" s="77">
        <v>0.08333333333333333</v>
      </c>
      <c r="G112" s="62" t="b">
        <v>0</v>
      </c>
      <c r="H112" s="78" t="b">
        <f>IF(VLOOKUP(C112,Projetos!A:L,12,false)=TRUE,TRUE,FALSE)</f>
        <v>1</v>
      </c>
      <c r="I112" s="68">
        <v>68.4018789141414</v>
      </c>
      <c r="J112" s="68">
        <f t="shared" si="1"/>
        <v>0</v>
      </c>
      <c r="K112" s="68" t="b">
        <v>1</v>
      </c>
    </row>
    <row r="113" hidden="1">
      <c r="A113" s="75">
        <v>107.0</v>
      </c>
      <c r="B113" s="62" t="s">
        <v>194</v>
      </c>
      <c r="C113" s="62" t="s">
        <v>138</v>
      </c>
      <c r="D113" s="62" t="s">
        <v>201</v>
      </c>
      <c r="E113" s="76">
        <v>44067.0</v>
      </c>
      <c r="F113" s="77">
        <v>0.125</v>
      </c>
      <c r="G113" s="62" t="b">
        <v>0</v>
      </c>
      <c r="H113" s="78" t="b">
        <f>IF(VLOOKUP(C113,Projetos!A:L,12,false)=TRUE,TRUE,FALSE)</f>
        <v>1</v>
      </c>
      <c r="I113" s="68">
        <v>68.4018789141414</v>
      </c>
      <c r="J113" s="68">
        <f t="shared" si="1"/>
        <v>0</v>
      </c>
      <c r="K113" s="68" t="b">
        <v>1</v>
      </c>
    </row>
    <row r="114" hidden="1">
      <c r="A114" s="75">
        <v>108.0</v>
      </c>
      <c r="B114" s="62" t="s">
        <v>194</v>
      </c>
      <c r="C114" s="62" t="s">
        <v>104</v>
      </c>
      <c r="D114" s="62" t="s">
        <v>201</v>
      </c>
      <c r="E114" s="76">
        <v>44082.0</v>
      </c>
      <c r="F114" s="77">
        <v>0.08333333333333333</v>
      </c>
      <c r="G114" s="62" t="b">
        <v>0</v>
      </c>
      <c r="H114" s="78" t="b">
        <f>IF(VLOOKUP(C114,Projetos!A:L,12,false)=TRUE,TRUE,FALSE)</f>
        <v>1</v>
      </c>
      <c r="I114" s="68">
        <v>72.47490486398071</v>
      </c>
      <c r="J114" s="68">
        <f t="shared" si="1"/>
        <v>0</v>
      </c>
      <c r="K114" s="68" t="b">
        <v>1</v>
      </c>
    </row>
    <row r="115" hidden="1">
      <c r="A115" s="75">
        <v>109.0</v>
      </c>
      <c r="B115" s="62" t="s">
        <v>194</v>
      </c>
      <c r="C115" s="62" t="s">
        <v>104</v>
      </c>
      <c r="D115" s="62" t="s">
        <v>201</v>
      </c>
      <c r="E115" s="76">
        <v>44083.0</v>
      </c>
      <c r="F115" s="77">
        <v>0.08333333333333333</v>
      </c>
      <c r="G115" s="62" t="b">
        <v>0</v>
      </c>
      <c r="H115" s="78" t="b">
        <f>IF(VLOOKUP(C115,Projetos!A:L,12,false)=TRUE,TRUE,FALSE)</f>
        <v>1</v>
      </c>
      <c r="I115" s="68">
        <v>72.47490486398071</v>
      </c>
      <c r="J115" s="68">
        <f t="shared" si="1"/>
        <v>0</v>
      </c>
      <c r="K115" s="68" t="b">
        <v>1</v>
      </c>
    </row>
    <row r="116">
      <c r="A116" s="75">
        <v>110.0</v>
      </c>
      <c r="B116" s="62" t="s">
        <v>194</v>
      </c>
      <c r="C116" s="62" t="s">
        <v>103</v>
      </c>
      <c r="D116" s="62" t="s">
        <v>206</v>
      </c>
      <c r="E116" s="76">
        <v>44090.0</v>
      </c>
      <c r="F116" s="77">
        <v>0.125</v>
      </c>
      <c r="G116" s="62" t="b">
        <v>1</v>
      </c>
      <c r="H116" s="78" t="b">
        <f>IF(VLOOKUP(C116,Projetos!A:L,12,false)=TRUE,TRUE,FALSE)</f>
        <v>1</v>
      </c>
      <c r="I116" s="68">
        <v>72.47490486398071</v>
      </c>
      <c r="J116" s="68">
        <f t="shared" si="1"/>
        <v>217.4247146</v>
      </c>
      <c r="K116" s="68" t="b">
        <v>1</v>
      </c>
    </row>
    <row r="117" hidden="1">
      <c r="A117" s="75">
        <v>111.0</v>
      </c>
      <c r="B117" s="62" t="s">
        <v>194</v>
      </c>
      <c r="C117" s="62" t="s">
        <v>138</v>
      </c>
      <c r="D117" s="62" t="s">
        <v>201</v>
      </c>
      <c r="E117" s="76">
        <v>44097.0</v>
      </c>
      <c r="F117" s="77">
        <v>0.125</v>
      </c>
      <c r="G117" s="62" t="b">
        <v>0</v>
      </c>
      <c r="H117" s="78" t="b">
        <f>IF(VLOOKUP(C117,Projetos!A:L,12,false)=TRUE,TRUE,FALSE)</f>
        <v>1</v>
      </c>
      <c r="I117" s="68">
        <v>72.47490486398071</v>
      </c>
      <c r="J117" s="68">
        <f t="shared" si="1"/>
        <v>0</v>
      </c>
      <c r="K117" s="68" t="b">
        <v>1</v>
      </c>
    </row>
    <row r="118" hidden="1">
      <c r="A118" s="75">
        <v>112.0</v>
      </c>
      <c r="B118" s="62" t="s">
        <v>194</v>
      </c>
      <c r="C118" s="62" t="s">
        <v>109</v>
      </c>
      <c r="D118" s="62" t="s">
        <v>201</v>
      </c>
      <c r="E118" s="76">
        <v>44098.0</v>
      </c>
      <c r="F118" s="77">
        <v>0.08333333333333333</v>
      </c>
      <c r="G118" s="62" t="b">
        <v>0</v>
      </c>
      <c r="H118" s="78" t="b">
        <f>IF(VLOOKUP(C118,Projetos!A:L,12,false)=TRUE,TRUE,FALSE)</f>
        <v>0</v>
      </c>
      <c r="I118" s="68">
        <v>72.47490486398071</v>
      </c>
      <c r="J118" s="68">
        <f t="shared" si="1"/>
        <v>0</v>
      </c>
      <c r="K118" s="68" t="b">
        <v>0</v>
      </c>
    </row>
    <row r="119" hidden="1">
      <c r="A119" s="75">
        <v>113.0</v>
      </c>
      <c r="B119" s="62" t="s">
        <v>194</v>
      </c>
      <c r="C119" s="62" t="s">
        <v>109</v>
      </c>
      <c r="D119" s="62" t="s">
        <v>207</v>
      </c>
      <c r="E119" s="76">
        <v>44102.0</v>
      </c>
      <c r="F119" s="77">
        <v>0.16666666666666666</v>
      </c>
      <c r="G119" s="62" t="b">
        <v>0</v>
      </c>
      <c r="H119" s="78" t="b">
        <f>IF(VLOOKUP(C119,Projetos!A:L,12,false)=TRUE,TRUE,FALSE)</f>
        <v>0</v>
      </c>
      <c r="I119" s="68">
        <v>72.47490486398071</v>
      </c>
      <c r="J119" s="68">
        <f t="shared" si="1"/>
        <v>0</v>
      </c>
      <c r="K119" s="68" t="b">
        <v>0</v>
      </c>
    </row>
    <row r="120">
      <c r="A120" s="75">
        <v>114.0</v>
      </c>
      <c r="B120" s="62" t="s">
        <v>194</v>
      </c>
      <c r="C120" s="62" t="s">
        <v>104</v>
      </c>
      <c r="D120" s="62" t="s">
        <v>210</v>
      </c>
      <c r="E120" s="76">
        <v>44110.0</v>
      </c>
      <c r="F120" s="77">
        <v>0.08333333333333333</v>
      </c>
      <c r="G120" s="62" t="b">
        <v>1</v>
      </c>
      <c r="H120" s="78" t="b">
        <f>IF(VLOOKUP(C120,Projetos!A:L,12,false)=TRUE,TRUE,FALSE)</f>
        <v>1</v>
      </c>
      <c r="I120" s="68">
        <v>75.92609080988456</v>
      </c>
      <c r="J120" s="68">
        <f t="shared" si="1"/>
        <v>151.8521816</v>
      </c>
      <c r="K120" s="68" t="b">
        <v>1</v>
      </c>
    </row>
    <row r="121">
      <c r="A121" s="75">
        <v>115.0</v>
      </c>
      <c r="B121" s="62" t="s">
        <v>194</v>
      </c>
      <c r="C121" s="62" t="s">
        <v>104</v>
      </c>
      <c r="D121" s="62" t="s">
        <v>210</v>
      </c>
      <c r="E121" s="76">
        <v>44111.0</v>
      </c>
      <c r="F121" s="77">
        <v>0.08333333333333333</v>
      </c>
      <c r="G121" s="62" t="b">
        <v>1</v>
      </c>
      <c r="H121" s="78" t="b">
        <f>IF(VLOOKUP(C121,Projetos!A:L,12,false)=TRUE,TRUE,FALSE)</f>
        <v>1</v>
      </c>
      <c r="I121" s="68">
        <v>75.92609080988456</v>
      </c>
      <c r="J121" s="68">
        <f t="shared" si="1"/>
        <v>151.8521816</v>
      </c>
      <c r="K121" s="68" t="b">
        <v>1</v>
      </c>
    </row>
    <row r="122">
      <c r="A122" s="75">
        <v>116.0</v>
      </c>
      <c r="B122" s="62" t="s">
        <v>194</v>
      </c>
      <c r="C122" s="62" t="s">
        <v>97</v>
      </c>
      <c r="D122" s="62" t="s">
        <v>211</v>
      </c>
      <c r="E122" s="76">
        <v>44117.0</v>
      </c>
      <c r="F122" s="77">
        <v>0.125</v>
      </c>
      <c r="G122" s="62" t="b">
        <v>1</v>
      </c>
      <c r="H122" s="78" t="b">
        <f>IF(VLOOKUP(C122,Projetos!A:L,12,false)=TRUE,TRUE,FALSE)</f>
        <v>1</v>
      </c>
      <c r="I122" s="68">
        <v>75.92609080988456</v>
      </c>
      <c r="J122" s="68">
        <f t="shared" si="1"/>
        <v>227.7782724</v>
      </c>
      <c r="K122" s="68" t="b">
        <v>1</v>
      </c>
    </row>
    <row r="123" hidden="1">
      <c r="A123" s="75">
        <v>117.0</v>
      </c>
      <c r="B123" s="62" t="s">
        <v>194</v>
      </c>
      <c r="C123" s="62" t="s">
        <v>108</v>
      </c>
      <c r="D123" s="62" t="s">
        <v>212</v>
      </c>
      <c r="E123" s="76">
        <v>44118.0</v>
      </c>
      <c r="F123" s="77">
        <v>0.08333333333333333</v>
      </c>
      <c r="G123" s="62" t="b">
        <v>0</v>
      </c>
      <c r="H123" s="78" t="b">
        <f>IF(VLOOKUP(C123,Projetos!A:L,12,false)=TRUE,TRUE,FALSE)</f>
        <v>1</v>
      </c>
      <c r="I123" s="68">
        <v>75.92609080988456</v>
      </c>
      <c r="J123" s="68">
        <f t="shared" si="1"/>
        <v>0</v>
      </c>
      <c r="K123" s="68" t="b">
        <v>1</v>
      </c>
    </row>
    <row r="124" hidden="1">
      <c r="A124" s="75">
        <v>118.0</v>
      </c>
      <c r="B124" s="62" t="s">
        <v>194</v>
      </c>
      <c r="C124" s="62" t="s">
        <v>109</v>
      </c>
      <c r="D124" s="62" t="s">
        <v>212</v>
      </c>
      <c r="E124" s="76">
        <v>44119.0</v>
      </c>
      <c r="F124" s="77">
        <v>0.08333333333333333</v>
      </c>
      <c r="G124" s="62" t="b">
        <v>0</v>
      </c>
      <c r="H124" s="78" t="b">
        <f>IF(VLOOKUP(C124,Projetos!A:L,12,false)=TRUE,TRUE,FALSE)</f>
        <v>0</v>
      </c>
      <c r="I124" s="68">
        <v>75.92609080988456</v>
      </c>
      <c r="J124" s="68">
        <f t="shared" si="1"/>
        <v>0</v>
      </c>
      <c r="K124" s="68" t="b">
        <v>0</v>
      </c>
    </row>
    <row r="125" hidden="1">
      <c r="A125" s="75">
        <v>119.0</v>
      </c>
      <c r="B125" s="62" t="s">
        <v>194</v>
      </c>
      <c r="C125" s="62" t="s">
        <v>109</v>
      </c>
      <c r="D125" s="62" t="s">
        <v>212</v>
      </c>
      <c r="E125" s="76">
        <v>44124.0</v>
      </c>
      <c r="F125" s="77">
        <v>0.08333333333333333</v>
      </c>
      <c r="G125" s="62" t="b">
        <v>0</v>
      </c>
      <c r="H125" s="78" t="b">
        <f>IF(VLOOKUP(C125,Projetos!A:L,12,false)=TRUE,TRUE,FALSE)</f>
        <v>0</v>
      </c>
      <c r="I125" s="68">
        <v>75.92609080988456</v>
      </c>
      <c r="J125" s="68">
        <f t="shared" si="1"/>
        <v>0</v>
      </c>
      <c r="K125" s="68" t="b">
        <v>0</v>
      </c>
    </row>
    <row r="126" hidden="1">
      <c r="A126" s="75">
        <v>120.0</v>
      </c>
      <c r="B126" s="62" t="s">
        <v>194</v>
      </c>
      <c r="C126" s="62" t="s">
        <v>104</v>
      </c>
      <c r="D126" s="62" t="s">
        <v>201</v>
      </c>
      <c r="E126" s="76">
        <v>44151.0</v>
      </c>
      <c r="F126" s="77">
        <v>0.08333333333333333</v>
      </c>
      <c r="G126" s="62" t="b">
        <v>0</v>
      </c>
      <c r="H126" s="78" t="b">
        <f>IF(VLOOKUP(C126,Projetos!A:L,12,false)=TRUE,TRUE,FALSE)</f>
        <v>1</v>
      </c>
      <c r="I126" s="68">
        <v>73.66351723197887</v>
      </c>
      <c r="J126" s="68">
        <f t="shared" si="1"/>
        <v>0</v>
      </c>
      <c r="K126" s="68" t="b">
        <v>1</v>
      </c>
    </row>
    <row r="127" hidden="1">
      <c r="A127" s="75">
        <v>121.0</v>
      </c>
      <c r="B127" s="62" t="s">
        <v>194</v>
      </c>
      <c r="C127" s="62" t="s">
        <v>104</v>
      </c>
      <c r="D127" s="62" t="s">
        <v>201</v>
      </c>
      <c r="E127" s="76">
        <v>44152.0</v>
      </c>
      <c r="F127" s="77">
        <v>0.08333333333333333</v>
      </c>
      <c r="G127" s="62" t="b">
        <v>0</v>
      </c>
      <c r="H127" s="78" t="b">
        <f>IF(VLOOKUP(C127,Projetos!A:L,12,false)=TRUE,TRUE,FALSE)</f>
        <v>1</v>
      </c>
      <c r="I127" s="68">
        <v>73.66351723197887</v>
      </c>
      <c r="J127" s="68">
        <f t="shared" si="1"/>
        <v>0</v>
      </c>
      <c r="K127" s="68" t="b">
        <v>1</v>
      </c>
    </row>
    <row r="128">
      <c r="A128" s="75">
        <v>122.0</v>
      </c>
      <c r="B128" s="62" t="s">
        <v>194</v>
      </c>
      <c r="C128" s="62" t="s">
        <v>104</v>
      </c>
      <c r="D128" s="62" t="s">
        <v>206</v>
      </c>
      <c r="E128" s="76">
        <v>44153.0</v>
      </c>
      <c r="F128" s="77">
        <v>0.125</v>
      </c>
      <c r="G128" s="62" t="b">
        <v>1</v>
      </c>
      <c r="H128" s="78" t="b">
        <f>IF(VLOOKUP(C128,Projetos!A:L,12,false)=TRUE,TRUE,FALSE)</f>
        <v>1</v>
      </c>
      <c r="I128" s="68">
        <v>73.66351723197887</v>
      </c>
      <c r="J128" s="68">
        <f t="shared" si="1"/>
        <v>220.9905517</v>
      </c>
      <c r="K128" s="68" t="b">
        <v>1</v>
      </c>
    </row>
    <row r="129" hidden="1">
      <c r="A129" s="75">
        <v>123.0</v>
      </c>
      <c r="B129" s="62" t="s">
        <v>194</v>
      </c>
      <c r="C129" s="62" t="s">
        <v>138</v>
      </c>
      <c r="D129" s="62" t="s">
        <v>201</v>
      </c>
      <c r="E129" s="76">
        <v>44158.0</v>
      </c>
      <c r="F129" s="77">
        <v>0.125</v>
      </c>
      <c r="G129" s="62" t="b">
        <v>0</v>
      </c>
      <c r="H129" s="78" t="b">
        <f>IF(VLOOKUP(C129,Projetos!A:L,12,false)=TRUE,TRUE,FALSE)</f>
        <v>1</v>
      </c>
      <c r="I129" s="68">
        <v>73.66351723197887</v>
      </c>
      <c r="J129" s="68">
        <f t="shared" si="1"/>
        <v>0</v>
      </c>
      <c r="K129" s="68" t="b">
        <v>1</v>
      </c>
    </row>
    <row r="130" hidden="1">
      <c r="A130" s="75">
        <v>124.0</v>
      </c>
      <c r="B130" s="62" t="s">
        <v>194</v>
      </c>
      <c r="C130" s="62" t="s">
        <v>108</v>
      </c>
      <c r="D130" s="62" t="s">
        <v>201</v>
      </c>
      <c r="E130" s="76">
        <v>44159.0</v>
      </c>
      <c r="F130" s="77">
        <v>0.08333333333333333</v>
      </c>
      <c r="G130" s="62" t="b">
        <v>0</v>
      </c>
      <c r="H130" s="78" t="b">
        <f>IF(VLOOKUP(C130,Projetos!A:L,12,false)=TRUE,TRUE,FALSE)</f>
        <v>1</v>
      </c>
      <c r="I130" s="68">
        <v>73.66351723197887</v>
      </c>
      <c r="J130" s="68">
        <f t="shared" si="1"/>
        <v>0</v>
      </c>
      <c r="K130" s="68" t="b">
        <v>1</v>
      </c>
    </row>
    <row r="131">
      <c r="A131" s="75">
        <v>125.0</v>
      </c>
      <c r="B131" s="62" t="s">
        <v>194</v>
      </c>
      <c r="C131" s="62" t="s">
        <v>138</v>
      </c>
      <c r="D131" s="62" t="s">
        <v>207</v>
      </c>
      <c r="E131" s="76">
        <v>44160.0</v>
      </c>
      <c r="F131" s="77">
        <v>0.041666666666666664</v>
      </c>
      <c r="G131" s="62" t="b">
        <v>1</v>
      </c>
      <c r="H131" s="78" t="b">
        <f>IF(VLOOKUP(C131,Projetos!A:L,12,false)=TRUE,TRUE,FALSE)</f>
        <v>1</v>
      </c>
      <c r="I131" s="68">
        <v>73.66351723197887</v>
      </c>
      <c r="J131" s="68">
        <f t="shared" si="1"/>
        <v>73.66351723</v>
      </c>
      <c r="K131" s="68" t="b">
        <v>1</v>
      </c>
    </row>
    <row r="132" hidden="1">
      <c r="A132" s="75">
        <v>126.0</v>
      </c>
      <c r="B132" s="62" t="s">
        <v>194</v>
      </c>
      <c r="C132" s="62" t="s">
        <v>104</v>
      </c>
      <c r="D132" s="62" t="s">
        <v>208</v>
      </c>
      <c r="E132" s="76">
        <v>44173.0</v>
      </c>
      <c r="F132" s="77">
        <v>0.125</v>
      </c>
      <c r="G132" s="62" t="b">
        <v>0</v>
      </c>
      <c r="H132" s="78" t="b">
        <f>IF(VLOOKUP(C132,Projetos!A:L,12,false)=TRUE,TRUE,FALSE)</f>
        <v>1</v>
      </c>
      <c r="I132" s="68">
        <v>77.17130376683501</v>
      </c>
      <c r="J132" s="68">
        <f t="shared" si="1"/>
        <v>0</v>
      </c>
      <c r="K132" s="68" t="b">
        <v>1</v>
      </c>
    </row>
    <row r="133" hidden="1">
      <c r="A133" s="75">
        <v>127.0</v>
      </c>
      <c r="B133" s="62" t="s">
        <v>194</v>
      </c>
      <c r="C133" s="62" t="s">
        <v>103</v>
      </c>
      <c r="D133" s="62" t="s">
        <v>208</v>
      </c>
      <c r="E133" s="76">
        <v>44174.0</v>
      </c>
      <c r="F133" s="77">
        <v>0.125</v>
      </c>
      <c r="G133" s="62" t="b">
        <v>0</v>
      </c>
      <c r="H133" s="78" t="b">
        <f>IF(VLOOKUP(C133,Projetos!A:L,12,false)=TRUE,TRUE,FALSE)</f>
        <v>1</v>
      </c>
      <c r="I133" s="68">
        <v>77.17130376683501</v>
      </c>
      <c r="J133" s="68">
        <f t="shared" si="1"/>
        <v>0</v>
      </c>
      <c r="K133" s="68" t="b">
        <v>1</v>
      </c>
    </row>
    <row r="134" hidden="1">
      <c r="A134" s="75">
        <v>128.0</v>
      </c>
      <c r="B134" s="62" t="s">
        <v>194</v>
      </c>
      <c r="C134" s="62" t="s">
        <v>103</v>
      </c>
      <c r="D134" s="62" t="s">
        <v>208</v>
      </c>
      <c r="E134" s="76">
        <v>44180.0</v>
      </c>
      <c r="F134" s="77">
        <v>0.125</v>
      </c>
      <c r="G134" s="62" t="b">
        <v>0</v>
      </c>
      <c r="H134" s="78" t="b">
        <f>IF(VLOOKUP(C134,Projetos!A:L,12,false)=TRUE,TRUE,FALSE)</f>
        <v>1</v>
      </c>
      <c r="I134" s="68">
        <v>77.17130376683501</v>
      </c>
      <c r="J134" s="68">
        <f t="shared" si="1"/>
        <v>0</v>
      </c>
      <c r="K134" s="68" t="b">
        <v>1</v>
      </c>
    </row>
    <row r="135" hidden="1">
      <c r="A135" s="75">
        <v>129.0</v>
      </c>
      <c r="B135" s="62" t="s">
        <v>194</v>
      </c>
      <c r="C135" s="62" t="s">
        <v>138</v>
      </c>
      <c r="D135" s="62" t="s">
        <v>209</v>
      </c>
      <c r="E135" s="76">
        <v>44181.0</v>
      </c>
      <c r="F135" s="77">
        <v>0.08333333333333333</v>
      </c>
      <c r="G135" s="62" t="b">
        <v>0</v>
      </c>
      <c r="H135" s="78" t="b">
        <f>IF(VLOOKUP(C135,Projetos!A:L,12,false)=TRUE,TRUE,FALSE)</f>
        <v>1</v>
      </c>
      <c r="I135" s="68">
        <v>77.17130376683501</v>
      </c>
      <c r="J135" s="68">
        <f t="shared" si="1"/>
        <v>0</v>
      </c>
      <c r="K135" s="68" t="b">
        <v>1</v>
      </c>
    </row>
    <row r="136" hidden="1">
      <c r="A136" s="75">
        <v>130.0</v>
      </c>
      <c r="B136" s="62" t="s">
        <v>194</v>
      </c>
      <c r="C136" s="62" t="s">
        <v>138</v>
      </c>
      <c r="D136" s="62" t="s">
        <v>201</v>
      </c>
      <c r="E136" s="76">
        <v>44182.0</v>
      </c>
      <c r="F136" s="77">
        <v>0.125</v>
      </c>
      <c r="G136" s="62" t="b">
        <v>0</v>
      </c>
      <c r="H136" s="78" t="b">
        <f>IF(VLOOKUP(C136,Projetos!A:L,12,false)=TRUE,TRUE,FALSE)</f>
        <v>1</v>
      </c>
      <c r="I136" s="68">
        <v>77.17130376683501</v>
      </c>
      <c r="J136" s="68">
        <f t="shared" si="1"/>
        <v>0</v>
      </c>
      <c r="K136" s="68" t="b">
        <v>1</v>
      </c>
    </row>
    <row r="137">
      <c r="A137" s="75">
        <v>131.0</v>
      </c>
      <c r="B137" s="62" t="s">
        <v>213</v>
      </c>
      <c r="C137" s="62" t="s">
        <v>100</v>
      </c>
      <c r="D137" s="62" t="s">
        <v>214</v>
      </c>
      <c r="E137" s="76">
        <v>43839.0</v>
      </c>
      <c r="F137" s="77">
        <v>0.34375</v>
      </c>
      <c r="G137" s="62" t="b">
        <v>1</v>
      </c>
      <c r="H137" s="78" t="b">
        <f>IF(VLOOKUP(C137,Projetos!A:L,12,false)=TRUE,TRUE,FALSE)</f>
        <v>1</v>
      </c>
      <c r="I137" s="68">
        <v>43.55498683862433</v>
      </c>
      <c r="J137" s="68">
        <f t="shared" si="1"/>
        <v>359.3286414</v>
      </c>
      <c r="K137" s="68" t="b">
        <v>1</v>
      </c>
    </row>
    <row r="138">
      <c r="A138" s="75">
        <v>132.0</v>
      </c>
      <c r="B138" s="62" t="s">
        <v>213</v>
      </c>
      <c r="C138" s="62" t="s">
        <v>103</v>
      </c>
      <c r="D138" s="62" t="s">
        <v>215</v>
      </c>
      <c r="E138" s="76">
        <v>43873.0</v>
      </c>
      <c r="F138" s="77">
        <v>0.020833333333333332</v>
      </c>
      <c r="G138" s="62" t="b">
        <v>1</v>
      </c>
      <c r="H138" s="78" t="b">
        <f>IF(VLOOKUP(C138,Projetos!A:L,12,false)=TRUE,TRUE,FALSE)</f>
        <v>1</v>
      </c>
      <c r="I138" s="68">
        <v>41.57521470959595</v>
      </c>
      <c r="J138" s="68">
        <f t="shared" si="1"/>
        <v>20.78760735</v>
      </c>
      <c r="K138" s="68" t="b">
        <v>1</v>
      </c>
    </row>
    <row r="139">
      <c r="A139" s="75">
        <v>133.0</v>
      </c>
      <c r="B139" s="62" t="s">
        <v>213</v>
      </c>
      <c r="C139" s="62" t="s">
        <v>103</v>
      </c>
      <c r="D139" s="62" t="s">
        <v>216</v>
      </c>
      <c r="E139" s="76">
        <v>43879.0</v>
      </c>
      <c r="F139" s="77">
        <v>0.020833333333333332</v>
      </c>
      <c r="G139" s="62" t="b">
        <v>1</v>
      </c>
      <c r="H139" s="78" t="b">
        <f>IF(VLOOKUP(C139,Projetos!A:L,12,false)=TRUE,TRUE,FALSE)</f>
        <v>1</v>
      </c>
      <c r="I139" s="68">
        <v>41.57521470959595</v>
      </c>
      <c r="J139" s="68">
        <f t="shared" si="1"/>
        <v>20.78760735</v>
      </c>
      <c r="K139" s="68" t="b">
        <v>1</v>
      </c>
    </row>
    <row r="140">
      <c r="A140" s="75">
        <v>134.0</v>
      </c>
      <c r="B140" s="62" t="s">
        <v>213</v>
      </c>
      <c r="C140" s="62" t="s">
        <v>138</v>
      </c>
      <c r="D140" s="62" t="s">
        <v>217</v>
      </c>
      <c r="E140" s="76">
        <v>43879.0</v>
      </c>
      <c r="F140" s="77">
        <v>0.006944444444444444</v>
      </c>
      <c r="G140" s="62" t="b">
        <v>1</v>
      </c>
      <c r="H140" s="78" t="b">
        <f>IF(VLOOKUP(C140,Projetos!A:L,12,false)=TRUE,TRUE,FALSE)</f>
        <v>1</v>
      </c>
      <c r="I140" s="68">
        <v>41.57521470959595</v>
      </c>
      <c r="J140" s="68">
        <f t="shared" si="1"/>
        <v>6.929202452</v>
      </c>
      <c r="K140" s="68" t="b">
        <v>1</v>
      </c>
    </row>
    <row r="141">
      <c r="A141" s="75">
        <v>135.0</v>
      </c>
      <c r="B141" s="62" t="s">
        <v>213</v>
      </c>
      <c r="C141" s="62" t="s">
        <v>138</v>
      </c>
      <c r="D141" s="62" t="s">
        <v>218</v>
      </c>
      <c r="E141" s="76">
        <v>43908.0</v>
      </c>
      <c r="F141" s="77">
        <v>0.041666666666666664</v>
      </c>
      <c r="G141" s="62" t="b">
        <v>1</v>
      </c>
      <c r="H141" s="78" t="b">
        <f>IF(VLOOKUP(C141,Projetos!A:L,12,false)=TRUE,TRUE,FALSE)</f>
        <v>1</v>
      </c>
      <c r="I141" s="68">
        <v>43.55498683862433</v>
      </c>
      <c r="J141" s="68">
        <f t="shared" si="1"/>
        <v>43.55498684</v>
      </c>
      <c r="K141" s="68" t="b">
        <v>1</v>
      </c>
    </row>
    <row r="142">
      <c r="A142" s="75">
        <v>136.0</v>
      </c>
      <c r="B142" s="62" t="s">
        <v>213</v>
      </c>
      <c r="C142" s="62" t="s">
        <v>138</v>
      </c>
      <c r="D142" s="62" t="s">
        <v>218</v>
      </c>
      <c r="E142" s="76">
        <v>43908.0</v>
      </c>
      <c r="F142" s="77">
        <v>0.041666666666666664</v>
      </c>
      <c r="G142" s="62" t="b">
        <v>1</v>
      </c>
      <c r="H142" s="78" t="b">
        <f>IF(VLOOKUP(C142,Projetos!A:L,12,false)=TRUE,TRUE,FALSE)</f>
        <v>1</v>
      </c>
      <c r="I142" s="68">
        <v>43.55498683862433</v>
      </c>
      <c r="J142" s="68">
        <f t="shared" si="1"/>
        <v>43.55498684</v>
      </c>
      <c r="K142" s="68" t="b">
        <v>1</v>
      </c>
    </row>
    <row r="143">
      <c r="A143" s="75">
        <v>137.0</v>
      </c>
      <c r="B143" s="62" t="s">
        <v>213</v>
      </c>
      <c r="C143" s="62" t="s">
        <v>138</v>
      </c>
      <c r="D143" s="62" t="s">
        <v>218</v>
      </c>
      <c r="E143" s="76">
        <v>43917.0</v>
      </c>
      <c r="F143" s="77">
        <v>0.041666666666666664</v>
      </c>
      <c r="G143" s="62" t="b">
        <v>1</v>
      </c>
      <c r="H143" s="78" t="b">
        <f>IF(VLOOKUP(C143,Projetos!A:L,12,false)=TRUE,TRUE,FALSE)</f>
        <v>1</v>
      </c>
      <c r="I143" s="68">
        <v>43.55498683862433</v>
      </c>
      <c r="J143" s="68">
        <f t="shared" si="1"/>
        <v>43.55498684</v>
      </c>
      <c r="K143" s="68" t="b">
        <v>1</v>
      </c>
    </row>
    <row r="144">
      <c r="A144" s="75">
        <v>138.0</v>
      </c>
      <c r="B144" s="62" t="s">
        <v>213</v>
      </c>
      <c r="C144" s="62" t="s">
        <v>98</v>
      </c>
      <c r="D144" s="62" t="s">
        <v>219</v>
      </c>
      <c r="E144" s="76">
        <v>43917.0</v>
      </c>
      <c r="F144" s="77">
        <v>0.041666666666666664</v>
      </c>
      <c r="G144" s="62" t="b">
        <v>1</v>
      </c>
      <c r="H144" s="78" t="b">
        <f>IF(VLOOKUP(C144,Projetos!A:L,12,false)=TRUE,TRUE,FALSE)</f>
        <v>1</v>
      </c>
      <c r="I144" s="68">
        <v>43.55498683862433</v>
      </c>
      <c r="J144" s="68">
        <f t="shared" si="1"/>
        <v>43.55498684</v>
      </c>
      <c r="K144" s="68" t="b">
        <v>1</v>
      </c>
    </row>
    <row r="145">
      <c r="A145" s="75">
        <v>139.0</v>
      </c>
      <c r="B145" s="62" t="s">
        <v>213</v>
      </c>
      <c r="C145" s="62" t="s">
        <v>138</v>
      </c>
      <c r="D145" s="62" t="s">
        <v>218</v>
      </c>
      <c r="E145" s="76">
        <v>43924.0</v>
      </c>
      <c r="F145" s="77">
        <v>0.041666666666666664</v>
      </c>
      <c r="G145" s="62" t="b">
        <v>1</v>
      </c>
      <c r="H145" s="78" t="b">
        <f>IF(VLOOKUP(C145,Projetos!A:L,12,false)=TRUE,TRUE,FALSE)</f>
        <v>1</v>
      </c>
      <c r="I145" s="68">
        <v>41.57521470959595</v>
      </c>
      <c r="J145" s="68">
        <f t="shared" si="1"/>
        <v>41.57521471</v>
      </c>
      <c r="K145" s="68" t="b">
        <v>1</v>
      </c>
    </row>
    <row r="146">
      <c r="A146" s="75">
        <v>140.0</v>
      </c>
      <c r="B146" s="62" t="s">
        <v>213</v>
      </c>
      <c r="C146" s="62" t="s">
        <v>138</v>
      </c>
      <c r="D146" s="62" t="s">
        <v>218</v>
      </c>
      <c r="E146" s="76">
        <v>43937.0</v>
      </c>
      <c r="F146" s="77">
        <v>0.041666666666666664</v>
      </c>
      <c r="G146" s="62" t="b">
        <v>1</v>
      </c>
      <c r="H146" s="78" t="b">
        <f>IF(VLOOKUP(C146,Projetos!A:L,12,false)=TRUE,TRUE,FALSE)</f>
        <v>1</v>
      </c>
      <c r="I146" s="68">
        <v>41.57521470959595</v>
      </c>
      <c r="J146" s="68">
        <f t="shared" si="1"/>
        <v>41.57521471</v>
      </c>
      <c r="K146" s="68" t="b">
        <v>1</v>
      </c>
    </row>
    <row r="147">
      <c r="A147" s="75">
        <v>141.0</v>
      </c>
      <c r="B147" s="62" t="s">
        <v>213</v>
      </c>
      <c r="C147" s="62" t="s">
        <v>90</v>
      </c>
      <c r="D147" s="62" t="s">
        <v>220</v>
      </c>
      <c r="E147" s="76">
        <v>43955.0</v>
      </c>
      <c r="F147" s="77">
        <v>0.020833333333333332</v>
      </c>
      <c r="G147" s="62" t="b">
        <v>1</v>
      </c>
      <c r="H147" s="78" t="b">
        <f>IF(VLOOKUP(C147,Projetos!A:L,12,false)=TRUE,TRUE,FALSE)</f>
        <v>1</v>
      </c>
      <c r="I147" s="68">
        <v>43.55498683862433</v>
      </c>
      <c r="J147" s="68">
        <f t="shared" si="1"/>
        <v>21.77749342</v>
      </c>
      <c r="K147" s="68" t="b">
        <v>1</v>
      </c>
    </row>
    <row r="148">
      <c r="A148" s="75">
        <v>142.0</v>
      </c>
      <c r="B148" s="62" t="s">
        <v>213</v>
      </c>
      <c r="C148" s="62" t="s">
        <v>138</v>
      </c>
      <c r="D148" s="62" t="s">
        <v>221</v>
      </c>
      <c r="E148" s="76">
        <v>43956.0</v>
      </c>
      <c r="F148" s="77">
        <v>0.041666666666666664</v>
      </c>
      <c r="G148" s="62" t="b">
        <v>1</v>
      </c>
      <c r="H148" s="78" t="b">
        <f>IF(VLOOKUP(C148,Projetos!A:L,12,false)=TRUE,TRUE,FALSE)</f>
        <v>1</v>
      </c>
      <c r="I148" s="68">
        <v>43.55498683862433</v>
      </c>
      <c r="J148" s="68">
        <f t="shared" si="1"/>
        <v>43.55498684</v>
      </c>
      <c r="K148" s="68" t="b">
        <v>1</v>
      </c>
    </row>
    <row r="149">
      <c r="A149" s="75">
        <v>143.0</v>
      </c>
      <c r="B149" s="62" t="s">
        <v>213</v>
      </c>
      <c r="C149" s="62" t="s">
        <v>90</v>
      </c>
      <c r="D149" s="62" t="s">
        <v>222</v>
      </c>
      <c r="E149" s="76">
        <v>43957.0</v>
      </c>
      <c r="F149" s="77">
        <v>0.041666666666666664</v>
      </c>
      <c r="G149" s="62" t="b">
        <v>1</v>
      </c>
      <c r="H149" s="78" t="b">
        <f>IF(VLOOKUP(C149,Projetos!A:L,12,false)=TRUE,TRUE,FALSE)</f>
        <v>1</v>
      </c>
      <c r="I149" s="68">
        <v>43.55498683862433</v>
      </c>
      <c r="J149" s="68">
        <f t="shared" si="1"/>
        <v>43.55498684</v>
      </c>
      <c r="K149" s="68" t="b">
        <v>1</v>
      </c>
    </row>
    <row r="150">
      <c r="A150" s="75">
        <v>144.0</v>
      </c>
      <c r="B150" s="62" t="s">
        <v>213</v>
      </c>
      <c r="C150" s="62" t="s">
        <v>90</v>
      </c>
      <c r="D150" s="62" t="s">
        <v>223</v>
      </c>
      <c r="E150" s="76">
        <v>43970.0</v>
      </c>
      <c r="F150" s="77">
        <v>0.041666666666666664</v>
      </c>
      <c r="G150" s="62" t="b">
        <v>1</v>
      </c>
      <c r="H150" s="78" t="b">
        <f>IF(VLOOKUP(C150,Projetos!A:L,12,false)=TRUE,TRUE,FALSE)</f>
        <v>1</v>
      </c>
      <c r="I150" s="68">
        <v>43.55498683862433</v>
      </c>
      <c r="J150" s="68">
        <f t="shared" si="1"/>
        <v>43.55498684</v>
      </c>
      <c r="K150" s="68" t="b">
        <v>1</v>
      </c>
    </row>
    <row r="151">
      <c r="A151" s="75">
        <v>145.0</v>
      </c>
      <c r="B151" s="62" t="s">
        <v>213</v>
      </c>
      <c r="C151" s="62" t="s">
        <v>90</v>
      </c>
      <c r="D151" s="62" t="s">
        <v>224</v>
      </c>
      <c r="E151" s="76">
        <v>43980.0</v>
      </c>
      <c r="F151" s="77">
        <v>0.041666666666666664</v>
      </c>
      <c r="G151" s="62" t="b">
        <v>1</v>
      </c>
      <c r="H151" s="78" t="b">
        <f>IF(VLOOKUP(C151,Projetos!A:L,12,false)=TRUE,TRUE,FALSE)</f>
        <v>1</v>
      </c>
      <c r="I151" s="68">
        <v>43.55498683862433</v>
      </c>
      <c r="J151" s="68">
        <f t="shared" si="1"/>
        <v>43.55498684</v>
      </c>
      <c r="K151" s="68" t="b">
        <v>1</v>
      </c>
    </row>
    <row r="152">
      <c r="A152" s="75">
        <v>146.0</v>
      </c>
      <c r="B152" s="62" t="s">
        <v>213</v>
      </c>
      <c r="C152" s="62" t="s">
        <v>90</v>
      </c>
      <c r="D152" s="62" t="s">
        <v>225</v>
      </c>
      <c r="E152" s="76">
        <v>43980.0</v>
      </c>
      <c r="F152" s="77">
        <v>0.041666666666666664</v>
      </c>
      <c r="G152" s="62" t="b">
        <v>1</v>
      </c>
      <c r="H152" s="78" t="b">
        <f>IF(VLOOKUP(C152,Projetos!A:L,12,false)=TRUE,TRUE,FALSE)</f>
        <v>1</v>
      </c>
      <c r="I152" s="68">
        <v>43.55498683862433</v>
      </c>
      <c r="J152" s="68">
        <f t="shared" si="1"/>
        <v>43.55498684</v>
      </c>
      <c r="K152" s="68" t="b">
        <v>1</v>
      </c>
    </row>
    <row r="153">
      <c r="A153" s="75">
        <v>147.0</v>
      </c>
      <c r="B153" s="62" t="s">
        <v>213</v>
      </c>
      <c r="C153" s="62" t="s">
        <v>98</v>
      </c>
      <c r="D153" s="62" t="s">
        <v>226</v>
      </c>
      <c r="E153" s="76">
        <v>44053.0</v>
      </c>
      <c r="F153" s="77">
        <v>0.041666666666666664</v>
      </c>
      <c r="G153" s="62" t="b">
        <v>1</v>
      </c>
      <c r="H153" s="78" t="b">
        <f>IF(VLOOKUP(C153,Projetos!A:L,12,false)=TRUE,TRUE,FALSE)</f>
        <v>1</v>
      </c>
      <c r="I153" s="68">
        <v>43.55498683862433</v>
      </c>
      <c r="J153" s="68">
        <f t="shared" si="1"/>
        <v>43.55498684</v>
      </c>
      <c r="K153" s="68" t="b">
        <v>1</v>
      </c>
    </row>
    <row r="154" hidden="1">
      <c r="A154" s="75">
        <v>148.0</v>
      </c>
      <c r="B154" s="62" t="s">
        <v>213</v>
      </c>
      <c r="C154" s="62" t="s">
        <v>102</v>
      </c>
      <c r="D154" s="62" t="s">
        <v>227</v>
      </c>
      <c r="E154" s="76">
        <v>44061.0</v>
      </c>
      <c r="F154" s="77">
        <v>0.041666666666666664</v>
      </c>
      <c r="G154" s="62" t="b">
        <v>0</v>
      </c>
      <c r="H154" s="78" t="b">
        <f>IF(VLOOKUP(C154,Projetos!A:L,12,false)=TRUE,TRUE,FALSE)</f>
        <v>0</v>
      </c>
      <c r="I154" s="68">
        <v>43.55498683862433</v>
      </c>
      <c r="J154" s="68">
        <f t="shared" si="1"/>
        <v>0</v>
      </c>
      <c r="K154" s="68" t="b">
        <v>0</v>
      </c>
    </row>
    <row r="155" hidden="1">
      <c r="A155" s="75">
        <v>149.0</v>
      </c>
      <c r="B155" s="62" t="s">
        <v>213</v>
      </c>
      <c r="C155" s="62" t="s">
        <v>102</v>
      </c>
      <c r="D155" s="62" t="s">
        <v>228</v>
      </c>
      <c r="E155" s="76">
        <v>44061.0</v>
      </c>
      <c r="F155" s="77">
        <v>0.041666666666666664</v>
      </c>
      <c r="G155" s="62" t="b">
        <v>0</v>
      </c>
      <c r="H155" s="78" t="b">
        <f>IF(VLOOKUP(C155,Projetos!A:L,12,false)=TRUE,TRUE,FALSE)</f>
        <v>0</v>
      </c>
      <c r="I155" s="68">
        <v>43.55498683862433</v>
      </c>
      <c r="J155" s="68">
        <f t="shared" si="1"/>
        <v>0</v>
      </c>
      <c r="K155" s="68" t="b">
        <v>0</v>
      </c>
    </row>
    <row r="156" hidden="1">
      <c r="A156" s="75">
        <v>150.0</v>
      </c>
      <c r="B156" s="62" t="s">
        <v>213</v>
      </c>
      <c r="C156" s="62" t="s">
        <v>102</v>
      </c>
      <c r="D156" s="62" t="s">
        <v>229</v>
      </c>
      <c r="E156" s="76">
        <v>44090.0</v>
      </c>
      <c r="F156" s="77">
        <v>0.2916666666666667</v>
      </c>
      <c r="G156" s="62" t="b">
        <v>0</v>
      </c>
      <c r="H156" s="78" t="b">
        <f>IF(VLOOKUP(C156,Projetos!A:L,12,false)=TRUE,TRUE,FALSE)</f>
        <v>0</v>
      </c>
      <c r="I156" s="68">
        <v>41.57521470959595</v>
      </c>
      <c r="J156" s="68">
        <f t="shared" si="1"/>
        <v>0</v>
      </c>
      <c r="K156" s="68" t="b">
        <v>0</v>
      </c>
    </row>
    <row r="157" hidden="1">
      <c r="A157" s="75">
        <v>151.0</v>
      </c>
      <c r="B157" s="62" t="s">
        <v>213</v>
      </c>
      <c r="C157" s="62" t="s">
        <v>102</v>
      </c>
      <c r="D157" s="62" t="s">
        <v>230</v>
      </c>
      <c r="E157" s="76">
        <v>44098.0</v>
      </c>
      <c r="F157" s="77">
        <v>0.041666666666666664</v>
      </c>
      <c r="G157" s="62" t="b">
        <v>0</v>
      </c>
      <c r="H157" s="78" t="b">
        <f>IF(VLOOKUP(C157,Projetos!A:L,12,false)=TRUE,TRUE,FALSE)</f>
        <v>0</v>
      </c>
      <c r="I157" s="68">
        <v>41.57521470959595</v>
      </c>
      <c r="J157" s="68">
        <f t="shared" si="1"/>
        <v>0</v>
      </c>
      <c r="K157" s="68" t="b">
        <v>0</v>
      </c>
    </row>
    <row r="158">
      <c r="A158" s="75">
        <v>152.0</v>
      </c>
      <c r="B158" s="62" t="s">
        <v>213</v>
      </c>
      <c r="C158" s="62" t="s">
        <v>98</v>
      </c>
      <c r="D158" s="62" t="s">
        <v>231</v>
      </c>
      <c r="E158" s="76">
        <v>44146.0</v>
      </c>
      <c r="F158" s="77">
        <v>0.041666666666666664</v>
      </c>
      <c r="G158" s="62" t="b">
        <v>1</v>
      </c>
      <c r="H158" s="78" t="b">
        <f>IF(VLOOKUP(C158,Projetos!A:L,12,false)=TRUE,TRUE,FALSE)</f>
        <v>1</v>
      </c>
      <c r="I158" s="68">
        <v>42.25705307621671</v>
      </c>
      <c r="J158" s="68">
        <f t="shared" si="1"/>
        <v>42.25705308</v>
      </c>
      <c r="K158" s="68" t="b">
        <v>1</v>
      </c>
    </row>
    <row r="159">
      <c r="A159" s="75">
        <v>153.0</v>
      </c>
      <c r="B159" s="62" t="s">
        <v>213</v>
      </c>
      <c r="C159" s="62" t="s">
        <v>138</v>
      </c>
      <c r="D159" s="62" t="s">
        <v>232</v>
      </c>
      <c r="E159" s="76">
        <v>44154.0</v>
      </c>
      <c r="F159" s="77">
        <v>0.041666666666666664</v>
      </c>
      <c r="G159" s="62" t="b">
        <v>1</v>
      </c>
      <c r="H159" s="78" t="b">
        <f>IF(VLOOKUP(C159,Projetos!A:L,12,false)=TRUE,TRUE,FALSE)</f>
        <v>1</v>
      </c>
      <c r="I159" s="68">
        <v>42.25705307621671</v>
      </c>
      <c r="J159" s="68">
        <f t="shared" si="1"/>
        <v>42.25705308</v>
      </c>
      <c r="K159" s="68" t="b">
        <v>1</v>
      </c>
    </row>
    <row r="160" hidden="1">
      <c r="A160" s="75">
        <v>154.0</v>
      </c>
      <c r="B160" s="62" t="s">
        <v>233</v>
      </c>
      <c r="C160" s="62" t="s">
        <v>108</v>
      </c>
      <c r="D160" s="62" t="s">
        <v>234</v>
      </c>
      <c r="E160" s="76">
        <v>43892.0</v>
      </c>
      <c r="F160" s="77">
        <v>0.10416666666666667</v>
      </c>
      <c r="G160" s="62" t="b">
        <v>0</v>
      </c>
      <c r="H160" s="78" t="b">
        <f>IF(VLOOKUP(C160,Projetos!A:L,12,false)=TRUE,TRUE,FALSE)</f>
        <v>1</v>
      </c>
      <c r="I160" s="68">
        <v>54.026996599927834</v>
      </c>
      <c r="J160" s="68">
        <f t="shared" si="1"/>
        <v>0</v>
      </c>
      <c r="K160" s="68" t="b">
        <v>1</v>
      </c>
    </row>
    <row r="161" hidden="1">
      <c r="A161" s="75">
        <v>155.0</v>
      </c>
      <c r="B161" s="62" t="s">
        <v>233</v>
      </c>
      <c r="C161" s="62" t="s">
        <v>108</v>
      </c>
      <c r="D161" s="62" t="s">
        <v>235</v>
      </c>
      <c r="E161" s="76">
        <v>43892.0</v>
      </c>
      <c r="F161" s="77">
        <v>0.0625</v>
      </c>
      <c r="G161" s="62" t="b">
        <v>0</v>
      </c>
      <c r="H161" s="78" t="b">
        <f>IF(VLOOKUP(C161,Projetos!A:L,12,false)=TRUE,TRUE,FALSE)</f>
        <v>1</v>
      </c>
      <c r="I161" s="68">
        <v>54.026996599927834</v>
      </c>
      <c r="J161" s="68">
        <f t="shared" si="1"/>
        <v>0</v>
      </c>
      <c r="K161" s="68" t="b">
        <v>1</v>
      </c>
    </row>
    <row r="162" hidden="1">
      <c r="A162" s="75">
        <v>156.0</v>
      </c>
      <c r="B162" s="62" t="s">
        <v>233</v>
      </c>
      <c r="C162" s="62" t="s">
        <v>108</v>
      </c>
      <c r="D162" s="62" t="s">
        <v>234</v>
      </c>
      <c r="E162" s="76">
        <v>43908.0</v>
      </c>
      <c r="F162" s="77">
        <v>0.013888888888888888</v>
      </c>
      <c r="G162" s="62" t="b">
        <v>0</v>
      </c>
      <c r="H162" s="78" t="b">
        <f>IF(VLOOKUP(C162,Projetos!A:L,12,false)=TRUE,TRUE,FALSE)</f>
        <v>1</v>
      </c>
      <c r="I162" s="68">
        <v>54.026996599927834</v>
      </c>
      <c r="J162" s="68">
        <f t="shared" si="1"/>
        <v>0</v>
      </c>
      <c r="K162" s="68" t="b">
        <v>1</v>
      </c>
    </row>
    <row r="163" hidden="1">
      <c r="A163" s="75">
        <v>157.0</v>
      </c>
      <c r="B163" s="62" t="s">
        <v>233</v>
      </c>
      <c r="C163" s="62" t="s">
        <v>83</v>
      </c>
      <c r="D163" s="62" t="s">
        <v>234</v>
      </c>
      <c r="E163" s="76">
        <v>43901.0</v>
      </c>
      <c r="F163" s="77">
        <v>0.041666666666666664</v>
      </c>
      <c r="G163" s="62" t="b">
        <v>0</v>
      </c>
      <c r="H163" s="78" t="b">
        <f>IF(VLOOKUP(C163,Projetos!A:L,12,false)=TRUE,TRUE,FALSE)</f>
        <v>0</v>
      </c>
      <c r="I163" s="68">
        <v>54.026996599927834</v>
      </c>
      <c r="J163" s="68">
        <f t="shared" si="1"/>
        <v>0</v>
      </c>
      <c r="K163" s="68" t="b">
        <v>0</v>
      </c>
    </row>
    <row r="164" hidden="1">
      <c r="A164" s="75">
        <v>158.0</v>
      </c>
      <c r="B164" s="62" t="s">
        <v>233</v>
      </c>
      <c r="C164" s="62" t="s">
        <v>108</v>
      </c>
      <c r="D164" s="62" t="s">
        <v>235</v>
      </c>
      <c r="E164" s="76">
        <v>43903.0</v>
      </c>
      <c r="F164" s="77">
        <v>0.041666666666666664</v>
      </c>
      <c r="G164" s="62" t="b">
        <v>0</v>
      </c>
      <c r="H164" s="78" t="b">
        <f>IF(VLOOKUP(C164,Projetos!A:L,12,false)=TRUE,TRUE,FALSE)</f>
        <v>1</v>
      </c>
      <c r="I164" s="68">
        <v>54.026996599927834</v>
      </c>
      <c r="J164" s="68">
        <f t="shared" si="1"/>
        <v>0</v>
      </c>
      <c r="K164" s="68" t="b">
        <v>1</v>
      </c>
    </row>
    <row r="165">
      <c r="A165" s="75">
        <v>159.0</v>
      </c>
      <c r="B165" s="62" t="s">
        <v>233</v>
      </c>
      <c r="C165" s="62" t="s">
        <v>104</v>
      </c>
      <c r="D165" s="62" t="s">
        <v>236</v>
      </c>
      <c r="E165" s="76">
        <v>43917.0</v>
      </c>
      <c r="F165" s="77">
        <v>0.08333333333333333</v>
      </c>
      <c r="G165" s="62" t="b">
        <v>1</v>
      </c>
      <c r="H165" s="78" t="b">
        <f>IF(VLOOKUP(C165,Projetos!A:L,12,false)=TRUE,TRUE,FALSE)</f>
        <v>1</v>
      </c>
      <c r="I165" s="68">
        <v>54.026996599927834</v>
      </c>
      <c r="J165" s="68">
        <f t="shared" si="1"/>
        <v>108.0539932</v>
      </c>
      <c r="K165" s="68" t="b">
        <v>1</v>
      </c>
    </row>
    <row r="166" hidden="1">
      <c r="A166" s="75">
        <v>160.0</v>
      </c>
      <c r="B166" s="62" t="s">
        <v>233</v>
      </c>
      <c r="C166" s="62" t="s">
        <v>108</v>
      </c>
      <c r="D166" s="62" t="s">
        <v>235</v>
      </c>
      <c r="E166" s="76">
        <v>43917.0</v>
      </c>
      <c r="F166" s="77">
        <v>0.041666666666666664</v>
      </c>
      <c r="G166" s="62" t="b">
        <v>0</v>
      </c>
      <c r="H166" s="78" t="b">
        <f>IF(VLOOKUP(C166,Projetos!A:L,12,false)=TRUE,TRUE,FALSE)</f>
        <v>1</v>
      </c>
      <c r="I166" s="68">
        <v>54.026996599927834</v>
      </c>
      <c r="J166" s="68">
        <f t="shared" si="1"/>
        <v>0</v>
      </c>
      <c r="K166" s="68" t="b">
        <v>1</v>
      </c>
    </row>
    <row r="167">
      <c r="A167" s="75">
        <v>161.0</v>
      </c>
      <c r="B167" s="62" t="s">
        <v>233</v>
      </c>
      <c r="C167" s="62" t="s">
        <v>104</v>
      </c>
      <c r="D167" s="62" t="s">
        <v>236</v>
      </c>
      <c r="E167" s="76">
        <v>43920.0</v>
      </c>
      <c r="F167" s="77">
        <v>0.020833333333333332</v>
      </c>
      <c r="G167" s="62" t="b">
        <v>1</v>
      </c>
      <c r="H167" s="78" t="b">
        <f>IF(VLOOKUP(C167,Projetos!A:L,12,false)=TRUE,TRUE,FALSE)</f>
        <v>1</v>
      </c>
      <c r="I167" s="68">
        <v>54.026996599927834</v>
      </c>
      <c r="J167" s="68">
        <f t="shared" si="1"/>
        <v>27.0134983</v>
      </c>
      <c r="K167" s="68" t="b">
        <v>1</v>
      </c>
    </row>
    <row r="168">
      <c r="A168" s="75">
        <v>162.0</v>
      </c>
      <c r="B168" s="62" t="s">
        <v>233</v>
      </c>
      <c r="C168" s="62" t="s">
        <v>104</v>
      </c>
      <c r="D168" s="62" t="s">
        <v>237</v>
      </c>
      <c r="E168" s="76">
        <v>43924.0</v>
      </c>
      <c r="F168" s="77">
        <v>0.020833333333333332</v>
      </c>
      <c r="G168" s="62" t="b">
        <v>1</v>
      </c>
      <c r="H168" s="78" t="b">
        <f>IF(VLOOKUP(C168,Projetos!A:L,12,false)=TRUE,TRUE,FALSE)</f>
        <v>1</v>
      </c>
      <c r="I168" s="68">
        <v>51.57122402720384</v>
      </c>
      <c r="J168" s="68">
        <f t="shared" si="1"/>
        <v>25.78561201</v>
      </c>
      <c r="K168" s="68" t="b">
        <v>1</v>
      </c>
    </row>
    <row r="169">
      <c r="A169" s="75">
        <v>163.0</v>
      </c>
      <c r="B169" s="62" t="s">
        <v>233</v>
      </c>
      <c r="C169" s="62" t="s">
        <v>104</v>
      </c>
      <c r="D169" s="62" t="s">
        <v>237</v>
      </c>
      <c r="E169" s="76">
        <v>43928.0</v>
      </c>
      <c r="F169" s="77">
        <v>0.041666666666666664</v>
      </c>
      <c r="G169" s="62" t="b">
        <v>1</v>
      </c>
      <c r="H169" s="78" t="b">
        <f>IF(VLOOKUP(C169,Projetos!A:L,12,false)=TRUE,TRUE,FALSE)</f>
        <v>1</v>
      </c>
      <c r="I169" s="68">
        <v>51.57122402720384</v>
      </c>
      <c r="J169" s="68">
        <f t="shared" si="1"/>
        <v>51.57122403</v>
      </c>
      <c r="K169" s="68" t="b">
        <v>1</v>
      </c>
    </row>
    <row r="170" hidden="1">
      <c r="A170" s="75">
        <v>164.0</v>
      </c>
      <c r="B170" s="62" t="s">
        <v>233</v>
      </c>
      <c r="C170" s="62" t="s">
        <v>108</v>
      </c>
      <c r="D170" s="62" t="s">
        <v>234</v>
      </c>
      <c r="E170" s="76">
        <v>43924.0</v>
      </c>
      <c r="F170" s="77">
        <v>0.020833333333333332</v>
      </c>
      <c r="G170" s="62" t="b">
        <v>0</v>
      </c>
      <c r="H170" s="78" t="b">
        <f>IF(VLOOKUP(C170,Projetos!A:L,12,false)=TRUE,TRUE,FALSE)</f>
        <v>1</v>
      </c>
      <c r="I170" s="68">
        <v>51.57122402720384</v>
      </c>
      <c r="J170" s="68">
        <f t="shared" si="1"/>
        <v>0</v>
      </c>
      <c r="K170" s="68" t="b">
        <v>1</v>
      </c>
    </row>
    <row r="171" hidden="1">
      <c r="A171" s="75">
        <v>165.0</v>
      </c>
      <c r="B171" s="62" t="s">
        <v>233</v>
      </c>
      <c r="C171" s="62" t="s">
        <v>108</v>
      </c>
      <c r="D171" s="62" t="s">
        <v>235</v>
      </c>
      <c r="E171" s="76">
        <v>43929.0</v>
      </c>
      <c r="F171" s="77">
        <v>0.14583333333333334</v>
      </c>
      <c r="G171" s="62" t="b">
        <v>0</v>
      </c>
      <c r="H171" s="78" t="b">
        <f>IF(VLOOKUP(C171,Projetos!A:L,12,false)=TRUE,TRUE,FALSE)</f>
        <v>1</v>
      </c>
      <c r="I171" s="68">
        <v>51.57122402720384</v>
      </c>
      <c r="J171" s="68">
        <f t="shared" si="1"/>
        <v>0</v>
      </c>
      <c r="K171" s="68" t="b">
        <v>1</v>
      </c>
    </row>
    <row r="172" hidden="1">
      <c r="A172" s="75">
        <v>166.0</v>
      </c>
      <c r="B172" s="62" t="s">
        <v>233</v>
      </c>
      <c r="C172" s="62" t="s">
        <v>108</v>
      </c>
      <c r="D172" s="62" t="s">
        <v>235</v>
      </c>
      <c r="E172" s="76">
        <v>43930.0</v>
      </c>
      <c r="F172" s="77">
        <v>0.0625</v>
      </c>
      <c r="G172" s="62" t="b">
        <v>0</v>
      </c>
      <c r="H172" s="78" t="b">
        <f>IF(VLOOKUP(C172,Projetos!A:L,12,false)=TRUE,TRUE,FALSE)</f>
        <v>1</v>
      </c>
      <c r="I172" s="68">
        <v>51.57122402720384</v>
      </c>
      <c r="J172" s="68">
        <f t="shared" si="1"/>
        <v>0</v>
      </c>
      <c r="K172" s="68" t="b">
        <v>1</v>
      </c>
    </row>
    <row r="173" hidden="1">
      <c r="A173" s="75">
        <v>167.0</v>
      </c>
      <c r="B173" s="62" t="s">
        <v>233</v>
      </c>
      <c r="C173" s="62" t="s">
        <v>108</v>
      </c>
      <c r="D173" s="62" t="s">
        <v>236</v>
      </c>
      <c r="E173" s="76">
        <v>43934.0</v>
      </c>
      <c r="F173" s="77">
        <v>0.041666666666666664</v>
      </c>
      <c r="G173" s="62" t="b">
        <v>0</v>
      </c>
      <c r="H173" s="78" t="b">
        <f>IF(VLOOKUP(C173,Projetos!A:L,12,false)=TRUE,TRUE,FALSE)</f>
        <v>1</v>
      </c>
      <c r="I173" s="68">
        <v>51.57122402720384</v>
      </c>
      <c r="J173" s="68">
        <f t="shared" si="1"/>
        <v>0</v>
      </c>
      <c r="K173" s="68" t="b">
        <v>1</v>
      </c>
    </row>
    <row r="174" hidden="1">
      <c r="A174" s="75">
        <v>168.0</v>
      </c>
      <c r="B174" s="62" t="s">
        <v>233</v>
      </c>
      <c r="C174" s="62" t="s">
        <v>108</v>
      </c>
      <c r="D174" s="62" t="s">
        <v>235</v>
      </c>
      <c r="E174" s="76">
        <v>43936.0</v>
      </c>
      <c r="F174" s="77">
        <v>0.0625</v>
      </c>
      <c r="G174" s="62" t="b">
        <v>0</v>
      </c>
      <c r="H174" s="78" t="b">
        <f>IF(VLOOKUP(C174,Projetos!A:L,12,false)=TRUE,TRUE,FALSE)</f>
        <v>1</v>
      </c>
      <c r="I174" s="68">
        <v>51.57122402720384</v>
      </c>
      <c r="J174" s="68">
        <f t="shared" si="1"/>
        <v>0</v>
      </c>
      <c r="K174" s="68" t="b">
        <v>1</v>
      </c>
    </row>
    <row r="175" hidden="1">
      <c r="A175" s="75">
        <v>169.0</v>
      </c>
      <c r="B175" s="62" t="s">
        <v>233</v>
      </c>
      <c r="C175" s="62" t="s">
        <v>108</v>
      </c>
      <c r="D175" s="62" t="s">
        <v>235</v>
      </c>
      <c r="E175" s="76">
        <v>43937.0</v>
      </c>
      <c r="F175" s="77">
        <v>0.041666666666666664</v>
      </c>
      <c r="G175" s="62" t="b">
        <v>0</v>
      </c>
      <c r="H175" s="78" t="b">
        <f>IF(VLOOKUP(C175,Projetos!A:L,12,false)=TRUE,TRUE,FALSE)</f>
        <v>1</v>
      </c>
      <c r="I175" s="68">
        <v>51.57122402720384</v>
      </c>
      <c r="J175" s="68">
        <f t="shared" si="1"/>
        <v>0</v>
      </c>
      <c r="K175" s="68" t="b">
        <v>1</v>
      </c>
    </row>
    <row r="176" hidden="1">
      <c r="A176" s="75">
        <v>170.0</v>
      </c>
      <c r="B176" s="62" t="s">
        <v>233</v>
      </c>
      <c r="C176" s="62" t="s">
        <v>108</v>
      </c>
      <c r="D176" s="62" t="s">
        <v>234</v>
      </c>
      <c r="E176" s="76">
        <v>43937.0</v>
      </c>
      <c r="F176" s="77">
        <v>0.0625</v>
      </c>
      <c r="G176" s="62" t="b">
        <v>0</v>
      </c>
      <c r="H176" s="78" t="b">
        <f>IF(VLOOKUP(C176,Projetos!A:L,12,false)=TRUE,TRUE,FALSE)</f>
        <v>1</v>
      </c>
      <c r="I176" s="68">
        <v>51.57122402720384</v>
      </c>
      <c r="J176" s="68">
        <f t="shared" si="1"/>
        <v>0</v>
      </c>
      <c r="K176" s="68" t="b">
        <v>1</v>
      </c>
    </row>
    <row r="177" hidden="1">
      <c r="A177" s="75">
        <v>171.0</v>
      </c>
      <c r="B177" s="62" t="s">
        <v>233</v>
      </c>
      <c r="C177" s="62" t="s">
        <v>108</v>
      </c>
      <c r="D177" s="62" t="s">
        <v>235</v>
      </c>
      <c r="E177" s="76">
        <v>43938.0</v>
      </c>
      <c r="F177" s="77">
        <v>0.08333333333333333</v>
      </c>
      <c r="G177" s="62" t="b">
        <v>0</v>
      </c>
      <c r="H177" s="78" t="b">
        <f>IF(VLOOKUP(C177,Projetos!A:L,12,false)=TRUE,TRUE,FALSE)</f>
        <v>1</v>
      </c>
      <c r="I177" s="68">
        <v>51.57122402720384</v>
      </c>
      <c r="J177" s="68">
        <f t="shared" si="1"/>
        <v>0</v>
      </c>
      <c r="K177" s="68" t="b">
        <v>1</v>
      </c>
    </row>
    <row r="178" hidden="1">
      <c r="A178" s="75">
        <v>172.0</v>
      </c>
      <c r="B178" s="62" t="s">
        <v>233</v>
      </c>
      <c r="C178" s="62" t="s">
        <v>108</v>
      </c>
      <c r="D178" s="62" t="s">
        <v>234</v>
      </c>
      <c r="E178" s="76">
        <v>43941.0</v>
      </c>
      <c r="F178" s="77">
        <v>0.041666666666666664</v>
      </c>
      <c r="G178" s="62" t="b">
        <v>0</v>
      </c>
      <c r="H178" s="78" t="b">
        <f>IF(VLOOKUP(C178,Projetos!A:L,12,false)=TRUE,TRUE,FALSE)</f>
        <v>1</v>
      </c>
      <c r="I178" s="68">
        <v>51.57122402720384</v>
      </c>
      <c r="J178" s="68">
        <f t="shared" si="1"/>
        <v>0</v>
      </c>
      <c r="K178" s="68" t="b">
        <v>1</v>
      </c>
    </row>
    <row r="179" hidden="1">
      <c r="A179" s="75">
        <v>173.0</v>
      </c>
      <c r="B179" s="62" t="s">
        <v>233</v>
      </c>
      <c r="C179" s="62" t="s">
        <v>108</v>
      </c>
      <c r="D179" s="62" t="s">
        <v>238</v>
      </c>
      <c r="E179" s="76">
        <v>43944.0</v>
      </c>
      <c r="F179" s="77">
        <v>0.041666666666666664</v>
      </c>
      <c r="G179" s="62" t="b">
        <v>0</v>
      </c>
      <c r="H179" s="78" t="b">
        <f>IF(VLOOKUP(C179,Projetos!A:L,12,false)=TRUE,TRUE,FALSE)</f>
        <v>1</v>
      </c>
      <c r="I179" s="68">
        <v>51.57122402720384</v>
      </c>
      <c r="J179" s="68">
        <f t="shared" si="1"/>
        <v>0</v>
      </c>
      <c r="K179" s="68" t="b">
        <v>1</v>
      </c>
    </row>
    <row r="180" hidden="1">
      <c r="A180" s="75">
        <v>174.0</v>
      </c>
      <c r="B180" s="62" t="s">
        <v>233</v>
      </c>
      <c r="C180" s="62" t="s">
        <v>108</v>
      </c>
      <c r="D180" s="62" t="s">
        <v>235</v>
      </c>
      <c r="E180" s="76">
        <v>43945.0</v>
      </c>
      <c r="F180" s="77">
        <v>0.041666666666666664</v>
      </c>
      <c r="G180" s="62" t="b">
        <v>0</v>
      </c>
      <c r="H180" s="78" t="b">
        <f>IF(VLOOKUP(C180,Projetos!A:L,12,false)=TRUE,TRUE,FALSE)</f>
        <v>1</v>
      </c>
      <c r="I180" s="68">
        <v>51.57122402720384</v>
      </c>
      <c r="J180" s="68">
        <f t="shared" si="1"/>
        <v>0</v>
      </c>
      <c r="K180" s="68" t="b">
        <v>1</v>
      </c>
    </row>
    <row r="181" hidden="1">
      <c r="A181" s="75">
        <v>175.0</v>
      </c>
      <c r="B181" s="62" t="s">
        <v>233</v>
      </c>
      <c r="C181" s="62" t="s">
        <v>108</v>
      </c>
      <c r="D181" s="62" t="s">
        <v>235</v>
      </c>
      <c r="E181" s="76">
        <v>43949.0</v>
      </c>
      <c r="F181" s="77">
        <v>0.020833333333333332</v>
      </c>
      <c r="G181" s="62" t="b">
        <v>0</v>
      </c>
      <c r="H181" s="78" t="b">
        <f>IF(VLOOKUP(C181,Projetos!A:L,12,false)=TRUE,TRUE,FALSE)</f>
        <v>1</v>
      </c>
      <c r="I181" s="68">
        <v>51.57122402720384</v>
      </c>
      <c r="J181" s="68">
        <f t="shared" si="1"/>
        <v>0</v>
      </c>
      <c r="K181" s="68" t="b">
        <v>1</v>
      </c>
    </row>
    <row r="182" hidden="1">
      <c r="A182" s="75">
        <v>176.0</v>
      </c>
      <c r="B182" s="62" t="s">
        <v>233</v>
      </c>
      <c r="C182" s="62" t="s">
        <v>108</v>
      </c>
      <c r="D182" s="62" t="s">
        <v>236</v>
      </c>
      <c r="E182" s="76">
        <v>43949.0</v>
      </c>
      <c r="F182" s="77">
        <v>0.013888888888888888</v>
      </c>
      <c r="G182" s="62" t="b">
        <v>0</v>
      </c>
      <c r="H182" s="78" t="b">
        <f>IF(VLOOKUP(C182,Projetos!A:L,12,false)=TRUE,TRUE,FALSE)</f>
        <v>1</v>
      </c>
      <c r="I182" s="68">
        <v>51.57122402720384</v>
      </c>
      <c r="J182" s="68">
        <f t="shared" si="1"/>
        <v>0</v>
      </c>
      <c r="K182" s="68" t="b">
        <v>1</v>
      </c>
    </row>
    <row r="183" hidden="1">
      <c r="A183" s="75">
        <v>177.0</v>
      </c>
      <c r="B183" s="62" t="s">
        <v>233</v>
      </c>
      <c r="C183" s="62" t="s">
        <v>108</v>
      </c>
      <c r="D183" s="62" t="s">
        <v>235</v>
      </c>
      <c r="E183" s="76">
        <v>43950.0</v>
      </c>
      <c r="F183" s="77">
        <v>0.041666666666666664</v>
      </c>
      <c r="G183" s="62" t="b">
        <v>0</v>
      </c>
      <c r="H183" s="78" t="b">
        <f>IF(VLOOKUP(C183,Projetos!A:L,12,false)=TRUE,TRUE,FALSE)</f>
        <v>1</v>
      </c>
      <c r="I183" s="68">
        <v>51.57122402720384</v>
      </c>
      <c r="J183" s="68">
        <f t="shared" si="1"/>
        <v>0</v>
      </c>
      <c r="K183" s="68" t="b">
        <v>1</v>
      </c>
    </row>
    <row r="184" hidden="1">
      <c r="A184" s="75">
        <v>178.0</v>
      </c>
      <c r="B184" s="62" t="s">
        <v>233</v>
      </c>
      <c r="C184" s="62" t="s">
        <v>108</v>
      </c>
      <c r="D184" s="62" t="s">
        <v>236</v>
      </c>
      <c r="E184" s="76">
        <v>43955.0</v>
      </c>
      <c r="F184" s="77">
        <v>0.020833333333333332</v>
      </c>
      <c r="G184" s="62" t="b">
        <v>0</v>
      </c>
      <c r="H184" s="78" t="b">
        <f>IF(VLOOKUP(C184,Projetos!A:L,12,false)=TRUE,TRUE,FALSE)</f>
        <v>1</v>
      </c>
      <c r="I184" s="68">
        <v>54.026996599927834</v>
      </c>
      <c r="J184" s="68">
        <f t="shared" si="1"/>
        <v>0</v>
      </c>
      <c r="K184" s="68" t="b">
        <v>1</v>
      </c>
    </row>
    <row r="185" hidden="1">
      <c r="A185" s="75">
        <v>179.0</v>
      </c>
      <c r="B185" s="62" t="s">
        <v>233</v>
      </c>
      <c r="C185" s="62" t="s">
        <v>108</v>
      </c>
      <c r="D185" s="62" t="s">
        <v>238</v>
      </c>
      <c r="E185" s="76">
        <v>43957.0</v>
      </c>
      <c r="F185" s="77">
        <v>0.020833333333333332</v>
      </c>
      <c r="G185" s="62" t="b">
        <v>0</v>
      </c>
      <c r="H185" s="78" t="b">
        <f>IF(VLOOKUP(C185,Projetos!A:L,12,false)=TRUE,TRUE,FALSE)</f>
        <v>1</v>
      </c>
      <c r="I185" s="68">
        <v>54.026996599927834</v>
      </c>
      <c r="J185" s="68">
        <f t="shared" si="1"/>
        <v>0</v>
      </c>
      <c r="K185" s="68" t="b">
        <v>1</v>
      </c>
    </row>
    <row r="186" hidden="1">
      <c r="A186" s="75">
        <v>180.0</v>
      </c>
      <c r="B186" s="62" t="s">
        <v>233</v>
      </c>
      <c r="C186" s="62" t="s">
        <v>108</v>
      </c>
      <c r="D186" s="62" t="s">
        <v>236</v>
      </c>
      <c r="E186" s="76">
        <v>43962.0</v>
      </c>
      <c r="F186" s="77">
        <v>0.020833333333333332</v>
      </c>
      <c r="G186" s="62" t="b">
        <v>0</v>
      </c>
      <c r="H186" s="78" t="b">
        <f>IF(VLOOKUP(C186,Projetos!A:L,12,false)=TRUE,TRUE,FALSE)</f>
        <v>1</v>
      </c>
      <c r="I186" s="68">
        <v>54.026996599927834</v>
      </c>
      <c r="J186" s="68">
        <f t="shared" si="1"/>
        <v>0</v>
      </c>
      <c r="K186" s="68" t="b">
        <v>1</v>
      </c>
    </row>
    <row r="187" hidden="1">
      <c r="A187" s="75">
        <v>181.0</v>
      </c>
      <c r="B187" s="62" t="s">
        <v>233</v>
      </c>
      <c r="C187" s="62" t="s">
        <v>108</v>
      </c>
      <c r="D187" s="62" t="s">
        <v>238</v>
      </c>
      <c r="E187" s="76">
        <v>43962.0</v>
      </c>
      <c r="F187" s="77">
        <v>0.041666666666666664</v>
      </c>
      <c r="G187" s="62" t="b">
        <v>0</v>
      </c>
      <c r="H187" s="78" t="b">
        <f>IF(VLOOKUP(C187,Projetos!A:L,12,false)=TRUE,TRUE,FALSE)</f>
        <v>1</v>
      </c>
      <c r="I187" s="68">
        <v>54.026996599927834</v>
      </c>
      <c r="J187" s="68">
        <f t="shared" si="1"/>
        <v>0</v>
      </c>
      <c r="K187" s="68" t="b">
        <v>1</v>
      </c>
    </row>
    <row r="188" hidden="1">
      <c r="A188" s="75">
        <v>182.0</v>
      </c>
      <c r="B188" s="62" t="s">
        <v>233</v>
      </c>
      <c r="C188" s="62" t="s">
        <v>108</v>
      </c>
      <c r="D188" s="62" t="s">
        <v>235</v>
      </c>
      <c r="E188" s="76">
        <v>43963.0</v>
      </c>
      <c r="F188" s="77">
        <v>0.0625</v>
      </c>
      <c r="G188" s="62" t="b">
        <v>0</v>
      </c>
      <c r="H188" s="78" t="b">
        <f>IF(VLOOKUP(C188,Projetos!A:L,12,false)=TRUE,TRUE,FALSE)</f>
        <v>1</v>
      </c>
      <c r="I188" s="68">
        <v>54.026996599927834</v>
      </c>
      <c r="J188" s="68">
        <f t="shared" si="1"/>
        <v>0</v>
      </c>
      <c r="K188" s="68" t="b">
        <v>1</v>
      </c>
    </row>
    <row r="189">
      <c r="A189" s="75">
        <v>183.0</v>
      </c>
      <c r="B189" s="62" t="s">
        <v>233</v>
      </c>
      <c r="C189" s="62" t="s">
        <v>110</v>
      </c>
      <c r="D189" s="62" t="s">
        <v>235</v>
      </c>
      <c r="E189" s="76">
        <v>43965.0</v>
      </c>
      <c r="F189" s="77">
        <v>0.020833333333333332</v>
      </c>
      <c r="G189" s="62" t="b">
        <v>1</v>
      </c>
      <c r="H189" s="78" t="b">
        <f>IF(VLOOKUP(C189,Projetos!A:L,12,false)=TRUE,TRUE,FALSE)</f>
        <v>1</v>
      </c>
      <c r="I189" s="68">
        <v>54.026996599927834</v>
      </c>
      <c r="J189" s="68">
        <f t="shared" si="1"/>
        <v>27.0134983</v>
      </c>
      <c r="K189" s="68" t="b">
        <v>1</v>
      </c>
    </row>
    <row r="190">
      <c r="A190" s="75">
        <v>184.0</v>
      </c>
      <c r="B190" s="62" t="s">
        <v>233</v>
      </c>
      <c r="C190" s="62" t="s">
        <v>110</v>
      </c>
      <c r="D190" s="62" t="s">
        <v>235</v>
      </c>
      <c r="E190" s="76">
        <v>43966.0</v>
      </c>
      <c r="F190" s="77">
        <v>0.10416666666666667</v>
      </c>
      <c r="G190" s="62" t="b">
        <v>1</v>
      </c>
      <c r="H190" s="78" t="b">
        <f>IF(VLOOKUP(C190,Projetos!A:L,12,false)=TRUE,TRUE,FALSE)</f>
        <v>1</v>
      </c>
      <c r="I190" s="68">
        <v>54.026996599927834</v>
      </c>
      <c r="J190" s="68">
        <f t="shared" si="1"/>
        <v>135.0674915</v>
      </c>
      <c r="K190" s="68" t="b">
        <v>1</v>
      </c>
    </row>
    <row r="191" hidden="1">
      <c r="A191" s="75">
        <v>185.0</v>
      </c>
      <c r="B191" s="62" t="s">
        <v>233</v>
      </c>
      <c r="C191" s="62" t="s">
        <v>108</v>
      </c>
      <c r="D191" s="62" t="s">
        <v>238</v>
      </c>
      <c r="E191" s="76">
        <v>43969.0</v>
      </c>
      <c r="F191" s="77">
        <v>0.020833333333333332</v>
      </c>
      <c r="G191" s="62" t="b">
        <v>0</v>
      </c>
      <c r="H191" s="78" t="b">
        <f>IF(VLOOKUP(C191,Projetos!A:L,12,false)=TRUE,TRUE,FALSE)</f>
        <v>1</v>
      </c>
      <c r="I191" s="68">
        <v>54.026996599927834</v>
      </c>
      <c r="J191" s="68">
        <f t="shared" si="1"/>
        <v>0</v>
      </c>
      <c r="K191" s="68" t="b">
        <v>1</v>
      </c>
    </row>
    <row r="192" hidden="1">
      <c r="A192" s="75">
        <v>186.0</v>
      </c>
      <c r="B192" s="62" t="s">
        <v>233</v>
      </c>
      <c r="C192" s="62" t="s">
        <v>108</v>
      </c>
      <c r="D192" s="62" t="s">
        <v>238</v>
      </c>
      <c r="E192" s="76">
        <v>43977.0</v>
      </c>
      <c r="F192" s="77">
        <v>0.020833333333333332</v>
      </c>
      <c r="G192" s="62" t="b">
        <v>0</v>
      </c>
      <c r="H192" s="78" t="b">
        <f>IF(VLOOKUP(C192,Projetos!A:L,12,false)=TRUE,TRUE,FALSE)</f>
        <v>1</v>
      </c>
      <c r="I192" s="68">
        <v>54.026996599927834</v>
      </c>
      <c r="J192" s="68">
        <f t="shared" si="1"/>
        <v>0</v>
      </c>
      <c r="K192" s="68" t="b">
        <v>1</v>
      </c>
    </row>
    <row r="193">
      <c r="A193" s="75">
        <v>187.0</v>
      </c>
      <c r="B193" s="62" t="s">
        <v>233</v>
      </c>
      <c r="C193" s="62" t="s">
        <v>104</v>
      </c>
      <c r="D193" s="62" t="s">
        <v>236</v>
      </c>
      <c r="E193" s="76">
        <v>43986.0</v>
      </c>
      <c r="F193" s="77">
        <v>0.041666666666666664</v>
      </c>
      <c r="G193" s="62" t="b">
        <v>1</v>
      </c>
      <c r="H193" s="78" t="b">
        <f>IF(VLOOKUP(C193,Projetos!A:L,12,false)=TRUE,TRUE,FALSE)</f>
        <v>1</v>
      </c>
      <c r="I193" s="68">
        <v>51.57122402720384</v>
      </c>
      <c r="J193" s="68">
        <f t="shared" si="1"/>
        <v>51.57122403</v>
      </c>
      <c r="K193" s="68" t="b">
        <v>1</v>
      </c>
    </row>
    <row r="194">
      <c r="A194" s="75">
        <v>188.0</v>
      </c>
      <c r="B194" s="62" t="s">
        <v>233</v>
      </c>
      <c r="C194" s="62" t="s">
        <v>104</v>
      </c>
      <c r="D194" s="62" t="s">
        <v>238</v>
      </c>
      <c r="E194" s="76">
        <v>43991.0</v>
      </c>
      <c r="F194" s="77">
        <v>0.041666666666666664</v>
      </c>
      <c r="G194" s="62" t="b">
        <v>1</v>
      </c>
      <c r="H194" s="78" t="b">
        <f>IF(VLOOKUP(C194,Projetos!A:L,12,false)=TRUE,TRUE,FALSE)</f>
        <v>1</v>
      </c>
      <c r="I194" s="68">
        <v>51.57122402720384</v>
      </c>
      <c r="J194" s="68">
        <f t="shared" si="1"/>
        <v>51.57122403</v>
      </c>
      <c r="K194" s="68" t="b">
        <v>1</v>
      </c>
    </row>
    <row r="195">
      <c r="A195" s="75">
        <v>189.0</v>
      </c>
      <c r="B195" s="62" t="s">
        <v>233</v>
      </c>
      <c r="C195" s="62" t="s">
        <v>104</v>
      </c>
      <c r="D195" s="62" t="s">
        <v>236</v>
      </c>
      <c r="E195" s="76">
        <v>43994.0</v>
      </c>
      <c r="F195" s="77">
        <v>0.08333333333333333</v>
      </c>
      <c r="G195" s="62" t="b">
        <v>1</v>
      </c>
      <c r="H195" s="78" t="b">
        <f>IF(VLOOKUP(C195,Projetos!A:L,12,false)=TRUE,TRUE,FALSE)</f>
        <v>1</v>
      </c>
      <c r="I195" s="68">
        <v>51.57122402720384</v>
      </c>
      <c r="J195" s="68">
        <f t="shared" si="1"/>
        <v>103.1424481</v>
      </c>
      <c r="K195" s="68" t="b">
        <v>1</v>
      </c>
    </row>
    <row r="196">
      <c r="A196" s="75">
        <v>190.0</v>
      </c>
      <c r="B196" s="62" t="s">
        <v>233</v>
      </c>
      <c r="C196" s="62" t="s">
        <v>104</v>
      </c>
      <c r="D196" s="62" t="s">
        <v>236</v>
      </c>
      <c r="E196" s="76">
        <v>43997.0</v>
      </c>
      <c r="F196" s="77">
        <v>0.08333333333333333</v>
      </c>
      <c r="G196" s="62" t="b">
        <v>1</v>
      </c>
      <c r="H196" s="78" t="b">
        <f>IF(VLOOKUP(C196,Projetos!A:L,12,false)=TRUE,TRUE,FALSE)</f>
        <v>1</v>
      </c>
      <c r="I196" s="68">
        <v>51.57122402720384</v>
      </c>
      <c r="J196" s="68">
        <f t="shared" si="1"/>
        <v>103.1424481</v>
      </c>
      <c r="K196" s="68" t="b">
        <v>1</v>
      </c>
    </row>
    <row r="197">
      <c r="A197" s="75">
        <v>191.0</v>
      </c>
      <c r="B197" s="62" t="s">
        <v>233</v>
      </c>
      <c r="C197" s="62" t="s">
        <v>104</v>
      </c>
      <c r="D197" s="62" t="s">
        <v>238</v>
      </c>
      <c r="E197" s="76">
        <v>43998.0</v>
      </c>
      <c r="F197" s="77">
        <v>0.041666666666666664</v>
      </c>
      <c r="G197" s="62" t="b">
        <v>1</v>
      </c>
      <c r="H197" s="78" t="b">
        <f>IF(VLOOKUP(C197,Projetos!A:L,12,false)=TRUE,TRUE,FALSE)</f>
        <v>1</v>
      </c>
      <c r="I197" s="68">
        <v>51.57122402720384</v>
      </c>
      <c r="J197" s="68">
        <f t="shared" si="1"/>
        <v>51.57122403</v>
      </c>
      <c r="K197" s="68" t="b">
        <v>1</v>
      </c>
    </row>
    <row r="198">
      <c r="A198" s="75">
        <v>192.0</v>
      </c>
      <c r="B198" s="62" t="s">
        <v>233</v>
      </c>
      <c r="C198" s="62" t="s">
        <v>104</v>
      </c>
      <c r="D198" s="62" t="s">
        <v>236</v>
      </c>
      <c r="E198" s="76">
        <v>43998.0</v>
      </c>
      <c r="F198" s="77">
        <v>0.041666666666666664</v>
      </c>
      <c r="G198" s="62" t="b">
        <v>1</v>
      </c>
      <c r="H198" s="78" t="b">
        <f>IF(VLOOKUP(C198,Projetos!A:L,12,false)=TRUE,TRUE,FALSE)</f>
        <v>1</v>
      </c>
      <c r="I198" s="68">
        <v>51.57122402720384</v>
      </c>
      <c r="J198" s="68">
        <f t="shared" si="1"/>
        <v>51.57122403</v>
      </c>
      <c r="K198" s="68" t="b">
        <v>1</v>
      </c>
    </row>
    <row r="199">
      <c r="A199" s="75">
        <v>193.0</v>
      </c>
      <c r="B199" s="62" t="s">
        <v>233</v>
      </c>
      <c r="C199" s="62" t="s">
        <v>104</v>
      </c>
      <c r="D199" s="62" t="s">
        <v>236</v>
      </c>
      <c r="E199" s="76">
        <v>43999.0</v>
      </c>
      <c r="F199" s="77">
        <v>0.0625</v>
      </c>
      <c r="G199" s="62" t="b">
        <v>1</v>
      </c>
      <c r="H199" s="78" t="b">
        <f>IF(VLOOKUP(C199,Projetos!A:L,12,false)=TRUE,TRUE,FALSE)</f>
        <v>1</v>
      </c>
      <c r="I199" s="68">
        <v>51.57122402720384</v>
      </c>
      <c r="J199" s="68">
        <f t="shared" si="1"/>
        <v>77.35683604</v>
      </c>
      <c r="K199" s="68" t="b">
        <v>1</v>
      </c>
    </row>
    <row r="200">
      <c r="A200" s="75">
        <v>194.0</v>
      </c>
      <c r="B200" s="62" t="s">
        <v>233</v>
      </c>
      <c r="C200" s="62" t="s">
        <v>104</v>
      </c>
      <c r="D200" s="62" t="s">
        <v>236</v>
      </c>
      <c r="E200" s="76">
        <v>44000.0</v>
      </c>
      <c r="F200" s="77">
        <v>0.041666666666666664</v>
      </c>
      <c r="G200" s="62" t="b">
        <v>1</v>
      </c>
      <c r="H200" s="78" t="b">
        <f>IF(VLOOKUP(C200,Projetos!A:L,12,false)=TRUE,TRUE,FALSE)</f>
        <v>1</v>
      </c>
      <c r="I200" s="68">
        <v>51.57122402720384</v>
      </c>
      <c r="J200" s="68">
        <f t="shared" si="1"/>
        <v>51.57122403</v>
      </c>
      <c r="K200" s="68" t="b">
        <v>1</v>
      </c>
    </row>
    <row r="201">
      <c r="A201" s="75">
        <v>195.0</v>
      </c>
      <c r="B201" s="62" t="s">
        <v>233</v>
      </c>
      <c r="C201" s="62" t="s">
        <v>104</v>
      </c>
      <c r="D201" s="62" t="s">
        <v>236</v>
      </c>
      <c r="E201" s="76">
        <v>44004.0</v>
      </c>
      <c r="F201" s="77">
        <v>0.041666666666666664</v>
      </c>
      <c r="G201" s="62" t="b">
        <v>1</v>
      </c>
      <c r="H201" s="78" t="b">
        <f>IF(VLOOKUP(C201,Projetos!A:L,12,false)=TRUE,TRUE,FALSE)</f>
        <v>1</v>
      </c>
      <c r="I201" s="68">
        <v>51.57122402720384</v>
      </c>
      <c r="J201" s="68">
        <f t="shared" si="1"/>
        <v>51.57122403</v>
      </c>
      <c r="K201" s="68" t="b">
        <v>1</v>
      </c>
    </row>
    <row r="202">
      <c r="A202" s="75">
        <v>196.0</v>
      </c>
      <c r="B202" s="62" t="s">
        <v>233</v>
      </c>
      <c r="C202" s="62" t="s">
        <v>104</v>
      </c>
      <c r="D202" s="62" t="s">
        <v>238</v>
      </c>
      <c r="E202" s="76">
        <v>44007.0</v>
      </c>
      <c r="F202" s="77">
        <v>0.03125</v>
      </c>
      <c r="G202" s="62" t="b">
        <v>1</v>
      </c>
      <c r="H202" s="78" t="b">
        <f>IF(VLOOKUP(C202,Projetos!A:L,12,false)=TRUE,TRUE,FALSE)</f>
        <v>1</v>
      </c>
      <c r="I202" s="68">
        <v>51.57122402720384</v>
      </c>
      <c r="J202" s="68">
        <f t="shared" si="1"/>
        <v>38.67841802</v>
      </c>
      <c r="K202" s="68" t="b">
        <v>1</v>
      </c>
    </row>
    <row r="203" hidden="1">
      <c r="A203" s="75">
        <v>197.0</v>
      </c>
      <c r="B203" s="62" t="s">
        <v>233</v>
      </c>
      <c r="C203" s="62" t="s">
        <v>108</v>
      </c>
      <c r="D203" s="62" t="s">
        <v>234</v>
      </c>
      <c r="E203" s="76">
        <v>44005.0</v>
      </c>
      <c r="F203" s="77">
        <v>0.041666666666666664</v>
      </c>
      <c r="G203" s="62" t="b">
        <v>0</v>
      </c>
      <c r="H203" s="78" t="b">
        <f>IF(VLOOKUP(C203,Projetos!A:L,12,false)=TRUE,TRUE,FALSE)</f>
        <v>1</v>
      </c>
      <c r="I203" s="68">
        <v>51.57122402720384</v>
      </c>
      <c r="J203" s="68">
        <f t="shared" si="1"/>
        <v>0</v>
      </c>
      <c r="K203" s="68" t="b">
        <v>1</v>
      </c>
    </row>
    <row r="204" hidden="1">
      <c r="A204" s="75">
        <v>198.0</v>
      </c>
      <c r="B204" s="62" t="s">
        <v>233</v>
      </c>
      <c r="C204" s="62" t="s">
        <v>108</v>
      </c>
      <c r="D204" s="62" t="s">
        <v>238</v>
      </c>
      <c r="E204" s="76">
        <v>44006.0</v>
      </c>
      <c r="F204" s="77">
        <v>0.041666666666666664</v>
      </c>
      <c r="G204" s="62" t="b">
        <v>0</v>
      </c>
      <c r="H204" s="78" t="b">
        <f>IF(VLOOKUP(C204,Projetos!A:L,12,false)=TRUE,TRUE,FALSE)</f>
        <v>1</v>
      </c>
      <c r="I204" s="68">
        <v>51.57122402720384</v>
      </c>
      <c r="J204" s="68">
        <f t="shared" si="1"/>
        <v>0</v>
      </c>
      <c r="K204" s="68" t="b">
        <v>1</v>
      </c>
    </row>
    <row r="205">
      <c r="A205" s="75">
        <v>199.0</v>
      </c>
      <c r="B205" s="62" t="s">
        <v>233</v>
      </c>
      <c r="C205" s="62" t="s">
        <v>104</v>
      </c>
      <c r="D205" s="62" t="s">
        <v>234</v>
      </c>
      <c r="E205" s="76">
        <v>44014.0</v>
      </c>
      <c r="F205" s="77">
        <v>0.041666666666666664</v>
      </c>
      <c r="G205" s="62" t="b">
        <v>1</v>
      </c>
      <c r="H205" s="78" t="b">
        <f>IF(VLOOKUP(C205,Projetos!A:L,12,false)=TRUE,TRUE,FALSE)</f>
        <v>1</v>
      </c>
      <c r="I205" s="68">
        <v>54.026996599927834</v>
      </c>
      <c r="J205" s="68">
        <f t="shared" si="1"/>
        <v>54.0269966</v>
      </c>
      <c r="K205" s="68" t="b">
        <v>1</v>
      </c>
    </row>
    <row r="206">
      <c r="A206" s="75">
        <v>200.0</v>
      </c>
      <c r="B206" s="62" t="s">
        <v>233</v>
      </c>
      <c r="C206" s="62" t="s">
        <v>104</v>
      </c>
      <c r="D206" s="62" t="s">
        <v>238</v>
      </c>
      <c r="E206" s="76">
        <v>44015.0</v>
      </c>
      <c r="F206" s="77">
        <v>0.041666666666666664</v>
      </c>
      <c r="G206" s="62" t="b">
        <v>1</v>
      </c>
      <c r="H206" s="78" t="b">
        <f>IF(VLOOKUP(C206,Projetos!A:L,12,false)=TRUE,TRUE,FALSE)</f>
        <v>1</v>
      </c>
      <c r="I206" s="68">
        <v>54.026996599927834</v>
      </c>
      <c r="J206" s="68">
        <f t="shared" si="1"/>
        <v>54.0269966</v>
      </c>
      <c r="K206" s="68" t="b">
        <v>1</v>
      </c>
    </row>
    <row r="207">
      <c r="A207" s="75">
        <v>201.0</v>
      </c>
      <c r="B207" s="62" t="s">
        <v>233</v>
      </c>
      <c r="C207" s="62" t="s">
        <v>104</v>
      </c>
      <c r="D207" s="62" t="s">
        <v>238</v>
      </c>
      <c r="E207" s="76">
        <v>44018.0</v>
      </c>
      <c r="F207" s="77">
        <v>0.08333333333333333</v>
      </c>
      <c r="G207" s="62" t="b">
        <v>1</v>
      </c>
      <c r="H207" s="78" t="b">
        <f>IF(VLOOKUP(C207,Projetos!A:L,12,false)=TRUE,TRUE,FALSE)</f>
        <v>1</v>
      </c>
      <c r="I207" s="68">
        <v>54.026996599927834</v>
      </c>
      <c r="J207" s="68">
        <f t="shared" si="1"/>
        <v>108.0539932</v>
      </c>
      <c r="K207" s="68" t="b">
        <v>1</v>
      </c>
    </row>
    <row r="208">
      <c r="A208" s="75">
        <v>202.0</v>
      </c>
      <c r="B208" s="62" t="s">
        <v>233</v>
      </c>
      <c r="C208" s="62" t="s">
        <v>104</v>
      </c>
      <c r="D208" s="62" t="s">
        <v>239</v>
      </c>
      <c r="E208" s="76">
        <v>44019.0</v>
      </c>
      <c r="F208" s="77">
        <v>0.041666666666666664</v>
      </c>
      <c r="G208" s="62" t="b">
        <v>1</v>
      </c>
      <c r="H208" s="78" t="b">
        <f>IF(VLOOKUP(C208,Projetos!A:L,12,false)=TRUE,TRUE,FALSE)</f>
        <v>1</v>
      </c>
      <c r="I208" s="68">
        <v>54.026996599927834</v>
      </c>
      <c r="J208" s="68">
        <f t="shared" si="1"/>
        <v>54.0269966</v>
      </c>
      <c r="K208" s="68" t="b">
        <v>1</v>
      </c>
    </row>
    <row r="209">
      <c r="A209" s="75">
        <v>203.0</v>
      </c>
      <c r="B209" s="62" t="s">
        <v>233</v>
      </c>
      <c r="C209" s="62" t="s">
        <v>104</v>
      </c>
      <c r="D209" s="62" t="s">
        <v>236</v>
      </c>
      <c r="E209" s="76">
        <v>44022.0</v>
      </c>
      <c r="F209" s="77">
        <v>0.041666666666666664</v>
      </c>
      <c r="G209" s="62" t="b">
        <v>1</v>
      </c>
      <c r="H209" s="78" t="b">
        <f>IF(VLOOKUP(C209,Projetos!A:L,12,false)=TRUE,TRUE,FALSE)</f>
        <v>1</v>
      </c>
      <c r="I209" s="68">
        <v>54.026996599927834</v>
      </c>
      <c r="J209" s="68">
        <f t="shared" si="1"/>
        <v>54.0269966</v>
      </c>
      <c r="K209" s="68" t="b">
        <v>1</v>
      </c>
    </row>
    <row r="210">
      <c r="A210" s="75">
        <v>204.0</v>
      </c>
      <c r="B210" s="62" t="s">
        <v>233</v>
      </c>
      <c r="C210" s="62" t="s">
        <v>104</v>
      </c>
      <c r="D210" s="62" t="s">
        <v>239</v>
      </c>
      <c r="E210" s="76">
        <v>44028.0</v>
      </c>
      <c r="F210" s="77">
        <v>0.041666666666666664</v>
      </c>
      <c r="G210" s="62" t="b">
        <v>1</v>
      </c>
      <c r="H210" s="78" t="b">
        <f>IF(VLOOKUP(C210,Projetos!A:L,12,false)=TRUE,TRUE,FALSE)</f>
        <v>1</v>
      </c>
      <c r="I210" s="68">
        <v>54.026996599927834</v>
      </c>
      <c r="J210" s="68">
        <f t="shared" si="1"/>
        <v>54.0269966</v>
      </c>
      <c r="K210" s="68" t="b">
        <v>1</v>
      </c>
    </row>
    <row r="211">
      <c r="A211" s="75">
        <v>205.0</v>
      </c>
      <c r="B211" s="62" t="s">
        <v>233</v>
      </c>
      <c r="C211" s="62" t="s">
        <v>104</v>
      </c>
      <c r="D211" s="62" t="s">
        <v>236</v>
      </c>
      <c r="E211" s="76">
        <v>44028.0</v>
      </c>
      <c r="F211" s="77">
        <v>0.08333333333333333</v>
      </c>
      <c r="G211" s="62" t="b">
        <v>1</v>
      </c>
      <c r="H211" s="78" t="b">
        <f>IF(VLOOKUP(C211,Projetos!A:L,12,false)=TRUE,TRUE,FALSE)</f>
        <v>1</v>
      </c>
      <c r="I211" s="68">
        <v>54.026996599927834</v>
      </c>
      <c r="J211" s="68">
        <f t="shared" si="1"/>
        <v>108.0539932</v>
      </c>
      <c r="K211" s="68" t="b">
        <v>1</v>
      </c>
    </row>
    <row r="212">
      <c r="A212" s="75">
        <v>206.0</v>
      </c>
      <c r="B212" s="62" t="s">
        <v>233</v>
      </c>
      <c r="C212" s="62" t="s">
        <v>104</v>
      </c>
      <c r="D212" s="62" t="s">
        <v>234</v>
      </c>
      <c r="E212" s="76">
        <v>44029.0</v>
      </c>
      <c r="F212" s="77">
        <v>0.041666666666666664</v>
      </c>
      <c r="G212" s="62" t="b">
        <v>1</v>
      </c>
      <c r="H212" s="78" t="b">
        <f>IF(VLOOKUP(C212,Projetos!A:L,12,false)=TRUE,TRUE,FALSE)</f>
        <v>1</v>
      </c>
      <c r="I212" s="68">
        <v>54.026996599927834</v>
      </c>
      <c r="J212" s="68">
        <f t="shared" si="1"/>
        <v>54.0269966</v>
      </c>
      <c r="K212" s="68" t="b">
        <v>1</v>
      </c>
    </row>
    <row r="213">
      <c r="A213" s="75">
        <v>207.0</v>
      </c>
      <c r="B213" s="62" t="s">
        <v>233</v>
      </c>
      <c r="C213" s="62" t="s">
        <v>104</v>
      </c>
      <c r="D213" s="62" t="s">
        <v>234</v>
      </c>
      <c r="E213" s="76">
        <v>44034.0</v>
      </c>
      <c r="F213" s="77">
        <v>0.041666666666666664</v>
      </c>
      <c r="G213" s="62" t="b">
        <v>1</v>
      </c>
      <c r="H213" s="78" t="b">
        <f>IF(VLOOKUP(C213,Projetos!A:L,12,false)=TRUE,TRUE,FALSE)</f>
        <v>1</v>
      </c>
      <c r="I213" s="68">
        <v>54.026996599927834</v>
      </c>
      <c r="J213" s="68">
        <f t="shared" si="1"/>
        <v>54.0269966</v>
      </c>
      <c r="K213" s="68" t="b">
        <v>1</v>
      </c>
    </row>
    <row r="214">
      <c r="A214" s="75">
        <v>208.0</v>
      </c>
      <c r="B214" s="62" t="s">
        <v>233</v>
      </c>
      <c r="C214" s="62" t="s">
        <v>104</v>
      </c>
      <c r="D214" s="62" t="s">
        <v>239</v>
      </c>
      <c r="E214" s="76">
        <v>44040.0</v>
      </c>
      <c r="F214" s="77">
        <v>0.052083333333333336</v>
      </c>
      <c r="G214" s="62" t="b">
        <v>1</v>
      </c>
      <c r="H214" s="78" t="b">
        <f>IF(VLOOKUP(C214,Projetos!A:L,12,false)=TRUE,TRUE,FALSE)</f>
        <v>1</v>
      </c>
      <c r="I214" s="68">
        <v>54.026996599927834</v>
      </c>
      <c r="J214" s="68">
        <f t="shared" si="1"/>
        <v>67.53374575</v>
      </c>
      <c r="K214" s="68" t="b">
        <v>1</v>
      </c>
    </row>
    <row r="215" hidden="1">
      <c r="A215" s="75">
        <v>209.0</v>
      </c>
      <c r="B215" s="62" t="s">
        <v>233</v>
      </c>
      <c r="C215" s="62" t="s">
        <v>108</v>
      </c>
      <c r="D215" s="62" t="s">
        <v>236</v>
      </c>
      <c r="E215" s="76">
        <v>44013.0</v>
      </c>
      <c r="F215" s="77">
        <v>0.041666666666666664</v>
      </c>
      <c r="G215" s="62" t="b">
        <v>0</v>
      </c>
      <c r="H215" s="78" t="b">
        <f>IF(VLOOKUP(C215,Projetos!A:L,12,false)=TRUE,TRUE,FALSE)</f>
        <v>1</v>
      </c>
      <c r="I215" s="68">
        <v>54.026996599927834</v>
      </c>
      <c r="J215" s="68">
        <f t="shared" si="1"/>
        <v>0</v>
      </c>
      <c r="K215" s="68" t="b">
        <v>1</v>
      </c>
    </row>
    <row r="216" hidden="1">
      <c r="A216" s="75">
        <v>210.0</v>
      </c>
      <c r="B216" s="62" t="s">
        <v>233</v>
      </c>
      <c r="C216" s="62" t="s">
        <v>108</v>
      </c>
      <c r="D216" s="62" t="s">
        <v>239</v>
      </c>
      <c r="E216" s="76">
        <v>44025.0</v>
      </c>
      <c r="F216" s="77">
        <v>0.0625</v>
      </c>
      <c r="G216" s="62" t="b">
        <v>0</v>
      </c>
      <c r="H216" s="78" t="b">
        <f>IF(VLOOKUP(C216,Projetos!A:L,12,false)=TRUE,TRUE,FALSE)</f>
        <v>1</v>
      </c>
      <c r="I216" s="68">
        <v>54.026996599927834</v>
      </c>
      <c r="J216" s="68">
        <f t="shared" si="1"/>
        <v>0</v>
      </c>
      <c r="K216" s="68" t="b">
        <v>1</v>
      </c>
    </row>
    <row r="217" hidden="1">
      <c r="A217" s="75">
        <v>211.0</v>
      </c>
      <c r="B217" s="62" t="s">
        <v>233</v>
      </c>
      <c r="C217" s="62" t="s">
        <v>108</v>
      </c>
      <c r="D217" s="62" t="s">
        <v>234</v>
      </c>
      <c r="E217" s="76">
        <v>44033.0</v>
      </c>
      <c r="F217" s="77">
        <v>0.041666666666666664</v>
      </c>
      <c r="G217" s="62" t="b">
        <v>0</v>
      </c>
      <c r="H217" s="78" t="b">
        <f>IF(VLOOKUP(C217,Projetos!A:L,12,false)=TRUE,TRUE,FALSE)</f>
        <v>1</v>
      </c>
      <c r="I217" s="68">
        <v>54.026996599927834</v>
      </c>
      <c r="J217" s="68">
        <f t="shared" si="1"/>
        <v>0</v>
      </c>
      <c r="K217" s="68" t="b">
        <v>1</v>
      </c>
    </row>
    <row r="218" hidden="1">
      <c r="A218" s="75">
        <v>212.0</v>
      </c>
      <c r="B218" s="62" t="s">
        <v>233</v>
      </c>
      <c r="C218" s="62" t="s">
        <v>108</v>
      </c>
      <c r="D218" s="62" t="s">
        <v>238</v>
      </c>
      <c r="E218" s="76">
        <v>44047.0</v>
      </c>
      <c r="F218" s="77">
        <v>0.041666666666666664</v>
      </c>
      <c r="G218" s="62" t="b">
        <v>0</v>
      </c>
      <c r="H218" s="78" t="b">
        <f>IF(VLOOKUP(C218,Projetos!A:L,12,false)=TRUE,TRUE,FALSE)</f>
        <v>1</v>
      </c>
      <c r="I218" s="68">
        <v>54.026996599927834</v>
      </c>
      <c r="J218" s="68">
        <f t="shared" si="1"/>
        <v>0</v>
      </c>
      <c r="K218" s="68" t="b">
        <v>1</v>
      </c>
    </row>
    <row r="219" hidden="1">
      <c r="A219" s="75">
        <v>213.0</v>
      </c>
      <c r="B219" s="62" t="s">
        <v>233</v>
      </c>
      <c r="C219" s="62" t="s">
        <v>108</v>
      </c>
      <c r="D219" s="62" t="s">
        <v>238</v>
      </c>
      <c r="E219" s="76">
        <v>44064.0</v>
      </c>
      <c r="F219" s="77">
        <v>0.020833333333333332</v>
      </c>
      <c r="G219" s="62" t="b">
        <v>0</v>
      </c>
      <c r="H219" s="78" t="b">
        <f>IF(VLOOKUP(C219,Projetos!A:L,12,false)=TRUE,TRUE,FALSE)</f>
        <v>1</v>
      </c>
      <c r="I219" s="68">
        <v>54.026996599927834</v>
      </c>
      <c r="J219" s="68">
        <f t="shared" si="1"/>
        <v>0</v>
      </c>
      <c r="K219" s="68" t="b">
        <v>1</v>
      </c>
    </row>
    <row r="220" hidden="1">
      <c r="A220" s="75">
        <v>214.0</v>
      </c>
      <c r="B220" s="62" t="s">
        <v>233</v>
      </c>
      <c r="C220" s="62" t="s">
        <v>108</v>
      </c>
      <c r="D220" s="62" t="s">
        <v>238</v>
      </c>
      <c r="E220" s="76">
        <v>44067.0</v>
      </c>
      <c r="F220" s="77">
        <v>0.010416666666666666</v>
      </c>
      <c r="G220" s="62" t="b">
        <v>0</v>
      </c>
      <c r="H220" s="78" t="b">
        <f>IF(VLOOKUP(C220,Projetos!A:L,12,false)=TRUE,TRUE,FALSE)</f>
        <v>1</v>
      </c>
      <c r="I220" s="68">
        <v>54.026996599927834</v>
      </c>
      <c r="J220" s="68">
        <f t="shared" si="1"/>
        <v>0</v>
      </c>
      <c r="K220" s="68" t="b">
        <v>1</v>
      </c>
    </row>
    <row r="221">
      <c r="A221" s="75">
        <v>215.0</v>
      </c>
      <c r="B221" s="62" t="s">
        <v>233</v>
      </c>
      <c r="C221" s="62" t="s">
        <v>104</v>
      </c>
      <c r="D221" s="62" t="s">
        <v>234</v>
      </c>
      <c r="E221" s="76">
        <v>44063.0</v>
      </c>
      <c r="F221" s="77">
        <v>0.041666666666666664</v>
      </c>
      <c r="G221" s="62" t="b">
        <v>1</v>
      </c>
      <c r="H221" s="78" t="b">
        <f>IF(VLOOKUP(C221,Projetos!A:L,12,false)=TRUE,TRUE,FALSE)</f>
        <v>1</v>
      </c>
      <c r="I221" s="68">
        <v>54.026996599927834</v>
      </c>
      <c r="J221" s="68">
        <f t="shared" si="1"/>
        <v>54.0269966</v>
      </c>
      <c r="K221" s="68" t="b">
        <v>1</v>
      </c>
    </row>
    <row r="222">
      <c r="A222" s="75">
        <v>216.0</v>
      </c>
      <c r="B222" s="62" t="s">
        <v>233</v>
      </c>
      <c r="C222" s="62" t="s">
        <v>104</v>
      </c>
      <c r="D222" s="62" t="s">
        <v>234</v>
      </c>
      <c r="E222" s="76">
        <v>44054.0</v>
      </c>
      <c r="F222" s="77">
        <v>0.041666666666666664</v>
      </c>
      <c r="G222" s="62" t="b">
        <v>1</v>
      </c>
      <c r="H222" s="78" t="b">
        <f>IF(VLOOKUP(C222,Projetos!A:L,12,false)=TRUE,TRUE,FALSE)</f>
        <v>1</v>
      </c>
      <c r="I222" s="68">
        <v>54.026996599927834</v>
      </c>
      <c r="J222" s="68">
        <f t="shared" si="1"/>
        <v>54.0269966</v>
      </c>
      <c r="K222" s="68" t="b">
        <v>1</v>
      </c>
    </row>
    <row r="223">
      <c r="A223" s="75">
        <v>217.0</v>
      </c>
      <c r="B223" s="62" t="s">
        <v>233</v>
      </c>
      <c r="C223" s="62" t="s">
        <v>104</v>
      </c>
      <c r="D223" s="62" t="s">
        <v>238</v>
      </c>
      <c r="E223" s="76">
        <v>44055.0</v>
      </c>
      <c r="F223" s="77">
        <v>0.08333333333333333</v>
      </c>
      <c r="G223" s="62" t="b">
        <v>1</v>
      </c>
      <c r="H223" s="78" t="b">
        <f>IF(VLOOKUP(C223,Projetos!A:L,12,false)=TRUE,TRUE,FALSE)</f>
        <v>1</v>
      </c>
      <c r="I223" s="68">
        <v>54.026996599927834</v>
      </c>
      <c r="J223" s="68">
        <f t="shared" si="1"/>
        <v>108.0539932</v>
      </c>
      <c r="K223" s="68" t="b">
        <v>1</v>
      </c>
    </row>
    <row r="224">
      <c r="A224" s="75">
        <v>218.0</v>
      </c>
      <c r="B224" s="62" t="s">
        <v>233</v>
      </c>
      <c r="C224" s="62" t="s">
        <v>104</v>
      </c>
      <c r="D224" s="62" t="s">
        <v>238</v>
      </c>
      <c r="E224" s="76">
        <v>44056.0</v>
      </c>
      <c r="F224" s="77">
        <v>0.0625</v>
      </c>
      <c r="G224" s="62" t="b">
        <v>1</v>
      </c>
      <c r="H224" s="78" t="b">
        <f>IF(VLOOKUP(C224,Projetos!A:L,12,false)=TRUE,TRUE,FALSE)</f>
        <v>1</v>
      </c>
      <c r="I224" s="68">
        <v>54.026996599927834</v>
      </c>
      <c r="J224" s="68">
        <f t="shared" si="1"/>
        <v>81.0404949</v>
      </c>
      <c r="K224" s="68" t="b">
        <v>1</v>
      </c>
    </row>
    <row r="225">
      <c r="A225" s="75">
        <v>219.0</v>
      </c>
      <c r="B225" s="62" t="s">
        <v>233</v>
      </c>
      <c r="C225" s="62" t="s">
        <v>104</v>
      </c>
      <c r="D225" s="62" t="s">
        <v>234</v>
      </c>
      <c r="E225" s="76">
        <v>44063.0</v>
      </c>
      <c r="F225" s="77">
        <v>0.0625</v>
      </c>
      <c r="G225" s="62" t="b">
        <v>1</v>
      </c>
      <c r="H225" s="78" t="b">
        <f>IF(VLOOKUP(C225,Projetos!A:L,12,false)=TRUE,TRUE,FALSE)</f>
        <v>1</v>
      </c>
      <c r="I225" s="68">
        <v>54.026996599927834</v>
      </c>
      <c r="J225" s="68">
        <f t="shared" si="1"/>
        <v>81.0404949</v>
      </c>
      <c r="K225" s="68" t="b">
        <v>1</v>
      </c>
    </row>
    <row r="226">
      <c r="A226" s="75">
        <v>220.0</v>
      </c>
      <c r="B226" s="62" t="s">
        <v>233</v>
      </c>
      <c r="C226" s="62" t="s">
        <v>104</v>
      </c>
      <c r="D226" s="62" t="s">
        <v>238</v>
      </c>
      <c r="E226" s="76">
        <v>44064.0</v>
      </c>
      <c r="F226" s="77">
        <v>0.041666666666666664</v>
      </c>
      <c r="G226" s="62" t="b">
        <v>1</v>
      </c>
      <c r="H226" s="78" t="b">
        <f>IF(VLOOKUP(C226,Projetos!A:L,12,false)=TRUE,TRUE,FALSE)</f>
        <v>1</v>
      </c>
      <c r="I226" s="68">
        <v>54.026996599927834</v>
      </c>
      <c r="J226" s="68">
        <f t="shared" si="1"/>
        <v>54.0269966</v>
      </c>
      <c r="K226" s="68" t="b">
        <v>1</v>
      </c>
    </row>
    <row r="227">
      <c r="A227" s="75">
        <v>221.0</v>
      </c>
      <c r="B227" s="62" t="s">
        <v>233</v>
      </c>
      <c r="C227" s="62" t="s">
        <v>104</v>
      </c>
      <c r="D227" s="62" t="s">
        <v>238</v>
      </c>
      <c r="E227" s="76">
        <v>44067.0</v>
      </c>
      <c r="F227" s="77">
        <v>0.020833333333333332</v>
      </c>
      <c r="G227" s="62" t="b">
        <v>1</v>
      </c>
      <c r="H227" s="78" t="b">
        <f>IF(VLOOKUP(C227,Projetos!A:L,12,false)=TRUE,TRUE,FALSE)</f>
        <v>1</v>
      </c>
      <c r="I227" s="68">
        <v>54.026996599927834</v>
      </c>
      <c r="J227" s="68">
        <f t="shared" si="1"/>
        <v>27.0134983</v>
      </c>
      <c r="K227" s="68" t="b">
        <v>1</v>
      </c>
    </row>
    <row r="228">
      <c r="A228" s="75">
        <v>222.0</v>
      </c>
      <c r="B228" s="62" t="s">
        <v>233</v>
      </c>
      <c r="C228" s="62" t="s">
        <v>138</v>
      </c>
      <c r="D228" s="62" t="s">
        <v>234</v>
      </c>
      <c r="E228" s="76">
        <v>44077.0</v>
      </c>
      <c r="F228" s="77">
        <v>0.041666666666666664</v>
      </c>
      <c r="G228" s="62" t="b">
        <v>1</v>
      </c>
      <c r="H228" s="78" t="b">
        <f>IF(VLOOKUP(C228,Projetos!A:L,12,false)=TRUE,TRUE,FALSE)</f>
        <v>1</v>
      </c>
      <c r="I228" s="68">
        <v>51.57122402720384</v>
      </c>
      <c r="J228" s="68">
        <f t="shared" si="1"/>
        <v>51.57122403</v>
      </c>
      <c r="K228" s="68" t="b">
        <v>1</v>
      </c>
    </row>
    <row r="229">
      <c r="A229" s="75">
        <v>223.0</v>
      </c>
      <c r="B229" s="62" t="s">
        <v>233</v>
      </c>
      <c r="C229" s="62" t="s">
        <v>138</v>
      </c>
      <c r="D229" s="62" t="s">
        <v>238</v>
      </c>
      <c r="E229" s="76">
        <v>44083.0</v>
      </c>
      <c r="F229" s="77">
        <v>0.041666666666666664</v>
      </c>
      <c r="G229" s="62" t="b">
        <v>1</v>
      </c>
      <c r="H229" s="78" t="b">
        <f>IF(VLOOKUP(C229,Projetos!A:L,12,false)=TRUE,TRUE,FALSE)</f>
        <v>1</v>
      </c>
      <c r="I229" s="68">
        <v>51.57122402720384</v>
      </c>
      <c r="J229" s="68">
        <f t="shared" si="1"/>
        <v>51.57122403</v>
      </c>
      <c r="K229" s="68" t="b">
        <v>1</v>
      </c>
    </row>
    <row r="230">
      <c r="A230" s="75">
        <v>224.0</v>
      </c>
      <c r="B230" s="62" t="s">
        <v>233</v>
      </c>
      <c r="C230" s="62" t="s">
        <v>138</v>
      </c>
      <c r="D230" s="62" t="s">
        <v>239</v>
      </c>
      <c r="E230" s="76">
        <v>44085.0</v>
      </c>
      <c r="F230" s="77">
        <v>0.041666666666666664</v>
      </c>
      <c r="G230" s="62" t="b">
        <v>1</v>
      </c>
      <c r="H230" s="78" t="b">
        <f>IF(VLOOKUP(C230,Projetos!A:L,12,false)=TRUE,TRUE,FALSE)</f>
        <v>1</v>
      </c>
      <c r="I230" s="68">
        <v>51.57122402720384</v>
      </c>
      <c r="J230" s="68">
        <f t="shared" si="1"/>
        <v>51.57122403</v>
      </c>
      <c r="K230" s="68" t="b">
        <v>1</v>
      </c>
    </row>
    <row r="231">
      <c r="A231" s="75">
        <v>225.0</v>
      </c>
      <c r="B231" s="62" t="s">
        <v>233</v>
      </c>
      <c r="C231" s="62" t="s">
        <v>138</v>
      </c>
      <c r="D231" s="62" t="s">
        <v>238</v>
      </c>
      <c r="E231" s="76">
        <v>44088.0</v>
      </c>
      <c r="F231" s="77">
        <v>0.020833333333333332</v>
      </c>
      <c r="G231" s="62" t="b">
        <v>1</v>
      </c>
      <c r="H231" s="78" t="b">
        <f>IF(VLOOKUP(C231,Projetos!A:L,12,false)=TRUE,TRUE,FALSE)</f>
        <v>1</v>
      </c>
      <c r="I231" s="68">
        <v>51.57122402720384</v>
      </c>
      <c r="J231" s="68">
        <f t="shared" si="1"/>
        <v>25.78561201</v>
      </c>
      <c r="K231" s="68" t="b">
        <v>1</v>
      </c>
    </row>
    <row r="232">
      <c r="A232" s="75">
        <v>226.0</v>
      </c>
      <c r="B232" s="62" t="s">
        <v>233</v>
      </c>
      <c r="C232" s="62" t="s">
        <v>138</v>
      </c>
      <c r="D232" s="62" t="s">
        <v>238</v>
      </c>
      <c r="E232" s="76">
        <v>44090.0</v>
      </c>
      <c r="F232" s="77">
        <v>0.020833333333333332</v>
      </c>
      <c r="G232" s="62" t="b">
        <v>1</v>
      </c>
      <c r="H232" s="78" t="b">
        <f>IF(VLOOKUP(C232,Projetos!A:L,12,false)=TRUE,TRUE,FALSE)</f>
        <v>1</v>
      </c>
      <c r="I232" s="68">
        <v>51.57122402720384</v>
      </c>
      <c r="J232" s="68">
        <f t="shared" si="1"/>
        <v>25.78561201</v>
      </c>
      <c r="K232" s="68" t="b">
        <v>1</v>
      </c>
    </row>
    <row r="233">
      <c r="A233" s="75">
        <v>227.0</v>
      </c>
      <c r="B233" s="62" t="s">
        <v>233</v>
      </c>
      <c r="C233" s="62" t="s">
        <v>138</v>
      </c>
      <c r="D233" s="62" t="s">
        <v>238</v>
      </c>
      <c r="E233" s="76">
        <v>44098.0</v>
      </c>
      <c r="F233" s="77">
        <v>0.020833333333333332</v>
      </c>
      <c r="G233" s="62" t="b">
        <v>1</v>
      </c>
      <c r="H233" s="78" t="b">
        <f>IF(VLOOKUP(C233,Projetos!A:L,12,false)=TRUE,TRUE,FALSE)</f>
        <v>1</v>
      </c>
      <c r="I233" s="68">
        <v>51.57122402720384</v>
      </c>
      <c r="J233" s="68">
        <f t="shared" si="1"/>
        <v>25.78561201</v>
      </c>
      <c r="K233" s="68" t="b">
        <v>1</v>
      </c>
    </row>
    <row r="234">
      <c r="A234" s="75">
        <v>228.0</v>
      </c>
      <c r="B234" s="62" t="s">
        <v>233</v>
      </c>
      <c r="C234" s="62" t="s">
        <v>138</v>
      </c>
      <c r="D234" s="62" t="s">
        <v>234</v>
      </c>
      <c r="E234" s="76">
        <v>44104.0</v>
      </c>
      <c r="F234" s="77">
        <v>0.020833333333333332</v>
      </c>
      <c r="G234" s="62" t="b">
        <v>1</v>
      </c>
      <c r="H234" s="78" t="b">
        <f>IF(VLOOKUP(C234,Projetos!A:L,12,false)=TRUE,TRUE,FALSE)</f>
        <v>1</v>
      </c>
      <c r="I234" s="68">
        <v>51.57122402720384</v>
      </c>
      <c r="J234" s="68">
        <f t="shared" si="1"/>
        <v>25.78561201</v>
      </c>
      <c r="K234" s="68" t="b">
        <v>1</v>
      </c>
    </row>
    <row r="235" hidden="1">
      <c r="A235" s="75">
        <v>229.0</v>
      </c>
      <c r="B235" s="62" t="s">
        <v>233</v>
      </c>
      <c r="C235" s="62" t="s">
        <v>108</v>
      </c>
      <c r="D235" s="62" t="s">
        <v>234</v>
      </c>
      <c r="E235" s="76">
        <v>44083.0</v>
      </c>
      <c r="F235" s="77">
        <v>0.041666666666666664</v>
      </c>
      <c r="G235" s="62" t="b">
        <v>0</v>
      </c>
      <c r="H235" s="78" t="b">
        <f>IF(VLOOKUP(C235,Projetos!A:L,12,false)=TRUE,TRUE,FALSE)</f>
        <v>1</v>
      </c>
      <c r="I235" s="68">
        <v>51.57122402720384</v>
      </c>
      <c r="J235" s="68">
        <f t="shared" si="1"/>
        <v>0</v>
      </c>
      <c r="K235" s="68" t="b">
        <v>1</v>
      </c>
    </row>
    <row r="236" hidden="1">
      <c r="A236" s="75">
        <v>230.0</v>
      </c>
      <c r="B236" s="62" t="s">
        <v>233</v>
      </c>
      <c r="C236" s="62" t="s">
        <v>108</v>
      </c>
      <c r="D236" s="62" t="s">
        <v>238</v>
      </c>
      <c r="E236" s="76">
        <v>44092.0</v>
      </c>
      <c r="F236" s="77">
        <v>0.041666666666666664</v>
      </c>
      <c r="G236" s="62" t="b">
        <v>0</v>
      </c>
      <c r="H236" s="78" t="b">
        <f>IF(VLOOKUP(C236,Projetos!A:L,12,false)=TRUE,TRUE,FALSE)</f>
        <v>1</v>
      </c>
      <c r="I236" s="68">
        <v>51.57122402720384</v>
      </c>
      <c r="J236" s="68">
        <f t="shared" si="1"/>
        <v>0</v>
      </c>
      <c r="K236" s="68" t="b">
        <v>1</v>
      </c>
    </row>
    <row r="237" hidden="1">
      <c r="A237" s="75">
        <v>231.0</v>
      </c>
      <c r="B237" s="62" t="s">
        <v>233</v>
      </c>
      <c r="C237" s="62" t="s">
        <v>108</v>
      </c>
      <c r="D237" s="62" t="s">
        <v>238</v>
      </c>
      <c r="E237" s="76">
        <v>44095.0</v>
      </c>
      <c r="F237" s="77">
        <v>0.03125</v>
      </c>
      <c r="G237" s="62" t="b">
        <v>0</v>
      </c>
      <c r="H237" s="78" t="b">
        <f>IF(VLOOKUP(C237,Projetos!A:L,12,false)=TRUE,TRUE,FALSE)</f>
        <v>1</v>
      </c>
      <c r="I237" s="68">
        <v>51.57122402720384</v>
      </c>
      <c r="J237" s="68">
        <f t="shared" si="1"/>
        <v>0</v>
      </c>
      <c r="K237" s="68" t="b">
        <v>1</v>
      </c>
    </row>
    <row r="238">
      <c r="A238" s="75">
        <v>232.0</v>
      </c>
      <c r="B238" s="62" t="s">
        <v>233</v>
      </c>
      <c r="C238" s="62" t="s">
        <v>104</v>
      </c>
      <c r="D238" s="62" t="s">
        <v>239</v>
      </c>
      <c r="E238" s="76">
        <v>44083.0</v>
      </c>
      <c r="F238" s="77">
        <v>0.08333333333333333</v>
      </c>
      <c r="G238" s="62" t="b">
        <v>1</v>
      </c>
      <c r="H238" s="78" t="b">
        <f>IF(VLOOKUP(C238,Projetos!A:L,12,false)=TRUE,TRUE,FALSE)</f>
        <v>1</v>
      </c>
      <c r="I238" s="68">
        <v>51.57122402720384</v>
      </c>
      <c r="J238" s="68">
        <f t="shared" si="1"/>
        <v>103.1424481</v>
      </c>
      <c r="K238" s="68" t="b">
        <v>1</v>
      </c>
    </row>
    <row r="239">
      <c r="A239" s="75">
        <v>233.0</v>
      </c>
      <c r="B239" s="62" t="s">
        <v>233</v>
      </c>
      <c r="C239" s="62" t="s">
        <v>104</v>
      </c>
      <c r="D239" s="62" t="s">
        <v>239</v>
      </c>
      <c r="E239" s="76">
        <v>44085.0</v>
      </c>
      <c r="F239" s="77">
        <v>0.041666666666666664</v>
      </c>
      <c r="G239" s="62" t="b">
        <v>1</v>
      </c>
      <c r="H239" s="78" t="b">
        <f>IF(VLOOKUP(C239,Projetos!A:L,12,false)=TRUE,TRUE,FALSE)</f>
        <v>1</v>
      </c>
      <c r="I239" s="68">
        <v>51.57122402720384</v>
      </c>
      <c r="J239" s="68">
        <f t="shared" si="1"/>
        <v>51.57122403</v>
      </c>
      <c r="K239" s="68" t="b">
        <v>1</v>
      </c>
    </row>
    <row r="240">
      <c r="A240" s="75">
        <v>234.0</v>
      </c>
      <c r="B240" s="62" t="s">
        <v>233</v>
      </c>
      <c r="C240" s="62" t="s">
        <v>104</v>
      </c>
      <c r="D240" s="62" t="s">
        <v>238</v>
      </c>
      <c r="E240" s="76">
        <v>44085.0</v>
      </c>
      <c r="F240" s="77">
        <v>0.041666666666666664</v>
      </c>
      <c r="G240" s="62" t="b">
        <v>1</v>
      </c>
      <c r="H240" s="78" t="b">
        <f>IF(VLOOKUP(C240,Projetos!A:L,12,false)=TRUE,TRUE,FALSE)</f>
        <v>1</v>
      </c>
      <c r="I240" s="68">
        <v>51.57122402720384</v>
      </c>
      <c r="J240" s="68">
        <f t="shared" si="1"/>
        <v>51.57122403</v>
      </c>
      <c r="K240" s="68" t="b">
        <v>1</v>
      </c>
    </row>
    <row r="241">
      <c r="A241" s="75">
        <v>235.0</v>
      </c>
      <c r="B241" s="62" t="s">
        <v>233</v>
      </c>
      <c r="C241" s="62" t="s">
        <v>104</v>
      </c>
      <c r="D241" s="62" t="s">
        <v>234</v>
      </c>
      <c r="E241" s="76">
        <v>44088.0</v>
      </c>
      <c r="F241" s="77">
        <v>0.0625</v>
      </c>
      <c r="G241" s="62" t="b">
        <v>1</v>
      </c>
      <c r="H241" s="78" t="b">
        <f>IF(VLOOKUP(C241,Projetos!A:L,12,false)=TRUE,TRUE,FALSE)</f>
        <v>1</v>
      </c>
      <c r="I241" s="68">
        <v>51.57122402720384</v>
      </c>
      <c r="J241" s="68">
        <f t="shared" si="1"/>
        <v>77.35683604</v>
      </c>
      <c r="K241" s="68" t="b">
        <v>1</v>
      </c>
    </row>
    <row r="242">
      <c r="A242" s="75">
        <v>236.0</v>
      </c>
      <c r="B242" s="62" t="s">
        <v>233</v>
      </c>
      <c r="C242" s="62" t="s">
        <v>104</v>
      </c>
      <c r="D242" s="62" t="s">
        <v>234</v>
      </c>
      <c r="E242" s="76">
        <v>44089.0</v>
      </c>
      <c r="F242" s="77">
        <v>0.041666666666666664</v>
      </c>
      <c r="G242" s="62" t="b">
        <v>1</v>
      </c>
      <c r="H242" s="78" t="b">
        <f>IF(VLOOKUP(C242,Projetos!A:L,12,false)=TRUE,TRUE,FALSE)</f>
        <v>1</v>
      </c>
      <c r="I242" s="68">
        <v>51.57122402720384</v>
      </c>
      <c r="J242" s="68">
        <f t="shared" si="1"/>
        <v>51.57122403</v>
      </c>
      <c r="K242" s="68" t="b">
        <v>1</v>
      </c>
    </row>
    <row r="243">
      <c r="A243" s="75">
        <v>237.0</v>
      </c>
      <c r="B243" s="62" t="s">
        <v>233</v>
      </c>
      <c r="C243" s="62" t="s">
        <v>104</v>
      </c>
      <c r="D243" s="62" t="s">
        <v>238</v>
      </c>
      <c r="E243" s="76">
        <v>44090.0</v>
      </c>
      <c r="F243" s="77">
        <v>0.041666666666666664</v>
      </c>
      <c r="G243" s="62" t="b">
        <v>1</v>
      </c>
      <c r="H243" s="78" t="b">
        <f>IF(VLOOKUP(C243,Projetos!A:L,12,false)=TRUE,TRUE,FALSE)</f>
        <v>1</v>
      </c>
      <c r="I243" s="68">
        <v>51.57122402720384</v>
      </c>
      <c r="J243" s="68">
        <f t="shared" si="1"/>
        <v>51.57122403</v>
      </c>
      <c r="K243" s="68" t="b">
        <v>1</v>
      </c>
    </row>
    <row r="244">
      <c r="A244" s="75">
        <v>238.0</v>
      </c>
      <c r="B244" s="62" t="s">
        <v>233</v>
      </c>
      <c r="C244" s="62" t="s">
        <v>104</v>
      </c>
      <c r="D244" s="62" t="s">
        <v>238</v>
      </c>
      <c r="E244" s="76">
        <v>44091.0</v>
      </c>
      <c r="F244" s="77">
        <v>0.041666666666666664</v>
      </c>
      <c r="G244" s="62" t="b">
        <v>1</v>
      </c>
      <c r="H244" s="78" t="b">
        <f>IF(VLOOKUP(C244,Projetos!A:L,12,false)=TRUE,TRUE,FALSE)</f>
        <v>1</v>
      </c>
      <c r="I244" s="68">
        <v>51.57122402720384</v>
      </c>
      <c r="J244" s="68">
        <f t="shared" si="1"/>
        <v>51.57122403</v>
      </c>
      <c r="K244" s="68" t="b">
        <v>1</v>
      </c>
    </row>
    <row r="245" hidden="1">
      <c r="A245" s="75">
        <v>239.0</v>
      </c>
      <c r="B245" s="62" t="s">
        <v>233</v>
      </c>
      <c r="C245" s="62" t="s">
        <v>104</v>
      </c>
      <c r="D245" s="62" t="s">
        <v>239</v>
      </c>
      <c r="E245" s="76">
        <v>44104.0</v>
      </c>
      <c r="F245" s="77">
        <v>0.041666666666666664</v>
      </c>
      <c r="G245" s="62" t="b">
        <v>0</v>
      </c>
      <c r="H245" s="78" t="b">
        <f>IF(VLOOKUP(C245,Projetos!A:L,12,false)=TRUE,TRUE,FALSE)</f>
        <v>1</v>
      </c>
      <c r="I245" s="68">
        <v>51.57122402720384</v>
      </c>
      <c r="J245" s="68">
        <f t="shared" si="1"/>
        <v>0</v>
      </c>
      <c r="K245" s="68" t="b">
        <v>1</v>
      </c>
    </row>
    <row r="246">
      <c r="A246" s="75">
        <v>240.0</v>
      </c>
      <c r="B246" s="62" t="s">
        <v>233</v>
      </c>
      <c r="C246" s="62" t="s">
        <v>110</v>
      </c>
      <c r="D246" s="62" t="s">
        <v>240</v>
      </c>
      <c r="E246" s="76">
        <v>44109.0</v>
      </c>
      <c r="F246" s="77">
        <v>0.041666666666666664</v>
      </c>
      <c r="G246" s="62" t="b">
        <v>1</v>
      </c>
      <c r="H246" s="78" t="b">
        <f>IF(VLOOKUP(C246,Projetos!A:L,12,false)=TRUE,TRUE,FALSE)</f>
        <v>1</v>
      </c>
      <c r="I246" s="68">
        <v>54.026996599927834</v>
      </c>
      <c r="J246" s="68">
        <f t="shared" si="1"/>
        <v>54.0269966</v>
      </c>
      <c r="K246" s="68" t="b">
        <v>1</v>
      </c>
    </row>
    <row r="247">
      <c r="A247" s="75">
        <v>241.0</v>
      </c>
      <c r="B247" s="62" t="s">
        <v>233</v>
      </c>
      <c r="C247" s="62" t="s">
        <v>110</v>
      </c>
      <c r="D247" s="62" t="s">
        <v>241</v>
      </c>
      <c r="E247" s="76">
        <v>44124.0</v>
      </c>
      <c r="F247" s="77">
        <v>0.041666666666666664</v>
      </c>
      <c r="G247" s="62" t="b">
        <v>1</v>
      </c>
      <c r="H247" s="78" t="b">
        <f>IF(VLOOKUP(C247,Projetos!A:L,12,false)=TRUE,TRUE,FALSE)</f>
        <v>1</v>
      </c>
      <c r="I247" s="68">
        <v>54.026996599927834</v>
      </c>
      <c r="J247" s="68">
        <f t="shared" si="1"/>
        <v>54.0269966</v>
      </c>
      <c r="K247" s="68" t="b">
        <v>1</v>
      </c>
    </row>
    <row r="248">
      <c r="A248" s="75">
        <v>242.0</v>
      </c>
      <c r="B248" s="62" t="s">
        <v>233</v>
      </c>
      <c r="C248" s="62" t="s">
        <v>110</v>
      </c>
      <c r="D248" s="62" t="s">
        <v>241</v>
      </c>
      <c r="E248" s="76">
        <v>44125.0</v>
      </c>
      <c r="F248" s="77">
        <v>0.041666666666666664</v>
      </c>
      <c r="G248" s="62" t="b">
        <v>1</v>
      </c>
      <c r="H248" s="78" t="b">
        <f>IF(VLOOKUP(C248,Projetos!A:L,12,false)=TRUE,TRUE,FALSE)</f>
        <v>1</v>
      </c>
      <c r="I248" s="68">
        <v>54.026996599927834</v>
      </c>
      <c r="J248" s="68">
        <f t="shared" si="1"/>
        <v>54.0269966</v>
      </c>
      <c r="K248" s="68" t="b">
        <v>1</v>
      </c>
    </row>
    <row r="249" hidden="1">
      <c r="A249" s="75">
        <v>243.0</v>
      </c>
      <c r="B249" s="62" t="s">
        <v>233</v>
      </c>
      <c r="C249" s="62" t="s">
        <v>109</v>
      </c>
      <c r="D249" s="62" t="s">
        <v>241</v>
      </c>
      <c r="E249" s="76">
        <v>44134.0</v>
      </c>
      <c r="F249" s="77">
        <v>0.041666666666666664</v>
      </c>
      <c r="G249" s="62" t="b">
        <v>0</v>
      </c>
      <c r="H249" s="78" t="b">
        <f>IF(VLOOKUP(C249,Projetos!A:L,12,false)=TRUE,TRUE,FALSE)</f>
        <v>0</v>
      </c>
      <c r="I249" s="68">
        <v>54.026996599927834</v>
      </c>
      <c r="J249" s="68">
        <f t="shared" si="1"/>
        <v>0</v>
      </c>
      <c r="K249" s="68" t="b">
        <v>0</v>
      </c>
    </row>
    <row r="250">
      <c r="A250" s="75">
        <v>244.0</v>
      </c>
      <c r="B250" s="62" t="s">
        <v>233</v>
      </c>
      <c r="C250" s="62" t="s">
        <v>104</v>
      </c>
      <c r="D250" s="62" t="s">
        <v>241</v>
      </c>
      <c r="E250" s="76">
        <v>44110.0</v>
      </c>
      <c r="F250" s="77">
        <v>0.08333333333333333</v>
      </c>
      <c r="G250" s="62" t="b">
        <v>1</v>
      </c>
      <c r="H250" s="78" t="b">
        <f>IF(VLOOKUP(C250,Projetos!A:L,12,false)=TRUE,TRUE,FALSE)</f>
        <v>1</v>
      </c>
      <c r="I250" s="68">
        <v>54.026996599927834</v>
      </c>
      <c r="J250" s="68">
        <f t="shared" si="1"/>
        <v>108.0539932</v>
      </c>
      <c r="K250" s="68" t="b">
        <v>1</v>
      </c>
    </row>
    <row r="251">
      <c r="A251" s="75">
        <v>245.0</v>
      </c>
      <c r="B251" s="62" t="s">
        <v>233</v>
      </c>
      <c r="C251" s="62" t="s">
        <v>104</v>
      </c>
      <c r="D251" s="62" t="s">
        <v>240</v>
      </c>
      <c r="E251" s="76">
        <v>44112.0</v>
      </c>
      <c r="F251" s="77">
        <v>0.0625</v>
      </c>
      <c r="G251" s="62" t="b">
        <v>1</v>
      </c>
      <c r="H251" s="78" t="b">
        <f>IF(VLOOKUP(C251,Projetos!A:L,12,false)=TRUE,TRUE,FALSE)</f>
        <v>1</v>
      </c>
      <c r="I251" s="68">
        <v>54.026996599927834</v>
      </c>
      <c r="J251" s="68">
        <f t="shared" si="1"/>
        <v>81.0404949</v>
      </c>
      <c r="K251" s="68" t="b">
        <v>1</v>
      </c>
    </row>
    <row r="252">
      <c r="A252" s="75">
        <v>246.0</v>
      </c>
      <c r="B252" s="62" t="s">
        <v>233</v>
      </c>
      <c r="C252" s="62" t="s">
        <v>104</v>
      </c>
      <c r="D252" s="62" t="s">
        <v>241</v>
      </c>
      <c r="E252" s="76">
        <v>44112.0</v>
      </c>
      <c r="F252" s="77">
        <v>0.0625</v>
      </c>
      <c r="G252" s="62" t="b">
        <v>1</v>
      </c>
      <c r="H252" s="78" t="b">
        <f>IF(VLOOKUP(C252,Projetos!A:L,12,false)=TRUE,TRUE,FALSE)</f>
        <v>1</v>
      </c>
      <c r="I252" s="68">
        <v>54.026996599927834</v>
      </c>
      <c r="J252" s="68">
        <f t="shared" si="1"/>
        <v>81.0404949</v>
      </c>
      <c r="K252" s="68" t="b">
        <v>1</v>
      </c>
    </row>
    <row r="253">
      <c r="A253" s="75">
        <v>247.0</v>
      </c>
      <c r="B253" s="62" t="s">
        <v>233</v>
      </c>
      <c r="C253" s="62" t="s">
        <v>104</v>
      </c>
      <c r="D253" s="62" t="s">
        <v>240</v>
      </c>
      <c r="E253" s="76">
        <v>44117.0</v>
      </c>
      <c r="F253" s="77">
        <v>0.041666666666666664</v>
      </c>
      <c r="G253" s="62" t="b">
        <v>1</v>
      </c>
      <c r="H253" s="78" t="b">
        <f>IF(VLOOKUP(C253,Projetos!A:L,12,false)=TRUE,TRUE,FALSE)</f>
        <v>1</v>
      </c>
      <c r="I253" s="68">
        <v>54.026996599927834</v>
      </c>
      <c r="J253" s="68">
        <f t="shared" si="1"/>
        <v>54.0269966</v>
      </c>
      <c r="K253" s="68" t="b">
        <v>1</v>
      </c>
    </row>
    <row r="254">
      <c r="A254" s="75">
        <v>248.0</v>
      </c>
      <c r="B254" s="62" t="s">
        <v>233</v>
      </c>
      <c r="C254" s="62" t="s">
        <v>104</v>
      </c>
      <c r="D254" s="62" t="s">
        <v>241</v>
      </c>
      <c r="E254" s="76">
        <v>44120.0</v>
      </c>
      <c r="F254" s="77">
        <v>0.052083333333333336</v>
      </c>
      <c r="G254" s="62" t="b">
        <v>1</v>
      </c>
      <c r="H254" s="78" t="b">
        <f>IF(VLOOKUP(C254,Projetos!A:L,12,false)=TRUE,TRUE,FALSE)</f>
        <v>1</v>
      </c>
      <c r="I254" s="68">
        <v>54.026996599927834</v>
      </c>
      <c r="J254" s="68">
        <f t="shared" si="1"/>
        <v>67.53374575</v>
      </c>
      <c r="K254" s="68" t="b">
        <v>1</v>
      </c>
    </row>
    <row r="255">
      <c r="A255" s="75">
        <v>249.0</v>
      </c>
      <c r="B255" s="62" t="s">
        <v>233</v>
      </c>
      <c r="C255" s="62" t="s">
        <v>104</v>
      </c>
      <c r="D255" s="62" t="s">
        <v>240</v>
      </c>
      <c r="E255" s="76">
        <v>44126.0</v>
      </c>
      <c r="F255" s="77">
        <v>0.041666666666666664</v>
      </c>
      <c r="G255" s="62" t="b">
        <v>1</v>
      </c>
      <c r="H255" s="78" t="b">
        <f>IF(VLOOKUP(C255,Projetos!A:L,12,false)=TRUE,TRUE,FALSE)</f>
        <v>1</v>
      </c>
      <c r="I255" s="68">
        <v>54.026996599927834</v>
      </c>
      <c r="J255" s="68">
        <f t="shared" si="1"/>
        <v>54.0269966</v>
      </c>
      <c r="K255" s="68" t="b">
        <v>1</v>
      </c>
    </row>
    <row r="256">
      <c r="A256" s="75">
        <v>250.0</v>
      </c>
      <c r="B256" s="62" t="s">
        <v>233</v>
      </c>
      <c r="C256" s="62" t="s">
        <v>104</v>
      </c>
      <c r="D256" s="62" t="s">
        <v>240</v>
      </c>
      <c r="E256" s="76">
        <v>44127.0</v>
      </c>
      <c r="F256" s="77">
        <v>0.041666666666666664</v>
      </c>
      <c r="G256" s="62" t="b">
        <v>1</v>
      </c>
      <c r="H256" s="78" t="b">
        <f>IF(VLOOKUP(C256,Projetos!A:L,12,false)=TRUE,TRUE,FALSE)</f>
        <v>1</v>
      </c>
      <c r="I256" s="68">
        <v>54.026996599927834</v>
      </c>
      <c r="J256" s="68">
        <f t="shared" si="1"/>
        <v>54.0269966</v>
      </c>
      <c r="K256" s="68" t="b">
        <v>1</v>
      </c>
    </row>
    <row r="257">
      <c r="A257" s="75">
        <v>251.0</v>
      </c>
      <c r="B257" s="62" t="s">
        <v>233</v>
      </c>
      <c r="C257" s="62" t="s">
        <v>104</v>
      </c>
      <c r="D257" s="62" t="s">
        <v>242</v>
      </c>
      <c r="E257" s="76">
        <v>44140.0</v>
      </c>
      <c r="F257" s="77">
        <v>0.08333333333333333</v>
      </c>
      <c r="G257" s="62" t="b">
        <v>1</v>
      </c>
      <c r="H257" s="78" t="b">
        <f>IF(VLOOKUP(C257,Projetos!A:L,12,false)=TRUE,TRUE,FALSE)</f>
        <v>1</v>
      </c>
      <c r="I257" s="68">
        <v>57.65865174185031</v>
      </c>
      <c r="J257" s="68">
        <f t="shared" si="1"/>
        <v>115.3173035</v>
      </c>
      <c r="K257" s="68" t="b">
        <v>1</v>
      </c>
    </row>
    <row r="258">
      <c r="A258" s="75">
        <v>252.0</v>
      </c>
      <c r="B258" s="62" t="s">
        <v>233</v>
      </c>
      <c r="C258" s="62" t="s">
        <v>104</v>
      </c>
      <c r="D258" s="62" t="s">
        <v>242</v>
      </c>
      <c r="E258" s="76">
        <v>44144.0</v>
      </c>
      <c r="F258" s="77">
        <v>0.0625</v>
      </c>
      <c r="G258" s="62" t="b">
        <v>1</v>
      </c>
      <c r="H258" s="78" t="b">
        <f>IF(VLOOKUP(C258,Projetos!A:L,12,false)=TRUE,TRUE,FALSE)</f>
        <v>1</v>
      </c>
      <c r="I258" s="68">
        <v>57.65865174185031</v>
      </c>
      <c r="J258" s="68">
        <f t="shared" si="1"/>
        <v>86.48797761</v>
      </c>
      <c r="K258" s="68" t="b">
        <v>1</v>
      </c>
    </row>
    <row r="259">
      <c r="A259" s="75">
        <v>253.0</v>
      </c>
      <c r="B259" s="62" t="s">
        <v>233</v>
      </c>
      <c r="C259" s="62" t="s">
        <v>104</v>
      </c>
      <c r="D259" s="62" t="s">
        <v>242</v>
      </c>
      <c r="E259" s="76">
        <v>44145.0</v>
      </c>
      <c r="F259" s="77">
        <v>0.0625</v>
      </c>
      <c r="G259" s="62" t="b">
        <v>1</v>
      </c>
      <c r="H259" s="78" t="b">
        <f>IF(VLOOKUP(C259,Projetos!A:L,12,false)=TRUE,TRUE,FALSE)</f>
        <v>1</v>
      </c>
      <c r="I259" s="68">
        <v>57.65865174185031</v>
      </c>
      <c r="J259" s="68">
        <f t="shared" si="1"/>
        <v>86.48797761</v>
      </c>
      <c r="K259" s="68" t="b">
        <v>1</v>
      </c>
    </row>
    <row r="260">
      <c r="A260" s="75">
        <v>254.0</v>
      </c>
      <c r="B260" s="62" t="s">
        <v>233</v>
      </c>
      <c r="C260" s="62" t="s">
        <v>104</v>
      </c>
      <c r="D260" s="62" t="s">
        <v>243</v>
      </c>
      <c r="E260" s="76">
        <v>44146.0</v>
      </c>
      <c r="F260" s="77">
        <v>0.07291666666666667</v>
      </c>
      <c r="G260" s="62" t="b">
        <v>1</v>
      </c>
      <c r="H260" s="78" t="b">
        <f>IF(VLOOKUP(C260,Projetos!A:L,12,false)=TRUE,TRUE,FALSE)</f>
        <v>1</v>
      </c>
      <c r="I260" s="68">
        <v>57.65865174185031</v>
      </c>
      <c r="J260" s="68">
        <f t="shared" si="1"/>
        <v>100.9026405</v>
      </c>
      <c r="K260" s="68" t="b">
        <v>1</v>
      </c>
    </row>
    <row r="261">
      <c r="A261" s="75">
        <v>255.0</v>
      </c>
      <c r="B261" s="62" t="s">
        <v>233</v>
      </c>
      <c r="C261" s="62" t="s">
        <v>104</v>
      </c>
      <c r="D261" s="62" t="s">
        <v>243</v>
      </c>
      <c r="E261" s="76">
        <v>44147.0</v>
      </c>
      <c r="F261" s="77">
        <v>0.10416666666666667</v>
      </c>
      <c r="G261" s="62" t="b">
        <v>1</v>
      </c>
      <c r="H261" s="78" t="b">
        <f>IF(VLOOKUP(C261,Projetos!A:L,12,false)=TRUE,TRUE,FALSE)</f>
        <v>1</v>
      </c>
      <c r="I261" s="68">
        <v>57.65865174185031</v>
      </c>
      <c r="J261" s="68">
        <f t="shared" si="1"/>
        <v>144.1466294</v>
      </c>
      <c r="K261" s="68" t="b">
        <v>1</v>
      </c>
    </row>
    <row r="262" hidden="1">
      <c r="A262" s="75">
        <v>256.0</v>
      </c>
      <c r="B262" s="62" t="s">
        <v>233</v>
      </c>
      <c r="C262" s="62" t="s">
        <v>109</v>
      </c>
      <c r="D262" s="62" t="s">
        <v>242</v>
      </c>
      <c r="E262" s="76">
        <v>44148.0</v>
      </c>
      <c r="F262" s="77">
        <v>0.041666666666666664</v>
      </c>
      <c r="G262" s="62" t="b">
        <v>0</v>
      </c>
      <c r="H262" s="78" t="b">
        <f>IF(VLOOKUP(C262,Projetos!A:L,12,false)=TRUE,TRUE,FALSE)</f>
        <v>0</v>
      </c>
      <c r="I262" s="68">
        <v>57.65865174185031</v>
      </c>
      <c r="J262" s="68">
        <f t="shared" si="1"/>
        <v>0</v>
      </c>
      <c r="K262" s="68" t="b">
        <v>0</v>
      </c>
    </row>
    <row r="263" hidden="1">
      <c r="A263" s="75">
        <v>257.0</v>
      </c>
      <c r="B263" s="62" t="s">
        <v>233</v>
      </c>
      <c r="C263" s="62" t="s">
        <v>109</v>
      </c>
      <c r="D263" s="62" t="s">
        <v>243</v>
      </c>
      <c r="E263" s="76">
        <v>44152.0</v>
      </c>
      <c r="F263" s="77">
        <v>0.08333333333333333</v>
      </c>
      <c r="G263" s="62" t="b">
        <v>0</v>
      </c>
      <c r="H263" s="78" t="b">
        <f>IF(VLOOKUP(C263,Projetos!A:L,12,false)=TRUE,TRUE,FALSE)</f>
        <v>0</v>
      </c>
      <c r="I263" s="68">
        <v>57.65865174185031</v>
      </c>
      <c r="J263" s="68">
        <f t="shared" si="1"/>
        <v>0</v>
      </c>
      <c r="K263" s="68" t="b">
        <v>0</v>
      </c>
    </row>
    <row r="264">
      <c r="A264" s="75">
        <v>258.0</v>
      </c>
      <c r="B264" s="62" t="s">
        <v>233</v>
      </c>
      <c r="C264" s="62" t="s">
        <v>113</v>
      </c>
      <c r="D264" s="62" t="s">
        <v>243</v>
      </c>
      <c r="E264" s="76">
        <v>44159.0</v>
      </c>
      <c r="F264" s="77">
        <v>0.041666666666666664</v>
      </c>
      <c r="G264" s="62" t="b">
        <v>1</v>
      </c>
      <c r="H264" s="78" t="b">
        <f>IF(VLOOKUP(C264,Projetos!A:L,12,false)=TRUE,TRUE,FALSE)</f>
        <v>1</v>
      </c>
      <c r="I264" s="68">
        <v>57.65865174185031</v>
      </c>
      <c r="J264" s="68">
        <f t="shared" si="1"/>
        <v>57.65865174</v>
      </c>
      <c r="K264" s="68" t="b">
        <v>1</v>
      </c>
    </row>
    <row r="265">
      <c r="A265" s="75">
        <v>259.0</v>
      </c>
      <c r="B265" s="62" t="s">
        <v>233</v>
      </c>
      <c r="C265" s="62" t="s">
        <v>88</v>
      </c>
      <c r="D265" s="62" t="s">
        <v>242</v>
      </c>
      <c r="E265" s="76">
        <v>44146.0</v>
      </c>
      <c r="F265" s="77">
        <v>0.041666666666666664</v>
      </c>
      <c r="G265" s="62" t="b">
        <v>1</v>
      </c>
      <c r="H265" s="78" t="b">
        <f>IF(VLOOKUP(C265,Projetos!A:L,12,false)=TRUE,TRUE,FALSE)</f>
        <v>1</v>
      </c>
      <c r="I265" s="68">
        <v>57.65865174185031</v>
      </c>
      <c r="J265" s="68">
        <f t="shared" si="1"/>
        <v>57.65865174</v>
      </c>
      <c r="K265" s="68" t="b">
        <v>1</v>
      </c>
    </row>
    <row r="266">
      <c r="A266" s="75">
        <v>260.0</v>
      </c>
      <c r="B266" s="62" t="s">
        <v>233</v>
      </c>
      <c r="C266" s="62" t="s">
        <v>90</v>
      </c>
      <c r="D266" s="62" t="s">
        <v>242</v>
      </c>
      <c r="E266" s="76">
        <v>44151.0</v>
      </c>
      <c r="F266" s="77">
        <v>0.041666666666666664</v>
      </c>
      <c r="G266" s="62" t="b">
        <v>1</v>
      </c>
      <c r="H266" s="78" t="b">
        <f>IF(VLOOKUP(C266,Projetos!A:L,12,false)=TRUE,TRUE,FALSE)</f>
        <v>1</v>
      </c>
      <c r="I266" s="68">
        <v>57.65865174185031</v>
      </c>
      <c r="J266" s="68">
        <f t="shared" si="1"/>
        <v>57.65865174</v>
      </c>
      <c r="K266" s="68" t="b">
        <v>1</v>
      </c>
    </row>
    <row r="267">
      <c r="A267" s="75">
        <v>261.0</v>
      </c>
      <c r="B267" s="62" t="s">
        <v>233</v>
      </c>
      <c r="C267" s="62" t="s">
        <v>90</v>
      </c>
      <c r="D267" s="62" t="s">
        <v>242</v>
      </c>
      <c r="E267" s="76">
        <v>44162.0</v>
      </c>
      <c r="F267" s="77">
        <v>0.041666666666666664</v>
      </c>
      <c r="G267" s="62" t="b">
        <v>1</v>
      </c>
      <c r="H267" s="78" t="b">
        <f>IF(VLOOKUP(C267,Projetos!A:L,12,false)=TRUE,TRUE,FALSE)</f>
        <v>1</v>
      </c>
      <c r="I267" s="68">
        <v>57.65865174185031</v>
      </c>
      <c r="J267" s="68">
        <f t="shared" si="1"/>
        <v>57.65865174</v>
      </c>
      <c r="K267" s="68" t="b">
        <v>1</v>
      </c>
    </row>
    <row r="268">
      <c r="A268" s="75">
        <v>262.0</v>
      </c>
      <c r="B268" s="62" t="s">
        <v>233</v>
      </c>
      <c r="C268" s="62" t="s">
        <v>138</v>
      </c>
      <c r="D268" s="62" t="s">
        <v>241</v>
      </c>
      <c r="E268" s="76">
        <v>44146.0</v>
      </c>
      <c r="F268" s="77">
        <v>0.0625</v>
      </c>
      <c r="G268" s="62" t="b">
        <v>1</v>
      </c>
      <c r="H268" s="78" t="b">
        <f>IF(VLOOKUP(C268,Projetos!A:L,12,false)=TRUE,TRUE,FALSE)</f>
        <v>1</v>
      </c>
      <c r="I268" s="68">
        <v>57.65865174185031</v>
      </c>
      <c r="J268" s="68">
        <f t="shared" si="1"/>
        <v>86.48797761</v>
      </c>
      <c r="K268" s="68" t="b">
        <v>1</v>
      </c>
    </row>
    <row r="269">
      <c r="A269" s="75">
        <v>263.0</v>
      </c>
      <c r="B269" s="62" t="s">
        <v>244</v>
      </c>
      <c r="C269" s="62" t="s">
        <v>104</v>
      </c>
      <c r="D269" s="62" t="s">
        <v>245</v>
      </c>
      <c r="E269" s="76">
        <v>43853.0</v>
      </c>
      <c r="F269" s="77">
        <v>0.4166666666666667</v>
      </c>
      <c r="G269" s="62" t="b">
        <v>1</v>
      </c>
      <c r="H269" s="78" t="b">
        <f>IF(VLOOKUP(C269,Projetos!A:L,12,false)=TRUE,TRUE,FALSE)</f>
        <v>1</v>
      </c>
      <c r="I269" s="68">
        <v>48.38711890031264</v>
      </c>
      <c r="J269" s="68">
        <f t="shared" si="1"/>
        <v>483.871189</v>
      </c>
      <c r="K269" s="68" t="b">
        <v>1</v>
      </c>
    </row>
    <row r="270" hidden="1">
      <c r="A270" s="75">
        <v>264.0</v>
      </c>
      <c r="B270" s="62" t="s">
        <v>244</v>
      </c>
      <c r="C270" s="62" t="s">
        <v>109</v>
      </c>
      <c r="D270" s="62" t="s">
        <v>246</v>
      </c>
      <c r="E270" s="76">
        <v>43858.0</v>
      </c>
      <c r="F270" s="77">
        <v>0.2916666666666667</v>
      </c>
      <c r="G270" s="62" t="b">
        <v>0</v>
      </c>
      <c r="H270" s="78" t="b">
        <f>IF(VLOOKUP(C270,Projetos!A:L,12,false)=TRUE,TRUE,FALSE)</f>
        <v>0</v>
      </c>
      <c r="I270" s="68">
        <v>48.38711890031264</v>
      </c>
      <c r="J270" s="68">
        <f t="shared" si="1"/>
        <v>0</v>
      </c>
      <c r="K270" s="68" t="b">
        <v>0</v>
      </c>
    </row>
    <row r="271" hidden="1">
      <c r="A271" s="75">
        <v>265.0</v>
      </c>
      <c r="B271" s="62" t="s">
        <v>244</v>
      </c>
      <c r="C271" s="62" t="s">
        <v>109</v>
      </c>
      <c r="D271" s="62" t="s">
        <v>246</v>
      </c>
      <c r="E271" s="76">
        <v>43859.0</v>
      </c>
      <c r="F271" s="77">
        <v>0.22916666666666666</v>
      </c>
      <c r="G271" s="62" t="b">
        <v>0</v>
      </c>
      <c r="H271" s="78" t="b">
        <f>IF(VLOOKUP(C271,Projetos!A:L,12,false)=TRUE,TRUE,FALSE)</f>
        <v>0</v>
      </c>
      <c r="I271" s="68">
        <v>48.38711890031264</v>
      </c>
      <c r="J271" s="68">
        <f t="shared" si="1"/>
        <v>0</v>
      </c>
      <c r="K271" s="68" t="b">
        <v>0</v>
      </c>
    </row>
    <row r="272">
      <c r="A272" s="75">
        <v>266.0</v>
      </c>
      <c r="B272" s="62" t="s">
        <v>244</v>
      </c>
      <c r="C272" s="62" t="s">
        <v>103</v>
      </c>
      <c r="D272" s="62" t="s">
        <v>247</v>
      </c>
      <c r="E272" s="76">
        <v>43854.0</v>
      </c>
      <c r="F272" s="77">
        <v>0.125</v>
      </c>
      <c r="G272" s="62" t="b">
        <v>1</v>
      </c>
      <c r="H272" s="78" t="b">
        <f>IF(VLOOKUP(C272,Projetos!A:L,12,false)=TRUE,TRUE,FALSE)</f>
        <v>1</v>
      </c>
      <c r="I272" s="68">
        <v>48.38711890031264</v>
      </c>
      <c r="J272" s="68">
        <f t="shared" si="1"/>
        <v>145.1613567</v>
      </c>
      <c r="K272" s="68" t="b">
        <v>1</v>
      </c>
    </row>
    <row r="273">
      <c r="A273" s="75">
        <v>267.0</v>
      </c>
      <c r="B273" s="62" t="s">
        <v>244</v>
      </c>
      <c r="C273" s="62" t="s">
        <v>103</v>
      </c>
      <c r="D273" s="62" t="s">
        <v>247</v>
      </c>
      <c r="E273" s="76">
        <v>43856.0</v>
      </c>
      <c r="F273" s="77">
        <v>0.20833333333333334</v>
      </c>
      <c r="G273" s="62" t="b">
        <v>1</v>
      </c>
      <c r="H273" s="78" t="b">
        <f>IF(VLOOKUP(C273,Projetos!A:L,12,false)=TRUE,TRUE,FALSE)</f>
        <v>1</v>
      </c>
      <c r="I273" s="68">
        <v>48.38711890031264</v>
      </c>
      <c r="J273" s="68">
        <f t="shared" si="1"/>
        <v>241.9355945</v>
      </c>
      <c r="K273" s="68" t="b">
        <v>1</v>
      </c>
    </row>
    <row r="274" hidden="1">
      <c r="A274" s="75">
        <v>268.0</v>
      </c>
      <c r="B274" s="62" t="s">
        <v>244</v>
      </c>
      <c r="C274" s="62" t="s">
        <v>102</v>
      </c>
      <c r="D274" s="62" t="s">
        <v>248</v>
      </c>
      <c r="E274" s="76">
        <v>43845.0</v>
      </c>
      <c r="F274" s="77">
        <v>0.3645833333333333</v>
      </c>
      <c r="G274" s="62" t="b">
        <v>0</v>
      </c>
      <c r="H274" s="78" t="b">
        <f>IF(VLOOKUP(C274,Projetos!A:L,12,false)=TRUE,TRUE,FALSE)</f>
        <v>0</v>
      </c>
      <c r="I274" s="68">
        <v>48.38711890031264</v>
      </c>
      <c r="J274" s="68">
        <f t="shared" si="1"/>
        <v>0</v>
      </c>
      <c r="K274" s="68" t="b">
        <v>0</v>
      </c>
    </row>
    <row r="275" hidden="1">
      <c r="A275" s="75">
        <v>269.0</v>
      </c>
      <c r="B275" s="62" t="s">
        <v>244</v>
      </c>
      <c r="C275" s="62" t="s">
        <v>102</v>
      </c>
      <c r="D275" s="62" t="s">
        <v>248</v>
      </c>
      <c r="E275" s="76">
        <v>43846.0</v>
      </c>
      <c r="F275" s="77">
        <v>0.20833333333333334</v>
      </c>
      <c r="G275" s="62" t="b">
        <v>0</v>
      </c>
      <c r="H275" s="78" t="b">
        <f>IF(VLOOKUP(C275,Projetos!A:L,12,false)=TRUE,TRUE,FALSE)</f>
        <v>0</v>
      </c>
      <c r="I275" s="68">
        <v>48.38711890031264</v>
      </c>
      <c r="J275" s="68">
        <f t="shared" si="1"/>
        <v>0</v>
      </c>
      <c r="K275" s="68" t="b">
        <v>0</v>
      </c>
    </row>
    <row r="276">
      <c r="A276" s="75">
        <v>270.0</v>
      </c>
      <c r="B276" s="62" t="s">
        <v>244</v>
      </c>
      <c r="C276" s="62" t="s">
        <v>103</v>
      </c>
      <c r="D276" s="62" t="s">
        <v>249</v>
      </c>
      <c r="E276" s="76">
        <v>43865.0</v>
      </c>
      <c r="F276" s="77">
        <v>0.125</v>
      </c>
      <c r="G276" s="62" t="b">
        <v>1</v>
      </c>
      <c r="H276" s="78" t="b">
        <f>IF(VLOOKUP(C276,Projetos!A:L,12,false)=TRUE,TRUE,FALSE)</f>
        <v>1</v>
      </c>
      <c r="I276" s="68">
        <v>46.187704404843885</v>
      </c>
      <c r="J276" s="68">
        <f t="shared" si="1"/>
        <v>138.5631132</v>
      </c>
      <c r="K276" s="68" t="b">
        <v>1</v>
      </c>
    </row>
    <row r="277">
      <c r="A277" s="75">
        <v>271.0</v>
      </c>
      <c r="B277" s="62" t="s">
        <v>244</v>
      </c>
      <c r="C277" s="62" t="s">
        <v>103</v>
      </c>
      <c r="D277" s="62" t="s">
        <v>247</v>
      </c>
      <c r="E277" s="76">
        <v>43872.0</v>
      </c>
      <c r="F277" s="77">
        <v>0.1875</v>
      </c>
      <c r="G277" s="62" t="b">
        <v>1</v>
      </c>
      <c r="H277" s="78" t="b">
        <f>IF(VLOOKUP(C277,Projetos!A:L,12,false)=TRUE,TRUE,FALSE)</f>
        <v>1</v>
      </c>
      <c r="I277" s="68">
        <v>46.187704404843885</v>
      </c>
      <c r="J277" s="68">
        <f t="shared" si="1"/>
        <v>207.8446698</v>
      </c>
      <c r="K277" s="68" t="b">
        <v>1</v>
      </c>
    </row>
    <row r="278" hidden="1">
      <c r="A278" s="75">
        <v>272.0</v>
      </c>
      <c r="B278" s="62" t="s">
        <v>244</v>
      </c>
      <c r="C278" s="62" t="s">
        <v>102</v>
      </c>
      <c r="D278" s="62" t="s">
        <v>250</v>
      </c>
      <c r="E278" s="76">
        <v>43873.0</v>
      </c>
      <c r="F278" s="77">
        <v>0.10416666666666667</v>
      </c>
      <c r="G278" s="62" t="b">
        <v>0</v>
      </c>
      <c r="H278" s="78" t="b">
        <f>IF(VLOOKUP(C278,Projetos!A:L,12,false)=TRUE,TRUE,FALSE)</f>
        <v>0</v>
      </c>
      <c r="I278" s="68">
        <v>46.187704404843885</v>
      </c>
      <c r="J278" s="68">
        <f t="shared" si="1"/>
        <v>0</v>
      </c>
      <c r="K278" s="68" t="b">
        <v>0</v>
      </c>
    </row>
    <row r="279" hidden="1">
      <c r="A279" s="75">
        <v>273.0</v>
      </c>
      <c r="B279" s="62" t="s">
        <v>244</v>
      </c>
      <c r="C279" s="62" t="s">
        <v>102</v>
      </c>
      <c r="D279" s="62" t="s">
        <v>250</v>
      </c>
      <c r="E279" s="76">
        <v>43877.0</v>
      </c>
      <c r="F279" s="77">
        <v>0.14583333333333334</v>
      </c>
      <c r="G279" s="62" t="b">
        <v>0</v>
      </c>
      <c r="H279" s="78" t="b">
        <f>IF(VLOOKUP(C279,Projetos!A:L,12,false)=TRUE,TRUE,FALSE)</f>
        <v>0</v>
      </c>
      <c r="I279" s="68">
        <v>46.187704404843885</v>
      </c>
      <c r="J279" s="68">
        <f t="shared" si="1"/>
        <v>0</v>
      </c>
      <c r="K279" s="68" t="b">
        <v>0</v>
      </c>
    </row>
    <row r="280" hidden="1">
      <c r="A280" s="75">
        <v>274.0</v>
      </c>
      <c r="B280" s="62" t="s">
        <v>244</v>
      </c>
      <c r="C280" s="62" t="s">
        <v>109</v>
      </c>
      <c r="D280" s="62" t="s">
        <v>251</v>
      </c>
      <c r="E280" s="76">
        <v>43927.0</v>
      </c>
      <c r="F280" s="77">
        <v>0.0625</v>
      </c>
      <c r="G280" s="62" t="b">
        <v>0</v>
      </c>
      <c r="H280" s="78" t="b">
        <f>IF(VLOOKUP(C280,Projetos!A:L,12,false)=TRUE,TRUE,FALSE)</f>
        <v>0</v>
      </c>
      <c r="I280" s="68">
        <v>46.187704404843885</v>
      </c>
      <c r="J280" s="68">
        <f t="shared" si="1"/>
        <v>0</v>
      </c>
      <c r="K280" s="68" t="b">
        <v>0</v>
      </c>
    </row>
    <row r="281" hidden="1">
      <c r="A281" s="75">
        <v>275.0</v>
      </c>
      <c r="B281" s="62" t="s">
        <v>244</v>
      </c>
      <c r="C281" s="62" t="s">
        <v>109</v>
      </c>
      <c r="D281" s="62" t="s">
        <v>251</v>
      </c>
      <c r="E281" s="76">
        <v>43928.0</v>
      </c>
      <c r="F281" s="77">
        <v>0.08333333333333333</v>
      </c>
      <c r="G281" s="62" t="b">
        <v>0</v>
      </c>
      <c r="H281" s="78" t="b">
        <f>IF(VLOOKUP(C281,Projetos!A:L,12,false)=TRUE,TRUE,FALSE)</f>
        <v>0</v>
      </c>
      <c r="I281" s="68">
        <v>46.187704404843885</v>
      </c>
      <c r="J281" s="68">
        <f t="shared" si="1"/>
        <v>0</v>
      </c>
      <c r="K281" s="68" t="b">
        <v>0</v>
      </c>
    </row>
    <row r="282" hidden="1">
      <c r="A282" s="75">
        <v>276.0</v>
      </c>
      <c r="B282" s="62" t="s">
        <v>244</v>
      </c>
      <c r="C282" s="62" t="s">
        <v>109</v>
      </c>
      <c r="D282" s="62" t="s">
        <v>252</v>
      </c>
      <c r="E282" s="76">
        <v>43930.0</v>
      </c>
      <c r="F282" s="77">
        <v>0.06944444444444445</v>
      </c>
      <c r="G282" s="62" t="b">
        <v>0</v>
      </c>
      <c r="H282" s="78" t="b">
        <f>IF(VLOOKUP(C282,Projetos!A:L,12,false)=TRUE,TRUE,FALSE)</f>
        <v>0</v>
      </c>
      <c r="I282" s="68">
        <v>46.187704404843885</v>
      </c>
      <c r="J282" s="68">
        <f t="shared" si="1"/>
        <v>0</v>
      </c>
      <c r="K282" s="68" t="b">
        <v>0</v>
      </c>
    </row>
    <row r="283" hidden="1">
      <c r="A283" s="75">
        <v>277.0</v>
      </c>
      <c r="B283" s="62" t="s">
        <v>244</v>
      </c>
      <c r="C283" s="62" t="s">
        <v>109</v>
      </c>
      <c r="D283" s="62" t="s">
        <v>251</v>
      </c>
      <c r="E283" s="76">
        <v>43935.0</v>
      </c>
      <c r="F283" s="77">
        <v>0.125</v>
      </c>
      <c r="G283" s="62" t="b">
        <v>0</v>
      </c>
      <c r="H283" s="78" t="b">
        <f>IF(VLOOKUP(C283,Projetos!A:L,12,false)=TRUE,TRUE,FALSE)</f>
        <v>0</v>
      </c>
      <c r="I283" s="68">
        <v>46.187704404843885</v>
      </c>
      <c r="J283" s="68">
        <f t="shared" si="1"/>
        <v>0</v>
      </c>
      <c r="K283" s="68" t="b">
        <v>0</v>
      </c>
    </row>
    <row r="284" hidden="1">
      <c r="A284" s="75">
        <v>278.0</v>
      </c>
      <c r="B284" s="62" t="s">
        <v>244</v>
      </c>
      <c r="C284" s="62" t="s">
        <v>109</v>
      </c>
      <c r="D284" s="62" t="s">
        <v>251</v>
      </c>
      <c r="E284" s="76">
        <v>43936.0</v>
      </c>
      <c r="F284" s="77">
        <v>0.0625</v>
      </c>
      <c r="G284" s="62" t="b">
        <v>0</v>
      </c>
      <c r="H284" s="78" t="b">
        <f>IF(VLOOKUP(C284,Projetos!A:L,12,false)=TRUE,TRUE,FALSE)</f>
        <v>0</v>
      </c>
      <c r="I284" s="68">
        <v>46.187704404843885</v>
      </c>
      <c r="J284" s="68">
        <f t="shared" si="1"/>
        <v>0</v>
      </c>
      <c r="K284" s="68" t="b">
        <v>0</v>
      </c>
    </row>
    <row r="285" hidden="1">
      <c r="A285" s="75">
        <v>279.0</v>
      </c>
      <c r="B285" s="62" t="s">
        <v>244</v>
      </c>
      <c r="C285" s="62" t="s">
        <v>109</v>
      </c>
      <c r="D285" s="62" t="s">
        <v>251</v>
      </c>
      <c r="E285" s="76">
        <v>43938.0</v>
      </c>
      <c r="F285" s="77">
        <v>0.041666666666666664</v>
      </c>
      <c r="G285" s="62" t="b">
        <v>0</v>
      </c>
      <c r="H285" s="78" t="b">
        <f>IF(VLOOKUP(C285,Projetos!A:L,12,false)=TRUE,TRUE,FALSE)</f>
        <v>0</v>
      </c>
      <c r="I285" s="68">
        <v>46.187704404843885</v>
      </c>
      <c r="J285" s="68">
        <f t="shared" si="1"/>
        <v>0</v>
      </c>
      <c r="K285" s="68" t="b">
        <v>0</v>
      </c>
    </row>
    <row r="286" hidden="1">
      <c r="A286" s="75">
        <v>280.0</v>
      </c>
      <c r="B286" s="62" t="s">
        <v>244</v>
      </c>
      <c r="C286" s="62" t="s">
        <v>109</v>
      </c>
      <c r="D286" s="62" t="s">
        <v>253</v>
      </c>
      <c r="E286" s="76">
        <v>43944.0</v>
      </c>
      <c r="F286" s="77">
        <v>0.06944444444444445</v>
      </c>
      <c r="G286" s="62" t="b">
        <v>0</v>
      </c>
      <c r="H286" s="78" t="b">
        <f>IF(VLOOKUP(C286,Projetos!A:L,12,false)=TRUE,TRUE,FALSE)</f>
        <v>0</v>
      </c>
      <c r="I286" s="68">
        <v>46.187704404843885</v>
      </c>
      <c r="J286" s="68">
        <f t="shared" si="1"/>
        <v>0</v>
      </c>
      <c r="K286" s="68" t="b">
        <v>0</v>
      </c>
    </row>
    <row r="287" hidden="1">
      <c r="A287" s="75">
        <v>281.0</v>
      </c>
      <c r="B287" s="62" t="s">
        <v>244</v>
      </c>
      <c r="C287" s="62" t="s">
        <v>109</v>
      </c>
      <c r="D287" s="62" t="s">
        <v>251</v>
      </c>
      <c r="E287" s="76">
        <v>43945.0</v>
      </c>
      <c r="F287" s="77">
        <v>0.05555555555555555</v>
      </c>
      <c r="G287" s="62" t="b">
        <v>0</v>
      </c>
      <c r="H287" s="78" t="b">
        <f>IF(VLOOKUP(C287,Projetos!A:L,12,false)=TRUE,TRUE,FALSE)</f>
        <v>0</v>
      </c>
      <c r="I287" s="68">
        <v>46.187704404843885</v>
      </c>
      <c r="J287" s="68">
        <f t="shared" si="1"/>
        <v>0</v>
      </c>
      <c r="K287" s="68" t="b">
        <v>0</v>
      </c>
    </row>
    <row r="288" hidden="1">
      <c r="A288" s="75">
        <v>282.0</v>
      </c>
      <c r="B288" s="62" t="s">
        <v>244</v>
      </c>
      <c r="C288" s="62" t="s">
        <v>109</v>
      </c>
      <c r="D288" s="62" t="s">
        <v>251</v>
      </c>
      <c r="E288" s="76">
        <v>43949.0</v>
      </c>
      <c r="F288" s="77">
        <v>0.0625</v>
      </c>
      <c r="G288" s="62" t="b">
        <v>0</v>
      </c>
      <c r="H288" s="78" t="b">
        <f>IF(VLOOKUP(C288,Projetos!A:L,12,false)=TRUE,TRUE,FALSE)</f>
        <v>0</v>
      </c>
      <c r="I288" s="68">
        <v>46.187704404843885</v>
      </c>
      <c r="J288" s="68">
        <f t="shared" si="1"/>
        <v>0</v>
      </c>
      <c r="K288" s="68" t="b">
        <v>0</v>
      </c>
    </row>
    <row r="289" hidden="1">
      <c r="A289" s="75">
        <v>283.0</v>
      </c>
      <c r="B289" s="62" t="s">
        <v>244</v>
      </c>
      <c r="C289" s="62" t="s">
        <v>109</v>
      </c>
      <c r="D289" s="62" t="s">
        <v>251</v>
      </c>
      <c r="E289" s="76">
        <v>43950.0</v>
      </c>
      <c r="F289" s="77">
        <v>0.06944444444444445</v>
      </c>
      <c r="G289" s="62" t="b">
        <v>0</v>
      </c>
      <c r="H289" s="78" t="b">
        <f>IF(VLOOKUP(C289,Projetos!A:L,12,false)=TRUE,TRUE,FALSE)</f>
        <v>0</v>
      </c>
      <c r="I289" s="68">
        <v>46.187704404843885</v>
      </c>
      <c r="J289" s="68">
        <f t="shared" si="1"/>
        <v>0</v>
      </c>
      <c r="K289" s="68" t="b">
        <v>0</v>
      </c>
    </row>
    <row r="290" hidden="1">
      <c r="A290" s="75">
        <v>284.0</v>
      </c>
      <c r="B290" s="62" t="s">
        <v>244</v>
      </c>
      <c r="C290" s="62" t="s">
        <v>109</v>
      </c>
      <c r="D290" s="62" t="s">
        <v>254</v>
      </c>
      <c r="E290" s="76">
        <v>43955.0</v>
      </c>
      <c r="F290" s="77">
        <v>0.10416666666666667</v>
      </c>
      <c r="G290" s="62" t="b">
        <v>0</v>
      </c>
      <c r="H290" s="78" t="b">
        <f>IF(VLOOKUP(C290,Projetos!A:L,12,false)=TRUE,TRUE,FALSE)</f>
        <v>0</v>
      </c>
      <c r="I290" s="68">
        <v>48.38711890031264</v>
      </c>
      <c r="J290" s="68">
        <f t="shared" si="1"/>
        <v>0</v>
      </c>
      <c r="K290" s="68" t="b">
        <v>0</v>
      </c>
    </row>
    <row r="291" hidden="1">
      <c r="A291" s="75">
        <v>285.0</v>
      </c>
      <c r="B291" s="62" t="s">
        <v>244</v>
      </c>
      <c r="C291" s="62" t="s">
        <v>109</v>
      </c>
      <c r="D291" s="62" t="s">
        <v>254</v>
      </c>
      <c r="E291" s="76">
        <v>43956.0</v>
      </c>
      <c r="F291" s="77">
        <v>0.125</v>
      </c>
      <c r="G291" s="62" t="b">
        <v>0</v>
      </c>
      <c r="H291" s="78" t="b">
        <f>IF(VLOOKUP(C291,Projetos!A:L,12,false)=TRUE,TRUE,FALSE)</f>
        <v>0</v>
      </c>
      <c r="I291" s="68">
        <v>48.38711890031264</v>
      </c>
      <c r="J291" s="68">
        <f t="shared" si="1"/>
        <v>0</v>
      </c>
      <c r="K291" s="68" t="b">
        <v>0</v>
      </c>
    </row>
    <row r="292" hidden="1">
      <c r="A292" s="75">
        <v>286.0</v>
      </c>
      <c r="B292" s="62" t="s">
        <v>244</v>
      </c>
      <c r="C292" s="62" t="s">
        <v>109</v>
      </c>
      <c r="D292" s="62" t="s">
        <v>254</v>
      </c>
      <c r="E292" s="76">
        <v>43957.0</v>
      </c>
      <c r="F292" s="77">
        <v>0.20833333333333334</v>
      </c>
      <c r="G292" s="62" t="b">
        <v>0</v>
      </c>
      <c r="H292" s="78" t="b">
        <f>IF(VLOOKUP(C292,Projetos!A:L,12,false)=TRUE,TRUE,FALSE)</f>
        <v>0</v>
      </c>
      <c r="I292" s="68">
        <v>48.38711890031264</v>
      </c>
      <c r="J292" s="68">
        <f t="shared" si="1"/>
        <v>0</v>
      </c>
      <c r="K292" s="68" t="b">
        <v>0</v>
      </c>
    </row>
    <row r="293" hidden="1">
      <c r="A293" s="75">
        <v>287.0</v>
      </c>
      <c r="B293" s="62" t="s">
        <v>244</v>
      </c>
      <c r="C293" s="62" t="s">
        <v>109</v>
      </c>
      <c r="D293" s="62" t="s">
        <v>254</v>
      </c>
      <c r="E293" s="76">
        <v>43958.0</v>
      </c>
      <c r="F293" s="77">
        <v>0.08333333333333333</v>
      </c>
      <c r="G293" s="62" t="b">
        <v>0</v>
      </c>
      <c r="H293" s="78" t="b">
        <f>IF(VLOOKUP(C293,Projetos!A:L,12,false)=TRUE,TRUE,FALSE)</f>
        <v>0</v>
      </c>
      <c r="I293" s="68">
        <v>48.38711890031264</v>
      </c>
      <c r="J293" s="68">
        <f t="shared" si="1"/>
        <v>0</v>
      </c>
      <c r="K293" s="68" t="b">
        <v>0</v>
      </c>
    </row>
    <row r="294" hidden="1">
      <c r="A294" s="75">
        <v>288.0</v>
      </c>
      <c r="B294" s="62" t="s">
        <v>244</v>
      </c>
      <c r="C294" s="62" t="s">
        <v>109</v>
      </c>
      <c r="D294" s="62" t="s">
        <v>254</v>
      </c>
      <c r="E294" s="76">
        <v>43959.0</v>
      </c>
      <c r="F294" s="77">
        <v>0.14583333333333334</v>
      </c>
      <c r="G294" s="62" t="b">
        <v>0</v>
      </c>
      <c r="H294" s="78" t="b">
        <f>IF(VLOOKUP(C294,Projetos!A:L,12,false)=TRUE,TRUE,FALSE)</f>
        <v>0</v>
      </c>
      <c r="I294" s="68">
        <v>48.38711890031264</v>
      </c>
      <c r="J294" s="68">
        <f t="shared" si="1"/>
        <v>0</v>
      </c>
      <c r="K294" s="68" t="b">
        <v>0</v>
      </c>
    </row>
    <row r="295" hidden="1">
      <c r="A295" s="75">
        <v>289.0</v>
      </c>
      <c r="B295" s="62" t="s">
        <v>244</v>
      </c>
      <c r="C295" s="62" t="s">
        <v>109</v>
      </c>
      <c r="D295" s="62" t="s">
        <v>254</v>
      </c>
      <c r="E295" s="76">
        <v>43962.0</v>
      </c>
      <c r="F295" s="77">
        <v>0.16666666666666666</v>
      </c>
      <c r="G295" s="62" t="b">
        <v>0</v>
      </c>
      <c r="H295" s="78" t="b">
        <f>IF(VLOOKUP(C295,Projetos!A:L,12,false)=TRUE,TRUE,FALSE)</f>
        <v>0</v>
      </c>
      <c r="I295" s="68">
        <v>48.38711890031264</v>
      </c>
      <c r="J295" s="68">
        <f t="shared" si="1"/>
        <v>0</v>
      </c>
      <c r="K295" s="68" t="b">
        <v>0</v>
      </c>
    </row>
    <row r="296" hidden="1">
      <c r="A296" s="75">
        <v>290.0</v>
      </c>
      <c r="B296" s="62" t="s">
        <v>244</v>
      </c>
      <c r="C296" s="62" t="s">
        <v>109</v>
      </c>
      <c r="D296" s="62" t="s">
        <v>254</v>
      </c>
      <c r="E296" s="76">
        <v>43963.0</v>
      </c>
      <c r="F296" s="77">
        <v>0.125</v>
      </c>
      <c r="G296" s="62" t="b">
        <v>0</v>
      </c>
      <c r="H296" s="78" t="b">
        <f>IF(VLOOKUP(C296,Projetos!A:L,12,false)=TRUE,TRUE,FALSE)</f>
        <v>0</v>
      </c>
      <c r="I296" s="68">
        <v>48.38711890031264</v>
      </c>
      <c r="J296" s="68">
        <f t="shared" si="1"/>
        <v>0</v>
      </c>
      <c r="K296" s="68" t="b">
        <v>0</v>
      </c>
    </row>
    <row r="297" hidden="1">
      <c r="A297" s="75">
        <v>291.0</v>
      </c>
      <c r="B297" s="62" t="s">
        <v>244</v>
      </c>
      <c r="C297" s="62" t="s">
        <v>109</v>
      </c>
      <c r="D297" s="62" t="s">
        <v>254</v>
      </c>
      <c r="E297" s="76">
        <v>43964.0</v>
      </c>
      <c r="F297" s="77">
        <v>0.16666666666666666</v>
      </c>
      <c r="G297" s="62" t="b">
        <v>0</v>
      </c>
      <c r="H297" s="78" t="b">
        <f>IF(VLOOKUP(C297,Projetos!A:L,12,false)=TRUE,TRUE,FALSE)</f>
        <v>0</v>
      </c>
      <c r="I297" s="68">
        <v>48.38711890031264</v>
      </c>
      <c r="J297" s="68">
        <f t="shared" si="1"/>
        <v>0</v>
      </c>
      <c r="K297" s="68" t="b">
        <v>0</v>
      </c>
    </row>
    <row r="298" hidden="1">
      <c r="A298" s="75">
        <v>292.0</v>
      </c>
      <c r="B298" s="62" t="s">
        <v>244</v>
      </c>
      <c r="C298" s="62" t="s">
        <v>109</v>
      </c>
      <c r="D298" s="62" t="s">
        <v>254</v>
      </c>
      <c r="E298" s="76">
        <v>43965.0</v>
      </c>
      <c r="F298" s="77">
        <v>0.20833333333333334</v>
      </c>
      <c r="G298" s="62" t="b">
        <v>0</v>
      </c>
      <c r="H298" s="78" t="b">
        <f>IF(VLOOKUP(C298,Projetos!A:L,12,false)=TRUE,TRUE,FALSE)</f>
        <v>0</v>
      </c>
      <c r="I298" s="68">
        <v>48.38711890031264</v>
      </c>
      <c r="J298" s="68">
        <f t="shared" si="1"/>
        <v>0</v>
      </c>
      <c r="K298" s="68" t="b">
        <v>0</v>
      </c>
    </row>
    <row r="299" hidden="1">
      <c r="A299" s="75">
        <v>293.0</v>
      </c>
      <c r="B299" s="62" t="s">
        <v>244</v>
      </c>
      <c r="C299" s="62" t="s">
        <v>109</v>
      </c>
      <c r="D299" s="62" t="s">
        <v>254</v>
      </c>
      <c r="E299" s="76">
        <v>43966.0</v>
      </c>
      <c r="F299" s="77">
        <v>0.25</v>
      </c>
      <c r="G299" s="62" t="b">
        <v>0</v>
      </c>
      <c r="H299" s="78" t="b">
        <f>IF(VLOOKUP(C299,Projetos!A:L,12,false)=TRUE,TRUE,FALSE)</f>
        <v>0</v>
      </c>
      <c r="I299" s="68">
        <v>48.38711890031264</v>
      </c>
      <c r="J299" s="68">
        <f t="shared" si="1"/>
        <v>0</v>
      </c>
      <c r="K299" s="68" t="b">
        <v>0</v>
      </c>
    </row>
    <row r="300" hidden="1">
      <c r="A300" s="75">
        <v>294.0</v>
      </c>
      <c r="B300" s="62" t="s">
        <v>244</v>
      </c>
      <c r="C300" s="62" t="s">
        <v>109</v>
      </c>
      <c r="D300" s="62" t="s">
        <v>254</v>
      </c>
      <c r="E300" s="76">
        <v>43967.0</v>
      </c>
      <c r="F300" s="77">
        <v>0.375</v>
      </c>
      <c r="G300" s="62" t="b">
        <v>0</v>
      </c>
      <c r="H300" s="78" t="b">
        <f>IF(VLOOKUP(C300,Projetos!A:L,12,false)=TRUE,TRUE,FALSE)</f>
        <v>0</v>
      </c>
      <c r="I300" s="68">
        <v>48.38711890031264</v>
      </c>
      <c r="J300" s="68">
        <f t="shared" si="1"/>
        <v>0</v>
      </c>
      <c r="K300" s="68" t="b">
        <v>0</v>
      </c>
    </row>
    <row r="301" hidden="1">
      <c r="A301" s="75">
        <v>295.0</v>
      </c>
      <c r="B301" s="62" t="s">
        <v>244</v>
      </c>
      <c r="C301" s="62" t="s">
        <v>109</v>
      </c>
      <c r="D301" s="62" t="s">
        <v>254</v>
      </c>
      <c r="E301" s="76">
        <v>43969.0</v>
      </c>
      <c r="F301" s="77">
        <v>0.2708333333333333</v>
      </c>
      <c r="G301" s="62" t="b">
        <v>0</v>
      </c>
      <c r="H301" s="78" t="b">
        <f>IF(VLOOKUP(C301,Projetos!A:L,12,false)=TRUE,TRUE,FALSE)</f>
        <v>0</v>
      </c>
      <c r="I301" s="68">
        <v>48.38711890031264</v>
      </c>
      <c r="J301" s="68">
        <f t="shared" si="1"/>
        <v>0</v>
      </c>
      <c r="K301" s="68" t="b">
        <v>0</v>
      </c>
    </row>
    <row r="302" hidden="1">
      <c r="A302" s="75">
        <v>296.0</v>
      </c>
      <c r="B302" s="62" t="s">
        <v>244</v>
      </c>
      <c r="C302" s="62" t="s">
        <v>109</v>
      </c>
      <c r="D302" s="62" t="s">
        <v>254</v>
      </c>
      <c r="E302" s="76">
        <v>43970.0</v>
      </c>
      <c r="F302" s="77">
        <v>0.2708333333333333</v>
      </c>
      <c r="G302" s="62" t="b">
        <v>0</v>
      </c>
      <c r="H302" s="78" t="b">
        <f>IF(VLOOKUP(C302,Projetos!A:L,12,false)=TRUE,TRUE,FALSE)</f>
        <v>0</v>
      </c>
      <c r="I302" s="68">
        <v>48.38711890031264</v>
      </c>
      <c r="J302" s="68">
        <f t="shared" si="1"/>
        <v>0</v>
      </c>
      <c r="K302" s="68" t="b">
        <v>0</v>
      </c>
    </row>
    <row r="303" hidden="1">
      <c r="A303" s="75">
        <v>297.0</v>
      </c>
      <c r="B303" s="62" t="s">
        <v>244</v>
      </c>
      <c r="C303" s="62" t="s">
        <v>109</v>
      </c>
      <c r="D303" s="62" t="s">
        <v>254</v>
      </c>
      <c r="E303" s="76">
        <v>43971.0</v>
      </c>
      <c r="F303" s="77">
        <v>0.25</v>
      </c>
      <c r="G303" s="62" t="b">
        <v>0</v>
      </c>
      <c r="H303" s="78" t="b">
        <f>IF(VLOOKUP(C303,Projetos!A:L,12,false)=TRUE,TRUE,FALSE)</f>
        <v>0</v>
      </c>
      <c r="I303" s="68">
        <v>48.38711890031264</v>
      </c>
      <c r="J303" s="68">
        <f t="shared" si="1"/>
        <v>0</v>
      </c>
      <c r="K303" s="68" t="b">
        <v>0</v>
      </c>
    </row>
    <row r="304" hidden="1">
      <c r="A304" s="75">
        <v>298.0</v>
      </c>
      <c r="B304" s="62" t="s">
        <v>244</v>
      </c>
      <c r="C304" s="62" t="s">
        <v>109</v>
      </c>
      <c r="D304" s="62" t="s">
        <v>254</v>
      </c>
      <c r="E304" s="76">
        <v>43972.0</v>
      </c>
      <c r="F304" s="77">
        <v>0.2708333333333333</v>
      </c>
      <c r="G304" s="62" t="b">
        <v>0</v>
      </c>
      <c r="H304" s="78" t="b">
        <f>IF(VLOOKUP(C304,Projetos!A:L,12,false)=TRUE,TRUE,FALSE)</f>
        <v>0</v>
      </c>
      <c r="I304" s="68">
        <v>48.38711890031264</v>
      </c>
      <c r="J304" s="68">
        <f t="shared" si="1"/>
        <v>0</v>
      </c>
      <c r="K304" s="68" t="b">
        <v>0</v>
      </c>
    </row>
    <row r="305" hidden="1">
      <c r="A305" s="75">
        <v>299.0</v>
      </c>
      <c r="B305" s="62" t="s">
        <v>244</v>
      </c>
      <c r="C305" s="62" t="s">
        <v>109</v>
      </c>
      <c r="D305" s="62" t="s">
        <v>254</v>
      </c>
      <c r="E305" s="76">
        <v>43973.0</v>
      </c>
      <c r="F305" s="77">
        <v>0.2916666666666667</v>
      </c>
      <c r="G305" s="62" t="b">
        <v>0</v>
      </c>
      <c r="H305" s="78" t="b">
        <f>IF(VLOOKUP(C305,Projetos!A:L,12,false)=TRUE,TRUE,FALSE)</f>
        <v>0</v>
      </c>
      <c r="I305" s="68">
        <v>48.38711890031264</v>
      </c>
      <c r="J305" s="68">
        <f t="shared" si="1"/>
        <v>0</v>
      </c>
      <c r="K305" s="68" t="b">
        <v>0</v>
      </c>
    </row>
    <row r="306" hidden="1">
      <c r="A306" s="75">
        <v>300.0</v>
      </c>
      <c r="B306" s="62" t="s">
        <v>244</v>
      </c>
      <c r="C306" s="62" t="s">
        <v>109</v>
      </c>
      <c r="D306" s="62" t="s">
        <v>254</v>
      </c>
      <c r="E306" s="76">
        <v>43974.0</v>
      </c>
      <c r="F306" s="77">
        <v>0.3541666666666667</v>
      </c>
      <c r="G306" s="62" t="b">
        <v>0</v>
      </c>
      <c r="H306" s="78" t="b">
        <f>IF(VLOOKUP(C306,Projetos!A:L,12,false)=TRUE,TRUE,FALSE)</f>
        <v>0</v>
      </c>
      <c r="I306" s="68">
        <v>48.38711890031264</v>
      </c>
      <c r="J306" s="68">
        <f t="shared" si="1"/>
        <v>0</v>
      </c>
      <c r="K306" s="68" t="b">
        <v>0</v>
      </c>
    </row>
    <row r="307" hidden="1">
      <c r="A307" s="75">
        <v>301.0</v>
      </c>
      <c r="B307" s="62" t="s">
        <v>244</v>
      </c>
      <c r="C307" s="62" t="s">
        <v>109</v>
      </c>
      <c r="D307" s="62" t="s">
        <v>254</v>
      </c>
      <c r="E307" s="76">
        <v>43976.0</v>
      </c>
      <c r="F307" s="77">
        <v>0.3055555555555556</v>
      </c>
      <c r="G307" s="62" t="b">
        <v>0</v>
      </c>
      <c r="H307" s="78" t="b">
        <f>IF(VLOOKUP(C307,Projetos!A:L,12,false)=TRUE,TRUE,FALSE)</f>
        <v>0</v>
      </c>
      <c r="I307" s="68">
        <v>48.38711890031264</v>
      </c>
      <c r="J307" s="68">
        <f t="shared" si="1"/>
        <v>0</v>
      </c>
      <c r="K307" s="68" t="b">
        <v>0</v>
      </c>
    </row>
    <row r="308" hidden="1">
      <c r="A308" s="75">
        <v>302.0</v>
      </c>
      <c r="B308" s="62" t="s">
        <v>244</v>
      </c>
      <c r="C308" s="62" t="s">
        <v>109</v>
      </c>
      <c r="D308" s="62" t="s">
        <v>254</v>
      </c>
      <c r="E308" s="76">
        <v>43977.0</v>
      </c>
      <c r="F308" s="77">
        <v>0.2708333333333333</v>
      </c>
      <c r="G308" s="62" t="b">
        <v>0</v>
      </c>
      <c r="H308" s="78" t="b">
        <f>IF(VLOOKUP(C308,Projetos!A:L,12,false)=TRUE,TRUE,FALSE)</f>
        <v>0</v>
      </c>
      <c r="I308" s="68">
        <v>48.38711890031264</v>
      </c>
      <c r="J308" s="68">
        <f t="shared" si="1"/>
        <v>0</v>
      </c>
      <c r="K308" s="68" t="b">
        <v>0</v>
      </c>
    </row>
    <row r="309" hidden="1">
      <c r="A309" s="75">
        <v>303.0</v>
      </c>
      <c r="B309" s="62" t="s">
        <v>244</v>
      </c>
      <c r="C309" s="62" t="s">
        <v>109</v>
      </c>
      <c r="D309" s="62" t="s">
        <v>254</v>
      </c>
      <c r="E309" s="76">
        <v>43978.0</v>
      </c>
      <c r="F309" s="77">
        <v>0.3958333333333333</v>
      </c>
      <c r="G309" s="62" t="b">
        <v>0</v>
      </c>
      <c r="H309" s="78" t="b">
        <f>IF(VLOOKUP(C309,Projetos!A:L,12,false)=TRUE,TRUE,FALSE)</f>
        <v>0</v>
      </c>
      <c r="I309" s="68">
        <v>48.38711890031264</v>
      </c>
      <c r="J309" s="68">
        <f t="shared" si="1"/>
        <v>0</v>
      </c>
      <c r="K309" s="68" t="b">
        <v>0</v>
      </c>
    </row>
    <row r="310" hidden="1">
      <c r="A310" s="75">
        <v>304.0</v>
      </c>
      <c r="B310" s="62" t="s">
        <v>244</v>
      </c>
      <c r="C310" s="62" t="s">
        <v>109</v>
      </c>
      <c r="D310" s="62" t="s">
        <v>254</v>
      </c>
      <c r="E310" s="76">
        <v>43979.0</v>
      </c>
      <c r="F310" s="77">
        <v>0.4375</v>
      </c>
      <c r="G310" s="62" t="b">
        <v>0</v>
      </c>
      <c r="H310" s="78" t="b">
        <f>IF(VLOOKUP(C310,Projetos!A:L,12,false)=TRUE,TRUE,FALSE)</f>
        <v>0</v>
      </c>
      <c r="I310" s="68">
        <v>48.38711890031264</v>
      </c>
      <c r="J310" s="68">
        <f t="shared" si="1"/>
        <v>0</v>
      </c>
      <c r="K310" s="68" t="b">
        <v>0</v>
      </c>
    </row>
    <row r="311" hidden="1">
      <c r="A311" s="75">
        <v>305.0</v>
      </c>
      <c r="B311" s="62" t="s">
        <v>244</v>
      </c>
      <c r="C311" s="62" t="s">
        <v>109</v>
      </c>
      <c r="D311" s="62" t="s">
        <v>255</v>
      </c>
      <c r="E311" s="76">
        <v>43980.0</v>
      </c>
      <c r="F311" s="77">
        <v>0.4166666666666667</v>
      </c>
      <c r="G311" s="62" t="b">
        <v>0</v>
      </c>
      <c r="H311" s="78" t="b">
        <f>IF(VLOOKUP(C311,Projetos!A:L,12,false)=TRUE,TRUE,FALSE)</f>
        <v>0</v>
      </c>
      <c r="I311" s="68">
        <v>48.38711890031264</v>
      </c>
      <c r="J311" s="68">
        <f t="shared" si="1"/>
        <v>0</v>
      </c>
      <c r="K311" s="68" t="b">
        <v>0</v>
      </c>
    </row>
    <row r="312" hidden="1">
      <c r="A312" s="75">
        <v>306.0</v>
      </c>
      <c r="B312" s="62" t="s">
        <v>244</v>
      </c>
      <c r="C312" s="62" t="s">
        <v>109</v>
      </c>
      <c r="D312" s="62" t="s">
        <v>256</v>
      </c>
      <c r="E312" s="76">
        <v>43983.0</v>
      </c>
      <c r="F312" s="77">
        <v>0.25</v>
      </c>
      <c r="G312" s="62" t="b">
        <v>0</v>
      </c>
      <c r="H312" s="78" t="b">
        <f>IF(VLOOKUP(C312,Projetos!A:L,12,false)=TRUE,TRUE,FALSE)</f>
        <v>0</v>
      </c>
      <c r="I312" s="68">
        <v>46.187704404843885</v>
      </c>
      <c r="J312" s="68">
        <f t="shared" si="1"/>
        <v>0</v>
      </c>
      <c r="K312" s="68" t="b">
        <v>0</v>
      </c>
    </row>
    <row r="313" hidden="1">
      <c r="A313" s="75">
        <v>307.0</v>
      </c>
      <c r="B313" s="62" t="s">
        <v>244</v>
      </c>
      <c r="C313" s="62" t="s">
        <v>109</v>
      </c>
      <c r="D313" s="62" t="s">
        <v>256</v>
      </c>
      <c r="E313" s="76">
        <v>43984.0</v>
      </c>
      <c r="F313" s="77">
        <v>0.2916666666666667</v>
      </c>
      <c r="G313" s="62" t="b">
        <v>0</v>
      </c>
      <c r="H313" s="78" t="b">
        <f>IF(VLOOKUP(C313,Projetos!A:L,12,false)=TRUE,TRUE,FALSE)</f>
        <v>0</v>
      </c>
      <c r="I313" s="68">
        <v>46.187704404843885</v>
      </c>
      <c r="J313" s="68">
        <f t="shared" si="1"/>
        <v>0</v>
      </c>
      <c r="K313" s="68" t="b">
        <v>0</v>
      </c>
    </row>
    <row r="314" hidden="1">
      <c r="A314" s="75">
        <v>308.0</v>
      </c>
      <c r="B314" s="62" t="s">
        <v>244</v>
      </c>
      <c r="C314" s="62" t="s">
        <v>109</v>
      </c>
      <c r="D314" s="62" t="s">
        <v>256</v>
      </c>
      <c r="E314" s="76">
        <v>43985.0</v>
      </c>
      <c r="F314" s="77">
        <v>0.125</v>
      </c>
      <c r="G314" s="62" t="b">
        <v>0</v>
      </c>
      <c r="H314" s="78" t="b">
        <f>IF(VLOOKUP(C314,Projetos!A:L,12,false)=TRUE,TRUE,FALSE)</f>
        <v>0</v>
      </c>
      <c r="I314" s="68">
        <v>46.187704404843885</v>
      </c>
      <c r="J314" s="68">
        <f t="shared" si="1"/>
        <v>0</v>
      </c>
      <c r="K314" s="68" t="b">
        <v>0</v>
      </c>
    </row>
    <row r="315" hidden="1">
      <c r="A315" s="75">
        <v>309.0</v>
      </c>
      <c r="B315" s="62" t="s">
        <v>244</v>
      </c>
      <c r="C315" s="62" t="s">
        <v>109</v>
      </c>
      <c r="D315" s="62" t="s">
        <v>256</v>
      </c>
      <c r="E315" s="76">
        <v>43986.0</v>
      </c>
      <c r="F315" s="77">
        <v>0.2708333333333333</v>
      </c>
      <c r="G315" s="62" t="b">
        <v>0</v>
      </c>
      <c r="H315" s="78" t="b">
        <f>IF(VLOOKUP(C315,Projetos!A:L,12,false)=TRUE,TRUE,FALSE)</f>
        <v>0</v>
      </c>
      <c r="I315" s="68">
        <v>46.187704404843885</v>
      </c>
      <c r="J315" s="68">
        <f t="shared" si="1"/>
        <v>0</v>
      </c>
      <c r="K315" s="68" t="b">
        <v>0</v>
      </c>
    </row>
    <row r="316" hidden="1">
      <c r="A316" s="75">
        <v>310.0</v>
      </c>
      <c r="B316" s="62" t="s">
        <v>244</v>
      </c>
      <c r="C316" s="62" t="s">
        <v>109</v>
      </c>
      <c r="D316" s="62" t="s">
        <v>256</v>
      </c>
      <c r="E316" s="76">
        <v>43987.0</v>
      </c>
      <c r="F316" s="77">
        <v>0.22916666666666666</v>
      </c>
      <c r="G316" s="62" t="b">
        <v>0</v>
      </c>
      <c r="H316" s="78" t="b">
        <f>IF(VLOOKUP(C316,Projetos!A:L,12,false)=TRUE,TRUE,FALSE)</f>
        <v>0</v>
      </c>
      <c r="I316" s="68">
        <v>46.187704404843885</v>
      </c>
      <c r="J316" s="68">
        <f t="shared" si="1"/>
        <v>0</v>
      </c>
      <c r="K316" s="68" t="b">
        <v>0</v>
      </c>
    </row>
    <row r="317" hidden="1">
      <c r="A317" s="75">
        <v>311.0</v>
      </c>
      <c r="B317" s="62" t="s">
        <v>244</v>
      </c>
      <c r="C317" s="62" t="s">
        <v>109</v>
      </c>
      <c r="D317" s="62" t="s">
        <v>256</v>
      </c>
      <c r="E317" s="76">
        <v>43988.0</v>
      </c>
      <c r="F317" s="77">
        <v>0.14583333333333334</v>
      </c>
      <c r="G317" s="62" t="b">
        <v>0</v>
      </c>
      <c r="H317" s="78" t="b">
        <f>IF(VLOOKUP(C317,Projetos!A:L,12,false)=TRUE,TRUE,FALSE)</f>
        <v>0</v>
      </c>
      <c r="I317" s="68">
        <v>46.187704404843885</v>
      </c>
      <c r="J317" s="68">
        <f t="shared" si="1"/>
        <v>0</v>
      </c>
      <c r="K317" s="68" t="b">
        <v>0</v>
      </c>
    </row>
    <row r="318" hidden="1">
      <c r="A318" s="75">
        <v>312.0</v>
      </c>
      <c r="B318" s="62" t="s">
        <v>244</v>
      </c>
      <c r="C318" s="62" t="s">
        <v>109</v>
      </c>
      <c r="D318" s="62" t="s">
        <v>256</v>
      </c>
      <c r="E318" s="76">
        <v>43991.0</v>
      </c>
      <c r="F318" s="77">
        <v>0.20833333333333334</v>
      </c>
      <c r="G318" s="62" t="b">
        <v>0</v>
      </c>
      <c r="H318" s="78" t="b">
        <f>IF(VLOOKUP(C318,Projetos!A:L,12,false)=TRUE,TRUE,FALSE)</f>
        <v>0</v>
      </c>
      <c r="I318" s="68">
        <v>46.187704404843885</v>
      </c>
      <c r="J318" s="68">
        <f t="shared" si="1"/>
        <v>0</v>
      </c>
      <c r="K318" s="68" t="b">
        <v>0</v>
      </c>
    </row>
    <row r="319" hidden="1">
      <c r="A319" s="75">
        <v>313.0</v>
      </c>
      <c r="B319" s="62" t="s">
        <v>244</v>
      </c>
      <c r="C319" s="62" t="s">
        <v>109</v>
      </c>
      <c r="D319" s="62" t="s">
        <v>256</v>
      </c>
      <c r="E319" s="76">
        <v>43993.0</v>
      </c>
      <c r="F319" s="77">
        <v>0.16666666666666666</v>
      </c>
      <c r="G319" s="62" t="b">
        <v>0</v>
      </c>
      <c r="H319" s="78" t="b">
        <f>IF(VLOOKUP(C319,Projetos!A:L,12,false)=TRUE,TRUE,FALSE)</f>
        <v>0</v>
      </c>
      <c r="I319" s="68">
        <v>46.187704404843885</v>
      </c>
      <c r="J319" s="68">
        <f t="shared" si="1"/>
        <v>0</v>
      </c>
      <c r="K319" s="68" t="b">
        <v>0</v>
      </c>
    </row>
    <row r="320" hidden="1">
      <c r="A320" s="75">
        <v>314.0</v>
      </c>
      <c r="B320" s="62" t="s">
        <v>244</v>
      </c>
      <c r="C320" s="62" t="s">
        <v>109</v>
      </c>
      <c r="D320" s="62" t="s">
        <v>256</v>
      </c>
      <c r="E320" s="76">
        <v>43994.0</v>
      </c>
      <c r="F320" s="77">
        <v>0.16666666666666666</v>
      </c>
      <c r="G320" s="62" t="b">
        <v>0</v>
      </c>
      <c r="H320" s="78" t="b">
        <f>IF(VLOOKUP(C320,Projetos!A:L,12,false)=TRUE,TRUE,FALSE)</f>
        <v>0</v>
      </c>
      <c r="I320" s="68">
        <v>46.187704404843885</v>
      </c>
      <c r="J320" s="68">
        <f t="shared" si="1"/>
        <v>0</v>
      </c>
      <c r="K320" s="68" t="b">
        <v>0</v>
      </c>
    </row>
    <row r="321" hidden="1">
      <c r="A321" s="75">
        <v>315.0</v>
      </c>
      <c r="B321" s="62" t="s">
        <v>244</v>
      </c>
      <c r="C321" s="62" t="s">
        <v>109</v>
      </c>
      <c r="D321" s="62" t="s">
        <v>256</v>
      </c>
      <c r="E321" s="76">
        <v>43997.0</v>
      </c>
      <c r="F321" s="77">
        <v>0.125</v>
      </c>
      <c r="G321" s="62" t="b">
        <v>0</v>
      </c>
      <c r="H321" s="78" t="b">
        <f>IF(VLOOKUP(C321,Projetos!A:L,12,false)=TRUE,TRUE,FALSE)</f>
        <v>0</v>
      </c>
      <c r="I321" s="68">
        <v>46.187704404843885</v>
      </c>
      <c r="J321" s="68">
        <f t="shared" si="1"/>
        <v>0</v>
      </c>
      <c r="K321" s="68" t="b">
        <v>0</v>
      </c>
    </row>
    <row r="322" hidden="1">
      <c r="A322" s="75">
        <v>316.0</v>
      </c>
      <c r="B322" s="62" t="s">
        <v>244</v>
      </c>
      <c r="C322" s="62" t="s">
        <v>109</v>
      </c>
      <c r="D322" s="62" t="s">
        <v>256</v>
      </c>
      <c r="E322" s="76">
        <v>43999.0</v>
      </c>
      <c r="F322" s="77">
        <v>0.14583333333333334</v>
      </c>
      <c r="G322" s="62" t="b">
        <v>0</v>
      </c>
      <c r="H322" s="78" t="b">
        <f>IF(VLOOKUP(C322,Projetos!A:L,12,false)=TRUE,TRUE,FALSE)</f>
        <v>0</v>
      </c>
      <c r="I322" s="68">
        <v>46.187704404843885</v>
      </c>
      <c r="J322" s="68">
        <f t="shared" si="1"/>
        <v>0</v>
      </c>
      <c r="K322" s="68" t="b">
        <v>0</v>
      </c>
    </row>
    <row r="323" hidden="1">
      <c r="A323" s="75">
        <v>317.0</v>
      </c>
      <c r="B323" s="62" t="s">
        <v>244</v>
      </c>
      <c r="C323" s="62" t="s">
        <v>109</v>
      </c>
      <c r="D323" s="62" t="s">
        <v>256</v>
      </c>
      <c r="E323" s="76">
        <v>44000.0</v>
      </c>
      <c r="F323" s="77">
        <v>0.0625</v>
      </c>
      <c r="G323" s="62" t="b">
        <v>0</v>
      </c>
      <c r="H323" s="78" t="b">
        <f>IF(VLOOKUP(C323,Projetos!A:L,12,false)=TRUE,TRUE,FALSE)</f>
        <v>0</v>
      </c>
      <c r="I323" s="68">
        <v>46.187704404843885</v>
      </c>
      <c r="J323" s="68">
        <f t="shared" si="1"/>
        <v>0</v>
      </c>
      <c r="K323" s="68" t="b">
        <v>0</v>
      </c>
    </row>
    <row r="324" hidden="1">
      <c r="A324" s="75">
        <v>318.0</v>
      </c>
      <c r="B324" s="62" t="s">
        <v>244</v>
      </c>
      <c r="C324" s="62" t="s">
        <v>109</v>
      </c>
      <c r="D324" s="62" t="s">
        <v>246</v>
      </c>
      <c r="E324" s="76">
        <v>44005.0</v>
      </c>
      <c r="F324" s="77">
        <v>0.10416666666666667</v>
      </c>
      <c r="G324" s="62" t="b">
        <v>0</v>
      </c>
      <c r="H324" s="78" t="b">
        <f>IF(VLOOKUP(C324,Projetos!A:L,12,false)=TRUE,TRUE,FALSE)</f>
        <v>0</v>
      </c>
      <c r="I324" s="68">
        <v>46.187704404843885</v>
      </c>
      <c r="J324" s="68">
        <f t="shared" si="1"/>
        <v>0</v>
      </c>
      <c r="K324" s="68" t="b">
        <v>0</v>
      </c>
    </row>
    <row r="325" hidden="1">
      <c r="A325" s="75">
        <v>319.0</v>
      </c>
      <c r="B325" s="62" t="s">
        <v>244</v>
      </c>
      <c r="C325" s="62" t="s">
        <v>109</v>
      </c>
      <c r="D325" s="62" t="s">
        <v>246</v>
      </c>
      <c r="E325" s="76">
        <v>44006.0</v>
      </c>
      <c r="F325" s="77">
        <v>0.06944444444444445</v>
      </c>
      <c r="G325" s="62" t="b">
        <v>0</v>
      </c>
      <c r="H325" s="78" t="b">
        <f>IF(VLOOKUP(C325,Projetos!A:L,12,false)=TRUE,TRUE,FALSE)</f>
        <v>0</v>
      </c>
      <c r="I325" s="68">
        <v>46.187704404843885</v>
      </c>
      <c r="J325" s="68">
        <f t="shared" si="1"/>
        <v>0</v>
      </c>
      <c r="K325" s="68" t="b">
        <v>0</v>
      </c>
    </row>
    <row r="326" hidden="1">
      <c r="A326" s="75">
        <v>320.0</v>
      </c>
      <c r="B326" s="62" t="s">
        <v>244</v>
      </c>
      <c r="C326" s="62" t="s">
        <v>109</v>
      </c>
      <c r="D326" s="62" t="s">
        <v>246</v>
      </c>
      <c r="E326" s="76">
        <v>44008.0</v>
      </c>
      <c r="F326" s="77">
        <v>0.05555555555555555</v>
      </c>
      <c r="G326" s="62" t="b">
        <v>0</v>
      </c>
      <c r="H326" s="78" t="b">
        <f>IF(VLOOKUP(C326,Projetos!A:L,12,false)=TRUE,TRUE,FALSE)</f>
        <v>0</v>
      </c>
      <c r="I326" s="68">
        <v>46.187704404843885</v>
      </c>
      <c r="J326" s="68">
        <f t="shared" si="1"/>
        <v>0</v>
      </c>
      <c r="K326" s="68" t="b">
        <v>0</v>
      </c>
    </row>
    <row r="327" hidden="1">
      <c r="A327" s="75">
        <v>321.0</v>
      </c>
      <c r="B327" s="62" t="s">
        <v>244</v>
      </c>
      <c r="C327" s="62" t="s">
        <v>109</v>
      </c>
      <c r="D327" s="62" t="s">
        <v>257</v>
      </c>
      <c r="E327" s="76">
        <v>43958.0</v>
      </c>
      <c r="F327" s="77">
        <v>0.125</v>
      </c>
      <c r="G327" s="62" t="b">
        <v>0</v>
      </c>
      <c r="H327" s="78" t="b">
        <f>IF(VLOOKUP(C327,Projetos!A:L,12,false)=TRUE,TRUE,FALSE)</f>
        <v>0</v>
      </c>
      <c r="I327" s="68">
        <v>48.38711890031264</v>
      </c>
      <c r="J327" s="68">
        <f t="shared" si="1"/>
        <v>0</v>
      </c>
      <c r="K327" s="68" t="b">
        <v>0</v>
      </c>
    </row>
    <row r="328" hidden="1">
      <c r="A328" s="75">
        <v>322.0</v>
      </c>
      <c r="B328" s="62" t="s">
        <v>244</v>
      </c>
      <c r="C328" s="62" t="s">
        <v>109</v>
      </c>
      <c r="D328" s="62" t="s">
        <v>257</v>
      </c>
      <c r="E328" s="76">
        <v>43959.0</v>
      </c>
      <c r="F328" s="77">
        <v>0.22916666666666666</v>
      </c>
      <c r="G328" s="62" t="b">
        <v>0</v>
      </c>
      <c r="H328" s="78" t="b">
        <f>IF(VLOOKUP(C328,Projetos!A:L,12,false)=TRUE,TRUE,FALSE)</f>
        <v>0</v>
      </c>
      <c r="I328" s="68">
        <v>48.38711890031264</v>
      </c>
      <c r="J328" s="68">
        <f t="shared" si="1"/>
        <v>0</v>
      </c>
      <c r="K328" s="68" t="b">
        <v>0</v>
      </c>
    </row>
    <row r="329" hidden="1">
      <c r="A329" s="75">
        <v>323.0</v>
      </c>
      <c r="B329" s="62" t="s">
        <v>244</v>
      </c>
      <c r="C329" s="62" t="s">
        <v>109</v>
      </c>
      <c r="D329" s="62" t="s">
        <v>257</v>
      </c>
      <c r="E329" s="76">
        <v>43960.0</v>
      </c>
      <c r="F329" s="77">
        <v>0.20833333333333334</v>
      </c>
      <c r="G329" s="62" t="b">
        <v>0</v>
      </c>
      <c r="H329" s="78" t="b">
        <f>IF(VLOOKUP(C329,Projetos!A:L,12,false)=TRUE,TRUE,FALSE)</f>
        <v>0</v>
      </c>
      <c r="I329" s="68">
        <v>48.38711890031264</v>
      </c>
      <c r="J329" s="68">
        <f t="shared" si="1"/>
        <v>0</v>
      </c>
      <c r="K329" s="68" t="b">
        <v>0</v>
      </c>
    </row>
    <row r="330" hidden="1">
      <c r="A330" s="75">
        <v>324.0</v>
      </c>
      <c r="B330" s="62" t="s">
        <v>244</v>
      </c>
      <c r="C330" s="62" t="s">
        <v>109</v>
      </c>
      <c r="D330" s="62" t="s">
        <v>258</v>
      </c>
      <c r="E330" s="76">
        <v>44060.0</v>
      </c>
      <c r="F330" s="77">
        <v>0.10416666666666667</v>
      </c>
      <c r="G330" s="62" t="b">
        <v>0</v>
      </c>
      <c r="H330" s="78" t="b">
        <f>IF(VLOOKUP(C330,Projetos!A:L,12,false)=TRUE,TRUE,FALSE)</f>
        <v>0</v>
      </c>
      <c r="I330" s="68">
        <v>48.38711890031264</v>
      </c>
      <c r="J330" s="68">
        <f t="shared" si="1"/>
        <v>0</v>
      </c>
      <c r="K330" s="68" t="b">
        <v>0</v>
      </c>
    </row>
    <row r="331" hidden="1">
      <c r="A331" s="75">
        <v>325.0</v>
      </c>
      <c r="B331" s="62" t="s">
        <v>244</v>
      </c>
      <c r="C331" s="62" t="s">
        <v>109</v>
      </c>
      <c r="D331" s="62" t="s">
        <v>258</v>
      </c>
      <c r="E331" s="76">
        <v>44061.0</v>
      </c>
      <c r="F331" s="77">
        <v>0.16666666666666666</v>
      </c>
      <c r="G331" s="62" t="b">
        <v>0</v>
      </c>
      <c r="H331" s="78" t="b">
        <f>IF(VLOOKUP(C331,Projetos!A:L,12,false)=TRUE,TRUE,FALSE)</f>
        <v>0</v>
      </c>
      <c r="I331" s="68">
        <v>48.38711890031264</v>
      </c>
      <c r="J331" s="68">
        <f t="shared" si="1"/>
        <v>0</v>
      </c>
      <c r="K331" s="68" t="b">
        <v>0</v>
      </c>
    </row>
    <row r="332" hidden="1">
      <c r="A332" s="75">
        <v>326.0</v>
      </c>
      <c r="B332" s="62" t="s">
        <v>244</v>
      </c>
      <c r="C332" s="62" t="s">
        <v>109</v>
      </c>
      <c r="D332" s="62" t="s">
        <v>258</v>
      </c>
      <c r="E332" s="76">
        <v>44062.0</v>
      </c>
      <c r="F332" s="77">
        <v>0.1875</v>
      </c>
      <c r="G332" s="62" t="b">
        <v>0</v>
      </c>
      <c r="H332" s="78" t="b">
        <f>IF(VLOOKUP(C332,Projetos!A:L,12,false)=TRUE,TRUE,FALSE)</f>
        <v>0</v>
      </c>
      <c r="I332" s="68">
        <v>48.38711890031264</v>
      </c>
      <c r="J332" s="68">
        <f t="shared" si="1"/>
        <v>0</v>
      </c>
      <c r="K332" s="68" t="b">
        <v>0</v>
      </c>
    </row>
    <row r="333" hidden="1">
      <c r="A333" s="75">
        <v>327.0</v>
      </c>
      <c r="B333" s="62" t="s">
        <v>244</v>
      </c>
      <c r="C333" s="62" t="s">
        <v>109</v>
      </c>
      <c r="D333" s="62" t="s">
        <v>258</v>
      </c>
      <c r="E333" s="76">
        <v>44063.0</v>
      </c>
      <c r="F333" s="77">
        <v>0.2916666666666667</v>
      </c>
      <c r="G333" s="62" t="b">
        <v>0</v>
      </c>
      <c r="H333" s="78" t="b">
        <f>IF(VLOOKUP(C333,Projetos!A:L,12,false)=TRUE,TRUE,FALSE)</f>
        <v>0</v>
      </c>
      <c r="I333" s="68">
        <v>48.38711890031264</v>
      </c>
      <c r="J333" s="68">
        <f t="shared" si="1"/>
        <v>0</v>
      </c>
      <c r="K333" s="68" t="b">
        <v>0</v>
      </c>
    </row>
    <row r="334" hidden="1">
      <c r="A334" s="75">
        <v>328.0</v>
      </c>
      <c r="B334" s="62" t="s">
        <v>244</v>
      </c>
      <c r="C334" s="62" t="s">
        <v>109</v>
      </c>
      <c r="D334" s="62" t="s">
        <v>258</v>
      </c>
      <c r="E334" s="76">
        <v>44064.0</v>
      </c>
      <c r="F334" s="77">
        <v>0.3020833333333333</v>
      </c>
      <c r="G334" s="62" t="b">
        <v>0</v>
      </c>
      <c r="H334" s="78" t="b">
        <f>IF(VLOOKUP(C334,Projetos!A:L,12,false)=TRUE,TRUE,FALSE)</f>
        <v>0</v>
      </c>
      <c r="I334" s="68">
        <v>48.38711890031264</v>
      </c>
      <c r="J334" s="68">
        <f t="shared" si="1"/>
        <v>0</v>
      </c>
      <c r="K334" s="68" t="b">
        <v>0</v>
      </c>
    </row>
    <row r="335" hidden="1">
      <c r="A335" s="75">
        <v>329.0</v>
      </c>
      <c r="B335" s="62" t="s">
        <v>244</v>
      </c>
      <c r="C335" s="62" t="s">
        <v>102</v>
      </c>
      <c r="D335" s="62" t="s">
        <v>259</v>
      </c>
      <c r="E335" s="76">
        <v>44046.0</v>
      </c>
      <c r="F335" s="77">
        <v>0.041666666666666664</v>
      </c>
      <c r="G335" s="62" t="b">
        <v>0</v>
      </c>
      <c r="H335" s="78" t="b">
        <f>IF(VLOOKUP(C335,Projetos!A:L,12,false)=TRUE,TRUE,FALSE)</f>
        <v>0</v>
      </c>
      <c r="I335" s="68">
        <v>48.38711890031264</v>
      </c>
      <c r="J335" s="68">
        <f t="shared" si="1"/>
        <v>0</v>
      </c>
      <c r="K335" s="68" t="b">
        <v>0</v>
      </c>
    </row>
    <row r="336" hidden="1">
      <c r="A336" s="75">
        <v>330.0</v>
      </c>
      <c r="B336" s="62" t="s">
        <v>244</v>
      </c>
      <c r="C336" s="62" t="s">
        <v>102</v>
      </c>
      <c r="D336" s="62" t="s">
        <v>259</v>
      </c>
      <c r="E336" s="76">
        <v>44047.0</v>
      </c>
      <c r="F336" s="77">
        <v>0.0625</v>
      </c>
      <c r="G336" s="62" t="b">
        <v>0</v>
      </c>
      <c r="H336" s="78" t="b">
        <f>IF(VLOOKUP(C336,Projetos!A:L,12,false)=TRUE,TRUE,FALSE)</f>
        <v>0</v>
      </c>
      <c r="I336" s="68">
        <v>48.38711890031264</v>
      </c>
      <c r="J336" s="68">
        <f t="shared" si="1"/>
        <v>0</v>
      </c>
      <c r="K336" s="68" t="b">
        <v>0</v>
      </c>
    </row>
    <row r="337" hidden="1">
      <c r="A337" s="75">
        <v>331.0</v>
      </c>
      <c r="B337" s="62" t="s">
        <v>244</v>
      </c>
      <c r="C337" s="62" t="s">
        <v>102</v>
      </c>
      <c r="D337" s="62" t="s">
        <v>260</v>
      </c>
      <c r="E337" s="76">
        <v>44048.0</v>
      </c>
      <c r="F337" s="77">
        <v>0.13541666666666666</v>
      </c>
      <c r="G337" s="62" t="b">
        <v>0</v>
      </c>
      <c r="H337" s="78" t="b">
        <f>IF(VLOOKUP(C337,Projetos!A:L,12,false)=TRUE,TRUE,FALSE)</f>
        <v>0</v>
      </c>
      <c r="I337" s="68">
        <v>48.38711890031264</v>
      </c>
      <c r="J337" s="68">
        <f t="shared" si="1"/>
        <v>0</v>
      </c>
      <c r="K337" s="68" t="b">
        <v>0</v>
      </c>
    </row>
    <row r="338" hidden="1">
      <c r="A338" s="75">
        <v>332.0</v>
      </c>
      <c r="B338" s="62" t="s">
        <v>244</v>
      </c>
      <c r="C338" s="62" t="s">
        <v>102</v>
      </c>
      <c r="D338" s="62" t="s">
        <v>260</v>
      </c>
      <c r="E338" s="76">
        <v>44049.0</v>
      </c>
      <c r="F338" s="77">
        <v>0.16666666666666666</v>
      </c>
      <c r="G338" s="62" t="b">
        <v>0</v>
      </c>
      <c r="H338" s="78" t="b">
        <f>IF(VLOOKUP(C338,Projetos!A:L,12,false)=TRUE,TRUE,FALSE)</f>
        <v>0</v>
      </c>
      <c r="I338" s="68">
        <v>48.38711890031264</v>
      </c>
      <c r="J338" s="68">
        <f t="shared" si="1"/>
        <v>0</v>
      </c>
      <c r="K338" s="68" t="b">
        <v>0</v>
      </c>
    </row>
    <row r="339" hidden="1">
      <c r="A339" s="75">
        <v>333.0</v>
      </c>
      <c r="B339" s="62" t="s">
        <v>244</v>
      </c>
      <c r="C339" s="62" t="s">
        <v>102</v>
      </c>
      <c r="D339" s="62" t="s">
        <v>260</v>
      </c>
      <c r="E339" s="76">
        <v>44051.0</v>
      </c>
      <c r="F339" s="77">
        <v>0.10416666666666667</v>
      </c>
      <c r="G339" s="62" t="b">
        <v>0</v>
      </c>
      <c r="H339" s="78" t="b">
        <f>IF(VLOOKUP(C339,Projetos!A:L,12,false)=TRUE,TRUE,FALSE)</f>
        <v>0</v>
      </c>
      <c r="I339" s="68">
        <v>48.38711890031264</v>
      </c>
      <c r="J339" s="68">
        <f t="shared" si="1"/>
        <v>0</v>
      </c>
      <c r="K339" s="68" t="b">
        <v>0</v>
      </c>
    </row>
    <row r="340" hidden="1">
      <c r="A340" s="75">
        <v>334.0</v>
      </c>
      <c r="B340" s="62" t="s">
        <v>244</v>
      </c>
      <c r="C340" s="62" t="s">
        <v>102</v>
      </c>
      <c r="D340" s="62" t="s">
        <v>260</v>
      </c>
      <c r="E340" s="76">
        <v>44053.0</v>
      </c>
      <c r="F340" s="77">
        <v>0.22916666666666666</v>
      </c>
      <c r="G340" s="62" t="b">
        <v>0</v>
      </c>
      <c r="H340" s="78" t="b">
        <f>IF(VLOOKUP(C340,Projetos!A:L,12,false)=TRUE,TRUE,FALSE)</f>
        <v>0</v>
      </c>
      <c r="I340" s="68">
        <v>48.38711890031264</v>
      </c>
      <c r="J340" s="68">
        <f t="shared" si="1"/>
        <v>0</v>
      </c>
      <c r="K340" s="68" t="b">
        <v>0</v>
      </c>
    </row>
    <row r="341" hidden="1">
      <c r="A341" s="75">
        <v>335.0</v>
      </c>
      <c r="B341" s="62" t="s">
        <v>244</v>
      </c>
      <c r="C341" s="62" t="s">
        <v>109</v>
      </c>
      <c r="D341" s="62" t="s">
        <v>261</v>
      </c>
      <c r="E341" s="76">
        <v>44077.0</v>
      </c>
      <c r="F341" s="77">
        <v>0.10416666666666667</v>
      </c>
      <c r="G341" s="62" t="b">
        <v>0</v>
      </c>
      <c r="H341" s="78" t="b">
        <f>IF(VLOOKUP(C341,Projetos!A:L,12,false)=TRUE,TRUE,FALSE)</f>
        <v>0</v>
      </c>
      <c r="I341" s="68">
        <v>49.88272407598714</v>
      </c>
      <c r="J341" s="68">
        <f t="shared" si="1"/>
        <v>0</v>
      </c>
      <c r="K341" s="68" t="b">
        <v>0</v>
      </c>
    </row>
    <row r="342" hidden="1">
      <c r="A342" s="75">
        <v>336.0</v>
      </c>
      <c r="B342" s="62" t="s">
        <v>244</v>
      </c>
      <c r="C342" s="62" t="s">
        <v>109</v>
      </c>
      <c r="D342" s="62" t="s">
        <v>261</v>
      </c>
      <c r="E342" s="76">
        <v>44078.0</v>
      </c>
      <c r="F342" s="77">
        <v>0.10416666666666667</v>
      </c>
      <c r="G342" s="62" t="b">
        <v>0</v>
      </c>
      <c r="H342" s="78" t="b">
        <f>IF(VLOOKUP(C342,Projetos!A:L,12,false)=TRUE,TRUE,FALSE)</f>
        <v>0</v>
      </c>
      <c r="I342" s="68">
        <v>49.88272407598714</v>
      </c>
      <c r="J342" s="68">
        <f t="shared" si="1"/>
        <v>0</v>
      </c>
      <c r="K342" s="68" t="b">
        <v>0</v>
      </c>
    </row>
    <row r="343" hidden="1">
      <c r="A343" s="75">
        <v>337.0</v>
      </c>
      <c r="B343" s="62" t="s">
        <v>244</v>
      </c>
      <c r="C343" s="62" t="s">
        <v>109</v>
      </c>
      <c r="D343" s="62" t="s">
        <v>262</v>
      </c>
      <c r="E343" s="76">
        <v>44088.0</v>
      </c>
      <c r="F343" s="77">
        <v>0.125</v>
      </c>
      <c r="G343" s="62" t="b">
        <v>0</v>
      </c>
      <c r="H343" s="78" t="b">
        <f>IF(VLOOKUP(C343,Projetos!A:L,12,false)=TRUE,TRUE,FALSE)</f>
        <v>0</v>
      </c>
      <c r="I343" s="68">
        <v>49.88272407598714</v>
      </c>
      <c r="J343" s="68">
        <f t="shared" si="1"/>
        <v>0</v>
      </c>
      <c r="K343" s="68" t="b">
        <v>0</v>
      </c>
    </row>
    <row r="344" hidden="1">
      <c r="A344" s="75">
        <v>338.0</v>
      </c>
      <c r="B344" s="62" t="s">
        <v>244</v>
      </c>
      <c r="C344" s="62" t="s">
        <v>109</v>
      </c>
      <c r="D344" s="62" t="s">
        <v>263</v>
      </c>
      <c r="E344" s="76">
        <v>44089.0</v>
      </c>
      <c r="F344" s="77">
        <v>0.09722222222222222</v>
      </c>
      <c r="G344" s="62" t="b">
        <v>0</v>
      </c>
      <c r="H344" s="78" t="b">
        <f>IF(VLOOKUP(C344,Projetos!A:L,12,false)=TRUE,TRUE,FALSE)</f>
        <v>0</v>
      </c>
      <c r="I344" s="68">
        <v>49.88272407598714</v>
      </c>
      <c r="J344" s="68">
        <f t="shared" si="1"/>
        <v>0</v>
      </c>
      <c r="K344" s="68" t="b">
        <v>0</v>
      </c>
    </row>
    <row r="345" hidden="1">
      <c r="A345" s="75">
        <v>339.0</v>
      </c>
      <c r="B345" s="62" t="s">
        <v>244</v>
      </c>
      <c r="C345" s="62" t="s">
        <v>109</v>
      </c>
      <c r="D345" s="62" t="s">
        <v>264</v>
      </c>
      <c r="E345" s="76">
        <v>44089.0</v>
      </c>
      <c r="F345" s="77">
        <v>0.10416666666666667</v>
      </c>
      <c r="G345" s="62" t="b">
        <v>0</v>
      </c>
      <c r="H345" s="78" t="b">
        <f>IF(VLOOKUP(C345,Projetos!A:L,12,false)=TRUE,TRUE,FALSE)</f>
        <v>0</v>
      </c>
      <c r="I345" s="68">
        <v>49.88272407598714</v>
      </c>
      <c r="J345" s="68">
        <f t="shared" si="1"/>
        <v>0</v>
      </c>
      <c r="K345" s="68" t="b">
        <v>0</v>
      </c>
    </row>
    <row r="346" hidden="1">
      <c r="A346" s="75">
        <v>340.0</v>
      </c>
      <c r="B346" s="62" t="s">
        <v>244</v>
      </c>
      <c r="C346" s="62" t="s">
        <v>102</v>
      </c>
      <c r="D346" s="62" t="s">
        <v>265</v>
      </c>
      <c r="E346" s="76">
        <v>43998.0</v>
      </c>
      <c r="F346" s="77">
        <v>0.3854166666666667</v>
      </c>
      <c r="G346" s="62" t="b">
        <v>0</v>
      </c>
      <c r="H346" s="78" t="b">
        <f>IF(VLOOKUP(C346,Projetos!A:L,12,false)=TRUE,TRUE,FALSE)</f>
        <v>0</v>
      </c>
      <c r="I346" s="68">
        <v>46.187704404843885</v>
      </c>
      <c r="J346" s="68">
        <f t="shared" si="1"/>
        <v>0</v>
      </c>
      <c r="K346" s="68" t="b">
        <v>0</v>
      </c>
    </row>
    <row r="347" hidden="1">
      <c r="A347" s="75">
        <v>341.0</v>
      </c>
      <c r="B347" s="62" t="s">
        <v>244</v>
      </c>
      <c r="C347" s="62" t="s">
        <v>108</v>
      </c>
      <c r="D347" s="62" t="s">
        <v>266</v>
      </c>
      <c r="E347" s="76">
        <v>44097.0</v>
      </c>
      <c r="F347" s="77">
        <v>0.08333333333333333</v>
      </c>
      <c r="G347" s="62" t="b">
        <v>0</v>
      </c>
      <c r="H347" s="78" t="b">
        <f>IF(VLOOKUP(C347,Projetos!A:L,12,false)=TRUE,TRUE,FALSE)</f>
        <v>1</v>
      </c>
      <c r="I347" s="68">
        <v>49.88272407598714</v>
      </c>
      <c r="J347" s="68">
        <f t="shared" si="1"/>
        <v>0</v>
      </c>
      <c r="K347" s="68" t="b">
        <v>1</v>
      </c>
    </row>
    <row r="348" hidden="1">
      <c r="A348" s="75">
        <v>342.0</v>
      </c>
      <c r="B348" s="62" t="s">
        <v>244</v>
      </c>
      <c r="C348" s="62" t="s">
        <v>108</v>
      </c>
      <c r="D348" s="62" t="s">
        <v>266</v>
      </c>
      <c r="E348" s="76">
        <v>44103.0</v>
      </c>
      <c r="F348" s="77">
        <v>0.10416666666666667</v>
      </c>
      <c r="G348" s="62" t="b">
        <v>0</v>
      </c>
      <c r="H348" s="78" t="b">
        <f>IF(VLOOKUP(C348,Projetos!A:L,12,false)=TRUE,TRUE,FALSE)</f>
        <v>1</v>
      </c>
      <c r="I348" s="68">
        <v>49.88272407598714</v>
      </c>
      <c r="J348" s="68">
        <f t="shared" si="1"/>
        <v>0</v>
      </c>
      <c r="K348" s="68" t="b">
        <v>1</v>
      </c>
    </row>
    <row r="349" hidden="1">
      <c r="A349" s="75">
        <v>343.0</v>
      </c>
      <c r="B349" s="62" t="s">
        <v>244</v>
      </c>
      <c r="C349" s="62" t="s">
        <v>83</v>
      </c>
      <c r="D349" s="62" t="s">
        <v>267</v>
      </c>
      <c r="E349" s="76">
        <v>44103.0</v>
      </c>
      <c r="F349" s="77">
        <v>0.0625</v>
      </c>
      <c r="G349" s="62" t="b">
        <v>0</v>
      </c>
      <c r="H349" s="78" t="b">
        <f>IF(VLOOKUP(C349,Projetos!A:L,12,false)=TRUE,TRUE,FALSE)</f>
        <v>0</v>
      </c>
      <c r="I349" s="68">
        <v>49.88272407598714</v>
      </c>
      <c r="J349" s="68">
        <f t="shared" si="1"/>
        <v>0</v>
      </c>
      <c r="K349" s="68" t="b">
        <v>0</v>
      </c>
    </row>
    <row r="350" hidden="1">
      <c r="A350" s="75">
        <v>344.0</v>
      </c>
      <c r="B350" s="62" t="s">
        <v>244</v>
      </c>
      <c r="C350" s="62" t="s">
        <v>83</v>
      </c>
      <c r="D350" s="62" t="s">
        <v>267</v>
      </c>
      <c r="E350" s="76">
        <v>44104.0</v>
      </c>
      <c r="F350" s="77">
        <v>0.10416666666666667</v>
      </c>
      <c r="G350" s="62" t="b">
        <v>0</v>
      </c>
      <c r="H350" s="78" t="b">
        <f>IF(VLOOKUP(C350,Projetos!A:L,12,false)=TRUE,TRUE,FALSE)</f>
        <v>0</v>
      </c>
      <c r="I350" s="68">
        <v>49.88272407598714</v>
      </c>
      <c r="J350" s="68">
        <f t="shared" si="1"/>
        <v>0</v>
      </c>
      <c r="K350" s="68" t="b">
        <v>0</v>
      </c>
    </row>
    <row r="351" hidden="1">
      <c r="A351" s="75">
        <v>345.0</v>
      </c>
      <c r="B351" s="62" t="s">
        <v>244</v>
      </c>
      <c r="C351" s="62" t="s">
        <v>102</v>
      </c>
      <c r="D351" s="62" t="s">
        <v>268</v>
      </c>
      <c r="E351" s="76">
        <v>44109.0</v>
      </c>
      <c r="F351" s="77">
        <v>0.1875</v>
      </c>
      <c r="G351" s="62" t="b">
        <v>0</v>
      </c>
      <c r="H351" s="78" t="b">
        <f>IF(VLOOKUP(C351,Projetos!A:L,12,false)=TRUE,TRUE,FALSE)</f>
        <v>0</v>
      </c>
      <c r="I351" s="68">
        <v>52.25809188912939</v>
      </c>
      <c r="J351" s="68">
        <f t="shared" si="1"/>
        <v>0</v>
      </c>
      <c r="K351" s="68" t="b">
        <v>0</v>
      </c>
    </row>
    <row r="352">
      <c r="A352" s="75">
        <v>346.0</v>
      </c>
      <c r="B352" s="62" t="s">
        <v>244</v>
      </c>
      <c r="C352" s="62" t="s">
        <v>104</v>
      </c>
      <c r="D352" s="62" t="s">
        <v>269</v>
      </c>
      <c r="E352" s="76">
        <v>44111.0</v>
      </c>
      <c r="F352" s="77">
        <v>0.08333333333333333</v>
      </c>
      <c r="G352" s="62" t="b">
        <v>1</v>
      </c>
      <c r="H352" s="78" t="b">
        <f>IF(VLOOKUP(C352,Projetos!A:L,12,false)=TRUE,TRUE,FALSE)</f>
        <v>1</v>
      </c>
      <c r="I352" s="68">
        <v>52.25809188912939</v>
      </c>
      <c r="J352" s="68">
        <f t="shared" si="1"/>
        <v>104.5161838</v>
      </c>
      <c r="K352" s="68" t="b">
        <v>1</v>
      </c>
    </row>
    <row r="353">
      <c r="A353" s="75">
        <v>347.0</v>
      </c>
      <c r="B353" s="62" t="s">
        <v>244</v>
      </c>
      <c r="C353" s="62" t="s">
        <v>104</v>
      </c>
      <c r="D353" s="62" t="s">
        <v>269</v>
      </c>
      <c r="E353" s="76">
        <v>44112.0</v>
      </c>
      <c r="F353" s="77">
        <v>0.08333333333333333</v>
      </c>
      <c r="G353" s="62" t="b">
        <v>1</v>
      </c>
      <c r="H353" s="78" t="b">
        <f>IF(VLOOKUP(C353,Projetos!A:L,12,false)=TRUE,TRUE,FALSE)</f>
        <v>1</v>
      </c>
      <c r="I353" s="68">
        <v>52.25809188912939</v>
      </c>
      <c r="J353" s="68">
        <f t="shared" si="1"/>
        <v>104.5161838</v>
      </c>
      <c r="K353" s="68" t="b">
        <v>1</v>
      </c>
    </row>
    <row r="354" hidden="1">
      <c r="A354" s="75">
        <v>348.0</v>
      </c>
      <c r="B354" s="62" t="s">
        <v>244</v>
      </c>
      <c r="C354" s="62" t="s">
        <v>108</v>
      </c>
      <c r="D354" s="62" t="s">
        <v>270</v>
      </c>
      <c r="E354" s="76">
        <v>44116.0</v>
      </c>
      <c r="F354" s="77">
        <v>0.14583333333333334</v>
      </c>
      <c r="G354" s="62" t="b">
        <v>0</v>
      </c>
      <c r="H354" s="78" t="b">
        <f>IF(VLOOKUP(C354,Projetos!A:L,12,false)=TRUE,TRUE,FALSE)</f>
        <v>1</v>
      </c>
      <c r="I354" s="68">
        <v>52.25809188912939</v>
      </c>
      <c r="J354" s="68">
        <f t="shared" si="1"/>
        <v>0</v>
      </c>
      <c r="K354" s="68" t="b">
        <v>1</v>
      </c>
    </row>
    <row r="355" hidden="1">
      <c r="A355" s="75">
        <v>349.0</v>
      </c>
      <c r="B355" s="62" t="s">
        <v>244</v>
      </c>
      <c r="C355" s="62" t="s">
        <v>108</v>
      </c>
      <c r="D355" s="62" t="s">
        <v>270</v>
      </c>
      <c r="E355" s="76">
        <v>44117.0</v>
      </c>
      <c r="F355" s="77">
        <v>0.25</v>
      </c>
      <c r="G355" s="62" t="b">
        <v>0</v>
      </c>
      <c r="H355" s="78" t="b">
        <f>IF(VLOOKUP(C355,Projetos!A:L,12,false)=TRUE,TRUE,FALSE)</f>
        <v>1</v>
      </c>
      <c r="I355" s="68">
        <v>52.25809188912939</v>
      </c>
      <c r="J355" s="68">
        <f t="shared" si="1"/>
        <v>0</v>
      </c>
      <c r="K355" s="68" t="b">
        <v>1</v>
      </c>
    </row>
    <row r="356" hidden="1">
      <c r="A356" s="75">
        <v>350.0</v>
      </c>
      <c r="B356" s="62" t="s">
        <v>244</v>
      </c>
      <c r="C356" s="62" t="s">
        <v>103</v>
      </c>
      <c r="D356" s="62" t="s">
        <v>271</v>
      </c>
      <c r="E356" s="76">
        <v>44123.0</v>
      </c>
      <c r="F356" s="77">
        <v>0.2916666666666667</v>
      </c>
      <c r="G356" s="62" t="b">
        <v>0</v>
      </c>
      <c r="H356" s="78" t="b">
        <f>IF(VLOOKUP(C356,Projetos!A:L,12,false)=TRUE,TRUE,FALSE)</f>
        <v>1</v>
      </c>
      <c r="I356" s="68">
        <v>52.25809188912939</v>
      </c>
      <c r="J356" s="68">
        <f t="shared" si="1"/>
        <v>0</v>
      </c>
      <c r="K356" s="68" t="b">
        <v>1</v>
      </c>
    </row>
    <row r="357" hidden="1">
      <c r="A357" s="75">
        <v>351.0</v>
      </c>
      <c r="B357" s="62" t="s">
        <v>244</v>
      </c>
      <c r="C357" s="62" t="s">
        <v>103</v>
      </c>
      <c r="D357" s="62" t="s">
        <v>271</v>
      </c>
      <c r="E357" s="76">
        <v>44124.0</v>
      </c>
      <c r="F357" s="77">
        <v>0.16666666666666666</v>
      </c>
      <c r="G357" s="62" t="b">
        <v>0</v>
      </c>
      <c r="H357" s="78" t="b">
        <f>IF(VLOOKUP(C357,Projetos!A:L,12,false)=TRUE,TRUE,FALSE)</f>
        <v>1</v>
      </c>
      <c r="I357" s="68">
        <v>52.25809188912939</v>
      </c>
      <c r="J357" s="68">
        <f t="shared" si="1"/>
        <v>0</v>
      </c>
      <c r="K357" s="68" t="b">
        <v>1</v>
      </c>
    </row>
    <row r="358" hidden="1">
      <c r="A358" s="75">
        <v>352.0</v>
      </c>
      <c r="B358" s="62" t="s">
        <v>244</v>
      </c>
      <c r="C358" s="62" t="s">
        <v>108</v>
      </c>
      <c r="D358" s="62" t="s">
        <v>270</v>
      </c>
      <c r="E358" s="76">
        <v>44125.0</v>
      </c>
      <c r="F358" s="77">
        <v>0.10416666666666667</v>
      </c>
      <c r="G358" s="62" t="b">
        <v>0</v>
      </c>
      <c r="H358" s="78" t="b">
        <f>IF(VLOOKUP(C358,Projetos!A:L,12,false)=TRUE,TRUE,FALSE)</f>
        <v>1</v>
      </c>
      <c r="I358" s="68">
        <v>52.25809188912939</v>
      </c>
      <c r="J358" s="68">
        <f t="shared" si="1"/>
        <v>0</v>
      </c>
      <c r="K358" s="68" t="b">
        <v>1</v>
      </c>
    </row>
    <row r="359" hidden="1">
      <c r="A359" s="75">
        <v>353.0</v>
      </c>
      <c r="B359" s="62" t="s">
        <v>244</v>
      </c>
      <c r="C359" s="62" t="s">
        <v>108</v>
      </c>
      <c r="D359" s="62" t="s">
        <v>270</v>
      </c>
      <c r="E359" s="76">
        <v>44127.0</v>
      </c>
      <c r="F359" s="77">
        <v>0.10416666666666667</v>
      </c>
      <c r="G359" s="62" t="b">
        <v>0</v>
      </c>
      <c r="H359" s="78" t="b">
        <f>IF(VLOOKUP(C359,Projetos!A:L,12,false)=TRUE,TRUE,FALSE)</f>
        <v>1</v>
      </c>
      <c r="I359" s="68">
        <v>52.25809188912939</v>
      </c>
      <c r="J359" s="68">
        <f t="shared" si="1"/>
        <v>0</v>
      </c>
      <c r="K359" s="68" t="b">
        <v>1</v>
      </c>
    </row>
    <row r="360" hidden="1">
      <c r="A360" s="75">
        <v>354.0</v>
      </c>
      <c r="B360" s="62" t="s">
        <v>244</v>
      </c>
      <c r="C360" s="62" t="s">
        <v>102</v>
      </c>
      <c r="D360" s="62" t="s">
        <v>272</v>
      </c>
      <c r="E360" s="76">
        <v>44130.0</v>
      </c>
      <c r="F360" s="77">
        <v>0.1875</v>
      </c>
      <c r="G360" s="62" t="b">
        <v>0</v>
      </c>
      <c r="H360" s="78" t="b">
        <f>IF(VLOOKUP(C360,Projetos!A:L,12,false)=TRUE,TRUE,FALSE)</f>
        <v>0</v>
      </c>
      <c r="I360" s="68">
        <v>52.25809188912939</v>
      </c>
      <c r="J360" s="68">
        <f t="shared" si="1"/>
        <v>0</v>
      </c>
      <c r="K360" s="68" t="b">
        <v>0</v>
      </c>
    </row>
    <row r="361" hidden="1">
      <c r="A361" s="75">
        <v>355.0</v>
      </c>
      <c r="B361" s="62" t="s">
        <v>244</v>
      </c>
      <c r="C361" s="62" t="s">
        <v>108</v>
      </c>
      <c r="D361" s="62" t="s">
        <v>270</v>
      </c>
      <c r="E361" s="76">
        <v>44132.0</v>
      </c>
      <c r="F361" s="77">
        <v>0.125</v>
      </c>
      <c r="G361" s="62" t="b">
        <v>0</v>
      </c>
      <c r="H361" s="78" t="b">
        <f>IF(VLOOKUP(C361,Projetos!A:L,12,false)=TRUE,TRUE,FALSE)</f>
        <v>1</v>
      </c>
      <c r="I361" s="68">
        <v>52.25809188912939</v>
      </c>
      <c r="J361" s="68">
        <f t="shared" si="1"/>
        <v>0</v>
      </c>
      <c r="K361" s="68" t="b">
        <v>1</v>
      </c>
    </row>
    <row r="362" hidden="1">
      <c r="A362" s="75">
        <v>356.0</v>
      </c>
      <c r="B362" s="62" t="s">
        <v>244</v>
      </c>
      <c r="C362" s="62" t="s">
        <v>108</v>
      </c>
      <c r="D362" s="62" t="s">
        <v>270</v>
      </c>
      <c r="E362" s="76">
        <v>44133.0</v>
      </c>
      <c r="F362" s="77">
        <v>0.09722222222222222</v>
      </c>
      <c r="G362" s="62" t="b">
        <v>0</v>
      </c>
      <c r="H362" s="78" t="b">
        <f>IF(VLOOKUP(C362,Projetos!A:L,12,false)=TRUE,TRUE,FALSE)</f>
        <v>1</v>
      </c>
      <c r="I362" s="68">
        <v>52.25809188912939</v>
      </c>
      <c r="J362" s="68">
        <f t="shared" si="1"/>
        <v>0</v>
      </c>
      <c r="K362" s="68" t="b">
        <v>1</v>
      </c>
    </row>
    <row r="363" hidden="1">
      <c r="A363" s="75">
        <v>357.0</v>
      </c>
      <c r="B363" s="62" t="s">
        <v>244</v>
      </c>
      <c r="C363" s="62" t="s">
        <v>108</v>
      </c>
      <c r="D363" s="62" t="s">
        <v>273</v>
      </c>
      <c r="E363" s="76">
        <v>44140.0</v>
      </c>
      <c r="F363" s="77">
        <v>0.125</v>
      </c>
      <c r="G363" s="62" t="b">
        <v>0</v>
      </c>
      <c r="H363" s="78" t="b">
        <f>IF(VLOOKUP(C363,Projetos!A:L,12,false)=TRUE,TRUE,FALSE)</f>
        <v>1</v>
      </c>
      <c r="I363" s="68">
        <v>50.70079736570247</v>
      </c>
      <c r="J363" s="68">
        <f t="shared" si="1"/>
        <v>0</v>
      </c>
      <c r="K363" s="68" t="b">
        <v>1</v>
      </c>
    </row>
    <row r="364" hidden="1">
      <c r="A364" s="75">
        <v>358.0</v>
      </c>
      <c r="B364" s="62" t="s">
        <v>244</v>
      </c>
      <c r="C364" s="62" t="s">
        <v>108</v>
      </c>
      <c r="D364" s="62" t="s">
        <v>274</v>
      </c>
      <c r="E364" s="76">
        <v>44141.0</v>
      </c>
      <c r="F364" s="77">
        <v>0.08333333333333333</v>
      </c>
      <c r="G364" s="62" t="b">
        <v>0</v>
      </c>
      <c r="H364" s="78" t="b">
        <f>IF(VLOOKUP(C364,Projetos!A:L,12,false)=TRUE,TRUE,FALSE)</f>
        <v>1</v>
      </c>
      <c r="I364" s="68">
        <v>50.70079736570247</v>
      </c>
      <c r="J364" s="68">
        <f t="shared" si="1"/>
        <v>0</v>
      </c>
      <c r="K364" s="68" t="b">
        <v>1</v>
      </c>
    </row>
    <row r="365" hidden="1">
      <c r="A365" s="75">
        <v>359.0</v>
      </c>
      <c r="B365" s="62" t="s">
        <v>244</v>
      </c>
      <c r="C365" s="62" t="s">
        <v>108</v>
      </c>
      <c r="D365" s="62" t="s">
        <v>274</v>
      </c>
      <c r="E365" s="76">
        <v>44147.0</v>
      </c>
      <c r="F365" s="77">
        <v>0.09375</v>
      </c>
      <c r="G365" s="62" t="b">
        <v>0</v>
      </c>
      <c r="H365" s="78" t="b">
        <f>IF(VLOOKUP(C365,Projetos!A:L,12,false)=TRUE,TRUE,FALSE)</f>
        <v>1</v>
      </c>
      <c r="I365" s="68">
        <v>50.70079736570247</v>
      </c>
      <c r="J365" s="68">
        <f t="shared" si="1"/>
        <v>0</v>
      </c>
      <c r="K365" s="68" t="b">
        <v>1</v>
      </c>
    </row>
    <row r="366" hidden="1">
      <c r="A366" s="75">
        <v>360.0</v>
      </c>
      <c r="B366" s="62" t="s">
        <v>244</v>
      </c>
      <c r="C366" s="62" t="s">
        <v>102</v>
      </c>
      <c r="D366" s="62" t="s">
        <v>275</v>
      </c>
      <c r="E366" s="76">
        <v>44148.0</v>
      </c>
      <c r="F366" s="77">
        <v>0.09722222222222222</v>
      </c>
      <c r="G366" s="62" t="b">
        <v>0</v>
      </c>
      <c r="H366" s="78" t="b">
        <f>IF(VLOOKUP(C366,Projetos!A:L,12,false)=TRUE,TRUE,FALSE)</f>
        <v>0</v>
      </c>
      <c r="I366" s="68">
        <v>50.70079736570247</v>
      </c>
      <c r="J366" s="68">
        <f t="shared" si="1"/>
        <v>0</v>
      </c>
      <c r="K366" s="68" t="b">
        <v>0</v>
      </c>
    </row>
    <row r="367" hidden="1">
      <c r="A367" s="75">
        <v>361.0</v>
      </c>
      <c r="B367" s="62" t="s">
        <v>244</v>
      </c>
      <c r="C367" s="62" t="s">
        <v>102</v>
      </c>
      <c r="D367" s="62" t="s">
        <v>275</v>
      </c>
      <c r="E367" s="76">
        <v>44151.0</v>
      </c>
      <c r="F367" s="77">
        <v>0.06944444444444445</v>
      </c>
      <c r="G367" s="62" t="b">
        <v>0</v>
      </c>
      <c r="H367" s="78" t="b">
        <f>IF(VLOOKUP(C367,Projetos!A:L,12,false)=TRUE,TRUE,FALSE)</f>
        <v>0</v>
      </c>
      <c r="I367" s="68">
        <v>50.70079736570247</v>
      </c>
      <c r="J367" s="68">
        <f t="shared" si="1"/>
        <v>0</v>
      </c>
      <c r="K367" s="68" t="b">
        <v>0</v>
      </c>
    </row>
    <row r="368" hidden="1">
      <c r="A368" s="75">
        <v>362.0</v>
      </c>
      <c r="B368" s="62" t="s">
        <v>244</v>
      </c>
      <c r="C368" s="62" t="s">
        <v>109</v>
      </c>
      <c r="D368" s="62" t="s">
        <v>276</v>
      </c>
      <c r="E368" s="76">
        <v>44147.0</v>
      </c>
      <c r="F368" s="77">
        <v>0.14583333333333334</v>
      </c>
      <c r="G368" s="62" t="b">
        <v>0</v>
      </c>
      <c r="H368" s="78" t="b">
        <f>IF(VLOOKUP(C368,Projetos!A:L,12,false)=TRUE,TRUE,FALSE)</f>
        <v>0</v>
      </c>
      <c r="I368" s="68">
        <v>50.70079736570247</v>
      </c>
      <c r="J368" s="68">
        <f t="shared" si="1"/>
        <v>0</v>
      </c>
      <c r="K368" s="68" t="b">
        <v>0</v>
      </c>
    </row>
    <row r="369" hidden="1">
      <c r="A369" s="75">
        <v>363.0</v>
      </c>
      <c r="B369" s="62" t="s">
        <v>244</v>
      </c>
      <c r="C369" s="62" t="s">
        <v>109</v>
      </c>
      <c r="D369" s="62" t="s">
        <v>276</v>
      </c>
      <c r="E369" s="76">
        <v>44153.0</v>
      </c>
      <c r="F369" s="77">
        <v>0.0625</v>
      </c>
      <c r="G369" s="62" t="b">
        <v>0</v>
      </c>
      <c r="H369" s="78" t="b">
        <f>IF(VLOOKUP(C369,Projetos!A:L,12,false)=TRUE,TRUE,FALSE)</f>
        <v>0</v>
      </c>
      <c r="I369" s="68">
        <v>50.70079736570247</v>
      </c>
      <c r="J369" s="68">
        <f t="shared" si="1"/>
        <v>0</v>
      </c>
      <c r="K369" s="68" t="b">
        <v>0</v>
      </c>
    </row>
    <row r="370" hidden="1">
      <c r="A370" s="75">
        <v>364.0</v>
      </c>
      <c r="B370" s="62" t="s">
        <v>244</v>
      </c>
      <c r="C370" s="62" t="s">
        <v>109</v>
      </c>
      <c r="D370" s="62" t="s">
        <v>276</v>
      </c>
      <c r="E370" s="76">
        <v>44160.0</v>
      </c>
      <c r="F370" s="77">
        <v>0.0625</v>
      </c>
      <c r="G370" s="62" t="b">
        <v>0</v>
      </c>
      <c r="H370" s="78" t="b">
        <f>IF(VLOOKUP(C370,Projetos!A:L,12,false)=TRUE,TRUE,FALSE)</f>
        <v>0</v>
      </c>
      <c r="I370" s="68">
        <v>50.70079736570247</v>
      </c>
      <c r="J370" s="68">
        <f t="shared" si="1"/>
        <v>0</v>
      </c>
      <c r="K370" s="68" t="b">
        <v>0</v>
      </c>
    </row>
    <row r="371" hidden="1">
      <c r="A371" s="75">
        <v>365.0</v>
      </c>
      <c r="B371" s="62" t="s">
        <v>244</v>
      </c>
      <c r="C371" s="62" t="s">
        <v>109</v>
      </c>
      <c r="D371" s="62" t="s">
        <v>276</v>
      </c>
      <c r="E371" s="76">
        <v>44165.0</v>
      </c>
      <c r="F371" s="77">
        <v>0.09027777777777778</v>
      </c>
      <c r="G371" s="62" t="b">
        <v>0</v>
      </c>
      <c r="H371" s="78" t="b">
        <f>IF(VLOOKUP(C371,Projetos!A:L,12,false)=TRUE,TRUE,FALSE)</f>
        <v>0</v>
      </c>
      <c r="I371" s="68">
        <v>50.70079736570247</v>
      </c>
      <c r="J371" s="68">
        <f t="shared" si="1"/>
        <v>0</v>
      </c>
      <c r="K371" s="68" t="b">
        <v>0</v>
      </c>
    </row>
    <row r="372" hidden="1">
      <c r="A372" s="75">
        <v>366.0</v>
      </c>
      <c r="B372" s="62" t="s">
        <v>244</v>
      </c>
      <c r="C372" s="62" t="s">
        <v>102</v>
      </c>
      <c r="D372" s="62" t="s">
        <v>183</v>
      </c>
      <c r="E372" s="76">
        <v>44152.0</v>
      </c>
      <c r="F372" s="77">
        <v>0.1111111111111111</v>
      </c>
      <c r="G372" s="62" t="b">
        <v>0</v>
      </c>
      <c r="H372" s="78" t="b">
        <f>IF(VLOOKUP(C372,Projetos!A:L,12,false)=TRUE,TRUE,FALSE)</f>
        <v>0</v>
      </c>
      <c r="I372" s="68">
        <v>50.70079736570247</v>
      </c>
      <c r="J372" s="68">
        <f t="shared" si="1"/>
        <v>0</v>
      </c>
      <c r="K372" s="68" t="b">
        <v>0</v>
      </c>
    </row>
    <row r="373" hidden="1">
      <c r="A373" s="75">
        <v>367.0</v>
      </c>
      <c r="B373" s="62" t="s">
        <v>244</v>
      </c>
      <c r="C373" s="62" t="s">
        <v>102</v>
      </c>
      <c r="D373" s="62" t="s">
        <v>184</v>
      </c>
      <c r="E373" s="76">
        <v>44153.0</v>
      </c>
      <c r="F373" s="77">
        <v>0.09722222222222222</v>
      </c>
      <c r="G373" s="62" t="b">
        <v>0</v>
      </c>
      <c r="H373" s="78" t="b">
        <f>IF(VLOOKUP(C373,Projetos!A:L,12,false)=TRUE,TRUE,FALSE)</f>
        <v>0</v>
      </c>
      <c r="I373" s="68">
        <v>50.70079736570247</v>
      </c>
      <c r="J373" s="68">
        <f t="shared" si="1"/>
        <v>0</v>
      </c>
      <c r="K373" s="68" t="b">
        <v>0</v>
      </c>
    </row>
    <row r="374" hidden="1">
      <c r="A374" s="75">
        <v>368.0</v>
      </c>
      <c r="B374" s="62" t="s">
        <v>244</v>
      </c>
      <c r="C374" s="62" t="s">
        <v>109</v>
      </c>
      <c r="D374" s="62" t="s">
        <v>185</v>
      </c>
      <c r="E374" s="76">
        <v>44154.0</v>
      </c>
      <c r="F374" s="77">
        <v>0.020833333333333332</v>
      </c>
      <c r="G374" s="62" t="b">
        <v>0</v>
      </c>
      <c r="H374" s="78" t="b">
        <f>IF(VLOOKUP(C374,Projetos!A:L,12,false)=TRUE,TRUE,FALSE)</f>
        <v>0</v>
      </c>
      <c r="I374" s="68">
        <v>50.70079736570247</v>
      </c>
      <c r="J374" s="68">
        <f t="shared" si="1"/>
        <v>0</v>
      </c>
      <c r="K374" s="68" t="b">
        <v>0</v>
      </c>
    </row>
    <row r="375">
      <c r="A375" s="75">
        <v>369.0</v>
      </c>
      <c r="B375" s="62" t="s">
        <v>244</v>
      </c>
      <c r="C375" s="62" t="s">
        <v>104</v>
      </c>
      <c r="D375" s="62" t="s">
        <v>277</v>
      </c>
      <c r="E375" s="76">
        <v>44166.0</v>
      </c>
      <c r="F375" s="77">
        <v>0.08333333333333333</v>
      </c>
      <c r="G375" s="62" t="b">
        <v>1</v>
      </c>
      <c r="H375" s="78" t="b">
        <f>IF(VLOOKUP(C375,Projetos!A:L,12,false)=TRUE,TRUE,FALSE)</f>
        <v>1</v>
      </c>
      <c r="I375" s="68">
        <v>53.11512104978354</v>
      </c>
      <c r="J375" s="68">
        <f t="shared" si="1"/>
        <v>106.2302421</v>
      </c>
      <c r="K375" s="68" t="b">
        <v>1</v>
      </c>
    </row>
    <row r="376">
      <c r="A376" s="75">
        <v>370.0</v>
      </c>
      <c r="B376" s="62" t="s">
        <v>244</v>
      </c>
      <c r="C376" s="62" t="s">
        <v>104</v>
      </c>
      <c r="D376" s="62" t="s">
        <v>278</v>
      </c>
      <c r="E376" s="76">
        <v>44167.0</v>
      </c>
      <c r="F376" s="77">
        <v>0.09375</v>
      </c>
      <c r="G376" s="62" t="b">
        <v>1</v>
      </c>
      <c r="H376" s="78" t="b">
        <f>IF(VLOOKUP(C376,Projetos!A:L,12,false)=TRUE,TRUE,FALSE)</f>
        <v>1</v>
      </c>
      <c r="I376" s="68">
        <v>53.11512104978354</v>
      </c>
      <c r="J376" s="68">
        <f t="shared" si="1"/>
        <v>119.5090224</v>
      </c>
      <c r="K376" s="68" t="b">
        <v>1</v>
      </c>
    </row>
    <row r="377" hidden="1">
      <c r="A377" s="75">
        <v>371.0</v>
      </c>
      <c r="B377" s="62" t="s">
        <v>244</v>
      </c>
      <c r="C377" s="62" t="s">
        <v>83</v>
      </c>
      <c r="D377" s="62" t="s">
        <v>279</v>
      </c>
      <c r="E377" s="76">
        <v>44167.0</v>
      </c>
      <c r="F377" s="77">
        <v>0.10416666666666667</v>
      </c>
      <c r="G377" s="62" t="b">
        <v>0</v>
      </c>
      <c r="H377" s="78" t="b">
        <f>IF(VLOOKUP(C377,Projetos!A:L,12,false)=TRUE,TRUE,FALSE)</f>
        <v>0</v>
      </c>
      <c r="I377" s="68">
        <v>53.11512104978354</v>
      </c>
      <c r="J377" s="68">
        <f t="shared" si="1"/>
        <v>0</v>
      </c>
      <c r="K377" s="68" t="b">
        <v>0</v>
      </c>
    </row>
    <row r="378" hidden="1">
      <c r="A378" s="75">
        <v>372.0</v>
      </c>
      <c r="B378" s="62" t="s">
        <v>244</v>
      </c>
      <c r="C378" s="62" t="s">
        <v>83</v>
      </c>
      <c r="D378" s="62" t="s">
        <v>279</v>
      </c>
      <c r="E378" s="76">
        <v>44168.0</v>
      </c>
      <c r="F378" s="77">
        <v>0.08333333333333333</v>
      </c>
      <c r="G378" s="62" t="b">
        <v>0</v>
      </c>
      <c r="H378" s="78" t="b">
        <f>IF(VLOOKUP(C378,Projetos!A:L,12,false)=TRUE,TRUE,FALSE)</f>
        <v>0</v>
      </c>
      <c r="I378" s="68">
        <v>53.11512104978354</v>
      </c>
      <c r="J378" s="68">
        <f t="shared" si="1"/>
        <v>0</v>
      </c>
      <c r="K378" s="68" t="b">
        <v>0</v>
      </c>
    </row>
    <row r="379" hidden="1">
      <c r="A379" s="75">
        <v>373.0</v>
      </c>
      <c r="B379" s="62" t="s">
        <v>244</v>
      </c>
      <c r="C379" s="62" t="s">
        <v>117</v>
      </c>
      <c r="D379" s="62" t="s">
        <v>188</v>
      </c>
      <c r="E379" s="76">
        <v>44166.0</v>
      </c>
      <c r="F379" s="77">
        <v>0.08333333333333333</v>
      </c>
      <c r="G379" s="62" t="b">
        <v>0</v>
      </c>
      <c r="H379" s="78" t="b">
        <f>IF(VLOOKUP(C379,Projetos!A:L,12,false)=TRUE,TRUE,FALSE)</f>
        <v>0</v>
      </c>
      <c r="I379" s="68">
        <v>53.11512104978354</v>
      </c>
      <c r="J379" s="68">
        <f t="shared" si="1"/>
        <v>0</v>
      </c>
      <c r="K379" s="68" t="b">
        <v>0</v>
      </c>
    </row>
    <row r="380" hidden="1">
      <c r="A380" s="75">
        <v>374.0</v>
      </c>
      <c r="B380" s="62" t="s">
        <v>244</v>
      </c>
      <c r="C380" s="62" t="s">
        <v>117</v>
      </c>
      <c r="D380" s="62" t="s">
        <v>189</v>
      </c>
      <c r="E380" s="76">
        <v>44172.0</v>
      </c>
      <c r="F380" s="77">
        <v>0.0625</v>
      </c>
      <c r="G380" s="62" t="b">
        <v>0</v>
      </c>
      <c r="H380" s="78" t="b">
        <f>IF(VLOOKUP(C380,Projetos!A:L,12,false)=TRUE,TRUE,FALSE)</f>
        <v>0</v>
      </c>
      <c r="I380" s="68">
        <v>53.11512104978354</v>
      </c>
      <c r="J380" s="68">
        <f t="shared" si="1"/>
        <v>0</v>
      </c>
      <c r="K380" s="68" t="b">
        <v>0</v>
      </c>
    </row>
    <row r="381" hidden="1">
      <c r="A381" s="75">
        <v>375.0</v>
      </c>
      <c r="B381" s="62" t="s">
        <v>244</v>
      </c>
      <c r="C381" s="62" t="s">
        <v>83</v>
      </c>
      <c r="D381" s="62" t="s">
        <v>279</v>
      </c>
      <c r="E381" s="76">
        <v>44173.0</v>
      </c>
      <c r="F381" s="77">
        <v>0.125</v>
      </c>
      <c r="G381" s="62" t="b">
        <v>0</v>
      </c>
      <c r="H381" s="78" t="b">
        <f>IF(VLOOKUP(C381,Projetos!A:L,12,false)=TRUE,TRUE,FALSE)</f>
        <v>0</v>
      </c>
      <c r="I381" s="68">
        <v>53.11512104978354</v>
      </c>
      <c r="J381" s="68">
        <f t="shared" si="1"/>
        <v>0</v>
      </c>
      <c r="K381" s="68" t="b">
        <v>0</v>
      </c>
    </row>
    <row r="382">
      <c r="A382" s="75">
        <v>376.0</v>
      </c>
      <c r="B382" s="62" t="s">
        <v>244</v>
      </c>
      <c r="C382" s="62" t="s">
        <v>104</v>
      </c>
      <c r="D382" s="62" t="s">
        <v>191</v>
      </c>
      <c r="E382" s="76">
        <v>44174.0</v>
      </c>
      <c r="F382" s="77">
        <v>0.10416666666666667</v>
      </c>
      <c r="G382" s="62" t="b">
        <v>1</v>
      </c>
      <c r="H382" s="78" t="b">
        <f>IF(VLOOKUP(C382,Projetos!A:L,12,false)=TRUE,TRUE,FALSE)</f>
        <v>1</v>
      </c>
      <c r="I382" s="68">
        <v>53.11512104978354</v>
      </c>
      <c r="J382" s="68">
        <f t="shared" si="1"/>
        <v>132.7878026</v>
      </c>
      <c r="K382" s="68" t="b">
        <v>1</v>
      </c>
    </row>
    <row r="383" hidden="1">
      <c r="A383" s="75">
        <v>377.0</v>
      </c>
      <c r="B383" s="62" t="s">
        <v>244</v>
      </c>
      <c r="C383" s="62" t="s">
        <v>104</v>
      </c>
      <c r="D383" s="62" t="s">
        <v>280</v>
      </c>
      <c r="E383" s="76">
        <v>44175.0</v>
      </c>
      <c r="F383" s="77">
        <v>0.10416666666666667</v>
      </c>
      <c r="G383" s="62" t="b">
        <v>0</v>
      </c>
      <c r="H383" s="78" t="b">
        <f>IF(VLOOKUP(C383,Projetos!A:L,12,false)=TRUE,TRUE,FALSE)</f>
        <v>1</v>
      </c>
      <c r="I383" s="68">
        <v>53.11512104978354</v>
      </c>
      <c r="J383" s="68">
        <f t="shared" si="1"/>
        <v>0</v>
      </c>
      <c r="K383" s="68" t="b">
        <v>1</v>
      </c>
    </row>
    <row r="384" hidden="1">
      <c r="A384" s="75">
        <v>378.0</v>
      </c>
      <c r="B384" s="62" t="s">
        <v>244</v>
      </c>
      <c r="C384" s="62" t="s">
        <v>83</v>
      </c>
      <c r="D384" s="62" t="s">
        <v>281</v>
      </c>
      <c r="E384" s="76">
        <v>44179.0</v>
      </c>
      <c r="F384" s="77">
        <v>0.0625</v>
      </c>
      <c r="G384" s="62" t="b">
        <v>0</v>
      </c>
      <c r="H384" s="78" t="b">
        <f>IF(VLOOKUP(C384,Projetos!A:L,12,false)=TRUE,TRUE,FALSE)</f>
        <v>0</v>
      </c>
      <c r="I384" s="68">
        <v>53.11512104978354</v>
      </c>
      <c r="J384" s="68">
        <f t="shared" si="1"/>
        <v>0</v>
      </c>
      <c r="K384" s="68" t="b">
        <v>0</v>
      </c>
    </row>
    <row r="385" hidden="1">
      <c r="A385" s="75">
        <v>379.0</v>
      </c>
      <c r="B385" s="62" t="s">
        <v>244</v>
      </c>
      <c r="C385" s="62" t="s">
        <v>104</v>
      </c>
      <c r="D385" s="62" t="s">
        <v>280</v>
      </c>
      <c r="E385" s="76">
        <v>44180.0</v>
      </c>
      <c r="F385" s="77">
        <v>0.0625</v>
      </c>
      <c r="G385" s="62" t="b">
        <v>0</v>
      </c>
      <c r="H385" s="78" t="b">
        <f>IF(VLOOKUP(C385,Projetos!A:L,12,false)=TRUE,TRUE,FALSE)</f>
        <v>1</v>
      </c>
      <c r="I385" s="68">
        <v>53.11512104978354</v>
      </c>
      <c r="J385" s="68">
        <f t="shared" si="1"/>
        <v>0</v>
      </c>
      <c r="K385" s="68" t="b">
        <v>1</v>
      </c>
    </row>
    <row r="386" hidden="1">
      <c r="A386" s="75">
        <v>380.0</v>
      </c>
      <c r="B386" s="62" t="s">
        <v>244</v>
      </c>
      <c r="C386" s="62" t="s">
        <v>104</v>
      </c>
      <c r="D386" s="62" t="s">
        <v>280</v>
      </c>
      <c r="E386" s="76">
        <v>44180.0</v>
      </c>
      <c r="F386" s="77">
        <v>0.125</v>
      </c>
      <c r="G386" s="62" t="b">
        <v>0</v>
      </c>
      <c r="H386" s="78" t="b">
        <f>IF(VLOOKUP(C386,Projetos!A:L,12,false)=TRUE,TRUE,FALSE)</f>
        <v>1</v>
      </c>
      <c r="I386" s="68">
        <v>53.11512104978354</v>
      </c>
      <c r="J386" s="68">
        <f t="shared" si="1"/>
        <v>0</v>
      </c>
      <c r="K386" s="68" t="b">
        <v>1</v>
      </c>
    </row>
    <row r="387" hidden="1">
      <c r="A387" s="75">
        <v>381.0</v>
      </c>
      <c r="B387" s="62" t="s">
        <v>244</v>
      </c>
      <c r="C387" s="62" t="s">
        <v>83</v>
      </c>
      <c r="D387" s="62" t="s">
        <v>281</v>
      </c>
      <c r="E387" s="76">
        <v>44181.0</v>
      </c>
      <c r="F387" s="77">
        <v>0.08333333333333333</v>
      </c>
      <c r="G387" s="62" t="b">
        <v>0</v>
      </c>
      <c r="H387" s="78" t="b">
        <f>IF(VLOOKUP(C387,Projetos!A:L,12,false)=TRUE,TRUE,FALSE)</f>
        <v>0</v>
      </c>
      <c r="I387" s="68">
        <v>53.11512104978354</v>
      </c>
      <c r="J387" s="68">
        <f t="shared" si="1"/>
        <v>0</v>
      </c>
      <c r="K387" s="68" t="b">
        <v>0</v>
      </c>
    </row>
    <row r="388" hidden="1">
      <c r="A388" s="75">
        <v>382.0</v>
      </c>
      <c r="B388" s="62" t="s">
        <v>244</v>
      </c>
      <c r="C388" s="62" t="s">
        <v>83</v>
      </c>
      <c r="D388" s="62" t="s">
        <v>281</v>
      </c>
      <c r="E388" s="76">
        <v>44183.0</v>
      </c>
      <c r="F388" s="77">
        <v>0.09722222222222222</v>
      </c>
      <c r="G388" s="62" t="b">
        <v>0</v>
      </c>
      <c r="H388" s="78" t="b">
        <f>IF(VLOOKUP(C388,Projetos!A:L,12,false)=TRUE,TRUE,FALSE)</f>
        <v>0</v>
      </c>
      <c r="I388" s="68">
        <v>53.11512104978354</v>
      </c>
      <c r="J388" s="68">
        <f t="shared" si="1"/>
        <v>0</v>
      </c>
      <c r="K388" s="68" t="b">
        <v>0</v>
      </c>
    </row>
    <row r="389">
      <c r="A389" s="75">
        <v>383.0</v>
      </c>
      <c r="B389" s="62" t="s">
        <v>244</v>
      </c>
      <c r="C389" s="62" t="s">
        <v>104</v>
      </c>
      <c r="D389" s="62" t="s">
        <v>282</v>
      </c>
      <c r="E389" s="76">
        <v>44194.0</v>
      </c>
      <c r="F389" s="77">
        <v>0.16666666666666666</v>
      </c>
      <c r="G389" s="62" t="b">
        <v>1</v>
      </c>
      <c r="H389" s="78" t="b">
        <f>IF(VLOOKUP(C389,Projetos!A:L,12,false)=TRUE,TRUE,FALSE)</f>
        <v>1</v>
      </c>
      <c r="I389" s="68">
        <v>53.11512104978354</v>
      </c>
      <c r="J389" s="68">
        <f t="shared" si="1"/>
        <v>212.4604842</v>
      </c>
      <c r="K389" s="68" t="b">
        <v>1</v>
      </c>
    </row>
    <row r="390">
      <c r="A390" s="75">
        <v>384.0</v>
      </c>
      <c r="B390" s="62" t="s">
        <v>244</v>
      </c>
      <c r="C390" s="62" t="s">
        <v>104</v>
      </c>
      <c r="D390" s="62" t="s">
        <v>283</v>
      </c>
      <c r="E390" s="76">
        <v>44195.0</v>
      </c>
      <c r="F390" s="77">
        <v>0.17708333333333334</v>
      </c>
      <c r="G390" s="62" t="b">
        <v>1</v>
      </c>
      <c r="H390" s="78" t="b">
        <f>IF(VLOOKUP(C390,Projetos!A:L,12,false)=TRUE,TRUE,FALSE)</f>
        <v>1</v>
      </c>
      <c r="I390" s="68">
        <v>53.11512104978354</v>
      </c>
      <c r="J390" s="68">
        <f t="shared" si="1"/>
        <v>225.7392645</v>
      </c>
      <c r="K390" s="68" t="b">
        <v>1</v>
      </c>
    </row>
    <row r="391" hidden="1">
      <c r="A391" s="75">
        <v>385.0</v>
      </c>
      <c r="B391" s="62" t="s">
        <v>244</v>
      </c>
      <c r="C391" s="62" t="s">
        <v>117</v>
      </c>
      <c r="D391" s="62" t="s">
        <v>284</v>
      </c>
      <c r="E391" s="76">
        <v>44195.0</v>
      </c>
      <c r="F391" s="77">
        <v>0.0625</v>
      </c>
      <c r="G391" s="62" t="b">
        <v>0</v>
      </c>
      <c r="H391" s="78" t="b">
        <f>IF(VLOOKUP(C391,Projetos!A:L,12,false)=TRUE,TRUE,FALSE)</f>
        <v>0</v>
      </c>
      <c r="I391" s="68">
        <v>53.11512104978354</v>
      </c>
      <c r="J391" s="68">
        <f t="shared" si="1"/>
        <v>0</v>
      </c>
      <c r="K391" s="68" t="b">
        <v>0</v>
      </c>
    </row>
    <row r="392" hidden="1">
      <c r="A392" s="75">
        <v>386.0</v>
      </c>
      <c r="B392" s="62" t="s">
        <v>285</v>
      </c>
      <c r="C392" s="62" t="s">
        <v>102</v>
      </c>
      <c r="D392" s="62" t="s">
        <v>286</v>
      </c>
      <c r="E392" s="76">
        <v>43844.0</v>
      </c>
      <c r="F392" s="77">
        <v>0.125</v>
      </c>
      <c r="G392" s="62" t="b">
        <v>0</v>
      </c>
      <c r="H392" s="78" t="b">
        <f>IF(VLOOKUP(C392,Projetos!A:L,12,false)=TRUE,TRUE,FALSE)</f>
        <v>0</v>
      </c>
      <c r="I392" s="68">
        <v>32.2362044522607</v>
      </c>
      <c r="J392" s="68">
        <f t="shared" si="1"/>
        <v>0</v>
      </c>
      <c r="K392" s="68" t="b">
        <v>0</v>
      </c>
    </row>
    <row r="393" hidden="1">
      <c r="A393" s="75">
        <v>387.0</v>
      </c>
      <c r="B393" s="62" t="s">
        <v>285</v>
      </c>
      <c r="C393" s="62" t="s">
        <v>102</v>
      </c>
      <c r="D393" s="62" t="s">
        <v>287</v>
      </c>
      <c r="E393" s="76">
        <v>43845.0</v>
      </c>
      <c r="F393" s="77">
        <v>0.03611111111111111</v>
      </c>
      <c r="G393" s="62" t="b">
        <v>0</v>
      </c>
      <c r="H393" s="78" t="b">
        <f>IF(VLOOKUP(C393,Projetos!A:L,12,false)=TRUE,TRUE,FALSE)</f>
        <v>0</v>
      </c>
      <c r="I393" s="68">
        <v>32.2362044522607</v>
      </c>
      <c r="J393" s="68">
        <f t="shared" si="1"/>
        <v>0</v>
      </c>
      <c r="K393" s="68" t="b">
        <v>0</v>
      </c>
    </row>
    <row r="394" hidden="1">
      <c r="A394" s="75">
        <v>388.0</v>
      </c>
      <c r="B394" s="62" t="s">
        <v>285</v>
      </c>
      <c r="C394" s="62" t="s">
        <v>102</v>
      </c>
      <c r="D394" s="62" t="s">
        <v>288</v>
      </c>
      <c r="E394" s="76">
        <v>43846.0</v>
      </c>
      <c r="F394" s="77">
        <v>0.0763888888888889</v>
      </c>
      <c r="G394" s="62" t="b">
        <v>0</v>
      </c>
      <c r="H394" s="78" t="b">
        <f>IF(VLOOKUP(C394,Projetos!A:L,12,false)=TRUE,TRUE,FALSE)</f>
        <v>0</v>
      </c>
      <c r="I394" s="68">
        <v>32.2362044522607</v>
      </c>
      <c r="J394" s="68">
        <f t="shared" si="1"/>
        <v>0</v>
      </c>
      <c r="K394" s="68" t="b">
        <v>0</v>
      </c>
    </row>
    <row r="395">
      <c r="A395" s="75">
        <v>389.0</v>
      </c>
      <c r="B395" s="62" t="s">
        <v>285</v>
      </c>
      <c r="C395" s="62" t="s">
        <v>104</v>
      </c>
      <c r="D395" s="62" t="s">
        <v>289</v>
      </c>
      <c r="E395" s="76">
        <v>43853.0</v>
      </c>
      <c r="F395" s="77">
        <v>0.4513888888888889</v>
      </c>
      <c r="G395" s="62" t="b">
        <v>1</v>
      </c>
      <c r="H395" s="78" t="b">
        <f>IF(VLOOKUP(C395,Projetos!A:L,12,false)=TRUE,TRUE,FALSE)</f>
        <v>1</v>
      </c>
      <c r="I395" s="68">
        <v>32.2362044522607</v>
      </c>
      <c r="J395" s="68">
        <f t="shared" si="1"/>
        <v>349.2255482</v>
      </c>
      <c r="K395" s="68" t="b">
        <v>1</v>
      </c>
    </row>
    <row r="396" hidden="1">
      <c r="A396" s="75">
        <v>390.0</v>
      </c>
      <c r="B396" s="62" t="s">
        <v>285</v>
      </c>
      <c r="C396" s="62" t="s">
        <v>109</v>
      </c>
      <c r="D396" s="62" t="s">
        <v>290</v>
      </c>
      <c r="E396" s="76">
        <v>43859.0</v>
      </c>
      <c r="F396" s="77">
        <v>0.020833333333333332</v>
      </c>
      <c r="G396" s="62" t="b">
        <v>0</v>
      </c>
      <c r="H396" s="78" t="b">
        <f>IF(VLOOKUP(C396,Projetos!A:L,12,false)=TRUE,TRUE,FALSE)</f>
        <v>0</v>
      </c>
      <c r="I396" s="68">
        <v>32.2362044522607</v>
      </c>
      <c r="J396" s="68">
        <f t="shared" si="1"/>
        <v>0</v>
      </c>
      <c r="K396" s="68" t="b">
        <v>0</v>
      </c>
    </row>
    <row r="397" hidden="1">
      <c r="A397" s="75">
        <v>391.0</v>
      </c>
      <c r="B397" s="62" t="s">
        <v>285</v>
      </c>
      <c r="C397" s="62" t="s">
        <v>108</v>
      </c>
      <c r="D397" s="62" t="s">
        <v>291</v>
      </c>
      <c r="E397" s="76">
        <v>43859.0</v>
      </c>
      <c r="F397" s="77">
        <v>0.003472222222222222</v>
      </c>
      <c r="G397" s="62" t="b">
        <v>0</v>
      </c>
      <c r="H397" s="78" t="b">
        <f>IF(VLOOKUP(C397,Projetos!A:L,12,false)=TRUE,TRUE,FALSE)</f>
        <v>1</v>
      </c>
      <c r="I397" s="68">
        <v>32.2362044522607</v>
      </c>
      <c r="J397" s="68">
        <f t="shared" si="1"/>
        <v>0</v>
      </c>
      <c r="K397" s="68" t="b">
        <v>1</v>
      </c>
    </row>
    <row r="398">
      <c r="A398" s="75">
        <v>392.0</v>
      </c>
      <c r="B398" s="62" t="s">
        <v>285</v>
      </c>
      <c r="C398" s="62" t="s">
        <v>100</v>
      </c>
      <c r="D398" s="62" t="s">
        <v>291</v>
      </c>
      <c r="E398" s="76">
        <v>43859.0</v>
      </c>
      <c r="F398" s="77">
        <v>0.058333333333333334</v>
      </c>
      <c r="G398" s="62" t="b">
        <v>1</v>
      </c>
      <c r="H398" s="78" t="b">
        <f>IF(VLOOKUP(C398,Projetos!A:L,12,false)=TRUE,TRUE,FALSE)</f>
        <v>1</v>
      </c>
      <c r="I398" s="68">
        <v>32.2362044522607</v>
      </c>
      <c r="J398" s="68">
        <f t="shared" si="1"/>
        <v>45.13068623</v>
      </c>
      <c r="K398" s="68" t="b">
        <v>1</v>
      </c>
    </row>
    <row r="399" hidden="1">
      <c r="A399" s="75">
        <v>393.0</v>
      </c>
      <c r="B399" s="62" t="s">
        <v>285</v>
      </c>
      <c r="C399" s="62" t="s">
        <v>108</v>
      </c>
      <c r="D399" s="62" t="s">
        <v>292</v>
      </c>
      <c r="E399" s="76">
        <v>43860.0</v>
      </c>
      <c r="F399" s="77">
        <v>0.0020833333333333333</v>
      </c>
      <c r="G399" s="62" t="b">
        <v>0</v>
      </c>
      <c r="H399" s="78" t="b">
        <f>IF(VLOOKUP(C399,Projetos!A:L,12,false)=TRUE,TRUE,FALSE)</f>
        <v>1</v>
      </c>
      <c r="I399" s="68">
        <v>32.2362044522607</v>
      </c>
      <c r="J399" s="68">
        <f t="shared" si="1"/>
        <v>0</v>
      </c>
      <c r="K399" s="68" t="b">
        <v>1</v>
      </c>
    </row>
    <row r="400" hidden="1">
      <c r="A400" s="75">
        <v>394.0</v>
      </c>
      <c r="B400" s="62" t="s">
        <v>285</v>
      </c>
      <c r="C400" s="62" t="s">
        <v>100</v>
      </c>
      <c r="D400" s="62" t="s">
        <v>293</v>
      </c>
      <c r="E400" s="76">
        <v>43865.0</v>
      </c>
      <c r="F400" s="77">
        <v>6.944444444444445E-4</v>
      </c>
      <c r="G400" s="62" t="b">
        <v>0</v>
      </c>
      <c r="H400" s="78" t="b">
        <f>IF(VLOOKUP(C400,Projetos!A:L,12,false)=TRUE,TRUE,FALSE)</f>
        <v>1</v>
      </c>
      <c r="I400" s="68">
        <v>30.770922431703394</v>
      </c>
      <c r="J400" s="68">
        <f t="shared" si="1"/>
        <v>0</v>
      </c>
      <c r="K400" s="68" t="b">
        <v>1</v>
      </c>
    </row>
    <row r="401" hidden="1">
      <c r="A401" s="75">
        <v>395.0</v>
      </c>
      <c r="B401" s="62" t="s">
        <v>285</v>
      </c>
      <c r="C401" s="62" t="s">
        <v>108</v>
      </c>
      <c r="D401" s="62" t="s">
        <v>293</v>
      </c>
      <c r="E401" s="76">
        <v>43866.0</v>
      </c>
      <c r="F401" s="77">
        <v>0.008333333333333333</v>
      </c>
      <c r="G401" s="62" t="b">
        <v>0</v>
      </c>
      <c r="H401" s="78" t="b">
        <f>IF(VLOOKUP(C401,Projetos!A:L,12,false)=TRUE,TRUE,FALSE)</f>
        <v>1</v>
      </c>
      <c r="I401" s="68">
        <v>30.770922431703394</v>
      </c>
      <c r="J401" s="68">
        <f t="shared" si="1"/>
        <v>0</v>
      </c>
      <c r="K401" s="68" t="b">
        <v>1</v>
      </c>
    </row>
    <row r="402">
      <c r="A402" s="75">
        <v>396.0</v>
      </c>
      <c r="B402" s="62" t="s">
        <v>285</v>
      </c>
      <c r="C402" s="62" t="s">
        <v>100</v>
      </c>
      <c r="D402" s="62" t="s">
        <v>294</v>
      </c>
      <c r="E402" s="76">
        <v>43866.0</v>
      </c>
      <c r="F402" s="77">
        <v>0.3013888888888889</v>
      </c>
      <c r="G402" s="62" t="b">
        <v>1</v>
      </c>
      <c r="H402" s="78" t="b">
        <f>IF(VLOOKUP(C402,Projetos!A:L,12,false)=TRUE,TRUE,FALSE)</f>
        <v>1</v>
      </c>
      <c r="I402" s="68">
        <v>30.770922431703394</v>
      </c>
      <c r="J402" s="68">
        <f t="shared" si="1"/>
        <v>222.5763389</v>
      </c>
      <c r="K402" s="68" t="b">
        <v>1</v>
      </c>
    </row>
    <row r="403">
      <c r="A403" s="75">
        <v>397.0</v>
      </c>
      <c r="B403" s="62" t="s">
        <v>285</v>
      </c>
      <c r="C403" s="62" t="s">
        <v>100</v>
      </c>
      <c r="D403" s="62" t="s">
        <v>294</v>
      </c>
      <c r="E403" s="76">
        <v>43867.0</v>
      </c>
      <c r="F403" s="77">
        <v>0.34375</v>
      </c>
      <c r="G403" s="62" t="b">
        <v>1</v>
      </c>
      <c r="H403" s="78" t="b">
        <f>IF(VLOOKUP(C403,Projetos!A:L,12,false)=TRUE,TRUE,FALSE)</f>
        <v>1</v>
      </c>
      <c r="I403" s="68">
        <v>30.770922431703394</v>
      </c>
      <c r="J403" s="68">
        <f t="shared" si="1"/>
        <v>253.8601101</v>
      </c>
      <c r="K403" s="68" t="b">
        <v>1</v>
      </c>
    </row>
    <row r="404" hidden="1">
      <c r="A404" s="75">
        <v>398.0</v>
      </c>
      <c r="B404" s="62" t="s">
        <v>285</v>
      </c>
      <c r="C404" s="62" t="s">
        <v>108</v>
      </c>
      <c r="D404" s="62" t="s">
        <v>295</v>
      </c>
      <c r="E404" s="76">
        <v>43868.0</v>
      </c>
      <c r="F404" s="77">
        <v>0.3784722222222222</v>
      </c>
      <c r="G404" s="62" t="b">
        <v>0</v>
      </c>
      <c r="H404" s="78" t="b">
        <f>IF(VLOOKUP(C404,Projetos!A:L,12,false)=TRUE,TRUE,FALSE)</f>
        <v>1</v>
      </c>
      <c r="I404" s="68">
        <v>30.770922431703394</v>
      </c>
      <c r="J404" s="68">
        <f t="shared" si="1"/>
        <v>0</v>
      </c>
      <c r="K404" s="68" t="b">
        <v>1</v>
      </c>
    </row>
    <row r="405" hidden="1">
      <c r="A405" s="75">
        <v>399.0</v>
      </c>
      <c r="B405" s="62" t="s">
        <v>285</v>
      </c>
      <c r="C405" s="62" t="s">
        <v>108</v>
      </c>
      <c r="D405" s="62" t="s">
        <v>296</v>
      </c>
      <c r="E405" s="76">
        <v>43871.0</v>
      </c>
      <c r="F405" s="77">
        <v>0.375</v>
      </c>
      <c r="G405" s="62" t="b">
        <v>0</v>
      </c>
      <c r="H405" s="78" t="b">
        <f>IF(VLOOKUP(C405,Projetos!A:L,12,false)=TRUE,TRUE,FALSE)</f>
        <v>1</v>
      </c>
      <c r="I405" s="68">
        <v>30.770922431703394</v>
      </c>
      <c r="J405" s="68">
        <f t="shared" si="1"/>
        <v>0</v>
      </c>
      <c r="K405" s="68" t="b">
        <v>1</v>
      </c>
    </row>
    <row r="406" hidden="1">
      <c r="A406" s="75">
        <v>400.0</v>
      </c>
      <c r="B406" s="62" t="s">
        <v>285</v>
      </c>
      <c r="C406" s="62" t="s">
        <v>108</v>
      </c>
      <c r="D406" s="62" t="s">
        <v>297</v>
      </c>
      <c r="E406" s="76">
        <v>43872.0</v>
      </c>
      <c r="F406" s="77">
        <v>0.1111111111111111</v>
      </c>
      <c r="G406" s="62" t="b">
        <v>0</v>
      </c>
      <c r="H406" s="78" t="b">
        <f>IF(VLOOKUP(C406,Projetos!A:L,12,false)=TRUE,TRUE,FALSE)</f>
        <v>1</v>
      </c>
      <c r="I406" s="68">
        <v>30.770922431703394</v>
      </c>
      <c r="J406" s="68">
        <f t="shared" si="1"/>
        <v>0</v>
      </c>
      <c r="K406" s="68" t="b">
        <v>1</v>
      </c>
    </row>
    <row r="407" hidden="1">
      <c r="A407" s="75">
        <v>401.0</v>
      </c>
      <c r="B407" s="62" t="s">
        <v>285</v>
      </c>
      <c r="C407" s="62" t="s">
        <v>108</v>
      </c>
      <c r="D407" s="62" t="s">
        <v>298</v>
      </c>
      <c r="E407" s="76">
        <v>43873.0</v>
      </c>
      <c r="F407" s="77">
        <v>0.034722222222222224</v>
      </c>
      <c r="G407" s="62" t="b">
        <v>0</v>
      </c>
      <c r="H407" s="78" t="b">
        <f>IF(VLOOKUP(C407,Projetos!A:L,12,false)=TRUE,TRUE,FALSE)</f>
        <v>1</v>
      </c>
      <c r="I407" s="68">
        <v>30.770922431703394</v>
      </c>
      <c r="J407" s="68">
        <f t="shared" si="1"/>
        <v>0</v>
      </c>
      <c r="K407" s="68" t="b">
        <v>1</v>
      </c>
    </row>
    <row r="408">
      <c r="A408" s="75">
        <v>402.0</v>
      </c>
      <c r="B408" s="62" t="s">
        <v>285</v>
      </c>
      <c r="C408" s="62" t="s">
        <v>100</v>
      </c>
      <c r="D408" s="62" t="s">
        <v>299</v>
      </c>
      <c r="E408" s="76">
        <v>43875.0</v>
      </c>
      <c r="F408" s="77">
        <v>0.1111111111111111</v>
      </c>
      <c r="G408" s="62" t="b">
        <v>1</v>
      </c>
      <c r="H408" s="78" t="b">
        <f>IF(VLOOKUP(C408,Projetos!A:L,12,false)=TRUE,TRUE,FALSE)</f>
        <v>1</v>
      </c>
      <c r="I408" s="68">
        <v>30.770922431703394</v>
      </c>
      <c r="J408" s="68">
        <f t="shared" si="1"/>
        <v>82.05579315</v>
      </c>
      <c r="K408" s="68" t="b">
        <v>1</v>
      </c>
    </row>
    <row r="409">
      <c r="A409" s="75">
        <v>403.0</v>
      </c>
      <c r="B409" s="62" t="s">
        <v>285</v>
      </c>
      <c r="C409" s="62" t="s">
        <v>138</v>
      </c>
      <c r="D409" s="62" t="s">
        <v>300</v>
      </c>
      <c r="E409" s="76">
        <v>43879.0</v>
      </c>
      <c r="F409" s="77">
        <v>0.04652777777777778</v>
      </c>
      <c r="G409" s="62" t="b">
        <v>1</v>
      </c>
      <c r="H409" s="78" t="b">
        <f>IF(VLOOKUP(C409,Projetos!A:L,12,false)=TRUE,TRUE,FALSE)</f>
        <v>1</v>
      </c>
      <c r="I409" s="68">
        <v>30.770922431703394</v>
      </c>
      <c r="J409" s="68">
        <f t="shared" si="1"/>
        <v>34.36086338</v>
      </c>
      <c r="K409" s="68" t="b">
        <v>1</v>
      </c>
    </row>
    <row r="410" hidden="1">
      <c r="A410" s="75">
        <v>404.0</v>
      </c>
      <c r="B410" s="62" t="s">
        <v>285</v>
      </c>
      <c r="C410" s="62" t="s">
        <v>109</v>
      </c>
      <c r="D410" s="62" t="s">
        <v>301</v>
      </c>
      <c r="E410" s="76">
        <v>43927.0</v>
      </c>
      <c r="F410" s="77">
        <v>0.10416666666666667</v>
      </c>
      <c r="G410" s="62" t="b">
        <v>0</v>
      </c>
      <c r="H410" s="78" t="b">
        <f>IF(VLOOKUP(C410,Projetos!A:L,12,false)=TRUE,TRUE,FALSE)</f>
        <v>0</v>
      </c>
      <c r="I410" s="68">
        <v>30.770922431703394</v>
      </c>
      <c r="J410" s="68">
        <f t="shared" si="1"/>
        <v>0</v>
      </c>
      <c r="K410" s="68" t="b">
        <v>0</v>
      </c>
    </row>
    <row r="411" hidden="1">
      <c r="A411" s="75">
        <v>405.0</v>
      </c>
      <c r="B411" s="62" t="s">
        <v>285</v>
      </c>
      <c r="C411" s="62" t="s">
        <v>109</v>
      </c>
      <c r="D411" s="62" t="s">
        <v>302</v>
      </c>
      <c r="E411" s="76">
        <v>43928.0</v>
      </c>
      <c r="F411" s="77">
        <v>0.10416666666666667</v>
      </c>
      <c r="G411" s="62" t="b">
        <v>0</v>
      </c>
      <c r="H411" s="78" t="b">
        <f>IF(VLOOKUP(C411,Projetos!A:L,12,false)=TRUE,TRUE,FALSE)</f>
        <v>0</v>
      </c>
      <c r="I411" s="68">
        <v>30.770922431703394</v>
      </c>
      <c r="J411" s="68">
        <f t="shared" si="1"/>
        <v>0</v>
      </c>
      <c r="K411" s="68" t="b">
        <v>0</v>
      </c>
    </row>
    <row r="412">
      <c r="A412" s="75">
        <v>406.0</v>
      </c>
      <c r="B412" s="62" t="s">
        <v>285</v>
      </c>
      <c r="C412" s="62" t="s">
        <v>101</v>
      </c>
      <c r="D412" s="62" t="s">
        <v>303</v>
      </c>
      <c r="E412" s="76">
        <v>43951.0</v>
      </c>
      <c r="F412" s="77">
        <v>0.08333333333333333</v>
      </c>
      <c r="G412" s="62" t="b">
        <v>1</v>
      </c>
      <c r="H412" s="78" t="b">
        <f>IF(VLOOKUP(C412,Projetos!A:L,12,false)=TRUE,TRUE,FALSE)</f>
        <v>1</v>
      </c>
      <c r="I412" s="68">
        <v>30.770922431703394</v>
      </c>
      <c r="J412" s="68">
        <f t="shared" si="1"/>
        <v>61.54184486</v>
      </c>
      <c r="K412" s="68" t="b">
        <v>1</v>
      </c>
    </row>
    <row r="413" hidden="1">
      <c r="A413" s="75">
        <v>407.0</v>
      </c>
      <c r="B413" s="62" t="s">
        <v>285</v>
      </c>
      <c r="C413" s="62" t="s">
        <v>109</v>
      </c>
      <c r="D413" s="62" t="s">
        <v>304</v>
      </c>
      <c r="E413" s="76">
        <v>43955.0</v>
      </c>
      <c r="F413" s="77">
        <v>0.14583333333333334</v>
      </c>
      <c r="G413" s="62" t="b">
        <v>0</v>
      </c>
      <c r="H413" s="78" t="b">
        <f>IF(VLOOKUP(C413,Projetos!A:L,12,false)=TRUE,TRUE,FALSE)</f>
        <v>0</v>
      </c>
      <c r="I413" s="68">
        <v>32.2362044522607</v>
      </c>
      <c r="J413" s="68">
        <f t="shared" si="1"/>
        <v>0</v>
      </c>
      <c r="K413" s="68" t="b">
        <v>0</v>
      </c>
    </row>
    <row r="414" hidden="1">
      <c r="A414" s="75">
        <v>408.0</v>
      </c>
      <c r="B414" s="62" t="s">
        <v>285</v>
      </c>
      <c r="C414" s="62" t="s">
        <v>109</v>
      </c>
      <c r="D414" s="62" t="s">
        <v>305</v>
      </c>
      <c r="E414" s="76">
        <v>43962.0</v>
      </c>
      <c r="F414" s="77">
        <v>0.20833333333333334</v>
      </c>
      <c r="G414" s="62" t="b">
        <v>0</v>
      </c>
      <c r="H414" s="78" t="b">
        <f>IF(VLOOKUP(C414,Projetos!A:L,12,false)=TRUE,TRUE,FALSE)</f>
        <v>0</v>
      </c>
      <c r="I414" s="68">
        <v>32.2362044522607</v>
      </c>
      <c r="J414" s="68">
        <f t="shared" si="1"/>
        <v>0</v>
      </c>
      <c r="K414" s="68" t="b">
        <v>0</v>
      </c>
    </row>
    <row r="415" hidden="1">
      <c r="A415" s="75">
        <v>409.0</v>
      </c>
      <c r="B415" s="62" t="s">
        <v>285</v>
      </c>
      <c r="C415" s="62" t="s">
        <v>109</v>
      </c>
      <c r="D415" s="62" t="s">
        <v>306</v>
      </c>
      <c r="E415" s="76">
        <v>43976.0</v>
      </c>
      <c r="F415" s="77">
        <v>0.14583333333333334</v>
      </c>
      <c r="G415" s="62" t="b">
        <v>0</v>
      </c>
      <c r="H415" s="78" t="b">
        <f>IF(VLOOKUP(C415,Projetos!A:L,12,false)=TRUE,TRUE,FALSE)</f>
        <v>0</v>
      </c>
      <c r="I415" s="68">
        <v>32.2362044522607</v>
      </c>
      <c r="J415" s="68">
        <f t="shared" si="1"/>
        <v>0</v>
      </c>
      <c r="K415" s="68" t="b">
        <v>0</v>
      </c>
    </row>
    <row r="416" hidden="1">
      <c r="A416" s="75">
        <v>410.0</v>
      </c>
      <c r="B416" s="62" t="s">
        <v>285</v>
      </c>
      <c r="C416" s="62" t="s">
        <v>109</v>
      </c>
      <c r="D416" s="62" t="s">
        <v>307</v>
      </c>
      <c r="E416" s="76">
        <v>43969.0</v>
      </c>
      <c r="F416" s="77">
        <v>0.3333333333333333</v>
      </c>
      <c r="G416" s="62" t="b">
        <v>0</v>
      </c>
      <c r="H416" s="78" t="b">
        <f>IF(VLOOKUP(C416,Projetos!A:L,12,false)=TRUE,TRUE,FALSE)</f>
        <v>0</v>
      </c>
      <c r="I416" s="68">
        <v>32.2362044522607</v>
      </c>
      <c r="J416" s="68">
        <f t="shared" si="1"/>
        <v>0</v>
      </c>
      <c r="K416" s="68" t="b">
        <v>0</v>
      </c>
    </row>
    <row r="417" hidden="1">
      <c r="A417" s="75">
        <v>411.0</v>
      </c>
      <c r="B417" s="62" t="s">
        <v>285</v>
      </c>
      <c r="C417" s="62" t="s">
        <v>109</v>
      </c>
      <c r="D417" s="62" t="s">
        <v>307</v>
      </c>
      <c r="E417" s="76">
        <v>43971.0</v>
      </c>
      <c r="F417" s="77">
        <v>0.2916666666666667</v>
      </c>
      <c r="G417" s="62" t="b">
        <v>0</v>
      </c>
      <c r="H417" s="78" t="b">
        <f>IF(VLOOKUP(C417,Projetos!A:L,12,false)=TRUE,TRUE,FALSE)</f>
        <v>0</v>
      </c>
      <c r="I417" s="68">
        <v>32.2362044522607</v>
      </c>
      <c r="J417" s="68">
        <f t="shared" si="1"/>
        <v>0</v>
      </c>
      <c r="K417" s="68" t="b">
        <v>0</v>
      </c>
    </row>
    <row r="418" hidden="1">
      <c r="A418" s="75">
        <v>412.0</v>
      </c>
      <c r="B418" s="62" t="s">
        <v>285</v>
      </c>
      <c r="C418" s="62" t="s">
        <v>109</v>
      </c>
      <c r="D418" s="62" t="s">
        <v>307</v>
      </c>
      <c r="E418" s="76">
        <v>43977.0</v>
      </c>
      <c r="F418" s="77">
        <v>0.0625</v>
      </c>
      <c r="G418" s="62" t="b">
        <v>0</v>
      </c>
      <c r="H418" s="78" t="b">
        <f>IF(VLOOKUP(C418,Projetos!A:L,12,false)=TRUE,TRUE,FALSE)</f>
        <v>0</v>
      </c>
      <c r="I418" s="68">
        <v>32.2362044522607</v>
      </c>
      <c r="J418" s="68">
        <f t="shared" si="1"/>
        <v>0</v>
      </c>
      <c r="K418" s="68" t="b">
        <v>0</v>
      </c>
    </row>
    <row r="419" hidden="1">
      <c r="A419" s="75">
        <v>413.0</v>
      </c>
      <c r="B419" s="62" t="s">
        <v>285</v>
      </c>
      <c r="C419" s="62" t="s">
        <v>109</v>
      </c>
      <c r="D419" s="62" t="s">
        <v>308</v>
      </c>
      <c r="E419" s="76">
        <v>43977.0</v>
      </c>
      <c r="F419" s="77">
        <v>0.3333333333333333</v>
      </c>
      <c r="G419" s="62" t="b">
        <v>0</v>
      </c>
      <c r="H419" s="78" t="b">
        <f>IF(VLOOKUP(C419,Projetos!A:L,12,false)=TRUE,TRUE,FALSE)</f>
        <v>0</v>
      </c>
      <c r="I419" s="68">
        <v>32.2362044522607</v>
      </c>
      <c r="J419" s="68">
        <f t="shared" si="1"/>
        <v>0</v>
      </c>
      <c r="K419" s="68" t="b">
        <v>0</v>
      </c>
    </row>
    <row r="420" hidden="1">
      <c r="A420" s="75">
        <v>414.0</v>
      </c>
      <c r="B420" s="62" t="s">
        <v>285</v>
      </c>
      <c r="C420" s="62" t="s">
        <v>109</v>
      </c>
      <c r="D420" s="62" t="s">
        <v>309</v>
      </c>
      <c r="E420" s="76">
        <v>43978.0</v>
      </c>
      <c r="F420" s="77">
        <v>0.25</v>
      </c>
      <c r="G420" s="62" t="b">
        <v>0</v>
      </c>
      <c r="H420" s="78" t="b">
        <f>IF(VLOOKUP(C420,Projetos!A:L,12,false)=TRUE,TRUE,FALSE)</f>
        <v>0</v>
      </c>
      <c r="I420" s="68">
        <v>32.2362044522607</v>
      </c>
      <c r="J420" s="68">
        <f t="shared" si="1"/>
        <v>0</v>
      </c>
      <c r="K420" s="68" t="b">
        <v>0</v>
      </c>
    </row>
    <row r="421" hidden="1">
      <c r="A421" s="75">
        <v>415.0</v>
      </c>
      <c r="B421" s="62" t="s">
        <v>285</v>
      </c>
      <c r="C421" s="62" t="s">
        <v>109</v>
      </c>
      <c r="D421" s="62" t="s">
        <v>310</v>
      </c>
      <c r="E421" s="76">
        <v>43980.0</v>
      </c>
      <c r="F421" s="77">
        <v>0.3125</v>
      </c>
      <c r="G421" s="62" t="b">
        <v>0</v>
      </c>
      <c r="H421" s="78" t="b">
        <f>IF(VLOOKUP(C421,Projetos!A:L,12,false)=TRUE,TRUE,FALSE)</f>
        <v>0</v>
      </c>
      <c r="I421" s="68">
        <v>32.2362044522607</v>
      </c>
      <c r="J421" s="68">
        <f t="shared" si="1"/>
        <v>0</v>
      </c>
      <c r="K421" s="68" t="b">
        <v>0</v>
      </c>
    </row>
    <row r="422" hidden="1">
      <c r="A422" s="75">
        <v>416.0</v>
      </c>
      <c r="B422" s="62" t="s">
        <v>285</v>
      </c>
      <c r="C422" s="62" t="s">
        <v>109</v>
      </c>
      <c r="D422" s="62" t="s">
        <v>311</v>
      </c>
      <c r="E422" s="76">
        <v>43983.0</v>
      </c>
      <c r="F422" s="77">
        <v>0.4166666666666667</v>
      </c>
      <c r="G422" s="62" t="b">
        <v>0</v>
      </c>
      <c r="H422" s="78" t="b">
        <f>IF(VLOOKUP(C422,Projetos!A:L,12,false)=TRUE,TRUE,FALSE)</f>
        <v>0</v>
      </c>
      <c r="I422" s="68">
        <v>30.770922431703394</v>
      </c>
      <c r="J422" s="68">
        <f t="shared" si="1"/>
        <v>0</v>
      </c>
      <c r="K422" s="68" t="b">
        <v>0</v>
      </c>
    </row>
    <row r="423" hidden="1">
      <c r="A423" s="75">
        <v>417.0</v>
      </c>
      <c r="B423" s="62" t="s">
        <v>285</v>
      </c>
      <c r="C423" s="62" t="s">
        <v>109</v>
      </c>
      <c r="D423" s="62" t="s">
        <v>311</v>
      </c>
      <c r="E423" s="76">
        <v>43984.0</v>
      </c>
      <c r="F423" s="77">
        <v>0.4166666666666667</v>
      </c>
      <c r="G423" s="62" t="b">
        <v>0</v>
      </c>
      <c r="H423" s="78" t="b">
        <f>IF(VLOOKUP(C423,Projetos!A:L,12,false)=TRUE,TRUE,FALSE)</f>
        <v>0</v>
      </c>
      <c r="I423" s="68">
        <v>30.770922431703394</v>
      </c>
      <c r="J423" s="68">
        <f t="shared" si="1"/>
        <v>0</v>
      </c>
      <c r="K423" s="68" t="b">
        <v>0</v>
      </c>
    </row>
    <row r="424" hidden="1">
      <c r="A424" s="75">
        <v>418.0</v>
      </c>
      <c r="B424" s="62" t="s">
        <v>285</v>
      </c>
      <c r="C424" s="62" t="s">
        <v>109</v>
      </c>
      <c r="D424" s="62" t="s">
        <v>311</v>
      </c>
      <c r="E424" s="76">
        <v>43985.0</v>
      </c>
      <c r="F424" s="77">
        <v>0.4166666666666667</v>
      </c>
      <c r="G424" s="62" t="b">
        <v>0</v>
      </c>
      <c r="H424" s="78" t="b">
        <f>IF(VLOOKUP(C424,Projetos!A:L,12,false)=TRUE,TRUE,FALSE)</f>
        <v>0</v>
      </c>
      <c r="I424" s="68">
        <v>30.770922431703394</v>
      </c>
      <c r="J424" s="68">
        <f t="shared" si="1"/>
        <v>0</v>
      </c>
      <c r="K424" s="68" t="b">
        <v>0</v>
      </c>
    </row>
    <row r="425" hidden="1">
      <c r="A425" s="75">
        <v>419.0</v>
      </c>
      <c r="B425" s="62" t="s">
        <v>285</v>
      </c>
      <c r="C425" s="62" t="s">
        <v>109</v>
      </c>
      <c r="D425" s="62" t="s">
        <v>311</v>
      </c>
      <c r="E425" s="76">
        <v>43986.0</v>
      </c>
      <c r="F425" s="77">
        <v>0.4166666666666667</v>
      </c>
      <c r="G425" s="62" t="b">
        <v>0</v>
      </c>
      <c r="H425" s="78" t="b">
        <f>IF(VLOOKUP(C425,Projetos!A:L,12,false)=TRUE,TRUE,FALSE)</f>
        <v>0</v>
      </c>
      <c r="I425" s="68">
        <v>30.770922431703394</v>
      </c>
      <c r="J425" s="68">
        <f t="shared" si="1"/>
        <v>0</v>
      </c>
      <c r="K425" s="68" t="b">
        <v>0</v>
      </c>
    </row>
    <row r="426" hidden="1">
      <c r="A426" s="75">
        <v>420.0</v>
      </c>
      <c r="B426" s="62" t="s">
        <v>285</v>
      </c>
      <c r="C426" s="62" t="s">
        <v>109</v>
      </c>
      <c r="D426" s="62" t="s">
        <v>311</v>
      </c>
      <c r="E426" s="76">
        <v>43987.0</v>
      </c>
      <c r="F426" s="77">
        <v>0.4166666666666667</v>
      </c>
      <c r="G426" s="62" t="b">
        <v>0</v>
      </c>
      <c r="H426" s="78" t="b">
        <f>IF(VLOOKUP(C426,Projetos!A:L,12,false)=TRUE,TRUE,FALSE)</f>
        <v>0</v>
      </c>
      <c r="I426" s="68">
        <v>30.770922431703394</v>
      </c>
      <c r="J426" s="68">
        <f t="shared" si="1"/>
        <v>0</v>
      </c>
      <c r="K426" s="68" t="b">
        <v>0</v>
      </c>
    </row>
    <row r="427" hidden="1">
      <c r="A427" s="75">
        <v>421.0</v>
      </c>
      <c r="B427" s="62" t="s">
        <v>285</v>
      </c>
      <c r="C427" s="62" t="s">
        <v>109</v>
      </c>
      <c r="D427" s="62" t="s">
        <v>311</v>
      </c>
      <c r="E427" s="76">
        <v>43990.0</v>
      </c>
      <c r="F427" s="77">
        <v>0.4166666666666667</v>
      </c>
      <c r="G427" s="62" t="b">
        <v>0</v>
      </c>
      <c r="H427" s="78" t="b">
        <f>IF(VLOOKUP(C427,Projetos!A:L,12,false)=TRUE,TRUE,FALSE)</f>
        <v>0</v>
      </c>
      <c r="I427" s="68">
        <v>30.770922431703394</v>
      </c>
      <c r="J427" s="68">
        <f t="shared" si="1"/>
        <v>0</v>
      </c>
      <c r="K427" s="68" t="b">
        <v>0</v>
      </c>
    </row>
    <row r="428" hidden="1">
      <c r="A428" s="75">
        <v>422.0</v>
      </c>
      <c r="B428" s="62" t="s">
        <v>285</v>
      </c>
      <c r="C428" s="62" t="s">
        <v>102</v>
      </c>
      <c r="D428" s="62" t="s">
        <v>312</v>
      </c>
      <c r="E428" s="76">
        <v>44008.0</v>
      </c>
      <c r="F428" s="77">
        <v>0.041666666666666664</v>
      </c>
      <c r="G428" s="62" t="b">
        <v>0</v>
      </c>
      <c r="H428" s="78" t="b">
        <f>IF(VLOOKUP(C428,Projetos!A:L,12,false)=TRUE,TRUE,FALSE)</f>
        <v>0</v>
      </c>
      <c r="I428" s="68">
        <v>30.770922431703394</v>
      </c>
      <c r="J428" s="68">
        <f t="shared" si="1"/>
        <v>0</v>
      </c>
      <c r="K428" s="68" t="b">
        <v>0</v>
      </c>
    </row>
    <row r="429" hidden="1">
      <c r="A429" s="75">
        <v>423.0</v>
      </c>
      <c r="B429" s="62" t="s">
        <v>285</v>
      </c>
      <c r="C429" s="62" t="s">
        <v>102</v>
      </c>
      <c r="D429" s="62" t="s">
        <v>313</v>
      </c>
      <c r="E429" s="76">
        <v>44011.0</v>
      </c>
      <c r="F429" s="77">
        <v>0.041666666666666664</v>
      </c>
      <c r="G429" s="62" t="b">
        <v>0</v>
      </c>
      <c r="H429" s="78" t="b">
        <f>IF(VLOOKUP(C429,Projetos!A:L,12,false)=TRUE,TRUE,FALSE)</f>
        <v>0</v>
      </c>
      <c r="I429" s="68">
        <v>30.770922431703394</v>
      </c>
      <c r="J429" s="68">
        <f t="shared" si="1"/>
        <v>0</v>
      </c>
      <c r="K429" s="68" t="b">
        <v>0</v>
      </c>
    </row>
    <row r="430" hidden="1">
      <c r="A430" s="75">
        <v>424.0</v>
      </c>
      <c r="B430" s="62" t="s">
        <v>285</v>
      </c>
      <c r="C430" s="62" t="s">
        <v>102</v>
      </c>
      <c r="D430" s="62" t="s">
        <v>314</v>
      </c>
      <c r="E430" s="76">
        <v>44013.0</v>
      </c>
      <c r="F430" s="77">
        <v>0.041666666666666664</v>
      </c>
      <c r="G430" s="62" t="b">
        <v>0</v>
      </c>
      <c r="H430" s="78" t="b">
        <f>IF(VLOOKUP(C430,Projetos!A:L,12,false)=TRUE,TRUE,FALSE)</f>
        <v>0</v>
      </c>
      <c r="I430" s="68">
        <v>32.2362044522607</v>
      </c>
      <c r="J430" s="68">
        <f t="shared" si="1"/>
        <v>0</v>
      </c>
      <c r="K430" s="68" t="b">
        <v>0</v>
      </c>
    </row>
    <row r="431">
      <c r="A431" s="75">
        <v>425.0</v>
      </c>
      <c r="B431" s="62" t="s">
        <v>285</v>
      </c>
      <c r="C431" s="62" t="s">
        <v>98</v>
      </c>
      <c r="D431" s="62" t="s">
        <v>315</v>
      </c>
      <c r="E431" s="76">
        <v>44015.0</v>
      </c>
      <c r="F431" s="77">
        <v>0.041666666666666664</v>
      </c>
      <c r="G431" s="62" t="b">
        <v>1</v>
      </c>
      <c r="H431" s="78" t="b">
        <f>IF(VLOOKUP(C431,Projetos!A:L,12,false)=TRUE,TRUE,FALSE)</f>
        <v>1</v>
      </c>
      <c r="I431" s="68">
        <v>32.2362044522607</v>
      </c>
      <c r="J431" s="68">
        <f t="shared" si="1"/>
        <v>32.23620445</v>
      </c>
      <c r="K431" s="68" t="b">
        <v>1</v>
      </c>
    </row>
    <row r="432" hidden="1">
      <c r="A432" s="75">
        <v>426.0</v>
      </c>
      <c r="B432" s="62" t="s">
        <v>285</v>
      </c>
      <c r="C432" s="62" t="s">
        <v>98</v>
      </c>
      <c r="D432" s="62" t="s">
        <v>316</v>
      </c>
      <c r="E432" s="76">
        <v>44018.0</v>
      </c>
      <c r="F432" s="77">
        <v>0.007638888888888889</v>
      </c>
      <c r="G432" s="62" t="b">
        <v>0</v>
      </c>
      <c r="H432" s="78" t="b">
        <f>IF(VLOOKUP(C432,Projetos!A:L,12,false)=TRUE,TRUE,FALSE)</f>
        <v>1</v>
      </c>
      <c r="I432" s="68">
        <v>32.2362044522607</v>
      </c>
      <c r="J432" s="68">
        <f t="shared" si="1"/>
        <v>0</v>
      </c>
      <c r="K432" s="68" t="b">
        <v>1</v>
      </c>
    </row>
    <row r="433" hidden="1">
      <c r="A433" s="75">
        <v>427.0</v>
      </c>
      <c r="B433" s="62" t="s">
        <v>285</v>
      </c>
      <c r="C433" s="62" t="s">
        <v>98</v>
      </c>
      <c r="D433" s="62" t="s">
        <v>316</v>
      </c>
      <c r="E433" s="76">
        <v>44039.0</v>
      </c>
      <c r="F433" s="77">
        <v>0.003472222222222222</v>
      </c>
      <c r="G433" s="62" t="b">
        <v>0</v>
      </c>
      <c r="H433" s="78" t="b">
        <f>IF(VLOOKUP(C433,Projetos!A:L,12,false)=TRUE,TRUE,FALSE)</f>
        <v>1</v>
      </c>
      <c r="I433" s="68">
        <v>32.2362044522607</v>
      </c>
      <c r="J433" s="68">
        <f t="shared" si="1"/>
        <v>0</v>
      </c>
      <c r="K433" s="68" t="b">
        <v>1</v>
      </c>
    </row>
    <row r="434" hidden="1">
      <c r="A434" s="75">
        <v>428.0</v>
      </c>
      <c r="B434" s="62" t="s">
        <v>285</v>
      </c>
      <c r="C434" s="62" t="s">
        <v>102</v>
      </c>
      <c r="D434" s="62" t="s">
        <v>167</v>
      </c>
      <c r="E434" s="76">
        <v>44049.0</v>
      </c>
      <c r="F434" s="77">
        <v>0.0625</v>
      </c>
      <c r="G434" s="62" t="b">
        <v>0</v>
      </c>
      <c r="H434" s="78" t="b">
        <f>IF(VLOOKUP(C434,Projetos!A:L,12,false)=TRUE,TRUE,FALSE)</f>
        <v>0</v>
      </c>
      <c r="I434" s="68">
        <v>32.2362044522607</v>
      </c>
      <c r="J434" s="68">
        <f t="shared" si="1"/>
        <v>0</v>
      </c>
      <c r="K434" s="68" t="b">
        <v>0</v>
      </c>
    </row>
    <row r="435">
      <c r="A435" s="75">
        <v>429.0</v>
      </c>
      <c r="B435" s="62" t="s">
        <v>285</v>
      </c>
      <c r="C435" s="62" t="s">
        <v>98</v>
      </c>
      <c r="D435" s="62" t="s">
        <v>317</v>
      </c>
      <c r="E435" s="76">
        <v>44049.0</v>
      </c>
      <c r="F435" s="77">
        <v>0.0625</v>
      </c>
      <c r="G435" s="62" t="b">
        <v>1</v>
      </c>
      <c r="H435" s="78" t="b">
        <f>IF(VLOOKUP(C435,Projetos!A:L,12,false)=TRUE,TRUE,FALSE)</f>
        <v>1</v>
      </c>
      <c r="I435" s="68">
        <v>32.2362044522607</v>
      </c>
      <c r="J435" s="68">
        <f t="shared" si="1"/>
        <v>48.35430668</v>
      </c>
      <c r="K435" s="68" t="b">
        <v>1</v>
      </c>
    </row>
    <row r="436" hidden="1">
      <c r="A436" s="75">
        <v>430.0</v>
      </c>
      <c r="B436" s="62" t="s">
        <v>285</v>
      </c>
      <c r="C436" s="62" t="s">
        <v>102</v>
      </c>
      <c r="D436" s="62" t="s">
        <v>169</v>
      </c>
      <c r="E436" s="76">
        <v>44050.0</v>
      </c>
      <c r="F436" s="77">
        <v>0.2916666666666667</v>
      </c>
      <c r="G436" s="62" t="b">
        <v>0</v>
      </c>
      <c r="H436" s="78" t="b">
        <f>IF(VLOOKUP(C436,Projetos!A:L,12,false)=TRUE,TRUE,FALSE)</f>
        <v>0</v>
      </c>
      <c r="I436" s="68">
        <v>32.2362044522607</v>
      </c>
      <c r="J436" s="68">
        <f t="shared" si="1"/>
        <v>0</v>
      </c>
      <c r="K436" s="68" t="b">
        <v>0</v>
      </c>
    </row>
    <row r="437">
      <c r="A437" s="75">
        <v>431.0</v>
      </c>
      <c r="B437" s="62" t="s">
        <v>285</v>
      </c>
      <c r="C437" s="62" t="s">
        <v>98</v>
      </c>
      <c r="D437" s="62" t="s">
        <v>318</v>
      </c>
      <c r="E437" s="76">
        <v>44050.0</v>
      </c>
      <c r="F437" s="77">
        <v>0.013888888888888888</v>
      </c>
      <c r="G437" s="62" t="b">
        <v>1</v>
      </c>
      <c r="H437" s="78" t="b">
        <f>IF(VLOOKUP(C437,Projetos!A:L,12,false)=TRUE,TRUE,FALSE)</f>
        <v>1</v>
      </c>
      <c r="I437" s="68">
        <v>32.2362044522607</v>
      </c>
      <c r="J437" s="68">
        <f t="shared" si="1"/>
        <v>10.74540148</v>
      </c>
      <c r="K437" s="68" t="b">
        <v>1</v>
      </c>
    </row>
    <row r="438" hidden="1">
      <c r="A438" s="75">
        <v>432.0</v>
      </c>
      <c r="B438" s="62" t="s">
        <v>285</v>
      </c>
      <c r="C438" s="62" t="s">
        <v>102</v>
      </c>
      <c r="D438" s="62" t="s">
        <v>169</v>
      </c>
      <c r="E438" s="76">
        <v>44053.0</v>
      </c>
      <c r="F438" s="77">
        <v>0.25</v>
      </c>
      <c r="G438" s="62" t="b">
        <v>0</v>
      </c>
      <c r="H438" s="78" t="b">
        <f>IF(VLOOKUP(C438,Projetos!A:L,12,false)=TRUE,TRUE,FALSE)</f>
        <v>0</v>
      </c>
      <c r="I438" s="68">
        <v>32.2362044522607</v>
      </c>
      <c r="J438" s="68">
        <f t="shared" si="1"/>
        <v>0</v>
      </c>
      <c r="K438" s="68" t="b">
        <v>0</v>
      </c>
    </row>
    <row r="439" hidden="1">
      <c r="A439" s="75">
        <v>433.0</v>
      </c>
      <c r="B439" s="62" t="s">
        <v>285</v>
      </c>
      <c r="C439" s="62" t="s">
        <v>102</v>
      </c>
      <c r="D439" s="62" t="s">
        <v>169</v>
      </c>
      <c r="E439" s="76">
        <v>44054.0</v>
      </c>
      <c r="F439" s="77">
        <v>0.20833333333333334</v>
      </c>
      <c r="G439" s="62" t="b">
        <v>0</v>
      </c>
      <c r="H439" s="78" t="b">
        <f>IF(VLOOKUP(C439,Projetos!A:L,12,false)=TRUE,TRUE,FALSE)</f>
        <v>0</v>
      </c>
      <c r="I439" s="68">
        <v>32.2362044522607</v>
      </c>
      <c r="J439" s="68">
        <f t="shared" si="1"/>
        <v>0</v>
      </c>
      <c r="K439" s="68" t="b">
        <v>0</v>
      </c>
    </row>
    <row r="440" hidden="1">
      <c r="A440" s="75">
        <v>434.0</v>
      </c>
      <c r="B440" s="62" t="s">
        <v>285</v>
      </c>
      <c r="C440" s="62" t="s">
        <v>102</v>
      </c>
      <c r="D440" s="62" t="s">
        <v>319</v>
      </c>
      <c r="E440" s="76">
        <v>44060.0</v>
      </c>
      <c r="F440" s="77">
        <v>0.23958333333333334</v>
      </c>
      <c r="G440" s="62" t="b">
        <v>0</v>
      </c>
      <c r="H440" s="78" t="b">
        <f>IF(VLOOKUP(C440,Projetos!A:L,12,false)=TRUE,TRUE,FALSE)</f>
        <v>0</v>
      </c>
      <c r="I440" s="68">
        <v>32.2362044522607</v>
      </c>
      <c r="J440" s="68">
        <f t="shared" si="1"/>
        <v>0</v>
      </c>
      <c r="K440" s="68" t="b">
        <v>0</v>
      </c>
    </row>
    <row r="441" hidden="1">
      <c r="A441" s="75">
        <v>435.0</v>
      </c>
      <c r="B441" s="62" t="s">
        <v>285</v>
      </c>
      <c r="C441" s="62" t="s">
        <v>88</v>
      </c>
      <c r="D441" s="62" t="s">
        <v>320</v>
      </c>
      <c r="E441" s="76">
        <v>44060.0</v>
      </c>
      <c r="F441" s="77">
        <v>0.10833333333333334</v>
      </c>
      <c r="G441" s="62" t="b">
        <v>0</v>
      </c>
      <c r="H441" s="78" t="b">
        <f>IF(VLOOKUP(C441,Projetos!A:L,12,false)=TRUE,TRUE,FALSE)</f>
        <v>1</v>
      </c>
      <c r="I441" s="68">
        <v>32.2362044522607</v>
      </c>
      <c r="J441" s="68">
        <f t="shared" si="1"/>
        <v>0</v>
      </c>
      <c r="K441" s="68" t="b">
        <v>1</v>
      </c>
    </row>
    <row r="442">
      <c r="A442" s="75">
        <v>436.0</v>
      </c>
      <c r="B442" s="62" t="s">
        <v>285</v>
      </c>
      <c r="C442" s="62" t="s">
        <v>88</v>
      </c>
      <c r="D442" s="62" t="s">
        <v>321</v>
      </c>
      <c r="E442" s="76">
        <v>44061.0</v>
      </c>
      <c r="F442" s="77">
        <v>0.024305555555555556</v>
      </c>
      <c r="G442" s="62" t="b">
        <v>1</v>
      </c>
      <c r="H442" s="78" t="b">
        <f>IF(VLOOKUP(C442,Projetos!A:L,12,false)=TRUE,TRUE,FALSE)</f>
        <v>1</v>
      </c>
      <c r="I442" s="68">
        <v>32.2362044522607</v>
      </c>
      <c r="J442" s="68">
        <f t="shared" si="1"/>
        <v>18.8044526</v>
      </c>
      <c r="K442" s="68" t="b">
        <v>1</v>
      </c>
    </row>
    <row r="443" hidden="1">
      <c r="A443" s="75">
        <v>437.0</v>
      </c>
      <c r="B443" s="62" t="s">
        <v>285</v>
      </c>
      <c r="C443" s="62" t="s">
        <v>108</v>
      </c>
      <c r="D443" s="62" t="s">
        <v>322</v>
      </c>
      <c r="E443" s="76">
        <v>44062.0</v>
      </c>
      <c r="F443" s="77">
        <v>0.003472222222222222</v>
      </c>
      <c r="G443" s="62" t="b">
        <v>0</v>
      </c>
      <c r="H443" s="78" t="b">
        <f>IF(VLOOKUP(C443,Projetos!A:L,12,false)=TRUE,TRUE,FALSE)</f>
        <v>1</v>
      </c>
      <c r="I443" s="68">
        <v>32.2362044522607</v>
      </c>
      <c r="J443" s="68">
        <f t="shared" si="1"/>
        <v>0</v>
      </c>
      <c r="K443" s="68" t="b">
        <v>1</v>
      </c>
    </row>
    <row r="444" hidden="1">
      <c r="A444" s="75">
        <v>438.0</v>
      </c>
      <c r="B444" s="62" t="s">
        <v>285</v>
      </c>
      <c r="C444" s="62" t="s">
        <v>109</v>
      </c>
      <c r="D444" s="62" t="s">
        <v>323</v>
      </c>
      <c r="E444" s="76">
        <v>44062.0</v>
      </c>
      <c r="F444" s="77">
        <v>0.2222222222222222</v>
      </c>
      <c r="G444" s="62" t="b">
        <v>0</v>
      </c>
      <c r="H444" s="78" t="b">
        <f>IF(VLOOKUP(C444,Projetos!A:L,12,false)=TRUE,TRUE,FALSE)</f>
        <v>0</v>
      </c>
      <c r="I444" s="68">
        <v>32.2362044522607</v>
      </c>
      <c r="J444" s="68">
        <f t="shared" si="1"/>
        <v>0</v>
      </c>
      <c r="K444" s="68" t="b">
        <v>0</v>
      </c>
    </row>
    <row r="445" hidden="1">
      <c r="A445" s="75">
        <v>439.0</v>
      </c>
      <c r="B445" s="62" t="s">
        <v>285</v>
      </c>
      <c r="C445" s="62" t="s">
        <v>109</v>
      </c>
      <c r="D445" s="62" t="s">
        <v>324</v>
      </c>
      <c r="E445" s="76">
        <v>44063.0</v>
      </c>
      <c r="F445" s="77">
        <v>0.1527777777777778</v>
      </c>
      <c r="G445" s="62" t="b">
        <v>0</v>
      </c>
      <c r="H445" s="78" t="b">
        <f>IF(VLOOKUP(C445,Projetos!A:L,12,false)=TRUE,TRUE,FALSE)</f>
        <v>0</v>
      </c>
      <c r="I445" s="68">
        <v>32.2362044522607</v>
      </c>
      <c r="J445" s="68">
        <f t="shared" si="1"/>
        <v>0</v>
      </c>
      <c r="K445" s="68" t="b">
        <v>0</v>
      </c>
    </row>
    <row r="446">
      <c r="A446" s="75">
        <v>440.0</v>
      </c>
      <c r="B446" s="62" t="s">
        <v>285</v>
      </c>
      <c r="C446" s="62" t="s">
        <v>98</v>
      </c>
      <c r="D446" s="62" t="s">
        <v>325</v>
      </c>
      <c r="E446" s="76">
        <v>44068.0</v>
      </c>
      <c r="F446" s="77">
        <v>0.1111111111111111</v>
      </c>
      <c r="G446" s="62" t="b">
        <v>1</v>
      </c>
      <c r="H446" s="78" t="b">
        <f>IF(VLOOKUP(C446,Projetos!A:L,12,false)=TRUE,TRUE,FALSE)</f>
        <v>1</v>
      </c>
      <c r="I446" s="68">
        <v>32.2362044522607</v>
      </c>
      <c r="J446" s="68">
        <f t="shared" si="1"/>
        <v>85.96321187</v>
      </c>
      <c r="K446" s="68" t="b">
        <v>1</v>
      </c>
    </row>
    <row r="447">
      <c r="A447" s="75">
        <v>441.0</v>
      </c>
      <c r="B447" s="62" t="s">
        <v>285</v>
      </c>
      <c r="C447" s="62" t="s">
        <v>98</v>
      </c>
      <c r="D447" s="62" t="s">
        <v>326</v>
      </c>
      <c r="E447" s="76">
        <v>44085.0</v>
      </c>
      <c r="F447" s="77">
        <v>0.020833333333333332</v>
      </c>
      <c r="G447" s="62" t="b">
        <v>1</v>
      </c>
      <c r="H447" s="78" t="b">
        <f>IF(VLOOKUP(C447,Projetos!A:L,12,false)=TRUE,TRUE,FALSE)</f>
        <v>1</v>
      </c>
      <c r="I447" s="68">
        <v>33.23260950126262</v>
      </c>
      <c r="J447" s="68">
        <f t="shared" si="1"/>
        <v>16.61630475</v>
      </c>
      <c r="K447" s="68" t="b">
        <v>1</v>
      </c>
    </row>
    <row r="448">
      <c r="A448" s="75">
        <v>442.0</v>
      </c>
      <c r="B448" s="62" t="s">
        <v>285</v>
      </c>
      <c r="C448" s="62" t="s">
        <v>98</v>
      </c>
      <c r="D448" s="62" t="s">
        <v>327</v>
      </c>
      <c r="E448" s="76">
        <v>44088.0</v>
      </c>
      <c r="F448" s="77">
        <v>0.18055555555555555</v>
      </c>
      <c r="G448" s="62" t="b">
        <v>1</v>
      </c>
      <c r="H448" s="78" t="b">
        <f>IF(VLOOKUP(C448,Projetos!A:L,12,false)=TRUE,TRUE,FALSE)</f>
        <v>1</v>
      </c>
      <c r="I448" s="68">
        <v>33.23260950126262</v>
      </c>
      <c r="J448" s="68">
        <f t="shared" si="1"/>
        <v>144.0079745</v>
      </c>
      <c r="K448" s="68" t="b">
        <v>1</v>
      </c>
    </row>
    <row r="449">
      <c r="A449" s="75">
        <v>443.0</v>
      </c>
      <c r="B449" s="62" t="s">
        <v>285</v>
      </c>
      <c r="C449" s="62" t="s">
        <v>98</v>
      </c>
      <c r="D449" s="62" t="s">
        <v>328</v>
      </c>
      <c r="E449" s="76">
        <v>44090.0</v>
      </c>
      <c r="F449" s="77">
        <v>0.3611111111111111</v>
      </c>
      <c r="G449" s="62" t="b">
        <v>1</v>
      </c>
      <c r="H449" s="78" t="b">
        <f>IF(VLOOKUP(C449,Projetos!A:L,12,false)=TRUE,TRUE,FALSE)</f>
        <v>1</v>
      </c>
      <c r="I449" s="68">
        <v>33.23260950126262</v>
      </c>
      <c r="J449" s="68">
        <f t="shared" si="1"/>
        <v>288.015949</v>
      </c>
      <c r="K449" s="68" t="b">
        <v>1</v>
      </c>
    </row>
    <row r="450">
      <c r="A450" s="75">
        <v>444.0</v>
      </c>
      <c r="B450" s="62" t="s">
        <v>285</v>
      </c>
      <c r="C450" s="62" t="s">
        <v>98</v>
      </c>
      <c r="D450" s="62" t="s">
        <v>329</v>
      </c>
      <c r="E450" s="76">
        <v>44091.0</v>
      </c>
      <c r="F450" s="77">
        <v>0.2013888888888889</v>
      </c>
      <c r="G450" s="62" t="b">
        <v>1</v>
      </c>
      <c r="H450" s="78" t="b">
        <f>IF(VLOOKUP(C450,Projetos!A:L,12,false)=TRUE,TRUE,FALSE)</f>
        <v>1</v>
      </c>
      <c r="I450" s="68">
        <v>33.23260950126262</v>
      </c>
      <c r="J450" s="68">
        <f t="shared" si="1"/>
        <v>160.6242793</v>
      </c>
      <c r="K450" s="68" t="b">
        <v>1</v>
      </c>
    </row>
    <row r="451">
      <c r="A451" s="75">
        <v>445.0</v>
      </c>
      <c r="B451" s="62" t="s">
        <v>285</v>
      </c>
      <c r="C451" s="62" t="s">
        <v>98</v>
      </c>
      <c r="D451" s="62" t="s">
        <v>330</v>
      </c>
      <c r="E451" s="76">
        <v>44095.0</v>
      </c>
      <c r="F451" s="77">
        <v>0.11805555555555555</v>
      </c>
      <c r="G451" s="62" t="b">
        <v>1</v>
      </c>
      <c r="H451" s="78" t="b">
        <f>IF(VLOOKUP(C451,Projetos!A:L,12,false)=TRUE,TRUE,FALSE)</f>
        <v>1</v>
      </c>
      <c r="I451" s="68">
        <v>33.23260950126262</v>
      </c>
      <c r="J451" s="68">
        <f t="shared" si="1"/>
        <v>94.15906025</v>
      </c>
      <c r="K451" s="68" t="b">
        <v>1</v>
      </c>
    </row>
    <row r="452" hidden="1">
      <c r="A452" s="75">
        <v>446.0</v>
      </c>
      <c r="B452" s="62" t="s">
        <v>285</v>
      </c>
      <c r="C452" s="62" t="s">
        <v>108</v>
      </c>
      <c r="D452" s="62" t="s">
        <v>331</v>
      </c>
      <c r="E452" s="76">
        <v>44099.0</v>
      </c>
      <c r="F452" s="77">
        <v>0.13541666666666666</v>
      </c>
      <c r="G452" s="62" t="b">
        <v>0</v>
      </c>
      <c r="H452" s="78" t="b">
        <f>IF(VLOOKUP(C452,Projetos!A:L,12,false)=TRUE,TRUE,FALSE)</f>
        <v>1</v>
      </c>
      <c r="I452" s="68">
        <v>33.23260950126262</v>
      </c>
      <c r="J452" s="68">
        <f t="shared" si="1"/>
        <v>0</v>
      </c>
      <c r="K452" s="68" t="b">
        <v>1</v>
      </c>
    </row>
    <row r="453" hidden="1">
      <c r="A453" s="75">
        <v>447.0</v>
      </c>
      <c r="B453" s="62" t="s">
        <v>285</v>
      </c>
      <c r="C453" s="62" t="s">
        <v>108</v>
      </c>
      <c r="D453" s="62" t="s">
        <v>332</v>
      </c>
      <c r="E453" s="76">
        <v>44102.0</v>
      </c>
      <c r="F453" s="77">
        <v>0.25</v>
      </c>
      <c r="G453" s="62" t="b">
        <v>0</v>
      </c>
      <c r="H453" s="78" t="b">
        <f>IF(VLOOKUP(C453,Projetos!A:L,12,false)=TRUE,TRUE,FALSE)</f>
        <v>1</v>
      </c>
      <c r="I453" s="68">
        <v>33.23260950126262</v>
      </c>
      <c r="J453" s="68">
        <f t="shared" si="1"/>
        <v>0</v>
      </c>
      <c r="K453" s="68" t="b">
        <v>1</v>
      </c>
    </row>
    <row r="454" hidden="1">
      <c r="A454" s="75">
        <v>448.0</v>
      </c>
      <c r="B454" s="62" t="s">
        <v>285</v>
      </c>
      <c r="C454" s="62" t="s">
        <v>108</v>
      </c>
      <c r="D454" s="62" t="s">
        <v>333</v>
      </c>
      <c r="E454" s="76">
        <v>44103.0</v>
      </c>
      <c r="F454" s="77">
        <v>0.3263888888888889</v>
      </c>
      <c r="G454" s="62" t="b">
        <v>0</v>
      </c>
      <c r="H454" s="78" t="b">
        <f>IF(VLOOKUP(C454,Projetos!A:L,12,false)=TRUE,TRUE,FALSE)</f>
        <v>1</v>
      </c>
      <c r="I454" s="68">
        <v>33.23260950126262</v>
      </c>
      <c r="J454" s="68">
        <f t="shared" si="1"/>
        <v>0</v>
      </c>
      <c r="K454" s="68" t="b">
        <v>1</v>
      </c>
    </row>
    <row r="455" hidden="1">
      <c r="A455" s="75">
        <v>449.0</v>
      </c>
      <c r="B455" s="62" t="s">
        <v>285</v>
      </c>
      <c r="C455" s="62" t="s">
        <v>108</v>
      </c>
      <c r="D455" s="62" t="s">
        <v>333</v>
      </c>
      <c r="E455" s="76">
        <v>44104.0</v>
      </c>
      <c r="F455" s="77">
        <v>0.3541666666666667</v>
      </c>
      <c r="G455" s="62" t="b">
        <v>0</v>
      </c>
      <c r="H455" s="78" t="b">
        <f>IF(VLOOKUP(C455,Projetos!A:L,12,false)=TRUE,TRUE,FALSE)</f>
        <v>1</v>
      </c>
      <c r="I455" s="68">
        <v>33.23260950126262</v>
      </c>
      <c r="J455" s="68">
        <f t="shared" si="1"/>
        <v>0</v>
      </c>
      <c r="K455" s="68" t="b">
        <v>1</v>
      </c>
    </row>
    <row r="456" hidden="1">
      <c r="A456" s="75">
        <v>450.0</v>
      </c>
      <c r="B456" s="62" t="s">
        <v>285</v>
      </c>
      <c r="C456" s="62" t="s">
        <v>108</v>
      </c>
      <c r="D456" s="62" t="s">
        <v>333</v>
      </c>
      <c r="E456" s="76">
        <v>44105.0</v>
      </c>
      <c r="F456" s="77">
        <v>0.2916666666666667</v>
      </c>
      <c r="G456" s="62" t="b">
        <v>0</v>
      </c>
      <c r="H456" s="78" t="b">
        <f>IF(VLOOKUP(C456,Projetos!A:L,12,false)=TRUE,TRUE,FALSE)</f>
        <v>1</v>
      </c>
      <c r="I456" s="68">
        <v>34.815114715608466</v>
      </c>
      <c r="J456" s="68">
        <f t="shared" si="1"/>
        <v>0</v>
      </c>
      <c r="K456" s="68" t="b">
        <v>1</v>
      </c>
    </row>
    <row r="457">
      <c r="A457" s="75">
        <v>451.0</v>
      </c>
      <c r="B457" s="62" t="s">
        <v>285</v>
      </c>
      <c r="C457" s="62" t="s">
        <v>98</v>
      </c>
      <c r="D457" s="62" t="s">
        <v>334</v>
      </c>
      <c r="E457" s="76">
        <v>44105.0</v>
      </c>
      <c r="F457" s="77">
        <v>0.04861111111111111</v>
      </c>
      <c r="G457" s="62" t="b">
        <v>1</v>
      </c>
      <c r="H457" s="78" t="b">
        <f>IF(VLOOKUP(C457,Projetos!A:L,12,false)=TRUE,TRUE,FALSE)</f>
        <v>1</v>
      </c>
      <c r="I457" s="68">
        <v>34.815114715608466</v>
      </c>
      <c r="J457" s="68">
        <f t="shared" si="1"/>
        <v>40.61763383</v>
      </c>
      <c r="K457" s="68" t="b">
        <v>1</v>
      </c>
    </row>
    <row r="458" hidden="1">
      <c r="A458" s="75">
        <v>452.0</v>
      </c>
      <c r="B458" s="62" t="s">
        <v>285</v>
      </c>
      <c r="C458" s="62" t="s">
        <v>108</v>
      </c>
      <c r="D458" s="62" t="s">
        <v>333</v>
      </c>
      <c r="E458" s="76">
        <v>44106.0</v>
      </c>
      <c r="F458" s="77">
        <v>0.3333333333333333</v>
      </c>
      <c r="G458" s="62" t="b">
        <v>0</v>
      </c>
      <c r="H458" s="78" t="b">
        <f>IF(VLOOKUP(C458,Projetos!A:L,12,false)=TRUE,TRUE,FALSE)</f>
        <v>1</v>
      </c>
      <c r="I458" s="68">
        <v>34.815114715608466</v>
      </c>
      <c r="J458" s="68">
        <f t="shared" si="1"/>
        <v>0</v>
      </c>
      <c r="K458" s="68" t="b">
        <v>1</v>
      </c>
    </row>
    <row r="459" hidden="1">
      <c r="A459" s="75">
        <v>453.0</v>
      </c>
      <c r="B459" s="62" t="s">
        <v>285</v>
      </c>
      <c r="C459" s="62" t="s">
        <v>102</v>
      </c>
      <c r="D459" s="62" t="s">
        <v>335</v>
      </c>
      <c r="E459" s="76">
        <v>44109.0</v>
      </c>
      <c r="F459" s="77">
        <v>0.1875</v>
      </c>
      <c r="G459" s="62" t="b">
        <v>0</v>
      </c>
      <c r="H459" s="78" t="b">
        <f>IF(VLOOKUP(C459,Projetos!A:L,12,false)=TRUE,TRUE,FALSE)</f>
        <v>0</v>
      </c>
      <c r="I459" s="68">
        <v>34.815114715608466</v>
      </c>
      <c r="J459" s="68">
        <f t="shared" si="1"/>
        <v>0</v>
      </c>
      <c r="K459" s="68" t="b">
        <v>0</v>
      </c>
    </row>
    <row r="460" hidden="1">
      <c r="A460" s="75">
        <v>454.0</v>
      </c>
      <c r="B460" s="62" t="s">
        <v>285</v>
      </c>
      <c r="C460" s="62" t="s">
        <v>108</v>
      </c>
      <c r="D460" s="62" t="s">
        <v>333</v>
      </c>
      <c r="E460" s="76">
        <v>44110.0</v>
      </c>
      <c r="F460" s="77">
        <v>0.3333333333333333</v>
      </c>
      <c r="G460" s="62" t="b">
        <v>0</v>
      </c>
      <c r="H460" s="78" t="b">
        <f>IF(VLOOKUP(C460,Projetos!A:L,12,false)=TRUE,TRUE,FALSE)</f>
        <v>1</v>
      </c>
      <c r="I460" s="68">
        <v>34.815114715608466</v>
      </c>
      <c r="J460" s="68">
        <f t="shared" si="1"/>
        <v>0</v>
      </c>
      <c r="K460" s="68" t="b">
        <v>1</v>
      </c>
    </row>
    <row r="461" hidden="1">
      <c r="A461" s="75">
        <v>455.0</v>
      </c>
      <c r="B461" s="62" t="s">
        <v>285</v>
      </c>
      <c r="C461" s="62" t="s">
        <v>108</v>
      </c>
      <c r="D461" s="62" t="s">
        <v>336</v>
      </c>
      <c r="E461" s="76">
        <v>44111.0</v>
      </c>
      <c r="F461" s="77">
        <v>0.3333333333333333</v>
      </c>
      <c r="G461" s="62" t="b">
        <v>0</v>
      </c>
      <c r="H461" s="78" t="b">
        <f>IF(VLOOKUP(C461,Projetos!A:L,12,false)=TRUE,TRUE,FALSE)</f>
        <v>1</v>
      </c>
      <c r="I461" s="68">
        <v>34.815114715608466</v>
      </c>
      <c r="J461" s="68">
        <f t="shared" si="1"/>
        <v>0</v>
      </c>
      <c r="K461" s="68" t="b">
        <v>1</v>
      </c>
    </row>
    <row r="462" hidden="1">
      <c r="A462" s="75">
        <v>456.0</v>
      </c>
      <c r="B462" s="62" t="s">
        <v>285</v>
      </c>
      <c r="C462" s="62" t="s">
        <v>108</v>
      </c>
      <c r="D462" s="62" t="s">
        <v>337</v>
      </c>
      <c r="E462" s="76">
        <v>44112.0</v>
      </c>
      <c r="F462" s="77">
        <v>0.25</v>
      </c>
      <c r="G462" s="62" t="b">
        <v>0</v>
      </c>
      <c r="H462" s="78" t="b">
        <f>IF(VLOOKUP(C462,Projetos!A:L,12,false)=TRUE,TRUE,FALSE)</f>
        <v>1</v>
      </c>
      <c r="I462" s="68">
        <v>34.815114715608466</v>
      </c>
      <c r="J462" s="68">
        <f t="shared" si="1"/>
        <v>0</v>
      </c>
      <c r="K462" s="68" t="b">
        <v>1</v>
      </c>
    </row>
    <row r="463">
      <c r="A463" s="75">
        <v>457.0</v>
      </c>
      <c r="B463" s="62" t="s">
        <v>285</v>
      </c>
      <c r="C463" s="62" t="s">
        <v>104</v>
      </c>
      <c r="D463" s="62" t="s">
        <v>338</v>
      </c>
      <c r="E463" s="76">
        <v>44112.0</v>
      </c>
      <c r="F463" s="77">
        <v>0.041666666666666664</v>
      </c>
      <c r="G463" s="62" t="b">
        <v>1</v>
      </c>
      <c r="H463" s="78" t="b">
        <f>IF(VLOOKUP(C463,Projetos!A:L,12,false)=TRUE,TRUE,FALSE)</f>
        <v>1</v>
      </c>
      <c r="I463" s="68">
        <v>34.815114715608466</v>
      </c>
      <c r="J463" s="68">
        <f t="shared" si="1"/>
        <v>34.81511472</v>
      </c>
      <c r="K463" s="68" t="b">
        <v>1</v>
      </c>
    </row>
    <row r="464" hidden="1">
      <c r="A464" s="75">
        <v>458.0</v>
      </c>
      <c r="B464" s="62" t="s">
        <v>285</v>
      </c>
      <c r="C464" s="62" t="s">
        <v>108</v>
      </c>
      <c r="D464" s="62" t="s">
        <v>339</v>
      </c>
      <c r="E464" s="76">
        <v>44130.0</v>
      </c>
      <c r="F464" s="77">
        <v>0.013888888888888888</v>
      </c>
      <c r="G464" s="62" t="b">
        <v>0</v>
      </c>
      <c r="H464" s="78" t="b">
        <f>IF(VLOOKUP(C464,Projetos!A:L,12,false)=TRUE,TRUE,FALSE)</f>
        <v>1</v>
      </c>
      <c r="I464" s="68">
        <v>34.815114715608466</v>
      </c>
      <c r="J464" s="68">
        <f t="shared" si="1"/>
        <v>0</v>
      </c>
      <c r="K464" s="68" t="b">
        <v>1</v>
      </c>
    </row>
    <row r="465" hidden="1">
      <c r="A465" s="75">
        <v>459.0</v>
      </c>
      <c r="B465" s="62" t="s">
        <v>285</v>
      </c>
      <c r="C465" s="62" t="s">
        <v>109</v>
      </c>
      <c r="D465" s="62" t="s">
        <v>340</v>
      </c>
      <c r="E465" s="76">
        <v>44134.0</v>
      </c>
      <c r="F465" s="77">
        <v>0.08333333333333333</v>
      </c>
      <c r="G465" s="62" t="b">
        <v>0</v>
      </c>
      <c r="H465" s="78" t="b">
        <f>IF(VLOOKUP(C465,Projetos!A:L,12,false)=TRUE,TRUE,FALSE)</f>
        <v>0</v>
      </c>
      <c r="I465" s="68">
        <v>34.815114715608466</v>
      </c>
      <c r="J465" s="68">
        <f t="shared" si="1"/>
        <v>0</v>
      </c>
      <c r="K465" s="68" t="b">
        <v>0</v>
      </c>
    </row>
    <row r="466" hidden="1">
      <c r="A466" s="75">
        <v>460.0</v>
      </c>
      <c r="B466" s="62" t="s">
        <v>285</v>
      </c>
      <c r="C466" s="62" t="s">
        <v>102</v>
      </c>
      <c r="D466" s="62" t="s">
        <v>341</v>
      </c>
      <c r="E466" s="76">
        <v>44138.0</v>
      </c>
      <c r="F466" s="77">
        <v>0.041666666666666664</v>
      </c>
      <c r="G466" s="62" t="b">
        <v>0</v>
      </c>
      <c r="H466" s="78" t="b">
        <f>IF(VLOOKUP(C466,Projetos!A:L,12,false)=TRUE,TRUE,FALSE)</f>
        <v>0</v>
      </c>
      <c r="I466" s="68">
        <v>33.77763216253443</v>
      </c>
      <c r="J466" s="68">
        <f t="shared" si="1"/>
        <v>0</v>
      </c>
      <c r="K466" s="68" t="b">
        <v>0</v>
      </c>
    </row>
    <row r="467" hidden="1">
      <c r="A467" s="75">
        <v>461.0</v>
      </c>
      <c r="B467" s="62" t="s">
        <v>285</v>
      </c>
      <c r="C467" s="62" t="s">
        <v>109</v>
      </c>
      <c r="D467" s="62" t="s">
        <v>342</v>
      </c>
      <c r="E467" s="76">
        <v>44145.0</v>
      </c>
      <c r="F467" s="77">
        <v>0.0625</v>
      </c>
      <c r="G467" s="62" t="b">
        <v>0</v>
      </c>
      <c r="H467" s="78" t="b">
        <f>IF(VLOOKUP(C467,Projetos!A:L,12,false)=TRUE,TRUE,FALSE)</f>
        <v>0</v>
      </c>
      <c r="I467" s="68">
        <v>33.77763216253443</v>
      </c>
      <c r="J467" s="68">
        <f t="shared" si="1"/>
        <v>0</v>
      </c>
      <c r="K467" s="68" t="b">
        <v>0</v>
      </c>
    </row>
    <row r="468">
      <c r="A468" s="75">
        <v>462.0</v>
      </c>
      <c r="B468" s="62" t="s">
        <v>285</v>
      </c>
      <c r="C468" s="62" t="s">
        <v>138</v>
      </c>
      <c r="D468" s="62" t="s">
        <v>343</v>
      </c>
      <c r="E468" s="76">
        <v>44146.0</v>
      </c>
      <c r="F468" s="77">
        <v>0.034722222222222224</v>
      </c>
      <c r="G468" s="62" t="b">
        <v>1</v>
      </c>
      <c r="H468" s="78" t="b">
        <f>IF(VLOOKUP(C468,Projetos!A:L,12,false)=TRUE,TRUE,FALSE)</f>
        <v>1</v>
      </c>
      <c r="I468" s="68">
        <v>33.77763216253443</v>
      </c>
      <c r="J468" s="68">
        <f t="shared" si="1"/>
        <v>28.1480268</v>
      </c>
      <c r="K468" s="68" t="b">
        <v>1</v>
      </c>
    </row>
    <row r="469" hidden="1">
      <c r="A469" s="75">
        <v>463.0</v>
      </c>
      <c r="B469" s="62" t="s">
        <v>285</v>
      </c>
      <c r="C469" s="62" t="s">
        <v>102</v>
      </c>
      <c r="D469" s="62" t="s">
        <v>344</v>
      </c>
      <c r="E469" s="76">
        <v>44147.0</v>
      </c>
      <c r="F469" s="77">
        <v>0.027777777777777776</v>
      </c>
      <c r="G469" s="62" t="b">
        <v>0</v>
      </c>
      <c r="H469" s="78" t="b">
        <f>IF(VLOOKUP(C469,Projetos!A:L,12,false)=TRUE,TRUE,FALSE)</f>
        <v>0</v>
      </c>
      <c r="I469" s="68">
        <v>33.77763216253443</v>
      </c>
      <c r="J469" s="68">
        <f t="shared" si="1"/>
        <v>0</v>
      </c>
      <c r="K469" s="68" t="b">
        <v>0</v>
      </c>
    </row>
    <row r="470" hidden="1">
      <c r="A470" s="75">
        <v>464.0</v>
      </c>
      <c r="B470" s="62" t="s">
        <v>285</v>
      </c>
      <c r="C470" s="62" t="s">
        <v>102</v>
      </c>
      <c r="D470" s="62" t="s">
        <v>345</v>
      </c>
      <c r="E470" s="76">
        <v>44147.0</v>
      </c>
      <c r="F470" s="77">
        <v>0.11805555555555555</v>
      </c>
      <c r="G470" s="62" t="b">
        <v>0</v>
      </c>
      <c r="H470" s="78" t="b">
        <f>IF(VLOOKUP(C470,Projetos!A:L,12,false)=TRUE,TRUE,FALSE)</f>
        <v>0</v>
      </c>
      <c r="I470" s="68">
        <v>33.77763216253443</v>
      </c>
      <c r="J470" s="68">
        <f t="shared" si="1"/>
        <v>0</v>
      </c>
      <c r="K470" s="68" t="b">
        <v>0</v>
      </c>
    </row>
    <row r="471" hidden="1">
      <c r="A471" s="75">
        <v>465.0</v>
      </c>
      <c r="B471" s="62" t="s">
        <v>285</v>
      </c>
      <c r="C471" s="62" t="s">
        <v>102</v>
      </c>
      <c r="D471" s="62" t="s">
        <v>346</v>
      </c>
      <c r="E471" s="76">
        <v>44148.0</v>
      </c>
      <c r="F471" s="77">
        <v>0.2708333333333333</v>
      </c>
      <c r="G471" s="62" t="b">
        <v>0</v>
      </c>
      <c r="H471" s="78" t="b">
        <f>IF(VLOOKUP(C471,Projetos!A:L,12,false)=TRUE,TRUE,FALSE)</f>
        <v>0</v>
      </c>
      <c r="I471" s="68">
        <v>33.77763216253443</v>
      </c>
      <c r="J471" s="68">
        <f t="shared" si="1"/>
        <v>0</v>
      </c>
      <c r="K471" s="68" t="b">
        <v>0</v>
      </c>
    </row>
    <row r="472" hidden="1">
      <c r="A472" s="75">
        <v>466.0</v>
      </c>
      <c r="B472" s="62" t="s">
        <v>285</v>
      </c>
      <c r="C472" s="62" t="s">
        <v>102</v>
      </c>
      <c r="D472" s="62" t="s">
        <v>347</v>
      </c>
      <c r="E472" s="76">
        <v>44152.0</v>
      </c>
      <c r="F472" s="77">
        <v>0.020833333333333332</v>
      </c>
      <c r="G472" s="62" t="b">
        <v>0</v>
      </c>
      <c r="H472" s="78" t="b">
        <f>IF(VLOOKUP(C472,Projetos!A:L,12,false)=TRUE,TRUE,FALSE)</f>
        <v>0</v>
      </c>
      <c r="I472" s="68">
        <v>33.77763216253443</v>
      </c>
      <c r="J472" s="68">
        <f t="shared" si="1"/>
        <v>0</v>
      </c>
      <c r="K472" s="68" t="b">
        <v>0</v>
      </c>
    </row>
    <row r="473" hidden="1">
      <c r="A473" s="75">
        <v>467.0</v>
      </c>
      <c r="B473" s="62" t="s">
        <v>285</v>
      </c>
      <c r="C473" s="62" t="s">
        <v>102</v>
      </c>
      <c r="D473" s="62" t="s">
        <v>348</v>
      </c>
      <c r="E473" s="76">
        <v>44154.0</v>
      </c>
      <c r="F473" s="77">
        <v>0.027777777777777776</v>
      </c>
      <c r="G473" s="62" t="b">
        <v>0</v>
      </c>
      <c r="H473" s="78" t="b">
        <f>IF(VLOOKUP(C473,Projetos!A:L,12,false)=TRUE,TRUE,FALSE)</f>
        <v>0</v>
      </c>
      <c r="I473" s="68">
        <v>33.77763216253443</v>
      </c>
      <c r="J473" s="68">
        <f t="shared" si="1"/>
        <v>0</v>
      </c>
      <c r="K473" s="68" t="b">
        <v>0</v>
      </c>
    </row>
    <row r="474" hidden="1">
      <c r="A474" s="75">
        <v>468.0</v>
      </c>
      <c r="B474" s="62" t="s">
        <v>285</v>
      </c>
      <c r="C474" s="62" t="s">
        <v>102</v>
      </c>
      <c r="D474" s="62" t="s">
        <v>349</v>
      </c>
      <c r="E474" s="76">
        <v>44155.0</v>
      </c>
      <c r="F474" s="77">
        <v>0.09722222222222222</v>
      </c>
      <c r="G474" s="62" t="b">
        <v>0</v>
      </c>
      <c r="H474" s="78" t="b">
        <f>IF(VLOOKUP(C474,Projetos!A:L,12,false)=TRUE,TRUE,FALSE)</f>
        <v>0</v>
      </c>
      <c r="I474" s="68">
        <v>33.77763216253443</v>
      </c>
      <c r="J474" s="68">
        <f t="shared" si="1"/>
        <v>0</v>
      </c>
      <c r="K474" s="68" t="b">
        <v>0</v>
      </c>
    </row>
    <row r="475" hidden="1">
      <c r="A475" s="75">
        <v>469.0</v>
      </c>
      <c r="B475" s="62" t="s">
        <v>285</v>
      </c>
      <c r="C475" s="62" t="s">
        <v>102</v>
      </c>
      <c r="D475" s="62" t="s">
        <v>350</v>
      </c>
      <c r="E475" s="76">
        <v>44155.0</v>
      </c>
      <c r="F475" s="77">
        <v>0.06944444444444445</v>
      </c>
      <c r="G475" s="62" t="b">
        <v>0</v>
      </c>
      <c r="H475" s="78" t="b">
        <f>IF(VLOOKUP(C475,Projetos!A:L,12,false)=TRUE,TRUE,FALSE)</f>
        <v>0</v>
      </c>
      <c r="I475" s="68">
        <v>33.77763216253443</v>
      </c>
      <c r="J475" s="68">
        <f t="shared" si="1"/>
        <v>0</v>
      </c>
      <c r="K475" s="68" t="b">
        <v>0</v>
      </c>
    </row>
    <row r="476" hidden="1">
      <c r="A476" s="75">
        <v>470.0</v>
      </c>
      <c r="B476" s="62" t="s">
        <v>285</v>
      </c>
      <c r="C476" s="62" t="s">
        <v>102</v>
      </c>
      <c r="D476" s="62" t="s">
        <v>351</v>
      </c>
      <c r="E476" s="76">
        <v>44155.0</v>
      </c>
      <c r="F476" s="77">
        <v>0.017361111111111112</v>
      </c>
      <c r="G476" s="62" t="b">
        <v>0</v>
      </c>
      <c r="H476" s="78" t="b">
        <f>IF(VLOOKUP(C476,Projetos!A:L,12,false)=TRUE,TRUE,FALSE)</f>
        <v>0</v>
      </c>
      <c r="I476" s="68">
        <v>33.77763216253443</v>
      </c>
      <c r="J476" s="68">
        <f t="shared" si="1"/>
        <v>0</v>
      </c>
      <c r="K476" s="68" t="b">
        <v>0</v>
      </c>
    </row>
    <row r="477" hidden="1">
      <c r="A477" s="75">
        <v>471.0</v>
      </c>
      <c r="B477" s="62" t="s">
        <v>285</v>
      </c>
      <c r="C477" s="62" t="s">
        <v>102</v>
      </c>
      <c r="D477" s="62" t="s">
        <v>352</v>
      </c>
      <c r="E477" s="76">
        <v>44161.0</v>
      </c>
      <c r="F477" s="77">
        <v>0.027777777777777776</v>
      </c>
      <c r="G477" s="62" t="b">
        <v>0</v>
      </c>
      <c r="H477" s="78" t="b">
        <f>IF(VLOOKUP(C477,Projetos!A:L,12,false)=TRUE,TRUE,FALSE)</f>
        <v>0</v>
      </c>
      <c r="I477" s="68">
        <v>33.77763216253443</v>
      </c>
      <c r="J477" s="68">
        <f t="shared" si="1"/>
        <v>0</v>
      </c>
      <c r="K477" s="68" t="b">
        <v>0</v>
      </c>
    </row>
    <row r="478" hidden="1">
      <c r="A478" s="75">
        <v>472.0</v>
      </c>
      <c r="B478" s="62" t="s">
        <v>285</v>
      </c>
      <c r="C478" s="62" t="s">
        <v>109</v>
      </c>
      <c r="D478" s="62" t="s">
        <v>278</v>
      </c>
      <c r="E478" s="76">
        <v>44167.0</v>
      </c>
      <c r="F478" s="77">
        <v>0.09375</v>
      </c>
      <c r="G478" s="62" t="b">
        <v>0</v>
      </c>
      <c r="H478" s="78" t="b">
        <f>IF(VLOOKUP(C478,Projetos!A:L,12,false)=TRUE,TRUE,FALSE)</f>
        <v>0</v>
      </c>
      <c r="I478" s="68">
        <v>35.38609083694083</v>
      </c>
      <c r="J478" s="68">
        <f t="shared" si="1"/>
        <v>0</v>
      </c>
      <c r="K478" s="68" t="b">
        <v>0</v>
      </c>
    </row>
    <row r="479" hidden="1">
      <c r="A479" s="75">
        <v>473.0</v>
      </c>
      <c r="B479" s="62" t="s">
        <v>285</v>
      </c>
      <c r="C479" s="62" t="s">
        <v>109</v>
      </c>
      <c r="D479" s="62" t="s">
        <v>353</v>
      </c>
      <c r="E479" s="76">
        <v>44173.0</v>
      </c>
      <c r="F479" s="77">
        <v>0.1875</v>
      </c>
      <c r="G479" s="62" t="b">
        <v>0</v>
      </c>
      <c r="H479" s="78" t="b">
        <f>IF(VLOOKUP(C479,Projetos!A:L,12,false)=TRUE,TRUE,FALSE)</f>
        <v>0</v>
      </c>
      <c r="I479" s="68">
        <v>35.38609083694083</v>
      </c>
      <c r="J479" s="68">
        <f t="shared" si="1"/>
        <v>0</v>
      </c>
      <c r="K479" s="68" t="b">
        <v>0</v>
      </c>
    </row>
    <row r="480" hidden="1">
      <c r="A480" s="75">
        <v>474.0</v>
      </c>
      <c r="B480" s="62" t="s">
        <v>285</v>
      </c>
      <c r="C480" s="62" t="s">
        <v>109</v>
      </c>
      <c r="D480" s="62" t="s">
        <v>354</v>
      </c>
      <c r="E480" s="76">
        <v>44179.0</v>
      </c>
      <c r="F480" s="77">
        <v>0.0763888888888889</v>
      </c>
      <c r="G480" s="62" t="b">
        <v>0</v>
      </c>
      <c r="H480" s="78" t="b">
        <f>IF(VLOOKUP(C480,Projetos!A:L,12,false)=TRUE,TRUE,FALSE)</f>
        <v>0</v>
      </c>
      <c r="I480" s="68">
        <v>35.38609083694083</v>
      </c>
      <c r="J480" s="68">
        <f t="shared" si="1"/>
        <v>0</v>
      </c>
      <c r="K480" s="68" t="b">
        <v>0</v>
      </c>
    </row>
    <row r="481">
      <c r="A481" s="75">
        <v>475.0</v>
      </c>
      <c r="B481" s="62" t="s">
        <v>285</v>
      </c>
      <c r="C481" s="62" t="s">
        <v>98</v>
      </c>
      <c r="D481" s="62" t="s">
        <v>355</v>
      </c>
      <c r="E481" s="76">
        <v>44183.0</v>
      </c>
      <c r="F481" s="77">
        <v>0.027777777777777776</v>
      </c>
      <c r="G481" s="62" t="b">
        <v>1</v>
      </c>
      <c r="H481" s="78" t="b">
        <f>IF(VLOOKUP(C481,Projetos!A:L,12,false)=TRUE,TRUE,FALSE)</f>
        <v>1</v>
      </c>
      <c r="I481" s="68">
        <v>35.38609083694083</v>
      </c>
      <c r="J481" s="68">
        <f t="shared" si="1"/>
        <v>23.59072722</v>
      </c>
      <c r="K481" s="68" t="b">
        <v>1</v>
      </c>
    </row>
    <row r="482">
      <c r="A482" s="75">
        <v>476.0</v>
      </c>
      <c r="B482" s="62" t="s">
        <v>356</v>
      </c>
      <c r="C482" s="62" t="s">
        <v>95</v>
      </c>
      <c r="D482" s="62" t="s">
        <v>357</v>
      </c>
      <c r="E482" s="76">
        <v>43843.0</v>
      </c>
      <c r="F482" s="77">
        <v>0.0625</v>
      </c>
      <c r="G482" s="62" t="b">
        <v>1</v>
      </c>
      <c r="H482" s="78" t="b">
        <f>IF(VLOOKUP(C482,Projetos!A:L,12,false)=TRUE,TRUE,FALSE)</f>
        <v>1</v>
      </c>
      <c r="I482" s="68">
        <v>150.60488258778258</v>
      </c>
      <c r="J482" s="68">
        <f t="shared" si="1"/>
        <v>225.9073239</v>
      </c>
      <c r="K482" s="68" t="b">
        <v>1</v>
      </c>
    </row>
    <row r="483">
      <c r="A483" s="75">
        <v>477.0</v>
      </c>
      <c r="B483" s="62" t="s">
        <v>356</v>
      </c>
      <c r="C483" s="62" t="s">
        <v>95</v>
      </c>
      <c r="D483" s="62" t="s">
        <v>358</v>
      </c>
      <c r="E483" s="76">
        <v>43860.0</v>
      </c>
      <c r="F483" s="77">
        <v>0.0625</v>
      </c>
      <c r="G483" s="62" t="b">
        <v>1</v>
      </c>
      <c r="H483" s="78" t="b">
        <f>IF(VLOOKUP(C483,Projetos!A:L,12,false)=TRUE,TRUE,FALSE)</f>
        <v>1</v>
      </c>
      <c r="I483" s="68">
        <v>150.60488258778258</v>
      </c>
      <c r="J483" s="68">
        <f t="shared" si="1"/>
        <v>225.9073239</v>
      </c>
      <c r="K483" s="68" t="b">
        <v>1</v>
      </c>
    </row>
    <row r="484">
      <c r="A484" s="75">
        <v>478.0</v>
      </c>
      <c r="B484" s="62" t="s">
        <v>356</v>
      </c>
      <c r="C484" s="62" t="s">
        <v>98</v>
      </c>
      <c r="D484" s="62" t="s">
        <v>359</v>
      </c>
      <c r="E484" s="76">
        <v>43844.0</v>
      </c>
      <c r="F484" s="77">
        <v>0.16666666666666666</v>
      </c>
      <c r="G484" s="62" t="b">
        <v>1</v>
      </c>
      <c r="H484" s="78" t="b">
        <f>IF(VLOOKUP(C484,Projetos!A:L,12,false)=TRUE,TRUE,FALSE)</f>
        <v>1</v>
      </c>
      <c r="I484" s="68">
        <v>150.60488258778258</v>
      </c>
      <c r="J484" s="68">
        <f t="shared" si="1"/>
        <v>602.4195304</v>
      </c>
      <c r="K484" s="68" t="b">
        <v>1</v>
      </c>
    </row>
    <row r="485">
      <c r="A485" s="75">
        <v>479.0</v>
      </c>
      <c r="B485" s="62" t="s">
        <v>356</v>
      </c>
      <c r="C485" s="62" t="s">
        <v>98</v>
      </c>
      <c r="D485" s="62" t="s">
        <v>360</v>
      </c>
      <c r="E485" s="76">
        <v>43845.0</v>
      </c>
      <c r="F485" s="77">
        <v>0.041666666666666664</v>
      </c>
      <c r="G485" s="62" t="b">
        <v>1</v>
      </c>
      <c r="H485" s="78" t="b">
        <f>IF(VLOOKUP(C485,Projetos!A:L,12,false)=TRUE,TRUE,FALSE)</f>
        <v>1</v>
      </c>
      <c r="I485" s="68">
        <v>150.60488258778258</v>
      </c>
      <c r="J485" s="68">
        <f t="shared" si="1"/>
        <v>150.6048826</v>
      </c>
      <c r="K485" s="68" t="b">
        <v>1</v>
      </c>
    </row>
    <row r="486">
      <c r="A486" s="75">
        <v>480.0</v>
      </c>
      <c r="B486" s="62" t="s">
        <v>356</v>
      </c>
      <c r="C486" s="62" t="s">
        <v>98</v>
      </c>
      <c r="D486" s="62" t="s">
        <v>361</v>
      </c>
      <c r="E486" s="76">
        <v>43854.0</v>
      </c>
      <c r="F486" s="77">
        <v>0.08333333333333333</v>
      </c>
      <c r="G486" s="62" t="b">
        <v>1</v>
      </c>
      <c r="H486" s="78" t="b">
        <f>IF(VLOOKUP(C486,Projetos!A:L,12,false)=TRUE,TRUE,FALSE)</f>
        <v>1</v>
      </c>
      <c r="I486" s="68">
        <v>150.60488258778258</v>
      </c>
      <c r="J486" s="68">
        <f t="shared" si="1"/>
        <v>301.2097652</v>
      </c>
      <c r="K486" s="68" t="b">
        <v>1</v>
      </c>
    </row>
    <row r="487">
      <c r="A487" s="75">
        <v>481.0</v>
      </c>
      <c r="B487" s="62" t="s">
        <v>356</v>
      </c>
      <c r="C487" s="62" t="s">
        <v>98</v>
      </c>
      <c r="D487" s="62" t="s">
        <v>358</v>
      </c>
      <c r="E487" s="76">
        <v>43858.0</v>
      </c>
      <c r="F487" s="77">
        <v>0.041666666666666664</v>
      </c>
      <c r="G487" s="62" t="b">
        <v>1</v>
      </c>
      <c r="H487" s="78" t="b">
        <f>IF(VLOOKUP(C487,Projetos!A:L,12,false)=TRUE,TRUE,FALSE)</f>
        <v>1</v>
      </c>
      <c r="I487" s="68">
        <v>150.60488258778258</v>
      </c>
      <c r="J487" s="68">
        <f t="shared" si="1"/>
        <v>150.6048826</v>
      </c>
      <c r="K487" s="68" t="b">
        <v>1</v>
      </c>
    </row>
    <row r="488">
      <c r="A488" s="75">
        <v>482.0</v>
      </c>
      <c r="B488" s="62" t="s">
        <v>356</v>
      </c>
      <c r="C488" s="62" t="s">
        <v>98</v>
      </c>
      <c r="D488" s="62" t="s">
        <v>362</v>
      </c>
      <c r="E488" s="76">
        <v>43859.0</v>
      </c>
      <c r="F488" s="77">
        <v>0.08333333333333333</v>
      </c>
      <c r="G488" s="62" t="b">
        <v>1</v>
      </c>
      <c r="H488" s="78" t="b">
        <f>IF(VLOOKUP(C488,Projetos!A:L,12,false)=TRUE,TRUE,FALSE)</f>
        <v>1</v>
      </c>
      <c r="I488" s="68">
        <v>150.60488258778258</v>
      </c>
      <c r="J488" s="68">
        <f t="shared" si="1"/>
        <v>301.2097652</v>
      </c>
      <c r="K488" s="68" t="b">
        <v>1</v>
      </c>
    </row>
    <row r="489">
      <c r="A489" s="75">
        <v>483.0</v>
      </c>
      <c r="B489" s="62" t="s">
        <v>356</v>
      </c>
      <c r="C489" s="62" t="s">
        <v>98</v>
      </c>
      <c r="D489" s="62" t="s">
        <v>363</v>
      </c>
      <c r="E489" s="76">
        <v>43860.0</v>
      </c>
      <c r="F489" s="77">
        <v>0.041666666666666664</v>
      </c>
      <c r="G489" s="62" t="b">
        <v>1</v>
      </c>
      <c r="H489" s="78" t="b">
        <f>IF(VLOOKUP(C489,Projetos!A:L,12,false)=TRUE,TRUE,FALSE)</f>
        <v>1</v>
      </c>
      <c r="I489" s="68">
        <v>150.60488258778258</v>
      </c>
      <c r="J489" s="68">
        <f t="shared" si="1"/>
        <v>150.6048826</v>
      </c>
      <c r="K489" s="68" t="b">
        <v>1</v>
      </c>
    </row>
    <row r="490">
      <c r="A490" s="75">
        <v>484.0</v>
      </c>
      <c r="B490" s="62" t="s">
        <v>356</v>
      </c>
      <c r="C490" s="62" t="s">
        <v>100</v>
      </c>
      <c r="D490" s="62" t="s">
        <v>214</v>
      </c>
      <c r="E490" s="76">
        <v>43839.0</v>
      </c>
      <c r="F490" s="77">
        <v>0.19791666666666666</v>
      </c>
      <c r="G490" s="62" t="b">
        <v>1</v>
      </c>
      <c r="H490" s="78" t="b">
        <f>IF(VLOOKUP(C490,Projetos!A:L,12,false)=TRUE,TRUE,FALSE)</f>
        <v>1</v>
      </c>
      <c r="I490" s="68">
        <v>150.60488258778258</v>
      </c>
      <c r="J490" s="68">
        <f t="shared" si="1"/>
        <v>715.3731923</v>
      </c>
      <c r="K490" s="68" t="b">
        <v>1</v>
      </c>
    </row>
    <row r="491" hidden="1">
      <c r="A491" s="75">
        <v>485.0</v>
      </c>
      <c r="B491" s="62" t="s">
        <v>356</v>
      </c>
      <c r="C491" s="62" t="s">
        <v>102</v>
      </c>
      <c r="D491" s="62" t="s">
        <v>364</v>
      </c>
      <c r="E491" s="76">
        <v>43846.0</v>
      </c>
      <c r="F491" s="77">
        <v>0.14583333333333334</v>
      </c>
      <c r="G491" s="62" t="b">
        <v>0</v>
      </c>
      <c r="H491" s="78" t="b">
        <f>IF(VLOOKUP(C491,Projetos!A:L,12,false)=TRUE,TRUE,FALSE)</f>
        <v>0</v>
      </c>
      <c r="I491" s="68">
        <v>150.60488258778258</v>
      </c>
      <c r="J491" s="68">
        <f t="shared" si="1"/>
        <v>0</v>
      </c>
      <c r="K491" s="68" t="b">
        <v>0</v>
      </c>
    </row>
    <row r="492" hidden="1">
      <c r="A492" s="75">
        <v>486.0</v>
      </c>
      <c r="B492" s="62" t="s">
        <v>356</v>
      </c>
      <c r="C492" s="62" t="s">
        <v>102</v>
      </c>
      <c r="D492" s="62" t="s">
        <v>364</v>
      </c>
      <c r="E492" s="76">
        <v>43847.0</v>
      </c>
      <c r="F492" s="77">
        <v>0.375</v>
      </c>
      <c r="G492" s="62" t="b">
        <v>0</v>
      </c>
      <c r="H492" s="78" t="b">
        <f>IF(VLOOKUP(C492,Projetos!A:L,12,false)=TRUE,TRUE,FALSE)</f>
        <v>0</v>
      </c>
      <c r="I492" s="68">
        <v>150.60488258778258</v>
      </c>
      <c r="J492" s="68">
        <f t="shared" si="1"/>
        <v>0</v>
      </c>
      <c r="K492" s="68" t="b">
        <v>0</v>
      </c>
    </row>
    <row r="493" hidden="1">
      <c r="A493" s="75">
        <v>487.0</v>
      </c>
      <c r="B493" s="62" t="s">
        <v>356</v>
      </c>
      <c r="C493" s="62" t="s">
        <v>102</v>
      </c>
      <c r="D493" s="62" t="s">
        <v>365</v>
      </c>
      <c r="E493" s="76">
        <v>43858.0</v>
      </c>
      <c r="F493" s="77">
        <v>0.041666666666666664</v>
      </c>
      <c r="G493" s="62" t="b">
        <v>0</v>
      </c>
      <c r="H493" s="78" t="b">
        <f>IF(VLOOKUP(C493,Projetos!A:L,12,false)=TRUE,TRUE,FALSE)</f>
        <v>0</v>
      </c>
      <c r="I493" s="68">
        <v>150.60488258778258</v>
      </c>
      <c r="J493" s="68">
        <f t="shared" si="1"/>
        <v>0</v>
      </c>
      <c r="K493" s="68" t="b">
        <v>0</v>
      </c>
    </row>
    <row r="494">
      <c r="A494" s="75">
        <v>488.0</v>
      </c>
      <c r="B494" s="62" t="s">
        <v>356</v>
      </c>
      <c r="C494" s="62" t="s">
        <v>104</v>
      </c>
      <c r="D494" s="62" t="s">
        <v>366</v>
      </c>
      <c r="E494" s="76">
        <v>43838.0</v>
      </c>
      <c r="F494" s="77">
        <v>0.0625</v>
      </c>
      <c r="G494" s="62" t="b">
        <v>1</v>
      </c>
      <c r="H494" s="78" t="b">
        <f>IF(VLOOKUP(C494,Projetos!A:L,12,false)=TRUE,TRUE,FALSE)</f>
        <v>1</v>
      </c>
      <c r="I494" s="68">
        <v>150.60488258778258</v>
      </c>
      <c r="J494" s="68">
        <f t="shared" si="1"/>
        <v>225.9073239</v>
      </c>
      <c r="K494" s="68" t="b">
        <v>1</v>
      </c>
    </row>
    <row r="495">
      <c r="A495" s="75">
        <v>489.0</v>
      </c>
      <c r="B495" s="62" t="s">
        <v>356</v>
      </c>
      <c r="C495" s="62" t="s">
        <v>104</v>
      </c>
      <c r="D495" s="62" t="s">
        <v>367</v>
      </c>
      <c r="E495" s="76">
        <v>43843.0</v>
      </c>
      <c r="F495" s="77">
        <v>0.020833333333333332</v>
      </c>
      <c r="G495" s="62" t="b">
        <v>1</v>
      </c>
      <c r="H495" s="78" t="b">
        <f>IF(VLOOKUP(C495,Projetos!A:L,12,false)=TRUE,TRUE,FALSE)</f>
        <v>1</v>
      </c>
      <c r="I495" s="68">
        <v>150.60488258778258</v>
      </c>
      <c r="J495" s="68">
        <f t="shared" si="1"/>
        <v>75.30244129</v>
      </c>
      <c r="K495" s="68" t="b">
        <v>1</v>
      </c>
    </row>
    <row r="496" hidden="1">
      <c r="A496" s="75">
        <v>490.0</v>
      </c>
      <c r="B496" s="62" t="s">
        <v>356</v>
      </c>
      <c r="C496" s="62" t="s">
        <v>108</v>
      </c>
      <c r="D496" s="62" t="s">
        <v>368</v>
      </c>
      <c r="E496" s="76">
        <v>43838.0</v>
      </c>
      <c r="F496" s="77">
        <v>0.08333333333333333</v>
      </c>
      <c r="G496" s="62" t="b">
        <v>0</v>
      </c>
      <c r="H496" s="78" t="b">
        <f>IF(VLOOKUP(C496,Projetos!A:L,12,false)=TRUE,TRUE,FALSE)</f>
        <v>1</v>
      </c>
      <c r="I496" s="68">
        <v>150.60488258778258</v>
      </c>
      <c r="J496" s="68">
        <f t="shared" si="1"/>
        <v>0</v>
      </c>
      <c r="K496" s="68" t="b">
        <v>1</v>
      </c>
    </row>
    <row r="497" hidden="1">
      <c r="A497" s="75">
        <v>491.0</v>
      </c>
      <c r="B497" s="62" t="s">
        <v>356</v>
      </c>
      <c r="C497" s="62" t="s">
        <v>108</v>
      </c>
      <c r="D497" s="62" t="s">
        <v>369</v>
      </c>
      <c r="E497" s="76">
        <v>43853.0</v>
      </c>
      <c r="F497" s="77">
        <v>0.125</v>
      </c>
      <c r="G497" s="62" t="b">
        <v>0</v>
      </c>
      <c r="H497" s="78" t="b">
        <f>IF(VLOOKUP(C497,Projetos!A:L,12,false)=TRUE,TRUE,FALSE)</f>
        <v>1</v>
      </c>
      <c r="I497" s="68">
        <v>150.60488258778258</v>
      </c>
      <c r="J497" s="68">
        <f t="shared" si="1"/>
        <v>0</v>
      </c>
      <c r="K497" s="68" t="b">
        <v>1</v>
      </c>
    </row>
    <row r="498">
      <c r="A498" s="75">
        <v>492.0</v>
      </c>
      <c r="B498" s="62" t="s">
        <v>356</v>
      </c>
      <c r="C498" s="62" t="s">
        <v>95</v>
      </c>
      <c r="D498" s="62" t="s">
        <v>370</v>
      </c>
      <c r="E498" s="76">
        <v>43873.0</v>
      </c>
      <c r="F498" s="77">
        <v>0.16666666666666666</v>
      </c>
      <c r="G498" s="62" t="b">
        <v>1</v>
      </c>
      <c r="H498" s="78" t="b">
        <f>IF(VLOOKUP(C498,Projetos!A:L,12,false)=TRUE,TRUE,FALSE)</f>
        <v>1</v>
      </c>
      <c r="I498" s="68">
        <v>143.7592061065197</v>
      </c>
      <c r="J498" s="68">
        <f t="shared" si="1"/>
        <v>575.0368244</v>
      </c>
      <c r="K498" s="68" t="b">
        <v>1</v>
      </c>
    </row>
    <row r="499">
      <c r="A499" s="75">
        <v>493.0</v>
      </c>
      <c r="B499" s="62" t="s">
        <v>356</v>
      </c>
      <c r="C499" s="62" t="s">
        <v>98</v>
      </c>
      <c r="D499" s="62" t="s">
        <v>371</v>
      </c>
      <c r="E499" s="76">
        <v>43865.0</v>
      </c>
      <c r="F499" s="77">
        <v>0.041666666666666664</v>
      </c>
      <c r="G499" s="62" t="b">
        <v>1</v>
      </c>
      <c r="H499" s="78" t="b">
        <f>IF(VLOOKUP(C499,Projetos!A:L,12,false)=TRUE,TRUE,FALSE)</f>
        <v>1</v>
      </c>
      <c r="I499" s="68">
        <v>143.7592061065197</v>
      </c>
      <c r="J499" s="68">
        <f t="shared" si="1"/>
        <v>143.7592061</v>
      </c>
      <c r="K499" s="68" t="b">
        <v>1</v>
      </c>
    </row>
    <row r="500">
      <c r="A500" s="75">
        <v>494.0</v>
      </c>
      <c r="B500" s="62" t="s">
        <v>356</v>
      </c>
      <c r="C500" s="62" t="s">
        <v>98</v>
      </c>
      <c r="D500" s="62" t="s">
        <v>372</v>
      </c>
      <c r="E500" s="76">
        <v>43878.0</v>
      </c>
      <c r="F500" s="77">
        <v>0.041666666666666664</v>
      </c>
      <c r="G500" s="62" t="b">
        <v>1</v>
      </c>
      <c r="H500" s="78" t="b">
        <f>IF(VLOOKUP(C500,Projetos!A:L,12,false)=TRUE,TRUE,FALSE)</f>
        <v>1</v>
      </c>
      <c r="I500" s="68">
        <v>143.7592061065197</v>
      </c>
      <c r="J500" s="68">
        <f t="shared" si="1"/>
        <v>143.7592061</v>
      </c>
      <c r="K500" s="68" t="b">
        <v>1</v>
      </c>
    </row>
    <row r="501">
      <c r="A501" s="75">
        <v>495.0</v>
      </c>
      <c r="B501" s="62" t="s">
        <v>356</v>
      </c>
      <c r="C501" s="62" t="s">
        <v>100</v>
      </c>
      <c r="D501" s="62" t="s">
        <v>364</v>
      </c>
      <c r="E501" s="76">
        <v>43888.0</v>
      </c>
      <c r="F501" s="77">
        <v>0.4166666666666667</v>
      </c>
      <c r="G501" s="62" t="b">
        <v>1</v>
      </c>
      <c r="H501" s="78" t="b">
        <f>IF(VLOOKUP(C501,Projetos!A:L,12,false)=TRUE,TRUE,FALSE)</f>
        <v>1</v>
      </c>
      <c r="I501" s="68">
        <v>143.7592061065197</v>
      </c>
      <c r="J501" s="68">
        <f t="shared" si="1"/>
        <v>1437.592061</v>
      </c>
      <c r="K501" s="68" t="b">
        <v>1</v>
      </c>
    </row>
    <row r="502">
      <c r="A502" s="75">
        <v>496.0</v>
      </c>
      <c r="B502" s="62" t="s">
        <v>356</v>
      </c>
      <c r="C502" s="62" t="s">
        <v>100</v>
      </c>
      <c r="D502" s="62" t="s">
        <v>364</v>
      </c>
      <c r="E502" s="76">
        <v>43889.0</v>
      </c>
      <c r="F502" s="77">
        <v>0.4166666666666667</v>
      </c>
      <c r="G502" s="62" t="b">
        <v>1</v>
      </c>
      <c r="H502" s="78" t="b">
        <f>IF(VLOOKUP(C502,Projetos!A:L,12,false)=TRUE,TRUE,FALSE)</f>
        <v>1</v>
      </c>
      <c r="I502" s="68">
        <v>143.7592061065197</v>
      </c>
      <c r="J502" s="68">
        <f t="shared" si="1"/>
        <v>1437.592061</v>
      </c>
      <c r="K502" s="68" t="b">
        <v>1</v>
      </c>
    </row>
    <row r="503" hidden="1">
      <c r="A503" s="75">
        <v>497.0</v>
      </c>
      <c r="B503" s="62" t="s">
        <v>356</v>
      </c>
      <c r="C503" s="62" t="s">
        <v>102</v>
      </c>
      <c r="D503" s="62" t="s">
        <v>359</v>
      </c>
      <c r="E503" s="76">
        <v>43865.0</v>
      </c>
      <c r="F503" s="77">
        <v>0.08333333333333333</v>
      </c>
      <c r="G503" s="62" t="b">
        <v>0</v>
      </c>
      <c r="H503" s="78" t="b">
        <f>IF(VLOOKUP(C503,Projetos!A:L,12,false)=TRUE,TRUE,FALSE)</f>
        <v>0</v>
      </c>
      <c r="I503" s="68">
        <v>143.7592061065197</v>
      </c>
      <c r="J503" s="68">
        <f t="shared" si="1"/>
        <v>0</v>
      </c>
      <c r="K503" s="68" t="b">
        <v>0</v>
      </c>
    </row>
    <row r="504" hidden="1">
      <c r="A504" s="75">
        <v>498.0</v>
      </c>
      <c r="B504" s="62" t="s">
        <v>356</v>
      </c>
      <c r="C504" s="62" t="s">
        <v>102</v>
      </c>
      <c r="D504" s="62" t="s">
        <v>373</v>
      </c>
      <c r="E504" s="76">
        <v>43871.0</v>
      </c>
      <c r="F504" s="77">
        <v>0.16666666666666666</v>
      </c>
      <c r="G504" s="62" t="b">
        <v>0</v>
      </c>
      <c r="H504" s="78" t="b">
        <f>IF(VLOOKUP(C504,Projetos!A:L,12,false)=TRUE,TRUE,FALSE)</f>
        <v>0</v>
      </c>
      <c r="I504" s="68">
        <v>143.7592061065197</v>
      </c>
      <c r="J504" s="68">
        <f t="shared" si="1"/>
        <v>0</v>
      </c>
      <c r="K504" s="68" t="b">
        <v>0</v>
      </c>
    </row>
    <row r="505" hidden="1">
      <c r="A505" s="75">
        <v>499.0</v>
      </c>
      <c r="B505" s="62" t="s">
        <v>356</v>
      </c>
      <c r="C505" s="62" t="s">
        <v>102</v>
      </c>
      <c r="D505" s="62" t="s">
        <v>374</v>
      </c>
      <c r="E505" s="76">
        <v>43874.0</v>
      </c>
      <c r="F505" s="77">
        <v>0.08125</v>
      </c>
      <c r="G505" s="62" t="b">
        <v>0</v>
      </c>
      <c r="H505" s="78" t="b">
        <f>IF(VLOOKUP(C505,Projetos!A:L,12,false)=TRUE,TRUE,FALSE)</f>
        <v>0</v>
      </c>
      <c r="I505" s="68">
        <v>143.7592061065197</v>
      </c>
      <c r="J505" s="68">
        <f t="shared" si="1"/>
        <v>0</v>
      </c>
      <c r="K505" s="68" t="b">
        <v>0</v>
      </c>
    </row>
    <row r="506" hidden="1">
      <c r="A506" s="75">
        <v>500.0</v>
      </c>
      <c r="B506" s="62" t="s">
        <v>356</v>
      </c>
      <c r="C506" s="62" t="s">
        <v>102</v>
      </c>
      <c r="D506" s="62" t="s">
        <v>375</v>
      </c>
      <c r="E506" s="76">
        <v>43879.0</v>
      </c>
      <c r="F506" s="77">
        <v>0.4166666666666667</v>
      </c>
      <c r="G506" s="62" t="b">
        <v>0</v>
      </c>
      <c r="H506" s="78" t="b">
        <f>IF(VLOOKUP(C506,Projetos!A:L,12,false)=TRUE,TRUE,FALSE)</f>
        <v>0</v>
      </c>
      <c r="I506" s="68">
        <v>143.7592061065197</v>
      </c>
      <c r="J506" s="68">
        <f t="shared" si="1"/>
        <v>0</v>
      </c>
      <c r="K506" s="68" t="b">
        <v>0</v>
      </c>
    </row>
    <row r="507">
      <c r="A507" s="75">
        <v>501.0</v>
      </c>
      <c r="B507" s="62" t="s">
        <v>356</v>
      </c>
      <c r="C507" s="62" t="s">
        <v>103</v>
      </c>
      <c r="D507" s="62" t="s">
        <v>364</v>
      </c>
      <c r="E507" s="76">
        <v>43872.0</v>
      </c>
      <c r="F507" s="77">
        <v>0.125</v>
      </c>
      <c r="G507" s="62" t="b">
        <v>1</v>
      </c>
      <c r="H507" s="78" t="b">
        <f>IF(VLOOKUP(C507,Projetos!A:L,12,false)=TRUE,TRUE,FALSE)</f>
        <v>1</v>
      </c>
      <c r="I507" s="68">
        <v>143.7592061065197</v>
      </c>
      <c r="J507" s="68">
        <f t="shared" si="1"/>
        <v>431.2776183</v>
      </c>
      <c r="K507" s="68" t="b">
        <v>1</v>
      </c>
    </row>
    <row r="508" hidden="1">
      <c r="A508" s="75">
        <v>502.0</v>
      </c>
      <c r="B508" s="62" t="s">
        <v>356</v>
      </c>
      <c r="C508" s="62" t="s">
        <v>108</v>
      </c>
      <c r="D508" s="62" t="s">
        <v>376</v>
      </c>
      <c r="E508" s="76">
        <v>43866.0</v>
      </c>
      <c r="F508" s="77">
        <v>0.0625</v>
      </c>
      <c r="G508" s="62" t="b">
        <v>0</v>
      </c>
      <c r="H508" s="78" t="b">
        <f>IF(VLOOKUP(C508,Projetos!A:L,12,false)=TRUE,TRUE,FALSE)</f>
        <v>1</v>
      </c>
      <c r="I508" s="68">
        <v>143.7592061065197</v>
      </c>
      <c r="J508" s="68">
        <f t="shared" si="1"/>
        <v>0</v>
      </c>
      <c r="K508" s="68" t="b">
        <v>1</v>
      </c>
    </row>
    <row r="509">
      <c r="A509" s="75">
        <v>503.0</v>
      </c>
      <c r="B509" s="62" t="s">
        <v>356</v>
      </c>
      <c r="C509" s="62" t="s">
        <v>116</v>
      </c>
      <c r="D509" s="62" t="s">
        <v>373</v>
      </c>
      <c r="E509" s="76">
        <v>43865.0</v>
      </c>
      <c r="F509" s="77">
        <v>0.041666666666666664</v>
      </c>
      <c r="G509" s="62" t="b">
        <v>1</v>
      </c>
      <c r="H509" s="78" t="b">
        <f>IF(VLOOKUP(C509,Projetos!A:L,12,false)=TRUE,TRUE,FALSE)</f>
        <v>1</v>
      </c>
      <c r="I509" s="68">
        <v>143.7592061065197</v>
      </c>
      <c r="J509" s="68">
        <f t="shared" si="1"/>
        <v>143.7592061</v>
      </c>
      <c r="K509" s="68" t="b">
        <v>1</v>
      </c>
    </row>
    <row r="510">
      <c r="A510" s="75">
        <v>504.0</v>
      </c>
      <c r="B510" s="62" t="s">
        <v>356</v>
      </c>
      <c r="C510" s="62" t="s">
        <v>95</v>
      </c>
      <c r="D510" s="62" t="s">
        <v>377</v>
      </c>
      <c r="E510" s="76">
        <v>43906.0</v>
      </c>
      <c r="F510" s="77">
        <v>0.041666666666666664</v>
      </c>
      <c r="G510" s="62" t="b">
        <v>1</v>
      </c>
      <c r="H510" s="78" t="b">
        <f>IF(VLOOKUP(C510,Projetos!A:L,12,false)=TRUE,TRUE,FALSE)</f>
        <v>1</v>
      </c>
      <c r="I510" s="68">
        <v>150.60488258778258</v>
      </c>
      <c r="J510" s="68">
        <f t="shared" si="1"/>
        <v>150.6048826</v>
      </c>
      <c r="K510" s="68" t="b">
        <v>1</v>
      </c>
    </row>
    <row r="511" hidden="1">
      <c r="A511" s="75">
        <v>505.0</v>
      </c>
      <c r="B511" s="62" t="s">
        <v>356</v>
      </c>
      <c r="C511" s="62" t="s">
        <v>95</v>
      </c>
      <c r="D511" s="62" t="s">
        <v>378</v>
      </c>
      <c r="E511" s="76">
        <v>43910.0</v>
      </c>
      <c r="F511" s="77">
        <v>0.08333333333333333</v>
      </c>
      <c r="G511" s="62" t="b">
        <v>0</v>
      </c>
      <c r="H511" s="78" t="b">
        <f>IF(VLOOKUP(C511,Projetos!A:L,12,false)=TRUE,TRUE,FALSE)</f>
        <v>1</v>
      </c>
      <c r="I511" s="68">
        <v>150.60488258778258</v>
      </c>
      <c r="J511" s="68">
        <f t="shared" si="1"/>
        <v>0</v>
      </c>
      <c r="K511" s="68" t="b">
        <v>1</v>
      </c>
    </row>
    <row r="512">
      <c r="A512" s="75">
        <v>506.0</v>
      </c>
      <c r="B512" s="62" t="s">
        <v>356</v>
      </c>
      <c r="C512" s="62" t="s">
        <v>95</v>
      </c>
      <c r="D512" s="62" t="s">
        <v>377</v>
      </c>
      <c r="E512" s="76">
        <v>43914.0</v>
      </c>
      <c r="F512" s="77">
        <v>0.041666666666666664</v>
      </c>
      <c r="G512" s="62" t="b">
        <v>1</v>
      </c>
      <c r="H512" s="78" t="b">
        <f>IF(VLOOKUP(C512,Projetos!A:L,12,false)=TRUE,TRUE,FALSE)</f>
        <v>1</v>
      </c>
      <c r="I512" s="68">
        <v>150.60488258778258</v>
      </c>
      <c r="J512" s="68">
        <f t="shared" si="1"/>
        <v>150.6048826</v>
      </c>
      <c r="K512" s="68" t="b">
        <v>1</v>
      </c>
    </row>
    <row r="513" hidden="1">
      <c r="A513" s="75">
        <v>507.0</v>
      </c>
      <c r="B513" s="62" t="s">
        <v>356</v>
      </c>
      <c r="C513" s="62" t="s">
        <v>98</v>
      </c>
      <c r="D513" s="62" t="s">
        <v>379</v>
      </c>
      <c r="E513" s="76">
        <v>43900.0</v>
      </c>
      <c r="F513" s="77">
        <v>0.08333333333333333</v>
      </c>
      <c r="G513" s="62" t="b">
        <v>0</v>
      </c>
      <c r="H513" s="78" t="b">
        <f>IF(VLOOKUP(C513,Projetos!A:L,12,false)=TRUE,TRUE,FALSE)</f>
        <v>1</v>
      </c>
      <c r="I513" s="68">
        <v>150.60488258778258</v>
      </c>
      <c r="J513" s="68">
        <f t="shared" si="1"/>
        <v>0</v>
      </c>
      <c r="K513" s="68" t="b">
        <v>1</v>
      </c>
    </row>
    <row r="514" hidden="1">
      <c r="A514" s="75">
        <v>508.0</v>
      </c>
      <c r="B514" s="62" t="s">
        <v>356</v>
      </c>
      <c r="C514" s="62" t="s">
        <v>98</v>
      </c>
      <c r="D514" s="62" t="s">
        <v>380</v>
      </c>
      <c r="E514" s="76">
        <v>43902.0</v>
      </c>
      <c r="F514" s="77">
        <v>0.041666666666666664</v>
      </c>
      <c r="G514" s="62" t="b">
        <v>0</v>
      </c>
      <c r="H514" s="78" t="b">
        <f>IF(VLOOKUP(C514,Projetos!A:L,12,false)=TRUE,TRUE,FALSE)</f>
        <v>1</v>
      </c>
      <c r="I514" s="68">
        <v>150.60488258778258</v>
      </c>
      <c r="J514" s="68">
        <f t="shared" si="1"/>
        <v>0</v>
      </c>
      <c r="K514" s="68" t="b">
        <v>1</v>
      </c>
    </row>
    <row r="515" hidden="1">
      <c r="A515" s="75">
        <v>509.0</v>
      </c>
      <c r="B515" s="62" t="s">
        <v>356</v>
      </c>
      <c r="C515" s="62" t="s">
        <v>98</v>
      </c>
      <c r="D515" s="62" t="s">
        <v>381</v>
      </c>
      <c r="E515" s="76">
        <v>43907.0</v>
      </c>
      <c r="F515" s="77">
        <v>0.1875</v>
      </c>
      <c r="G515" s="62" t="b">
        <v>0</v>
      </c>
      <c r="H515" s="78" t="b">
        <f>IF(VLOOKUP(C515,Projetos!A:L,12,false)=TRUE,TRUE,FALSE)</f>
        <v>1</v>
      </c>
      <c r="I515" s="68">
        <v>150.60488258778258</v>
      </c>
      <c r="J515" s="68">
        <f t="shared" si="1"/>
        <v>0</v>
      </c>
      <c r="K515" s="68" t="b">
        <v>1</v>
      </c>
    </row>
    <row r="516">
      <c r="A516" s="75">
        <v>510.0</v>
      </c>
      <c r="B516" s="62" t="s">
        <v>356</v>
      </c>
      <c r="C516" s="62" t="s">
        <v>98</v>
      </c>
      <c r="D516" s="62" t="s">
        <v>382</v>
      </c>
      <c r="E516" s="76">
        <v>43910.0</v>
      </c>
      <c r="F516" s="77">
        <v>0.0625</v>
      </c>
      <c r="G516" s="62" t="b">
        <v>1</v>
      </c>
      <c r="H516" s="78" t="b">
        <f>IF(VLOOKUP(C516,Projetos!A:L,12,false)=TRUE,TRUE,FALSE)</f>
        <v>1</v>
      </c>
      <c r="I516" s="68">
        <v>150.60488258778258</v>
      </c>
      <c r="J516" s="68">
        <f t="shared" si="1"/>
        <v>225.9073239</v>
      </c>
      <c r="K516" s="68" t="b">
        <v>1</v>
      </c>
    </row>
    <row r="517" hidden="1">
      <c r="A517" s="75">
        <v>511.0</v>
      </c>
      <c r="B517" s="62" t="s">
        <v>356</v>
      </c>
      <c r="C517" s="62" t="s">
        <v>98</v>
      </c>
      <c r="D517" s="62" t="s">
        <v>381</v>
      </c>
      <c r="E517" s="76">
        <v>43913.0</v>
      </c>
      <c r="F517" s="77">
        <v>0.16666666666666666</v>
      </c>
      <c r="G517" s="62" t="b">
        <v>0</v>
      </c>
      <c r="H517" s="78" t="b">
        <f>IF(VLOOKUP(C517,Projetos!A:L,12,false)=TRUE,TRUE,FALSE)</f>
        <v>1</v>
      </c>
      <c r="I517" s="68">
        <v>150.60488258778258</v>
      </c>
      <c r="J517" s="68">
        <f t="shared" si="1"/>
        <v>0</v>
      </c>
      <c r="K517" s="68" t="b">
        <v>1</v>
      </c>
    </row>
    <row r="518" hidden="1">
      <c r="A518" s="75">
        <v>512.0</v>
      </c>
      <c r="B518" s="62" t="s">
        <v>356</v>
      </c>
      <c r="C518" s="62" t="s">
        <v>98</v>
      </c>
      <c r="D518" s="62" t="s">
        <v>381</v>
      </c>
      <c r="E518" s="76">
        <v>43917.0</v>
      </c>
      <c r="F518" s="77">
        <v>0.3125</v>
      </c>
      <c r="G518" s="62" t="b">
        <v>0</v>
      </c>
      <c r="H518" s="78" t="b">
        <f>IF(VLOOKUP(C518,Projetos!A:L,12,false)=TRUE,TRUE,FALSE)</f>
        <v>1</v>
      </c>
      <c r="I518" s="68">
        <v>150.60488258778258</v>
      </c>
      <c r="J518" s="68">
        <f t="shared" si="1"/>
        <v>0</v>
      </c>
      <c r="K518" s="68" t="b">
        <v>1</v>
      </c>
    </row>
    <row r="519">
      <c r="A519" s="75">
        <v>513.0</v>
      </c>
      <c r="B519" s="62" t="s">
        <v>356</v>
      </c>
      <c r="C519" s="62" t="s">
        <v>98</v>
      </c>
      <c r="D519" s="62" t="s">
        <v>383</v>
      </c>
      <c r="E519" s="76">
        <v>43920.0</v>
      </c>
      <c r="F519" s="77">
        <v>0.08333333333333333</v>
      </c>
      <c r="G519" s="62" t="b">
        <v>1</v>
      </c>
      <c r="H519" s="78" t="b">
        <f>IF(VLOOKUP(C519,Projetos!A:L,12,false)=TRUE,TRUE,FALSE)</f>
        <v>1</v>
      </c>
      <c r="I519" s="68">
        <v>150.60488258778258</v>
      </c>
      <c r="J519" s="68">
        <f t="shared" si="1"/>
        <v>301.2097652</v>
      </c>
      <c r="K519" s="68" t="b">
        <v>1</v>
      </c>
    </row>
    <row r="520" hidden="1">
      <c r="A520" s="75">
        <v>514.0</v>
      </c>
      <c r="B520" s="62" t="s">
        <v>356</v>
      </c>
      <c r="C520" s="62" t="s">
        <v>98</v>
      </c>
      <c r="D520" s="62" t="s">
        <v>381</v>
      </c>
      <c r="E520" s="76">
        <v>43921.0</v>
      </c>
      <c r="F520" s="77">
        <v>0.25</v>
      </c>
      <c r="G520" s="62" t="b">
        <v>0</v>
      </c>
      <c r="H520" s="78" t="b">
        <f>IF(VLOOKUP(C520,Projetos!A:L,12,false)=TRUE,TRUE,FALSE)</f>
        <v>1</v>
      </c>
      <c r="I520" s="68">
        <v>150.60488258778258</v>
      </c>
      <c r="J520" s="68">
        <f t="shared" si="1"/>
        <v>0</v>
      </c>
      <c r="K520" s="68" t="b">
        <v>1</v>
      </c>
    </row>
    <row r="521" hidden="1">
      <c r="A521" s="75">
        <v>515.0</v>
      </c>
      <c r="B521" s="62" t="s">
        <v>356</v>
      </c>
      <c r="C521" s="62" t="s">
        <v>102</v>
      </c>
      <c r="D521" s="62" t="s">
        <v>384</v>
      </c>
      <c r="E521" s="76">
        <v>43892.0</v>
      </c>
      <c r="F521" s="77">
        <v>0.3958333333333333</v>
      </c>
      <c r="G521" s="62" t="b">
        <v>0</v>
      </c>
      <c r="H521" s="78" t="b">
        <f>IF(VLOOKUP(C521,Projetos!A:L,12,false)=TRUE,TRUE,FALSE)</f>
        <v>0</v>
      </c>
      <c r="I521" s="68">
        <v>150.60488258778258</v>
      </c>
      <c r="J521" s="68">
        <f t="shared" si="1"/>
        <v>0</v>
      </c>
      <c r="K521" s="68" t="b">
        <v>0</v>
      </c>
    </row>
    <row r="522" hidden="1">
      <c r="A522" s="75">
        <v>516.0</v>
      </c>
      <c r="B522" s="62" t="s">
        <v>356</v>
      </c>
      <c r="C522" s="62" t="s">
        <v>102</v>
      </c>
      <c r="D522" s="62" t="s">
        <v>384</v>
      </c>
      <c r="E522" s="76">
        <v>43893.0</v>
      </c>
      <c r="F522" s="77">
        <v>0.3958333333333333</v>
      </c>
      <c r="G522" s="62" t="b">
        <v>0</v>
      </c>
      <c r="H522" s="78" t="b">
        <f>IF(VLOOKUP(C522,Projetos!A:L,12,false)=TRUE,TRUE,FALSE)</f>
        <v>0</v>
      </c>
      <c r="I522" s="68">
        <v>150.60488258778258</v>
      </c>
      <c r="J522" s="68">
        <f t="shared" si="1"/>
        <v>0</v>
      </c>
      <c r="K522" s="68" t="b">
        <v>0</v>
      </c>
    </row>
    <row r="523" hidden="1">
      <c r="A523" s="75">
        <v>517.0</v>
      </c>
      <c r="B523" s="62" t="s">
        <v>356</v>
      </c>
      <c r="C523" s="62" t="s">
        <v>102</v>
      </c>
      <c r="D523" s="62" t="s">
        <v>384</v>
      </c>
      <c r="E523" s="76">
        <v>43894.0</v>
      </c>
      <c r="F523" s="77">
        <v>0.3958333333333333</v>
      </c>
      <c r="G523" s="62" t="b">
        <v>0</v>
      </c>
      <c r="H523" s="78" t="b">
        <f>IF(VLOOKUP(C523,Projetos!A:L,12,false)=TRUE,TRUE,FALSE)</f>
        <v>0</v>
      </c>
      <c r="I523" s="68">
        <v>150.60488258778258</v>
      </c>
      <c r="J523" s="68">
        <f t="shared" si="1"/>
        <v>0</v>
      </c>
      <c r="K523" s="68" t="b">
        <v>0</v>
      </c>
    </row>
    <row r="524">
      <c r="A524" s="75">
        <v>518.0</v>
      </c>
      <c r="B524" s="62" t="s">
        <v>356</v>
      </c>
      <c r="C524" s="62" t="s">
        <v>104</v>
      </c>
      <c r="D524" s="62" t="s">
        <v>385</v>
      </c>
      <c r="E524" s="76">
        <v>43901.0</v>
      </c>
      <c r="F524" s="77">
        <v>0.0625</v>
      </c>
      <c r="G524" s="62" t="b">
        <v>1</v>
      </c>
      <c r="H524" s="78" t="b">
        <f>IF(VLOOKUP(C524,Projetos!A:L,12,false)=TRUE,TRUE,FALSE)</f>
        <v>1</v>
      </c>
      <c r="I524" s="68">
        <v>150.60488258778258</v>
      </c>
      <c r="J524" s="68">
        <f t="shared" si="1"/>
        <v>225.9073239</v>
      </c>
      <c r="K524" s="68" t="b">
        <v>1</v>
      </c>
    </row>
    <row r="525">
      <c r="A525" s="75">
        <v>519.0</v>
      </c>
      <c r="B525" s="62" t="s">
        <v>356</v>
      </c>
      <c r="C525" s="62" t="s">
        <v>104</v>
      </c>
      <c r="D525" s="62" t="s">
        <v>357</v>
      </c>
      <c r="E525" s="76">
        <v>43917.0</v>
      </c>
      <c r="F525" s="77">
        <v>0.0625</v>
      </c>
      <c r="G525" s="62" t="b">
        <v>1</v>
      </c>
      <c r="H525" s="78" t="b">
        <f>IF(VLOOKUP(C525,Projetos!A:L,12,false)=TRUE,TRUE,FALSE)</f>
        <v>1</v>
      </c>
      <c r="I525" s="68">
        <v>150.60488258778258</v>
      </c>
      <c r="J525" s="68">
        <f t="shared" si="1"/>
        <v>225.9073239</v>
      </c>
      <c r="K525" s="68" t="b">
        <v>1</v>
      </c>
    </row>
    <row r="526">
      <c r="A526" s="75">
        <v>520.0</v>
      </c>
      <c r="B526" s="62" t="s">
        <v>356</v>
      </c>
      <c r="C526" s="62" t="s">
        <v>90</v>
      </c>
      <c r="D526" s="62" t="s">
        <v>386</v>
      </c>
      <c r="E526" s="76">
        <v>43922.0</v>
      </c>
      <c r="F526" s="77">
        <v>0.2916666666666667</v>
      </c>
      <c r="G526" s="62" t="b">
        <v>1</v>
      </c>
      <c r="H526" s="78" t="b">
        <f>IF(VLOOKUP(C526,Projetos!A:L,12,false)=TRUE,TRUE,FALSE)</f>
        <v>1</v>
      </c>
      <c r="I526" s="68">
        <v>143.7592061065197</v>
      </c>
      <c r="J526" s="68">
        <f t="shared" si="1"/>
        <v>1006.314443</v>
      </c>
      <c r="K526" s="68" t="b">
        <v>1</v>
      </c>
    </row>
    <row r="527" hidden="1">
      <c r="A527" s="75">
        <v>521.0</v>
      </c>
      <c r="B527" s="62" t="s">
        <v>356</v>
      </c>
      <c r="C527" s="62" t="s">
        <v>90</v>
      </c>
      <c r="D527" s="62" t="s">
        <v>387</v>
      </c>
      <c r="E527" s="76">
        <v>43934.0</v>
      </c>
      <c r="F527" s="77">
        <v>0.041666666666666664</v>
      </c>
      <c r="G527" s="62" t="b">
        <v>0</v>
      </c>
      <c r="H527" s="78" t="b">
        <f>IF(VLOOKUP(C527,Projetos!A:L,12,false)=TRUE,TRUE,FALSE)</f>
        <v>1</v>
      </c>
      <c r="I527" s="68">
        <v>143.7592061065197</v>
      </c>
      <c r="J527" s="68">
        <f t="shared" si="1"/>
        <v>0</v>
      </c>
      <c r="K527" s="68" t="b">
        <v>1</v>
      </c>
    </row>
    <row r="528">
      <c r="A528" s="75">
        <v>522.0</v>
      </c>
      <c r="B528" s="62" t="s">
        <v>356</v>
      </c>
      <c r="C528" s="62" t="s">
        <v>90</v>
      </c>
      <c r="D528" s="62" t="s">
        <v>388</v>
      </c>
      <c r="E528" s="76">
        <v>43937.0</v>
      </c>
      <c r="F528" s="77">
        <v>0.3333333333333333</v>
      </c>
      <c r="G528" s="62" t="b">
        <v>1</v>
      </c>
      <c r="H528" s="78" t="b">
        <f>IF(VLOOKUP(C528,Projetos!A:L,12,false)=TRUE,TRUE,FALSE)</f>
        <v>1</v>
      </c>
      <c r="I528" s="68">
        <v>143.7592061065197</v>
      </c>
      <c r="J528" s="68">
        <f t="shared" si="1"/>
        <v>1150.073649</v>
      </c>
      <c r="K528" s="68" t="b">
        <v>1</v>
      </c>
    </row>
    <row r="529">
      <c r="A529" s="75">
        <v>523.0</v>
      </c>
      <c r="B529" s="62" t="s">
        <v>356</v>
      </c>
      <c r="C529" s="62" t="s">
        <v>90</v>
      </c>
      <c r="D529" s="62" t="s">
        <v>389</v>
      </c>
      <c r="E529" s="76">
        <v>43944.0</v>
      </c>
      <c r="F529" s="77">
        <v>0.2916666666666667</v>
      </c>
      <c r="G529" s="62" t="b">
        <v>1</v>
      </c>
      <c r="H529" s="78" t="b">
        <f>IF(VLOOKUP(C529,Projetos!A:L,12,false)=TRUE,TRUE,FALSE)</f>
        <v>1</v>
      </c>
      <c r="I529" s="68">
        <v>143.7592061065197</v>
      </c>
      <c r="J529" s="68">
        <f t="shared" si="1"/>
        <v>1006.314443</v>
      </c>
      <c r="K529" s="68" t="b">
        <v>1</v>
      </c>
    </row>
    <row r="530">
      <c r="A530" s="75">
        <v>524.0</v>
      </c>
      <c r="B530" s="62" t="s">
        <v>356</v>
      </c>
      <c r="C530" s="62" t="s">
        <v>90</v>
      </c>
      <c r="D530" s="62" t="s">
        <v>390</v>
      </c>
      <c r="E530" s="76">
        <v>43948.0</v>
      </c>
      <c r="F530" s="77">
        <v>0.08333333333333333</v>
      </c>
      <c r="G530" s="62" t="b">
        <v>1</v>
      </c>
      <c r="H530" s="78" t="b">
        <f>IF(VLOOKUP(C530,Projetos!A:L,12,false)=TRUE,TRUE,FALSE)</f>
        <v>1</v>
      </c>
      <c r="I530" s="68">
        <v>143.7592061065197</v>
      </c>
      <c r="J530" s="68">
        <f t="shared" si="1"/>
        <v>287.5184122</v>
      </c>
      <c r="K530" s="68" t="b">
        <v>1</v>
      </c>
    </row>
    <row r="531">
      <c r="A531" s="75">
        <v>525.0</v>
      </c>
      <c r="B531" s="62" t="s">
        <v>356</v>
      </c>
      <c r="C531" s="62" t="s">
        <v>90</v>
      </c>
      <c r="D531" s="62" t="s">
        <v>391</v>
      </c>
      <c r="E531" s="76">
        <v>43951.0</v>
      </c>
      <c r="F531" s="77">
        <v>0.041666666666666664</v>
      </c>
      <c r="G531" s="62" t="b">
        <v>1</v>
      </c>
      <c r="H531" s="78" t="b">
        <f>IF(VLOOKUP(C531,Projetos!A:L,12,false)=TRUE,TRUE,FALSE)</f>
        <v>1</v>
      </c>
      <c r="I531" s="68">
        <v>143.7592061065197</v>
      </c>
      <c r="J531" s="68">
        <f t="shared" si="1"/>
        <v>143.7592061</v>
      </c>
      <c r="K531" s="68" t="b">
        <v>1</v>
      </c>
    </row>
    <row r="532" hidden="1">
      <c r="A532" s="75">
        <v>526.0</v>
      </c>
      <c r="B532" s="62" t="s">
        <v>356</v>
      </c>
      <c r="C532" s="62" t="s">
        <v>98</v>
      </c>
      <c r="D532" s="62" t="s">
        <v>392</v>
      </c>
      <c r="E532" s="76">
        <v>43924.0</v>
      </c>
      <c r="F532" s="77">
        <v>0.0625</v>
      </c>
      <c r="G532" s="62" t="b">
        <v>0</v>
      </c>
      <c r="H532" s="78" t="b">
        <f>IF(VLOOKUP(C532,Projetos!A:L,12,false)=TRUE,TRUE,FALSE)</f>
        <v>1</v>
      </c>
      <c r="I532" s="68">
        <v>143.7592061065197</v>
      </c>
      <c r="J532" s="68">
        <f t="shared" si="1"/>
        <v>0</v>
      </c>
      <c r="K532" s="68" t="b">
        <v>1</v>
      </c>
    </row>
    <row r="533" hidden="1">
      <c r="A533" s="75">
        <v>527.0</v>
      </c>
      <c r="B533" s="62" t="s">
        <v>356</v>
      </c>
      <c r="C533" s="62" t="s">
        <v>98</v>
      </c>
      <c r="D533" s="62" t="s">
        <v>393</v>
      </c>
      <c r="E533" s="76">
        <v>43927.0</v>
      </c>
      <c r="F533" s="77">
        <v>0.08333333333333333</v>
      </c>
      <c r="G533" s="62" t="b">
        <v>0</v>
      </c>
      <c r="H533" s="78" t="b">
        <f>IF(VLOOKUP(C533,Projetos!A:L,12,false)=TRUE,TRUE,FALSE)</f>
        <v>1</v>
      </c>
      <c r="I533" s="68">
        <v>143.7592061065197</v>
      </c>
      <c r="J533" s="68">
        <f t="shared" si="1"/>
        <v>0</v>
      </c>
      <c r="K533" s="68" t="b">
        <v>1</v>
      </c>
    </row>
    <row r="534">
      <c r="A534" s="75">
        <v>528.0</v>
      </c>
      <c r="B534" s="62" t="s">
        <v>356</v>
      </c>
      <c r="C534" s="62" t="s">
        <v>98</v>
      </c>
      <c r="D534" s="62" t="s">
        <v>394</v>
      </c>
      <c r="E534" s="76">
        <v>43929.0</v>
      </c>
      <c r="F534" s="77">
        <v>0.041666666666666664</v>
      </c>
      <c r="G534" s="62" t="b">
        <v>1</v>
      </c>
      <c r="H534" s="78" t="b">
        <f>IF(VLOOKUP(C534,Projetos!A:L,12,false)=TRUE,TRUE,FALSE)</f>
        <v>1</v>
      </c>
      <c r="I534" s="68">
        <v>143.7592061065197</v>
      </c>
      <c r="J534" s="68">
        <f t="shared" si="1"/>
        <v>143.7592061</v>
      </c>
      <c r="K534" s="68" t="b">
        <v>1</v>
      </c>
    </row>
    <row r="535" hidden="1">
      <c r="A535" s="75">
        <v>529.0</v>
      </c>
      <c r="B535" s="62" t="s">
        <v>356</v>
      </c>
      <c r="C535" s="62" t="s">
        <v>98</v>
      </c>
      <c r="D535" s="62" t="s">
        <v>393</v>
      </c>
      <c r="E535" s="76">
        <v>43941.0</v>
      </c>
      <c r="F535" s="77">
        <v>0.08333333333333333</v>
      </c>
      <c r="G535" s="62" t="b">
        <v>0</v>
      </c>
      <c r="H535" s="78" t="b">
        <f>IF(VLOOKUP(C535,Projetos!A:L,12,false)=TRUE,TRUE,FALSE)</f>
        <v>1</v>
      </c>
      <c r="I535" s="68">
        <v>143.7592061065197</v>
      </c>
      <c r="J535" s="68">
        <f t="shared" si="1"/>
        <v>0</v>
      </c>
      <c r="K535" s="68" t="b">
        <v>1</v>
      </c>
    </row>
    <row r="536">
      <c r="A536" s="75">
        <v>530.0</v>
      </c>
      <c r="B536" s="62" t="s">
        <v>356</v>
      </c>
      <c r="C536" s="62" t="s">
        <v>101</v>
      </c>
      <c r="D536" s="62" t="s">
        <v>395</v>
      </c>
      <c r="E536" s="76">
        <v>43944.0</v>
      </c>
      <c r="F536" s="77">
        <v>0.041666666666666664</v>
      </c>
      <c r="G536" s="62" t="b">
        <v>1</v>
      </c>
      <c r="H536" s="78" t="b">
        <f>IF(VLOOKUP(C536,Projetos!A:L,12,false)=TRUE,TRUE,FALSE)</f>
        <v>1</v>
      </c>
      <c r="I536" s="68">
        <v>143.7592061065197</v>
      </c>
      <c r="J536" s="68">
        <f t="shared" si="1"/>
        <v>143.7592061</v>
      </c>
      <c r="K536" s="68" t="b">
        <v>1</v>
      </c>
    </row>
    <row r="537" hidden="1">
      <c r="A537" s="75">
        <v>531.0</v>
      </c>
      <c r="B537" s="62" t="s">
        <v>356</v>
      </c>
      <c r="C537" s="62" t="s">
        <v>104</v>
      </c>
      <c r="D537" s="62" t="s">
        <v>387</v>
      </c>
      <c r="E537" s="76">
        <v>43929.0</v>
      </c>
      <c r="F537" s="77">
        <v>0.041666666666666664</v>
      </c>
      <c r="G537" s="62" t="b">
        <v>0</v>
      </c>
      <c r="H537" s="78" t="b">
        <f>IF(VLOOKUP(C537,Projetos!A:L,12,false)=TRUE,TRUE,FALSE)</f>
        <v>1</v>
      </c>
      <c r="I537" s="68">
        <v>143.7592061065197</v>
      </c>
      <c r="J537" s="68">
        <f t="shared" si="1"/>
        <v>0</v>
      </c>
      <c r="K537" s="68" t="b">
        <v>1</v>
      </c>
    </row>
    <row r="538" hidden="1">
      <c r="A538" s="75">
        <v>532.0</v>
      </c>
      <c r="B538" s="62" t="s">
        <v>356</v>
      </c>
      <c r="C538" s="62" t="s">
        <v>108</v>
      </c>
      <c r="D538" s="62" t="s">
        <v>396</v>
      </c>
      <c r="E538" s="76">
        <v>43927.0</v>
      </c>
      <c r="F538" s="77">
        <v>0.04861111111111111</v>
      </c>
      <c r="G538" s="62" t="b">
        <v>0</v>
      </c>
      <c r="H538" s="78" t="b">
        <f>IF(VLOOKUP(C538,Projetos!A:L,12,false)=TRUE,TRUE,FALSE)</f>
        <v>1</v>
      </c>
      <c r="I538" s="68">
        <v>143.7592061065197</v>
      </c>
      <c r="J538" s="68">
        <f t="shared" si="1"/>
        <v>0</v>
      </c>
      <c r="K538" s="68" t="b">
        <v>1</v>
      </c>
    </row>
    <row r="539">
      <c r="A539" s="75">
        <v>533.0</v>
      </c>
      <c r="B539" s="62" t="s">
        <v>356</v>
      </c>
      <c r="C539" s="62" t="s">
        <v>115</v>
      </c>
      <c r="D539" s="62" t="s">
        <v>397</v>
      </c>
      <c r="E539" s="76">
        <v>43930.0</v>
      </c>
      <c r="F539" s="77">
        <v>0.041666666666666664</v>
      </c>
      <c r="G539" s="62" t="b">
        <v>1</v>
      </c>
      <c r="H539" s="78" t="b">
        <f>IF(VLOOKUP(C539,Projetos!A:L,12,false)=TRUE,TRUE,FALSE)</f>
        <v>1</v>
      </c>
      <c r="I539" s="68">
        <v>143.7592061065197</v>
      </c>
      <c r="J539" s="68">
        <f t="shared" si="1"/>
        <v>143.7592061</v>
      </c>
      <c r="K539" s="68" t="b">
        <v>1</v>
      </c>
    </row>
    <row r="540" hidden="1">
      <c r="A540" s="75">
        <v>534.0</v>
      </c>
      <c r="B540" s="62" t="s">
        <v>356</v>
      </c>
      <c r="C540" s="62" t="s">
        <v>138</v>
      </c>
      <c r="D540" s="62" t="s">
        <v>398</v>
      </c>
      <c r="E540" s="76">
        <v>43956.0</v>
      </c>
      <c r="F540" s="77">
        <v>0.08333333333333333</v>
      </c>
      <c r="G540" s="62" t="b">
        <v>0</v>
      </c>
      <c r="H540" s="78" t="b">
        <f>IF(VLOOKUP(C540,Projetos!A:L,12,false)=TRUE,TRUE,FALSE)</f>
        <v>1</v>
      </c>
      <c r="I540" s="68">
        <v>150.60488258778258</v>
      </c>
      <c r="J540" s="68">
        <f t="shared" si="1"/>
        <v>0</v>
      </c>
      <c r="K540" s="68" t="b">
        <v>1</v>
      </c>
    </row>
    <row r="541">
      <c r="A541" s="75">
        <v>535.0</v>
      </c>
      <c r="B541" s="62" t="s">
        <v>356</v>
      </c>
      <c r="C541" s="62" t="s">
        <v>90</v>
      </c>
      <c r="D541" s="62" t="s">
        <v>399</v>
      </c>
      <c r="E541" s="76">
        <v>43957.0</v>
      </c>
      <c r="F541" s="77">
        <v>0.16666666666666666</v>
      </c>
      <c r="G541" s="62" t="b">
        <v>1</v>
      </c>
      <c r="H541" s="78" t="b">
        <f>IF(VLOOKUP(C541,Projetos!A:L,12,false)=TRUE,TRUE,FALSE)</f>
        <v>1</v>
      </c>
      <c r="I541" s="68">
        <v>150.60488258778258</v>
      </c>
      <c r="J541" s="68">
        <f t="shared" si="1"/>
        <v>602.4195304</v>
      </c>
      <c r="K541" s="68" t="b">
        <v>1</v>
      </c>
    </row>
    <row r="542" hidden="1">
      <c r="A542" s="75">
        <v>536.0</v>
      </c>
      <c r="B542" s="62" t="s">
        <v>356</v>
      </c>
      <c r="C542" s="62" t="s">
        <v>138</v>
      </c>
      <c r="D542" s="62" t="s">
        <v>400</v>
      </c>
      <c r="E542" s="76">
        <v>43958.0</v>
      </c>
      <c r="F542" s="77">
        <v>0.041666666666666664</v>
      </c>
      <c r="G542" s="62" t="b">
        <v>0</v>
      </c>
      <c r="H542" s="78" t="b">
        <f>IF(VLOOKUP(C542,Projetos!A:L,12,false)=TRUE,TRUE,FALSE)</f>
        <v>1</v>
      </c>
      <c r="I542" s="68">
        <v>150.60488258778258</v>
      </c>
      <c r="J542" s="68">
        <f t="shared" si="1"/>
        <v>0</v>
      </c>
      <c r="K542" s="68" t="b">
        <v>1</v>
      </c>
    </row>
    <row r="543">
      <c r="A543" s="75">
        <v>537.0</v>
      </c>
      <c r="B543" s="62" t="s">
        <v>356</v>
      </c>
      <c r="C543" s="62" t="s">
        <v>90</v>
      </c>
      <c r="D543" s="62" t="s">
        <v>399</v>
      </c>
      <c r="E543" s="76">
        <v>43959.0</v>
      </c>
      <c r="F543" s="77">
        <v>0.20833333333333334</v>
      </c>
      <c r="G543" s="62" t="b">
        <v>1</v>
      </c>
      <c r="H543" s="78" t="b">
        <f>IF(VLOOKUP(C543,Projetos!A:L,12,false)=TRUE,TRUE,FALSE)</f>
        <v>1</v>
      </c>
      <c r="I543" s="68">
        <v>150.60488258778258</v>
      </c>
      <c r="J543" s="68">
        <f t="shared" si="1"/>
        <v>753.0244129</v>
      </c>
      <c r="K543" s="68" t="b">
        <v>1</v>
      </c>
    </row>
    <row r="544" hidden="1">
      <c r="A544" s="75">
        <v>538.0</v>
      </c>
      <c r="B544" s="62" t="s">
        <v>356</v>
      </c>
      <c r="C544" s="62" t="s">
        <v>83</v>
      </c>
      <c r="D544" s="62" t="s">
        <v>401</v>
      </c>
      <c r="E544" s="76">
        <v>44013.0</v>
      </c>
      <c r="F544" s="77">
        <v>0.08333333333333333</v>
      </c>
      <c r="G544" s="62" t="b">
        <v>0</v>
      </c>
      <c r="H544" s="78" t="b">
        <f>IF(VLOOKUP(C544,Projetos!A:L,12,false)=TRUE,TRUE,FALSE)</f>
        <v>0</v>
      </c>
      <c r="I544" s="68">
        <v>150.60488258778258</v>
      </c>
      <c r="J544" s="68">
        <f t="shared" si="1"/>
        <v>0</v>
      </c>
      <c r="K544" s="68" t="b">
        <v>0</v>
      </c>
    </row>
    <row r="545" hidden="1">
      <c r="A545" s="75">
        <v>539.0</v>
      </c>
      <c r="B545" s="62" t="s">
        <v>356</v>
      </c>
      <c r="C545" s="62" t="s">
        <v>83</v>
      </c>
      <c r="D545" s="62" t="s">
        <v>402</v>
      </c>
      <c r="E545" s="76">
        <v>44016.0</v>
      </c>
      <c r="F545" s="77">
        <v>0.0625</v>
      </c>
      <c r="G545" s="62" t="b">
        <v>0</v>
      </c>
      <c r="H545" s="78" t="b">
        <f>IF(VLOOKUP(C545,Projetos!A:L,12,false)=TRUE,TRUE,FALSE)</f>
        <v>0</v>
      </c>
      <c r="I545" s="68">
        <v>150.60488258778258</v>
      </c>
      <c r="J545" s="68">
        <f t="shared" si="1"/>
        <v>0</v>
      </c>
      <c r="K545" s="68" t="b">
        <v>0</v>
      </c>
    </row>
    <row r="546" hidden="1">
      <c r="A546" s="75">
        <v>540.0</v>
      </c>
      <c r="B546" s="62" t="s">
        <v>356</v>
      </c>
      <c r="C546" s="62" t="s">
        <v>83</v>
      </c>
      <c r="D546" s="62" t="s">
        <v>401</v>
      </c>
      <c r="E546" s="76">
        <v>44020.0</v>
      </c>
      <c r="F546" s="77">
        <v>0.041666666666666664</v>
      </c>
      <c r="G546" s="62" t="b">
        <v>0</v>
      </c>
      <c r="H546" s="78" t="b">
        <f>IF(VLOOKUP(C546,Projetos!A:L,12,false)=TRUE,TRUE,FALSE)</f>
        <v>0</v>
      </c>
      <c r="I546" s="68">
        <v>150.60488258778258</v>
      </c>
      <c r="J546" s="68">
        <f t="shared" si="1"/>
        <v>0</v>
      </c>
      <c r="K546" s="68" t="b">
        <v>0</v>
      </c>
    </row>
    <row r="547" hidden="1">
      <c r="A547" s="75">
        <v>541.0</v>
      </c>
      <c r="B547" s="62" t="s">
        <v>356</v>
      </c>
      <c r="C547" s="62" t="s">
        <v>83</v>
      </c>
      <c r="D547" s="62" t="s">
        <v>403</v>
      </c>
      <c r="E547" s="76">
        <v>44024.0</v>
      </c>
      <c r="F547" s="77">
        <v>0.16666666666666666</v>
      </c>
      <c r="G547" s="62" t="b">
        <v>0</v>
      </c>
      <c r="H547" s="78" t="b">
        <f>IF(VLOOKUP(C547,Projetos!A:L,12,false)=TRUE,TRUE,FALSE)</f>
        <v>0</v>
      </c>
      <c r="I547" s="68">
        <v>150.60488258778258</v>
      </c>
      <c r="J547" s="68">
        <f t="shared" si="1"/>
        <v>0</v>
      </c>
      <c r="K547" s="68" t="b">
        <v>0</v>
      </c>
    </row>
    <row r="548" hidden="1">
      <c r="A548" s="75">
        <v>542.0</v>
      </c>
      <c r="B548" s="62" t="s">
        <v>356</v>
      </c>
      <c r="C548" s="62" t="s">
        <v>83</v>
      </c>
      <c r="D548" s="62" t="s">
        <v>404</v>
      </c>
      <c r="E548" s="76">
        <v>44029.0</v>
      </c>
      <c r="F548" s="77">
        <v>0.041666666666666664</v>
      </c>
      <c r="G548" s="62" t="b">
        <v>0</v>
      </c>
      <c r="H548" s="78" t="b">
        <f>IF(VLOOKUP(C548,Projetos!A:L,12,false)=TRUE,TRUE,FALSE)</f>
        <v>0</v>
      </c>
      <c r="I548" s="68">
        <v>150.60488258778258</v>
      </c>
      <c r="J548" s="68">
        <f t="shared" si="1"/>
        <v>0</v>
      </c>
      <c r="K548" s="68" t="b">
        <v>0</v>
      </c>
    </row>
    <row r="549" hidden="1">
      <c r="A549" s="75">
        <v>543.0</v>
      </c>
      <c r="B549" s="62" t="s">
        <v>356</v>
      </c>
      <c r="C549" s="62" t="s">
        <v>90</v>
      </c>
      <c r="D549" s="62" t="s">
        <v>405</v>
      </c>
      <c r="E549" s="76">
        <v>44014.0</v>
      </c>
      <c r="F549" s="77">
        <v>0.125</v>
      </c>
      <c r="G549" s="62" t="b">
        <v>0</v>
      </c>
      <c r="H549" s="78" t="b">
        <f>IF(VLOOKUP(C549,Projetos!A:L,12,false)=TRUE,TRUE,FALSE)</f>
        <v>1</v>
      </c>
      <c r="I549" s="68">
        <v>150.60488258778258</v>
      </c>
      <c r="J549" s="68">
        <f t="shared" si="1"/>
        <v>0</v>
      </c>
      <c r="K549" s="68" t="b">
        <v>1</v>
      </c>
    </row>
    <row r="550">
      <c r="A550" s="75">
        <v>544.0</v>
      </c>
      <c r="B550" s="62" t="s">
        <v>356</v>
      </c>
      <c r="C550" s="62" t="s">
        <v>90</v>
      </c>
      <c r="D550" s="62" t="s">
        <v>359</v>
      </c>
      <c r="E550" s="76">
        <v>44017.0</v>
      </c>
      <c r="F550" s="77">
        <v>0.14583333333333334</v>
      </c>
      <c r="G550" s="62" t="b">
        <v>1</v>
      </c>
      <c r="H550" s="78" t="b">
        <f>IF(VLOOKUP(C550,Projetos!A:L,12,false)=TRUE,TRUE,FALSE)</f>
        <v>1</v>
      </c>
      <c r="I550" s="68">
        <v>150.60488258778258</v>
      </c>
      <c r="J550" s="68">
        <f t="shared" si="1"/>
        <v>527.1170891</v>
      </c>
      <c r="K550" s="68" t="b">
        <v>1</v>
      </c>
    </row>
    <row r="551">
      <c r="A551" s="75">
        <v>545.0</v>
      </c>
      <c r="B551" s="62" t="s">
        <v>356</v>
      </c>
      <c r="C551" s="62" t="s">
        <v>90</v>
      </c>
      <c r="D551" s="62" t="s">
        <v>359</v>
      </c>
      <c r="E551" s="76">
        <v>44031.0</v>
      </c>
      <c r="F551" s="77">
        <v>0.041666666666666664</v>
      </c>
      <c r="G551" s="62" t="b">
        <v>1</v>
      </c>
      <c r="H551" s="78" t="b">
        <f>IF(VLOOKUP(C551,Projetos!A:L,12,false)=TRUE,TRUE,FALSE)</f>
        <v>1</v>
      </c>
      <c r="I551" s="68">
        <v>150.60488258778258</v>
      </c>
      <c r="J551" s="68">
        <f t="shared" si="1"/>
        <v>150.6048826</v>
      </c>
      <c r="K551" s="68" t="b">
        <v>1</v>
      </c>
    </row>
    <row r="552">
      <c r="A552" s="75">
        <v>546.0</v>
      </c>
      <c r="B552" s="62" t="s">
        <v>356</v>
      </c>
      <c r="C552" s="62" t="s">
        <v>90</v>
      </c>
      <c r="D552" s="62" t="s">
        <v>403</v>
      </c>
      <c r="E552" s="76">
        <v>44035.0</v>
      </c>
      <c r="F552" s="77">
        <v>0.10416666666666667</v>
      </c>
      <c r="G552" s="62" t="b">
        <v>1</v>
      </c>
      <c r="H552" s="78" t="b">
        <f>IF(VLOOKUP(C552,Projetos!A:L,12,false)=TRUE,TRUE,FALSE)</f>
        <v>1</v>
      </c>
      <c r="I552" s="68">
        <v>150.60488258778258</v>
      </c>
      <c r="J552" s="68">
        <f t="shared" si="1"/>
        <v>376.5122065</v>
      </c>
      <c r="K552" s="68" t="b">
        <v>1</v>
      </c>
    </row>
    <row r="553">
      <c r="A553" s="75">
        <v>547.0</v>
      </c>
      <c r="B553" s="62" t="s">
        <v>356</v>
      </c>
      <c r="C553" s="62" t="s">
        <v>95</v>
      </c>
      <c r="D553" s="62" t="s">
        <v>388</v>
      </c>
      <c r="E553" s="76">
        <v>44014.0</v>
      </c>
      <c r="F553" s="77">
        <v>0.041666666666666664</v>
      </c>
      <c r="G553" s="62" t="b">
        <v>1</v>
      </c>
      <c r="H553" s="78" t="b">
        <f>IF(VLOOKUP(C553,Projetos!A:L,12,false)=TRUE,TRUE,FALSE)</f>
        <v>1</v>
      </c>
      <c r="I553" s="68">
        <v>150.60488258778258</v>
      </c>
      <c r="J553" s="68">
        <f t="shared" si="1"/>
        <v>150.6048826</v>
      </c>
      <c r="K553" s="68" t="b">
        <v>1</v>
      </c>
    </row>
    <row r="554" hidden="1">
      <c r="A554" s="75">
        <v>548.0</v>
      </c>
      <c r="B554" s="62" t="s">
        <v>356</v>
      </c>
      <c r="C554" s="62" t="s">
        <v>95</v>
      </c>
      <c r="D554" s="62" t="s">
        <v>406</v>
      </c>
      <c r="E554" s="76">
        <v>44017.0</v>
      </c>
      <c r="F554" s="77">
        <v>0.041666666666666664</v>
      </c>
      <c r="G554" s="62" t="b">
        <v>0</v>
      </c>
      <c r="H554" s="78" t="b">
        <f>IF(VLOOKUP(C554,Projetos!A:L,12,false)=TRUE,TRUE,FALSE)</f>
        <v>1</v>
      </c>
      <c r="I554" s="68">
        <v>150.60488258778258</v>
      </c>
      <c r="J554" s="68">
        <f t="shared" si="1"/>
        <v>0</v>
      </c>
      <c r="K554" s="68" t="b">
        <v>1</v>
      </c>
    </row>
    <row r="555">
      <c r="A555" s="75">
        <v>549.0</v>
      </c>
      <c r="B555" s="62" t="s">
        <v>356</v>
      </c>
      <c r="C555" s="62" t="s">
        <v>98</v>
      </c>
      <c r="D555" s="62" t="s">
        <v>372</v>
      </c>
      <c r="E555" s="76">
        <v>44035.0</v>
      </c>
      <c r="F555" s="77">
        <v>0.041666666666666664</v>
      </c>
      <c r="G555" s="62" t="b">
        <v>1</v>
      </c>
      <c r="H555" s="78" t="b">
        <f>IF(VLOOKUP(C555,Projetos!A:L,12,false)=TRUE,TRUE,FALSE)</f>
        <v>1</v>
      </c>
      <c r="I555" s="68">
        <v>150.60488258778258</v>
      </c>
      <c r="J555" s="68">
        <f t="shared" si="1"/>
        <v>150.6048826</v>
      </c>
      <c r="K555" s="68" t="b">
        <v>1</v>
      </c>
    </row>
    <row r="556">
      <c r="A556" s="75">
        <v>550.0</v>
      </c>
      <c r="B556" s="62" t="s">
        <v>356</v>
      </c>
      <c r="C556" s="62" t="s">
        <v>101</v>
      </c>
      <c r="D556" s="62" t="s">
        <v>407</v>
      </c>
      <c r="E556" s="76">
        <v>44035.0</v>
      </c>
      <c r="F556" s="77">
        <v>0.041666666666666664</v>
      </c>
      <c r="G556" s="62" t="b">
        <v>1</v>
      </c>
      <c r="H556" s="78" t="b">
        <f>IF(VLOOKUP(C556,Projetos!A:L,12,false)=TRUE,TRUE,FALSE)</f>
        <v>1</v>
      </c>
      <c r="I556" s="68">
        <v>150.60488258778258</v>
      </c>
      <c r="J556" s="68">
        <f t="shared" si="1"/>
        <v>150.6048826</v>
      </c>
      <c r="K556" s="68" t="b">
        <v>1</v>
      </c>
    </row>
    <row r="557" hidden="1">
      <c r="A557" s="75">
        <v>551.0</v>
      </c>
      <c r="B557" s="62" t="s">
        <v>356</v>
      </c>
      <c r="C557" s="62" t="s">
        <v>102</v>
      </c>
      <c r="D557" s="62" t="s">
        <v>408</v>
      </c>
      <c r="E557" s="76">
        <v>44022.0</v>
      </c>
      <c r="F557" s="77">
        <v>0.041666666666666664</v>
      </c>
      <c r="G557" s="62" t="b">
        <v>0</v>
      </c>
      <c r="H557" s="78" t="b">
        <f>IF(VLOOKUP(C557,Projetos!A:L,12,false)=TRUE,TRUE,FALSE)</f>
        <v>0</v>
      </c>
      <c r="I557" s="68">
        <v>150.60488258778258</v>
      </c>
      <c r="J557" s="68">
        <f t="shared" si="1"/>
        <v>0</v>
      </c>
      <c r="K557" s="68" t="b">
        <v>0</v>
      </c>
    </row>
    <row r="558" hidden="1">
      <c r="A558" s="75">
        <v>552.0</v>
      </c>
      <c r="B558" s="62" t="s">
        <v>356</v>
      </c>
      <c r="C558" s="62" t="s">
        <v>102</v>
      </c>
      <c r="D558" s="62" t="s">
        <v>409</v>
      </c>
      <c r="E558" s="76">
        <v>44030.0</v>
      </c>
      <c r="F558" s="77">
        <v>0.041666666666666664</v>
      </c>
      <c r="G558" s="62" t="b">
        <v>0</v>
      </c>
      <c r="H558" s="78" t="b">
        <f>IF(VLOOKUP(C558,Projetos!A:L,12,false)=TRUE,TRUE,FALSE)</f>
        <v>0</v>
      </c>
      <c r="I558" s="68">
        <v>150.60488258778258</v>
      </c>
      <c r="J558" s="68">
        <f t="shared" si="1"/>
        <v>0</v>
      </c>
      <c r="K558" s="68" t="b">
        <v>0</v>
      </c>
    </row>
    <row r="559" hidden="1">
      <c r="A559" s="75">
        <v>553.0</v>
      </c>
      <c r="B559" s="62" t="s">
        <v>356</v>
      </c>
      <c r="C559" s="62" t="s">
        <v>102</v>
      </c>
      <c r="D559" s="62" t="s">
        <v>410</v>
      </c>
      <c r="E559" s="76">
        <v>44030.0</v>
      </c>
      <c r="F559" s="77">
        <v>0.041666666666666664</v>
      </c>
      <c r="G559" s="62" t="b">
        <v>0</v>
      </c>
      <c r="H559" s="78" t="b">
        <f>IF(VLOOKUP(C559,Projetos!A:L,12,false)=TRUE,TRUE,FALSE)</f>
        <v>0</v>
      </c>
      <c r="I559" s="68">
        <v>150.60488258778258</v>
      </c>
      <c r="J559" s="68">
        <f t="shared" si="1"/>
        <v>0</v>
      </c>
      <c r="K559" s="68" t="b">
        <v>0</v>
      </c>
    </row>
    <row r="560" hidden="1">
      <c r="A560" s="75">
        <v>554.0</v>
      </c>
      <c r="B560" s="62" t="s">
        <v>356</v>
      </c>
      <c r="C560" s="62" t="s">
        <v>102</v>
      </c>
      <c r="D560" s="62" t="s">
        <v>411</v>
      </c>
      <c r="E560" s="76">
        <v>44030.0</v>
      </c>
      <c r="F560" s="77">
        <v>0.041666666666666664</v>
      </c>
      <c r="G560" s="62" t="b">
        <v>0</v>
      </c>
      <c r="H560" s="78" t="b">
        <f>IF(VLOOKUP(C560,Projetos!A:L,12,false)=TRUE,TRUE,FALSE)</f>
        <v>0</v>
      </c>
      <c r="I560" s="68">
        <v>150.60488258778258</v>
      </c>
      <c r="J560" s="68">
        <f t="shared" si="1"/>
        <v>0</v>
      </c>
      <c r="K560" s="68" t="b">
        <v>0</v>
      </c>
    </row>
    <row r="561" hidden="1">
      <c r="A561" s="75">
        <v>555.0</v>
      </c>
      <c r="B561" s="62" t="s">
        <v>356</v>
      </c>
      <c r="C561" s="62" t="s">
        <v>108</v>
      </c>
      <c r="D561" s="62" t="s">
        <v>409</v>
      </c>
      <c r="E561" s="76">
        <v>44029.0</v>
      </c>
      <c r="F561" s="77">
        <v>0.041666666666666664</v>
      </c>
      <c r="G561" s="62" t="b">
        <v>0</v>
      </c>
      <c r="H561" s="78" t="b">
        <f>IF(VLOOKUP(C561,Projetos!A:L,12,false)=TRUE,TRUE,FALSE)</f>
        <v>1</v>
      </c>
      <c r="I561" s="68">
        <v>150.60488258778258</v>
      </c>
      <c r="J561" s="68">
        <f t="shared" si="1"/>
        <v>0</v>
      </c>
      <c r="K561" s="68" t="b">
        <v>1</v>
      </c>
    </row>
    <row r="562" hidden="1">
      <c r="A562" s="75">
        <v>556.0</v>
      </c>
      <c r="B562" s="62" t="s">
        <v>356</v>
      </c>
      <c r="C562" s="62" t="s">
        <v>108</v>
      </c>
      <c r="D562" s="62" t="s">
        <v>412</v>
      </c>
      <c r="E562" s="76">
        <v>44034.0</v>
      </c>
      <c r="F562" s="77">
        <v>0.041666666666666664</v>
      </c>
      <c r="G562" s="62" t="b">
        <v>0</v>
      </c>
      <c r="H562" s="78" t="b">
        <f>IF(VLOOKUP(C562,Projetos!A:L,12,false)=TRUE,TRUE,FALSE)</f>
        <v>1</v>
      </c>
      <c r="I562" s="68">
        <v>150.60488258778258</v>
      </c>
      <c r="J562" s="68">
        <f t="shared" si="1"/>
        <v>0</v>
      </c>
      <c r="K562" s="68" t="b">
        <v>1</v>
      </c>
    </row>
    <row r="563" hidden="1">
      <c r="A563" s="75">
        <v>557.0</v>
      </c>
      <c r="B563" s="62" t="s">
        <v>356</v>
      </c>
      <c r="C563" s="62" t="s">
        <v>109</v>
      </c>
      <c r="D563" s="62" t="s">
        <v>413</v>
      </c>
      <c r="E563" s="76">
        <v>44029.0</v>
      </c>
      <c r="F563" s="77">
        <v>0.041666666666666664</v>
      </c>
      <c r="G563" s="62" t="b">
        <v>0</v>
      </c>
      <c r="H563" s="78" t="b">
        <f>IF(VLOOKUP(C563,Projetos!A:L,12,false)=TRUE,TRUE,FALSE)</f>
        <v>0</v>
      </c>
      <c r="I563" s="68">
        <v>150.60488258778258</v>
      </c>
      <c r="J563" s="68">
        <f t="shared" si="1"/>
        <v>0</v>
      </c>
      <c r="K563" s="68" t="b">
        <v>0</v>
      </c>
    </row>
    <row r="564" hidden="1">
      <c r="A564" s="75">
        <v>558.0</v>
      </c>
      <c r="B564" s="62" t="s">
        <v>356</v>
      </c>
      <c r="C564" s="62" t="s">
        <v>109</v>
      </c>
      <c r="D564" s="62" t="s">
        <v>413</v>
      </c>
      <c r="E564" s="76">
        <v>44036.0</v>
      </c>
      <c r="F564" s="77">
        <v>0.041666666666666664</v>
      </c>
      <c r="G564" s="62" t="b">
        <v>0</v>
      </c>
      <c r="H564" s="78" t="b">
        <f>IF(VLOOKUP(C564,Projetos!A:L,12,false)=TRUE,TRUE,FALSE)</f>
        <v>0</v>
      </c>
      <c r="I564" s="68">
        <v>150.60488258778258</v>
      </c>
      <c r="J564" s="68">
        <f t="shared" si="1"/>
        <v>0</v>
      </c>
      <c r="K564" s="68" t="b">
        <v>0</v>
      </c>
    </row>
    <row r="565" hidden="1">
      <c r="A565" s="75">
        <v>559.0</v>
      </c>
      <c r="B565" s="62" t="s">
        <v>356</v>
      </c>
      <c r="C565" s="62" t="s">
        <v>109</v>
      </c>
      <c r="D565" s="62" t="s">
        <v>414</v>
      </c>
      <c r="E565" s="76">
        <v>44038.0</v>
      </c>
      <c r="F565" s="77">
        <v>0.08333333333333333</v>
      </c>
      <c r="G565" s="62" t="b">
        <v>0</v>
      </c>
      <c r="H565" s="78" t="b">
        <f>IF(VLOOKUP(C565,Projetos!A:L,12,false)=TRUE,TRUE,FALSE)</f>
        <v>0</v>
      </c>
      <c r="I565" s="68">
        <v>150.60488258778258</v>
      </c>
      <c r="J565" s="68">
        <f t="shared" si="1"/>
        <v>0</v>
      </c>
      <c r="K565" s="68" t="b">
        <v>0</v>
      </c>
    </row>
    <row r="566">
      <c r="A566" s="75">
        <v>560.0</v>
      </c>
      <c r="B566" s="62" t="s">
        <v>356</v>
      </c>
      <c r="C566" s="62" t="s">
        <v>110</v>
      </c>
      <c r="D566" s="62" t="s">
        <v>403</v>
      </c>
      <c r="E566" s="76">
        <v>44042.0</v>
      </c>
      <c r="F566" s="77">
        <v>0.08333333333333333</v>
      </c>
      <c r="G566" s="62" t="b">
        <v>1</v>
      </c>
      <c r="H566" s="78" t="b">
        <f>IF(VLOOKUP(C566,Projetos!A:L,12,false)=TRUE,TRUE,FALSE)</f>
        <v>1</v>
      </c>
      <c r="I566" s="68">
        <v>150.60488258778258</v>
      </c>
      <c r="J566" s="68">
        <f t="shared" si="1"/>
        <v>301.2097652</v>
      </c>
      <c r="K566" s="68" t="b">
        <v>1</v>
      </c>
    </row>
    <row r="567" hidden="1">
      <c r="A567" s="75">
        <v>561.0</v>
      </c>
      <c r="B567" s="62" t="s">
        <v>356</v>
      </c>
      <c r="C567" s="62" t="s">
        <v>115</v>
      </c>
      <c r="D567" s="62" t="s">
        <v>405</v>
      </c>
      <c r="E567" s="76">
        <v>44028.0</v>
      </c>
      <c r="F567" s="77">
        <v>0.041666666666666664</v>
      </c>
      <c r="G567" s="62" t="b">
        <v>0</v>
      </c>
      <c r="H567" s="78" t="b">
        <f>IF(VLOOKUP(C567,Projetos!A:L,12,false)=TRUE,TRUE,FALSE)</f>
        <v>1</v>
      </c>
      <c r="I567" s="68">
        <v>150.60488258778258</v>
      </c>
      <c r="J567" s="68">
        <f t="shared" si="1"/>
        <v>0</v>
      </c>
      <c r="K567" s="68" t="b">
        <v>1</v>
      </c>
    </row>
    <row r="568" hidden="1">
      <c r="A568" s="75">
        <v>562.0</v>
      </c>
      <c r="B568" s="62" t="s">
        <v>356</v>
      </c>
      <c r="C568" s="62" t="s">
        <v>83</v>
      </c>
      <c r="D568" s="62" t="s">
        <v>415</v>
      </c>
      <c r="E568" s="76">
        <v>44015.0</v>
      </c>
      <c r="F568" s="77">
        <v>0.08333333333333333</v>
      </c>
      <c r="G568" s="62" t="b">
        <v>0</v>
      </c>
      <c r="H568" s="78" t="b">
        <f>IF(VLOOKUP(C568,Projetos!A:L,12,false)=TRUE,TRUE,FALSE)</f>
        <v>0</v>
      </c>
      <c r="I568" s="68">
        <v>150.60488258778258</v>
      </c>
      <c r="J568" s="68">
        <f t="shared" si="1"/>
        <v>0</v>
      </c>
      <c r="K568" s="68" t="b">
        <v>0</v>
      </c>
    </row>
    <row r="569" hidden="1">
      <c r="A569" s="75">
        <v>563.0</v>
      </c>
      <c r="B569" s="62" t="s">
        <v>356</v>
      </c>
      <c r="C569" s="62" t="s">
        <v>83</v>
      </c>
      <c r="D569" s="62" t="s">
        <v>415</v>
      </c>
      <c r="E569" s="76">
        <v>44036.0</v>
      </c>
      <c r="F569" s="77">
        <v>0.08333333333333333</v>
      </c>
      <c r="G569" s="62" t="b">
        <v>0</v>
      </c>
      <c r="H569" s="78" t="b">
        <f>IF(VLOOKUP(C569,Projetos!A:L,12,false)=TRUE,TRUE,FALSE)</f>
        <v>0</v>
      </c>
      <c r="I569" s="68">
        <v>150.60488258778258</v>
      </c>
      <c r="J569" s="68">
        <f t="shared" si="1"/>
        <v>0</v>
      </c>
      <c r="K569" s="68" t="b">
        <v>0</v>
      </c>
    </row>
    <row r="570" hidden="1">
      <c r="A570" s="75">
        <v>564.0</v>
      </c>
      <c r="B570" s="62" t="s">
        <v>356</v>
      </c>
      <c r="C570" s="62" t="s">
        <v>83</v>
      </c>
      <c r="D570" s="62" t="s">
        <v>416</v>
      </c>
      <c r="E570" s="76">
        <v>44041.0</v>
      </c>
      <c r="F570" s="77">
        <v>0.020833333333333332</v>
      </c>
      <c r="G570" s="62" t="b">
        <v>0</v>
      </c>
      <c r="H570" s="78" t="b">
        <f>IF(VLOOKUP(C570,Projetos!A:L,12,false)=TRUE,TRUE,FALSE)</f>
        <v>0</v>
      </c>
      <c r="I570" s="68">
        <v>150.60488258778258</v>
      </c>
      <c r="J570" s="68">
        <f t="shared" si="1"/>
        <v>0</v>
      </c>
      <c r="K570" s="68" t="b">
        <v>0</v>
      </c>
    </row>
    <row r="571" hidden="1">
      <c r="A571" s="75">
        <v>565.0</v>
      </c>
      <c r="B571" s="62" t="s">
        <v>356</v>
      </c>
      <c r="C571" s="62" t="s">
        <v>83</v>
      </c>
      <c r="D571" s="62" t="s">
        <v>415</v>
      </c>
      <c r="E571" s="76">
        <v>44043.0</v>
      </c>
      <c r="F571" s="77">
        <v>0.08333333333333333</v>
      </c>
      <c r="G571" s="62" t="b">
        <v>0</v>
      </c>
      <c r="H571" s="78" t="b">
        <f>IF(VLOOKUP(C571,Projetos!A:L,12,false)=TRUE,TRUE,FALSE)</f>
        <v>0</v>
      </c>
      <c r="I571" s="68">
        <v>150.60488258778258</v>
      </c>
      <c r="J571" s="68">
        <f t="shared" si="1"/>
        <v>0</v>
      </c>
      <c r="K571" s="68" t="b">
        <v>0</v>
      </c>
    </row>
    <row r="572">
      <c r="A572" s="75">
        <v>566.0</v>
      </c>
      <c r="B572" s="62" t="s">
        <v>356</v>
      </c>
      <c r="C572" s="62" t="s">
        <v>90</v>
      </c>
      <c r="D572" s="62" t="s">
        <v>417</v>
      </c>
      <c r="E572" s="76">
        <v>44013.0</v>
      </c>
      <c r="F572" s="77">
        <v>0.041666666666666664</v>
      </c>
      <c r="G572" s="62" t="b">
        <v>1</v>
      </c>
      <c r="H572" s="78" t="b">
        <f>IF(VLOOKUP(C572,Projetos!A:L,12,false)=TRUE,TRUE,FALSE)</f>
        <v>1</v>
      </c>
      <c r="I572" s="68">
        <v>150.60488258778258</v>
      </c>
      <c r="J572" s="68">
        <f t="shared" si="1"/>
        <v>150.6048826</v>
      </c>
      <c r="K572" s="68" t="b">
        <v>1</v>
      </c>
    </row>
    <row r="573">
      <c r="A573" s="75">
        <v>567.0</v>
      </c>
      <c r="B573" s="62" t="s">
        <v>356</v>
      </c>
      <c r="C573" s="62" t="s">
        <v>90</v>
      </c>
      <c r="D573" s="62" t="s">
        <v>418</v>
      </c>
      <c r="E573" s="76">
        <v>44014.0</v>
      </c>
      <c r="F573" s="77">
        <v>0.0625</v>
      </c>
      <c r="G573" s="62" t="b">
        <v>1</v>
      </c>
      <c r="H573" s="78" t="b">
        <f>IF(VLOOKUP(C573,Projetos!A:L,12,false)=TRUE,TRUE,FALSE)</f>
        <v>1</v>
      </c>
      <c r="I573" s="68">
        <v>150.60488258778258</v>
      </c>
      <c r="J573" s="68">
        <f t="shared" si="1"/>
        <v>225.9073239</v>
      </c>
      <c r="K573" s="68" t="b">
        <v>1</v>
      </c>
    </row>
    <row r="574">
      <c r="A574" s="75">
        <v>568.0</v>
      </c>
      <c r="B574" s="62" t="s">
        <v>356</v>
      </c>
      <c r="C574" s="62" t="s">
        <v>90</v>
      </c>
      <c r="D574" s="62" t="s">
        <v>419</v>
      </c>
      <c r="E574" s="76">
        <v>44015.0</v>
      </c>
      <c r="F574" s="77">
        <v>0.0625</v>
      </c>
      <c r="G574" s="62" t="b">
        <v>1</v>
      </c>
      <c r="H574" s="78" t="b">
        <f>IF(VLOOKUP(C574,Projetos!A:L,12,false)=TRUE,TRUE,FALSE)</f>
        <v>1</v>
      </c>
      <c r="I574" s="68">
        <v>150.60488258778258</v>
      </c>
      <c r="J574" s="68">
        <f t="shared" si="1"/>
        <v>225.9073239</v>
      </c>
      <c r="K574" s="68" t="b">
        <v>1</v>
      </c>
    </row>
    <row r="575">
      <c r="A575" s="75">
        <v>569.0</v>
      </c>
      <c r="B575" s="62" t="s">
        <v>356</v>
      </c>
      <c r="C575" s="62" t="s">
        <v>90</v>
      </c>
      <c r="D575" s="62" t="s">
        <v>420</v>
      </c>
      <c r="E575" s="76">
        <v>44033.0</v>
      </c>
      <c r="F575" s="77">
        <v>0.041666666666666664</v>
      </c>
      <c r="G575" s="62" t="b">
        <v>1</v>
      </c>
      <c r="H575" s="78" t="b">
        <f>IF(VLOOKUP(C575,Projetos!A:L,12,false)=TRUE,TRUE,FALSE)</f>
        <v>1</v>
      </c>
      <c r="I575" s="68">
        <v>150.60488258778258</v>
      </c>
      <c r="J575" s="68">
        <f t="shared" si="1"/>
        <v>150.6048826</v>
      </c>
      <c r="K575" s="68" t="b">
        <v>1</v>
      </c>
    </row>
    <row r="576">
      <c r="A576" s="75">
        <v>570.0</v>
      </c>
      <c r="B576" s="62" t="s">
        <v>356</v>
      </c>
      <c r="C576" s="62" t="s">
        <v>90</v>
      </c>
      <c r="D576" s="62" t="s">
        <v>421</v>
      </c>
      <c r="E576" s="76">
        <v>44036.0</v>
      </c>
      <c r="F576" s="77">
        <v>0.041666666666666664</v>
      </c>
      <c r="G576" s="62" t="b">
        <v>1</v>
      </c>
      <c r="H576" s="78" t="b">
        <f>IF(VLOOKUP(C576,Projetos!A:L,12,false)=TRUE,TRUE,FALSE)</f>
        <v>1</v>
      </c>
      <c r="I576" s="68">
        <v>150.60488258778258</v>
      </c>
      <c r="J576" s="68">
        <f t="shared" si="1"/>
        <v>150.6048826</v>
      </c>
      <c r="K576" s="68" t="b">
        <v>1</v>
      </c>
    </row>
    <row r="577">
      <c r="A577" s="75">
        <v>571.0</v>
      </c>
      <c r="B577" s="62" t="s">
        <v>356</v>
      </c>
      <c r="C577" s="62" t="s">
        <v>90</v>
      </c>
      <c r="D577" s="62" t="s">
        <v>422</v>
      </c>
      <c r="E577" s="76">
        <v>44042.0</v>
      </c>
      <c r="F577" s="77">
        <v>0.041666666666666664</v>
      </c>
      <c r="G577" s="62" t="b">
        <v>1</v>
      </c>
      <c r="H577" s="78" t="b">
        <f>IF(VLOOKUP(C577,Projetos!A:L,12,false)=TRUE,TRUE,FALSE)</f>
        <v>1</v>
      </c>
      <c r="I577" s="68">
        <v>150.60488258778258</v>
      </c>
      <c r="J577" s="68">
        <f t="shared" si="1"/>
        <v>150.6048826</v>
      </c>
      <c r="K577" s="68" t="b">
        <v>1</v>
      </c>
    </row>
    <row r="578" hidden="1">
      <c r="A578" s="75">
        <v>572.0</v>
      </c>
      <c r="B578" s="62" t="s">
        <v>356</v>
      </c>
      <c r="C578" s="62" t="s">
        <v>90</v>
      </c>
      <c r="D578" s="62" t="s">
        <v>423</v>
      </c>
      <c r="E578" s="76">
        <v>44042.0</v>
      </c>
      <c r="F578" s="77">
        <v>0.041666666666666664</v>
      </c>
      <c r="G578" s="62" t="b">
        <v>0</v>
      </c>
      <c r="H578" s="78" t="b">
        <f>IF(VLOOKUP(C578,Projetos!A:L,12,false)=TRUE,TRUE,FALSE)</f>
        <v>1</v>
      </c>
      <c r="I578" s="68">
        <v>150.60488258778258</v>
      </c>
      <c r="J578" s="68">
        <f t="shared" si="1"/>
        <v>0</v>
      </c>
      <c r="K578" s="68" t="b">
        <v>1</v>
      </c>
    </row>
    <row r="579" hidden="1">
      <c r="A579" s="75">
        <v>573.0</v>
      </c>
      <c r="B579" s="62" t="s">
        <v>356</v>
      </c>
      <c r="C579" s="62" t="s">
        <v>102</v>
      </c>
      <c r="D579" s="62" t="s">
        <v>424</v>
      </c>
      <c r="E579" s="76">
        <v>44015.0</v>
      </c>
      <c r="F579" s="77">
        <v>0.08333333333333333</v>
      </c>
      <c r="G579" s="62" t="b">
        <v>0</v>
      </c>
      <c r="H579" s="78" t="b">
        <f>IF(VLOOKUP(C579,Projetos!A:L,12,false)=TRUE,TRUE,FALSE)</f>
        <v>0</v>
      </c>
      <c r="I579" s="68">
        <v>150.60488258778258</v>
      </c>
      <c r="J579" s="68">
        <f t="shared" si="1"/>
        <v>0</v>
      </c>
      <c r="K579" s="68" t="b">
        <v>0</v>
      </c>
    </row>
    <row r="580" hidden="1">
      <c r="A580" s="75">
        <v>574.0</v>
      </c>
      <c r="B580" s="62" t="s">
        <v>356</v>
      </c>
      <c r="C580" s="62" t="s">
        <v>102</v>
      </c>
      <c r="D580" s="62" t="s">
        <v>425</v>
      </c>
      <c r="E580" s="76">
        <v>44040.0</v>
      </c>
      <c r="F580" s="77">
        <v>0.25</v>
      </c>
      <c r="G580" s="62" t="b">
        <v>0</v>
      </c>
      <c r="H580" s="78" t="b">
        <f>IF(VLOOKUP(C580,Projetos!A:L,12,false)=TRUE,TRUE,FALSE)</f>
        <v>0</v>
      </c>
      <c r="I580" s="68">
        <v>150.60488258778258</v>
      </c>
      <c r="J580" s="68">
        <f t="shared" si="1"/>
        <v>0</v>
      </c>
      <c r="K580" s="68" t="b">
        <v>0</v>
      </c>
    </row>
    <row r="581" hidden="1">
      <c r="A581" s="75">
        <v>575.0</v>
      </c>
      <c r="B581" s="62" t="s">
        <v>356</v>
      </c>
      <c r="C581" s="62" t="s">
        <v>102</v>
      </c>
      <c r="D581" s="62" t="s">
        <v>426</v>
      </c>
      <c r="E581" s="76">
        <v>44041.0</v>
      </c>
      <c r="F581" s="77">
        <v>0.041666666666666664</v>
      </c>
      <c r="G581" s="62" t="b">
        <v>0</v>
      </c>
      <c r="H581" s="78" t="b">
        <f>IF(VLOOKUP(C581,Projetos!A:L,12,false)=TRUE,TRUE,FALSE)</f>
        <v>0</v>
      </c>
      <c r="I581" s="68">
        <v>150.60488258778258</v>
      </c>
      <c r="J581" s="68">
        <f t="shared" si="1"/>
        <v>0</v>
      </c>
      <c r="K581" s="68" t="b">
        <v>0</v>
      </c>
    </row>
    <row r="582" hidden="1">
      <c r="A582" s="75">
        <v>576.0</v>
      </c>
      <c r="B582" s="62" t="s">
        <v>356</v>
      </c>
      <c r="C582" s="62" t="s">
        <v>108</v>
      </c>
      <c r="D582" s="62" t="s">
        <v>419</v>
      </c>
      <c r="E582" s="76">
        <v>44014.0</v>
      </c>
      <c r="F582" s="77">
        <v>0.041666666666666664</v>
      </c>
      <c r="G582" s="62" t="b">
        <v>0</v>
      </c>
      <c r="H582" s="78" t="b">
        <f>IF(VLOOKUP(C582,Projetos!A:L,12,false)=TRUE,TRUE,FALSE)</f>
        <v>1</v>
      </c>
      <c r="I582" s="68">
        <v>150.60488258778258</v>
      </c>
      <c r="J582" s="68">
        <f t="shared" si="1"/>
        <v>0</v>
      </c>
      <c r="K582" s="68" t="b">
        <v>1</v>
      </c>
    </row>
    <row r="583" hidden="1">
      <c r="A583" s="75">
        <v>577.0</v>
      </c>
      <c r="B583" s="62" t="s">
        <v>356</v>
      </c>
      <c r="C583" s="62" t="s">
        <v>109</v>
      </c>
      <c r="D583" s="62" t="s">
        <v>427</v>
      </c>
      <c r="E583" s="76">
        <v>44039.0</v>
      </c>
      <c r="F583" s="77">
        <v>0.041666666666666664</v>
      </c>
      <c r="G583" s="62" t="b">
        <v>0</v>
      </c>
      <c r="H583" s="78" t="b">
        <f>IF(VLOOKUP(C583,Projetos!A:L,12,false)=TRUE,TRUE,FALSE)</f>
        <v>0</v>
      </c>
      <c r="I583" s="68">
        <v>150.60488258778258</v>
      </c>
      <c r="J583" s="68">
        <f t="shared" si="1"/>
        <v>0</v>
      </c>
      <c r="K583" s="68" t="b">
        <v>0</v>
      </c>
    </row>
    <row r="584" hidden="1">
      <c r="A584" s="75">
        <v>578.0</v>
      </c>
      <c r="B584" s="62" t="s">
        <v>356</v>
      </c>
      <c r="C584" s="62" t="s">
        <v>115</v>
      </c>
      <c r="D584" s="62" t="s">
        <v>428</v>
      </c>
      <c r="E584" s="76">
        <v>44032.0</v>
      </c>
      <c r="F584" s="77">
        <v>0.08333333333333333</v>
      </c>
      <c r="G584" s="62" t="b">
        <v>0</v>
      </c>
      <c r="H584" s="78" t="b">
        <f>IF(VLOOKUP(C584,Projetos!A:L,12,false)=TRUE,TRUE,FALSE)</f>
        <v>1</v>
      </c>
      <c r="I584" s="68">
        <v>150.60488258778258</v>
      </c>
      <c r="J584" s="68">
        <f t="shared" si="1"/>
        <v>0</v>
      </c>
      <c r="K584" s="68" t="b">
        <v>1</v>
      </c>
    </row>
    <row r="585">
      <c r="A585" s="75">
        <v>579.0</v>
      </c>
      <c r="B585" s="62" t="s">
        <v>356</v>
      </c>
      <c r="C585" s="62" t="s">
        <v>115</v>
      </c>
      <c r="D585" s="62" t="s">
        <v>429</v>
      </c>
      <c r="E585" s="76">
        <v>44034.0</v>
      </c>
      <c r="F585" s="77">
        <v>0.041666666666666664</v>
      </c>
      <c r="G585" s="62" t="b">
        <v>1</v>
      </c>
      <c r="H585" s="78" t="b">
        <f>IF(VLOOKUP(C585,Projetos!A:L,12,false)=TRUE,TRUE,FALSE)</f>
        <v>1</v>
      </c>
      <c r="I585" s="68">
        <v>150.60488258778258</v>
      </c>
      <c r="J585" s="68">
        <f t="shared" si="1"/>
        <v>150.6048826</v>
      </c>
      <c r="K585" s="68" t="b">
        <v>1</v>
      </c>
    </row>
    <row r="586">
      <c r="A586" s="75">
        <v>580.0</v>
      </c>
      <c r="B586" s="62" t="s">
        <v>356</v>
      </c>
      <c r="C586" s="62" t="s">
        <v>115</v>
      </c>
      <c r="D586" s="62" t="s">
        <v>429</v>
      </c>
      <c r="E586" s="76">
        <v>44039.0</v>
      </c>
      <c r="F586" s="77">
        <v>0.041666666666666664</v>
      </c>
      <c r="G586" s="62" t="b">
        <v>1</v>
      </c>
      <c r="H586" s="78" t="b">
        <f>IF(VLOOKUP(C586,Projetos!A:L,12,false)=TRUE,TRUE,FALSE)</f>
        <v>1</v>
      </c>
      <c r="I586" s="68">
        <v>150.60488258778258</v>
      </c>
      <c r="J586" s="68">
        <f t="shared" si="1"/>
        <v>150.6048826</v>
      </c>
      <c r="K586" s="68" t="b">
        <v>1</v>
      </c>
    </row>
    <row r="587" hidden="1">
      <c r="A587" s="75">
        <v>581.0</v>
      </c>
      <c r="B587" s="62" t="s">
        <v>356</v>
      </c>
      <c r="C587" s="62" t="s">
        <v>83</v>
      </c>
      <c r="D587" s="62" t="s">
        <v>430</v>
      </c>
      <c r="E587" s="76">
        <v>44047.0</v>
      </c>
      <c r="F587" s="77">
        <v>0.041666666666666664</v>
      </c>
      <c r="G587" s="62" t="b">
        <v>0</v>
      </c>
      <c r="H587" s="78" t="b">
        <f>IF(VLOOKUP(C587,Projetos!A:L,12,false)=TRUE,TRUE,FALSE)</f>
        <v>0</v>
      </c>
      <c r="I587" s="68">
        <v>150.60488258778258</v>
      </c>
      <c r="J587" s="68">
        <f t="shared" si="1"/>
        <v>0</v>
      </c>
      <c r="K587" s="68" t="b">
        <v>0</v>
      </c>
    </row>
    <row r="588" hidden="1">
      <c r="A588" s="75">
        <v>582.0</v>
      </c>
      <c r="B588" s="62" t="s">
        <v>356</v>
      </c>
      <c r="C588" s="62" t="s">
        <v>83</v>
      </c>
      <c r="D588" s="62" t="s">
        <v>415</v>
      </c>
      <c r="E588" s="76">
        <v>44053.0</v>
      </c>
      <c r="F588" s="77">
        <v>0.0625</v>
      </c>
      <c r="G588" s="62" t="b">
        <v>0</v>
      </c>
      <c r="H588" s="78" t="b">
        <f>IF(VLOOKUP(C588,Projetos!A:L,12,false)=TRUE,TRUE,FALSE)</f>
        <v>0</v>
      </c>
      <c r="I588" s="68">
        <v>150.60488258778258</v>
      </c>
      <c r="J588" s="68">
        <f t="shared" si="1"/>
        <v>0</v>
      </c>
      <c r="K588" s="68" t="b">
        <v>0</v>
      </c>
    </row>
    <row r="589" hidden="1">
      <c r="A589" s="75">
        <v>583.0</v>
      </c>
      <c r="B589" s="62" t="s">
        <v>356</v>
      </c>
      <c r="C589" s="62" t="s">
        <v>83</v>
      </c>
      <c r="D589" s="62" t="s">
        <v>431</v>
      </c>
      <c r="E589" s="76">
        <v>44068.0</v>
      </c>
      <c r="F589" s="77">
        <v>0.041666666666666664</v>
      </c>
      <c r="G589" s="62" t="b">
        <v>0</v>
      </c>
      <c r="H589" s="78" t="b">
        <f>IF(VLOOKUP(C589,Projetos!A:L,12,false)=TRUE,TRUE,FALSE)</f>
        <v>0</v>
      </c>
      <c r="I589" s="68">
        <v>150.60488258778258</v>
      </c>
      <c r="J589" s="68">
        <f t="shared" si="1"/>
        <v>0</v>
      </c>
      <c r="K589" s="68" t="b">
        <v>0</v>
      </c>
    </row>
    <row r="590" hidden="1">
      <c r="A590" s="75">
        <v>584.0</v>
      </c>
      <c r="B590" s="62" t="s">
        <v>356</v>
      </c>
      <c r="C590" s="62" t="s">
        <v>83</v>
      </c>
      <c r="D590" s="62" t="s">
        <v>415</v>
      </c>
      <c r="E590" s="76">
        <v>44071.0</v>
      </c>
      <c r="F590" s="77">
        <v>0.08333333333333333</v>
      </c>
      <c r="G590" s="62" t="b">
        <v>0</v>
      </c>
      <c r="H590" s="78" t="b">
        <f>IF(VLOOKUP(C590,Projetos!A:L,12,false)=TRUE,TRUE,FALSE)</f>
        <v>0</v>
      </c>
      <c r="I590" s="68">
        <v>150.60488258778258</v>
      </c>
      <c r="J590" s="68">
        <f t="shared" si="1"/>
        <v>0</v>
      </c>
      <c r="K590" s="68" t="b">
        <v>0</v>
      </c>
    </row>
    <row r="591" hidden="1">
      <c r="A591" s="75">
        <v>585.0</v>
      </c>
      <c r="B591" s="62" t="s">
        <v>356</v>
      </c>
      <c r="C591" s="62" t="s">
        <v>83</v>
      </c>
      <c r="D591" s="62" t="s">
        <v>430</v>
      </c>
      <c r="E591" s="76">
        <v>44074.0</v>
      </c>
      <c r="F591" s="77">
        <v>0.041666666666666664</v>
      </c>
      <c r="G591" s="62" t="b">
        <v>0</v>
      </c>
      <c r="H591" s="78" t="b">
        <f>IF(VLOOKUP(C591,Projetos!A:L,12,false)=TRUE,TRUE,FALSE)</f>
        <v>0</v>
      </c>
      <c r="I591" s="68">
        <v>150.60488258778258</v>
      </c>
      <c r="J591" s="68">
        <f t="shared" si="1"/>
        <v>0</v>
      </c>
      <c r="K591" s="68" t="b">
        <v>0</v>
      </c>
    </row>
    <row r="592">
      <c r="A592" s="75">
        <v>586.0</v>
      </c>
      <c r="B592" s="62" t="s">
        <v>356</v>
      </c>
      <c r="C592" s="62" t="s">
        <v>90</v>
      </c>
      <c r="D592" s="62" t="s">
        <v>432</v>
      </c>
      <c r="E592" s="76">
        <v>44046.0</v>
      </c>
      <c r="F592" s="77">
        <v>0.15625</v>
      </c>
      <c r="G592" s="62" t="b">
        <v>1</v>
      </c>
      <c r="H592" s="78" t="b">
        <f>IF(VLOOKUP(C592,Projetos!A:L,12,false)=TRUE,TRUE,FALSE)</f>
        <v>1</v>
      </c>
      <c r="I592" s="68">
        <v>150.60488258778258</v>
      </c>
      <c r="J592" s="68">
        <f t="shared" si="1"/>
        <v>564.7683097</v>
      </c>
      <c r="K592" s="68" t="b">
        <v>1</v>
      </c>
    </row>
    <row r="593">
      <c r="A593" s="75">
        <v>587.0</v>
      </c>
      <c r="B593" s="62" t="s">
        <v>356</v>
      </c>
      <c r="C593" s="62" t="s">
        <v>90</v>
      </c>
      <c r="D593" s="62" t="s">
        <v>433</v>
      </c>
      <c r="E593" s="76">
        <v>44050.0</v>
      </c>
      <c r="F593" s="77">
        <v>0.041666666666666664</v>
      </c>
      <c r="G593" s="62" t="b">
        <v>1</v>
      </c>
      <c r="H593" s="78" t="b">
        <f>IF(VLOOKUP(C593,Projetos!A:L,12,false)=TRUE,TRUE,FALSE)</f>
        <v>1</v>
      </c>
      <c r="I593" s="68">
        <v>150.60488258778258</v>
      </c>
      <c r="J593" s="68">
        <f t="shared" si="1"/>
        <v>150.6048826</v>
      </c>
      <c r="K593" s="68" t="b">
        <v>1</v>
      </c>
    </row>
    <row r="594">
      <c r="A594" s="75">
        <v>588.0</v>
      </c>
      <c r="B594" s="62" t="s">
        <v>356</v>
      </c>
      <c r="C594" s="62" t="s">
        <v>90</v>
      </c>
      <c r="D594" s="62" t="s">
        <v>434</v>
      </c>
      <c r="E594" s="76">
        <v>44054.0</v>
      </c>
      <c r="F594" s="77">
        <v>0.0625</v>
      </c>
      <c r="G594" s="62" t="b">
        <v>1</v>
      </c>
      <c r="H594" s="78" t="b">
        <f>IF(VLOOKUP(C594,Projetos!A:L,12,false)=TRUE,TRUE,FALSE)</f>
        <v>1</v>
      </c>
      <c r="I594" s="68">
        <v>150.60488258778258</v>
      </c>
      <c r="J594" s="68">
        <f t="shared" si="1"/>
        <v>225.9073239</v>
      </c>
      <c r="K594" s="68" t="b">
        <v>1</v>
      </c>
    </row>
    <row r="595">
      <c r="A595" s="75">
        <v>589.0</v>
      </c>
      <c r="B595" s="62" t="s">
        <v>356</v>
      </c>
      <c r="C595" s="62" t="s">
        <v>90</v>
      </c>
      <c r="D595" s="62" t="s">
        <v>435</v>
      </c>
      <c r="E595" s="76">
        <v>44054.0</v>
      </c>
      <c r="F595" s="77">
        <v>0.0625</v>
      </c>
      <c r="G595" s="62" t="b">
        <v>1</v>
      </c>
      <c r="H595" s="78" t="b">
        <f>IF(VLOOKUP(C595,Projetos!A:L,12,false)=TRUE,TRUE,FALSE)</f>
        <v>1</v>
      </c>
      <c r="I595" s="68">
        <v>150.60488258778258</v>
      </c>
      <c r="J595" s="68">
        <f t="shared" si="1"/>
        <v>225.9073239</v>
      </c>
      <c r="K595" s="68" t="b">
        <v>1</v>
      </c>
    </row>
    <row r="596">
      <c r="A596" s="75">
        <v>590.0</v>
      </c>
      <c r="B596" s="62" t="s">
        <v>356</v>
      </c>
      <c r="C596" s="62" t="s">
        <v>90</v>
      </c>
      <c r="D596" s="62" t="s">
        <v>434</v>
      </c>
      <c r="E596" s="76">
        <v>44056.0</v>
      </c>
      <c r="F596" s="77">
        <v>0.0625</v>
      </c>
      <c r="G596" s="62" t="b">
        <v>1</v>
      </c>
      <c r="H596" s="78" t="b">
        <f>IF(VLOOKUP(C596,Projetos!A:L,12,false)=TRUE,TRUE,FALSE)</f>
        <v>1</v>
      </c>
      <c r="I596" s="68">
        <v>150.60488258778258</v>
      </c>
      <c r="J596" s="68">
        <f t="shared" si="1"/>
        <v>225.9073239</v>
      </c>
      <c r="K596" s="68" t="b">
        <v>1</v>
      </c>
    </row>
    <row r="597">
      <c r="A597" s="75">
        <v>591.0</v>
      </c>
      <c r="B597" s="62" t="s">
        <v>356</v>
      </c>
      <c r="C597" s="62" t="s">
        <v>90</v>
      </c>
      <c r="D597" s="62" t="s">
        <v>436</v>
      </c>
      <c r="E597" s="76">
        <v>44056.0</v>
      </c>
      <c r="F597" s="77">
        <v>0.041666666666666664</v>
      </c>
      <c r="G597" s="62" t="b">
        <v>1</v>
      </c>
      <c r="H597" s="78" t="b">
        <f>IF(VLOOKUP(C597,Projetos!A:L,12,false)=TRUE,TRUE,FALSE)</f>
        <v>1</v>
      </c>
      <c r="I597" s="68">
        <v>150.60488258778258</v>
      </c>
      <c r="J597" s="68">
        <f t="shared" si="1"/>
        <v>150.6048826</v>
      </c>
      <c r="K597" s="68" t="b">
        <v>1</v>
      </c>
    </row>
    <row r="598">
      <c r="A598" s="75">
        <v>592.0</v>
      </c>
      <c r="B598" s="62" t="s">
        <v>356</v>
      </c>
      <c r="C598" s="62" t="s">
        <v>90</v>
      </c>
      <c r="D598" s="62" t="s">
        <v>434</v>
      </c>
      <c r="E598" s="76">
        <v>44057.0</v>
      </c>
      <c r="F598" s="77">
        <v>0.041666666666666664</v>
      </c>
      <c r="G598" s="62" t="b">
        <v>1</v>
      </c>
      <c r="H598" s="78" t="b">
        <f>IF(VLOOKUP(C598,Projetos!A:L,12,false)=TRUE,TRUE,FALSE)</f>
        <v>1</v>
      </c>
      <c r="I598" s="68">
        <v>150.60488258778258</v>
      </c>
      <c r="J598" s="68">
        <f t="shared" si="1"/>
        <v>150.6048826</v>
      </c>
      <c r="K598" s="68" t="b">
        <v>1</v>
      </c>
    </row>
    <row r="599">
      <c r="A599" s="75">
        <v>593.0</v>
      </c>
      <c r="B599" s="62" t="s">
        <v>356</v>
      </c>
      <c r="C599" s="62" t="s">
        <v>90</v>
      </c>
      <c r="D599" s="62" t="s">
        <v>415</v>
      </c>
      <c r="E599" s="76">
        <v>44060.0</v>
      </c>
      <c r="F599" s="77">
        <v>0.10416666666666667</v>
      </c>
      <c r="G599" s="62" t="b">
        <v>1</v>
      </c>
      <c r="H599" s="78" t="b">
        <f>IF(VLOOKUP(C599,Projetos!A:L,12,false)=TRUE,TRUE,FALSE)</f>
        <v>1</v>
      </c>
      <c r="I599" s="68">
        <v>150.60488258778258</v>
      </c>
      <c r="J599" s="68">
        <f t="shared" si="1"/>
        <v>376.5122065</v>
      </c>
      <c r="K599" s="68" t="b">
        <v>1</v>
      </c>
    </row>
    <row r="600">
      <c r="A600" s="75">
        <v>594.0</v>
      </c>
      <c r="B600" s="62" t="s">
        <v>356</v>
      </c>
      <c r="C600" s="62" t="s">
        <v>90</v>
      </c>
      <c r="D600" s="62" t="s">
        <v>437</v>
      </c>
      <c r="E600" s="76">
        <v>44061.0</v>
      </c>
      <c r="F600" s="77">
        <v>0.08333333333333333</v>
      </c>
      <c r="G600" s="62" t="b">
        <v>1</v>
      </c>
      <c r="H600" s="78" t="b">
        <f>IF(VLOOKUP(C600,Projetos!A:L,12,false)=TRUE,TRUE,FALSE)</f>
        <v>1</v>
      </c>
      <c r="I600" s="68">
        <v>150.60488258778258</v>
      </c>
      <c r="J600" s="68">
        <f t="shared" si="1"/>
        <v>301.2097652</v>
      </c>
      <c r="K600" s="68" t="b">
        <v>1</v>
      </c>
    </row>
    <row r="601">
      <c r="A601" s="75">
        <v>595.0</v>
      </c>
      <c r="B601" s="62" t="s">
        <v>356</v>
      </c>
      <c r="C601" s="62" t="s">
        <v>90</v>
      </c>
      <c r="D601" s="62" t="s">
        <v>437</v>
      </c>
      <c r="E601" s="76">
        <v>44063.0</v>
      </c>
      <c r="F601" s="77">
        <v>0.08333333333333333</v>
      </c>
      <c r="G601" s="62" t="b">
        <v>1</v>
      </c>
      <c r="H601" s="78" t="b">
        <f>IF(VLOOKUP(C601,Projetos!A:L,12,false)=TRUE,TRUE,FALSE)</f>
        <v>1</v>
      </c>
      <c r="I601" s="68">
        <v>150.60488258778258</v>
      </c>
      <c r="J601" s="68">
        <f t="shared" si="1"/>
        <v>301.2097652</v>
      </c>
      <c r="K601" s="68" t="b">
        <v>1</v>
      </c>
    </row>
    <row r="602">
      <c r="A602" s="75">
        <v>596.0</v>
      </c>
      <c r="B602" s="62" t="s">
        <v>356</v>
      </c>
      <c r="C602" s="62" t="s">
        <v>90</v>
      </c>
      <c r="D602" s="62" t="s">
        <v>437</v>
      </c>
      <c r="E602" s="76">
        <v>44064.0</v>
      </c>
      <c r="F602" s="77">
        <v>0.041666666666666664</v>
      </c>
      <c r="G602" s="62" t="b">
        <v>1</v>
      </c>
      <c r="H602" s="78" t="b">
        <f>IF(VLOOKUP(C602,Projetos!A:L,12,false)=TRUE,TRUE,FALSE)</f>
        <v>1</v>
      </c>
      <c r="I602" s="68">
        <v>150.60488258778258</v>
      </c>
      <c r="J602" s="68">
        <f t="shared" si="1"/>
        <v>150.6048826</v>
      </c>
      <c r="K602" s="68" t="b">
        <v>1</v>
      </c>
    </row>
    <row r="603">
      <c r="A603" s="75">
        <v>597.0</v>
      </c>
      <c r="B603" s="62" t="s">
        <v>356</v>
      </c>
      <c r="C603" s="62" t="s">
        <v>90</v>
      </c>
      <c r="D603" s="62" t="s">
        <v>438</v>
      </c>
      <c r="E603" s="76">
        <v>44067.0</v>
      </c>
      <c r="F603" s="77">
        <v>0.04375</v>
      </c>
      <c r="G603" s="62" t="b">
        <v>1</v>
      </c>
      <c r="H603" s="78" t="b">
        <f>IF(VLOOKUP(C603,Projetos!A:L,12,false)=TRUE,TRUE,FALSE)</f>
        <v>1</v>
      </c>
      <c r="I603" s="68">
        <v>150.60488258778258</v>
      </c>
      <c r="J603" s="68">
        <f t="shared" si="1"/>
        <v>158.1351267</v>
      </c>
      <c r="K603" s="68" t="b">
        <v>1</v>
      </c>
    </row>
    <row r="604">
      <c r="A604" s="75">
        <v>598.0</v>
      </c>
      <c r="B604" s="62" t="s">
        <v>356</v>
      </c>
      <c r="C604" s="62" t="s">
        <v>98</v>
      </c>
      <c r="D604" s="62" t="s">
        <v>439</v>
      </c>
      <c r="E604" s="76">
        <v>44054.0</v>
      </c>
      <c r="F604" s="77">
        <v>0.041666666666666664</v>
      </c>
      <c r="G604" s="62" t="b">
        <v>1</v>
      </c>
      <c r="H604" s="78" t="b">
        <f>IF(VLOOKUP(C604,Projetos!A:L,12,false)=TRUE,TRUE,FALSE)</f>
        <v>1</v>
      </c>
      <c r="I604" s="68">
        <v>150.60488258778258</v>
      </c>
      <c r="J604" s="68">
        <f t="shared" si="1"/>
        <v>150.6048826</v>
      </c>
      <c r="K604" s="68" t="b">
        <v>1</v>
      </c>
    </row>
    <row r="605" hidden="1">
      <c r="A605" s="75">
        <v>599.0</v>
      </c>
      <c r="B605" s="62" t="s">
        <v>356</v>
      </c>
      <c r="C605" s="62" t="s">
        <v>98</v>
      </c>
      <c r="D605" s="62" t="s">
        <v>440</v>
      </c>
      <c r="E605" s="76">
        <v>44061.0</v>
      </c>
      <c r="F605" s="77">
        <v>0.0625</v>
      </c>
      <c r="G605" s="62" t="b">
        <v>0</v>
      </c>
      <c r="H605" s="78" t="b">
        <f>IF(VLOOKUP(C605,Projetos!A:L,12,false)=TRUE,TRUE,FALSE)</f>
        <v>1</v>
      </c>
      <c r="I605" s="68">
        <v>150.60488258778258</v>
      </c>
      <c r="J605" s="68">
        <f t="shared" si="1"/>
        <v>0</v>
      </c>
      <c r="K605" s="68" t="b">
        <v>1</v>
      </c>
    </row>
    <row r="606" hidden="1">
      <c r="A606" s="75">
        <v>600.0</v>
      </c>
      <c r="B606" s="62" t="s">
        <v>356</v>
      </c>
      <c r="C606" s="62" t="s">
        <v>102</v>
      </c>
      <c r="D606" s="62" t="s">
        <v>441</v>
      </c>
      <c r="E606" s="76">
        <v>44048.0</v>
      </c>
      <c r="F606" s="77">
        <v>0.0625</v>
      </c>
      <c r="G606" s="62" t="b">
        <v>0</v>
      </c>
      <c r="H606" s="78" t="b">
        <f>IF(VLOOKUP(C606,Projetos!A:L,12,false)=TRUE,TRUE,FALSE)</f>
        <v>0</v>
      </c>
      <c r="I606" s="68">
        <v>150.60488258778258</v>
      </c>
      <c r="J606" s="68">
        <f t="shared" si="1"/>
        <v>0</v>
      </c>
      <c r="K606" s="68" t="b">
        <v>0</v>
      </c>
    </row>
    <row r="607" hidden="1">
      <c r="A607" s="75">
        <v>601.0</v>
      </c>
      <c r="B607" s="62" t="s">
        <v>356</v>
      </c>
      <c r="C607" s="62" t="s">
        <v>102</v>
      </c>
      <c r="D607" s="62" t="s">
        <v>442</v>
      </c>
      <c r="E607" s="76">
        <v>44049.0</v>
      </c>
      <c r="F607" s="77">
        <v>0.125</v>
      </c>
      <c r="G607" s="62" t="b">
        <v>0</v>
      </c>
      <c r="H607" s="78" t="b">
        <f>IF(VLOOKUP(C607,Projetos!A:L,12,false)=TRUE,TRUE,FALSE)</f>
        <v>0</v>
      </c>
      <c r="I607" s="68">
        <v>150.60488258778258</v>
      </c>
      <c r="J607" s="68">
        <f t="shared" si="1"/>
        <v>0</v>
      </c>
      <c r="K607" s="68" t="b">
        <v>0</v>
      </c>
    </row>
    <row r="608" hidden="1">
      <c r="A608" s="75">
        <v>602.0</v>
      </c>
      <c r="B608" s="62" t="s">
        <v>356</v>
      </c>
      <c r="C608" s="62" t="s">
        <v>102</v>
      </c>
      <c r="D608" s="62" t="s">
        <v>443</v>
      </c>
      <c r="E608" s="76">
        <v>44056.0</v>
      </c>
      <c r="F608" s="77">
        <v>0.0625</v>
      </c>
      <c r="G608" s="62" t="b">
        <v>0</v>
      </c>
      <c r="H608" s="78" t="b">
        <f>IF(VLOOKUP(C608,Projetos!A:L,12,false)=TRUE,TRUE,FALSE)</f>
        <v>0</v>
      </c>
      <c r="I608" s="68">
        <v>150.60488258778258</v>
      </c>
      <c r="J608" s="68">
        <f t="shared" si="1"/>
        <v>0</v>
      </c>
      <c r="K608" s="68" t="b">
        <v>0</v>
      </c>
    </row>
    <row r="609" hidden="1">
      <c r="A609" s="75">
        <v>603.0</v>
      </c>
      <c r="B609" s="62" t="s">
        <v>356</v>
      </c>
      <c r="C609" s="62" t="s">
        <v>102</v>
      </c>
      <c r="D609" s="62" t="s">
        <v>444</v>
      </c>
      <c r="E609" s="76">
        <v>44062.0</v>
      </c>
      <c r="F609" s="77">
        <v>0.041666666666666664</v>
      </c>
      <c r="G609" s="62" t="b">
        <v>0</v>
      </c>
      <c r="H609" s="78" t="b">
        <f>IF(VLOOKUP(C609,Projetos!A:L,12,false)=TRUE,TRUE,FALSE)</f>
        <v>0</v>
      </c>
      <c r="I609" s="68">
        <v>150.60488258778258</v>
      </c>
      <c r="J609" s="68">
        <f t="shared" si="1"/>
        <v>0</v>
      </c>
      <c r="K609" s="68" t="b">
        <v>0</v>
      </c>
    </row>
    <row r="610">
      <c r="A610" s="75">
        <v>604.0</v>
      </c>
      <c r="B610" s="62" t="s">
        <v>356</v>
      </c>
      <c r="C610" s="62" t="s">
        <v>116</v>
      </c>
      <c r="D610" s="62" t="s">
        <v>445</v>
      </c>
      <c r="E610" s="76">
        <v>44069.0</v>
      </c>
      <c r="F610" s="77">
        <v>0.10416666666666667</v>
      </c>
      <c r="G610" s="62" t="b">
        <v>1</v>
      </c>
      <c r="H610" s="78" t="b">
        <f>IF(VLOOKUP(C610,Projetos!A:L,12,false)=TRUE,TRUE,FALSE)</f>
        <v>1</v>
      </c>
      <c r="I610" s="68">
        <v>150.60488258778258</v>
      </c>
      <c r="J610" s="68">
        <f t="shared" si="1"/>
        <v>376.5122065</v>
      </c>
      <c r="K610" s="68" t="b">
        <v>1</v>
      </c>
    </row>
    <row r="611" hidden="1">
      <c r="A611" s="75">
        <v>605.0</v>
      </c>
      <c r="B611" s="62" t="s">
        <v>356</v>
      </c>
      <c r="C611" s="62" t="s">
        <v>83</v>
      </c>
      <c r="D611" s="62" t="s">
        <v>446</v>
      </c>
      <c r="E611" s="76">
        <v>44077.0</v>
      </c>
      <c r="F611" s="77">
        <v>0.041666666666666664</v>
      </c>
      <c r="G611" s="62" t="b">
        <v>0</v>
      </c>
      <c r="H611" s="78" t="b">
        <f>IF(VLOOKUP(C611,Projetos!A:L,12,false)=TRUE,TRUE,FALSE)</f>
        <v>0</v>
      </c>
      <c r="I611" s="68">
        <v>143.7592061065197</v>
      </c>
      <c r="J611" s="68">
        <f t="shared" si="1"/>
        <v>0</v>
      </c>
      <c r="K611" s="68" t="b">
        <v>0</v>
      </c>
    </row>
    <row r="612" hidden="1">
      <c r="A612" s="75">
        <v>606.0</v>
      </c>
      <c r="B612" s="62" t="s">
        <v>356</v>
      </c>
      <c r="C612" s="62" t="s">
        <v>83</v>
      </c>
      <c r="D612" s="62" t="s">
        <v>415</v>
      </c>
      <c r="E612" s="76">
        <v>44088.0</v>
      </c>
      <c r="F612" s="77">
        <v>0.08333333333333333</v>
      </c>
      <c r="G612" s="62" t="b">
        <v>0</v>
      </c>
      <c r="H612" s="78" t="b">
        <f>IF(VLOOKUP(C612,Projetos!A:L,12,false)=TRUE,TRUE,FALSE)</f>
        <v>0</v>
      </c>
      <c r="I612" s="68">
        <v>143.7592061065197</v>
      </c>
      <c r="J612" s="68">
        <f t="shared" si="1"/>
        <v>0</v>
      </c>
      <c r="K612" s="68" t="b">
        <v>0</v>
      </c>
    </row>
    <row r="613" hidden="1">
      <c r="A613" s="75">
        <v>607.0</v>
      </c>
      <c r="B613" s="62" t="s">
        <v>356</v>
      </c>
      <c r="C613" s="62" t="s">
        <v>83</v>
      </c>
      <c r="D613" s="62" t="s">
        <v>447</v>
      </c>
      <c r="E613" s="76">
        <v>44091.0</v>
      </c>
      <c r="F613" s="77">
        <v>0.14583333333333334</v>
      </c>
      <c r="G613" s="62" t="b">
        <v>0</v>
      </c>
      <c r="H613" s="78" t="b">
        <f>IF(VLOOKUP(C613,Projetos!A:L,12,false)=TRUE,TRUE,FALSE)</f>
        <v>0</v>
      </c>
      <c r="I613" s="68">
        <v>143.7592061065197</v>
      </c>
      <c r="J613" s="68">
        <f t="shared" si="1"/>
        <v>0</v>
      </c>
      <c r="K613" s="68" t="b">
        <v>0</v>
      </c>
    </row>
    <row r="614" hidden="1">
      <c r="A614" s="75">
        <v>608.0</v>
      </c>
      <c r="B614" s="62" t="s">
        <v>356</v>
      </c>
      <c r="C614" s="62" t="s">
        <v>83</v>
      </c>
      <c r="D614" s="62" t="s">
        <v>415</v>
      </c>
      <c r="E614" s="76">
        <v>44095.0</v>
      </c>
      <c r="F614" s="77">
        <v>0.08333333333333333</v>
      </c>
      <c r="G614" s="62" t="b">
        <v>0</v>
      </c>
      <c r="H614" s="78" t="b">
        <f>IF(VLOOKUP(C614,Projetos!A:L,12,false)=TRUE,TRUE,FALSE)</f>
        <v>0</v>
      </c>
      <c r="I614" s="68">
        <v>143.7592061065197</v>
      </c>
      <c r="J614" s="68">
        <f t="shared" si="1"/>
        <v>0</v>
      </c>
      <c r="K614" s="68" t="b">
        <v>0</v>
      </c>
    </row>
    <row r="615" hidden="1">
      <c r="A615" s="75">
        <v>609.0</v>
      </c>
      <c r="B615" s="62" t="s">
        <v>356</v>
      </c>
      <c r="C615" s="62" t="s">
        <v>83</v>
      </c>
      <c r="D615" s="62" t="s">
        <v>448</v>
      </c>
      <c r="E615" s="76">
        <v>44096.0</v>
      </c>
      <c r="F615" s="77">
        <v>0.08333333333333333</v>
      </c>
      <c r="G615" s="62" t="b">
        <v>0</v>
      </c>
      <c r="H615" s="78" t="b">
        <f>IF(VLOOKUP(C615,Projetos!A:L,12,false)=TRUE,TRUE,FALSE)</f>
        <v>0</v>
      </c>
      <c r="I615" s="68">
        <v>143.7592061065197</v>
      </c>
      <c r="J615" s="68">
        <f t="shared" si="1"/>
        <v>0</v>
      </c>
      <c r="K615" s="68" t="b">
        <v>0</v>
      </c>
    </row>
    <row r="616" hidden="1">
      <c r="A616" s="75">
        <v>610.0</v>
      </c>
      <c r="B616" s="62" t="s">
        <v>356</v>
      </c>
      <c r="C616" s="62" t="s">
        <v>83</v>
      </c>
      <c r="D616" s="62" t="s">
        <v>449</v>
      </c>
      <c r="E616" s="76">
        <v>44097.0</v>
      </c>
      <c r="F616" s="77">
        <v>0.0625</v>
      </c>
      <c r="G616" s="62" t="b">
        <v>0</v>
      </c>
      <c r="H616" s="78" t="b">
        <f>IF(VLOOKUP(C616,Projetos!A:L,12,false)=TRUE,TRUE,FALSE)</f>
        <v>0</v>
      </c>
      <c r="I616" s="68">
        <v>143.7592061065197</v>
      </c>
      <c r="J616" s="68">
        <f t="shared" si="1"/>
        <v>0</v>
      </c>
      <c r="K616" s="68" t="b">
        <v>0</v>
      </c>
    </row>
    <row r="617" hidden="1">
      <c r="A617" s="75">
        <v>611.0</v>
      </c>
      <c r="B617" s="62" t="s">
        <v>356</v>
      </c>
      <c r="C617" s="62" t="s">
        <v>83</v>
      </c>
      <c r="D617" s="62" t="s">
        <v>450</v>
      </c>
      <c r="E617" s="76">
        <v>44102.0</v>
      </c>
      <c r="F617" s="77">
        <v>0.10416666666666667</v>
      </c>
      <c r="G617" s="62" t="b">
        <v>0</v>
      </c>
      <c r="H617" s="78" t="b">
        <f>IF(VLOOKUP(C617,Projetos!A:L,12,false)=TRUE,TRUE,FALSE)</f>
        <v>0</v>
      </c>
      <c r="I617" s="68">
        <v>143.7592061065197</v>
      </c>
      <c r="J617" s="68">
        <f t="shared" si="1"/>
        <v>0</v>
      </c>
      <c r="K617" s="68" t="b">
        <v>0</v>
      </c>
    </row>
    <row r="618">
      <c r="A618" s="75">
        <v>612.0</v>
      </c>
      <c r="B618" s="62" t="s">
        <v>356</v>
      </c>
      <c r="C618" s="62" t="s">
        <v>90</v>
      </c>
      <c r="D618" s="62" t="s">
        <v>451</v>
      </c>
      <c r="E618" s="76">
        <v>44076.0</v>
      </c>
      <c r="F618" s="77">
        <v>0.041666666666666664</v>
      </c>
      <c r="G618" s="62" t="b">
        <v>1</v>
      </c>
      <c r="H618" s="78" t="b">
        <f>IF(VLOOKUP(C618,Projetos!A:L,12,false)=TRUE,TRUE,FALSE)</f>
        <v>1</v>
      </c>
      <c r="I618" s="68">
        <v>143.7592061065197</v>
      </c>
      <c r="J618" s="68">
        <f t="shared" si="1"/>
        <v>143.7592061</v>
      </c>
      <c r="K618" s="68" t="b">
        <v>1</v>
      </c>
    </row>
    <row r="619">
      <c r="A619" s="75">
        <v>613.0</v>
      </c>
      <c r="B619" s="62" t="s">
        <v>356</v>
      </c>
      <c r="C619" s="62" t="s">
        <v>90</v>
      </c>
      <c r="D619" s="62" t="s">
        <v>452</v>
      </c>
      <c r="E619" s="76">
        <v>44078.0</v>
      </c>
      <c r="F619" s="77">
        <v>0.020833333333333332</v>
      </c>
      <c r="G619" s="62" t="b">
        <v>1</v>
      </c>
      <c r="H619" s="78" t="b">
        <f>IF(VLOOKUP(C619,Projetos!A:L,12,false)=TRUE,TRUE,FALSE)</f>
        <v>1</v>
      </c>
      <c r="I619" s="68">
        <v>143.7592061065197</v>
      </c>
      <c r="J619" s="68">
        <f t="shared" si="1"/>
        <v>71.87960305</v>
      </c>
      <c r="K619" s="68" t="b">
        <v>1</v>
      </c>
    </row>
    <row r="620">
      <c r="A620" s="75">
        <v>614.0</v>
      </c>
      <c r="B620" s="62" t="s">
        <v>356</v>
      </c>
      <c r="C620" s="62" t="s">
        <v>90</v>
      </c>
      <c r="D620" s="62" t="s">
        <v>453</v>
      </c>
      <c r="E620" s="76">
        <v>44097.0</v>
      </c>
      <c r="F620" s="77">
        <v>0.041666666666666664</v>
      </c>
      <c r="G620" s="62" t="b">
        <v>1</v>
      </c>
      <c r="H620" s="78" t="b">
        <f>IF(VLOOKUP(C620,Projetos!A:L,12,false)=TRUE,TRUE,FALSE)</f>
        <v>1</v>
      </c>
      <c r="I620" s="68">
        <v>143.7592061065197</v>
      </c>
      <c r="J620" s="68">
        <f t="shared" si="1"/>
        <v>143.7592061</v>
      </c>
      <c r="K620" s="68" t="b">
        <v>1</v>
      </c>
    </row>
    <row r="621">
      <c r="A621" s="75">
        <v>615.0</v>
      </c>
      <c r="B621" s="62" t="s">
        <v>356</v>
      </c>
      <c r="C621" s="62" t="s">
        <v>90</v>
      </c>
      <c r="D621" s="62" t="s">
        <v>453</v>
      </c>
      <c r="E621" s="76">
        <v>44103.0</v>
      </c>
      <c r="F621" s="77">
        <v>0.041666666666666664</v>
      </c>
      <c r="G621" s="62" t="b">
        <v>1</v>
      </c>
      <c r="H621" s="78" t="b">
        <f>IF(VLOOKUP(C621,Projetos!A:L,12,false)=TRUE,TRUE,FALSE)</f>
        <v>1</v>
      </c>
      <c r="I621" s="68">
        <v>143.7592061065197</v>
      </c>
      <c r="J621" s="68">
        <f t="shared" si="1"/>
        <v>143.7592061</v>
      </c>
      <c r="K621" s="68" t="b">
        <v>1</v>
      </c>
    </row>
    <row r="622">
      <c r="A622" s="75">
        <v>616.0</v>
      </c>
      <c r="B622" s="62" t="s">
        <v>356</v>
      </c>
      <c r="C622" s="62" t="s">
        <v>90</v>
      </c>
      <c r="D622" s="62" t="s">
        <v>453</v>
      </c>
      <c r="E622" s="76">
        <v>44104.0</v>
      </c>
      <c r="F622" s="77">
        <v>0.08333333333333333</v>
      </c>
      <c r="G622" s="62" t="b">
        <v>1</v>
      </c>
      <c r="H622" s="78" t="b">
        <f>IF(VLOOKUP(C622,Projetos!A:L,12,false)=TRUE,TRUE,FALSE)</f>
        <v>1</v>
      </c>
      <c r="I622" s="68">
        <v>143.7592061065197</v>
      </c>
      <c r="J622" s="68">
        <f t="shared" si="1"/>
        <v>287.5184122</v>
      </c>
      <c r="K622" s="68" t="b">
        <v>1</v>
      </c>
    </row>
    <row r="623" hidden="1">
      <c r="A623" s="75">
        <v>617.0</v>
      </c>
      <c r="B623" s="62" t="s">
        <v>356</v>
      </c>
      <c r="C623" s="62" t="s">
        <v>102</v>
      </c>
      <c r="D623" s="62" t="s">
        <v>454</v>
      </c>
      <c r="E623" s="76">
        <v>44085.0</v>
      </c>
      <c r="F623" s="77">
        <v>0.0625</v>
      </c>
      <c r="G623" s="62" t="b">
        <v>0</v>
      </c>
      <c r="H623" s="78" t="b">
        <f>IF(VLOOKUP(C623,Projetos!A:L,12,false)=TRUE,TRUE,FALSE)</f>
        <v>0</v>
      </c>
      <c r="I623" s="68">
        <v>143.7592061065197</v>
      </c>
      <c r="J623" s="68">
        <f t="shared" si="1"/>
        <v>0</v>
      </c>
      <c r="K623" s="68" t="b">
        <v>0</v>
      </c>
    </row>
    <row r="624" hidden="1">
      <c r="A624" s="75">
        <v>618.0</v>
      </c>
      <c r="B624" s="62" t="s">
        <v>356</v>
      </c>
      <c r="C624" s="62" t="s">
        <v>102</v>
      </c>
      <c r="D624" s="62" t="s">
        <v>454</v>
      </c>
      <c r="E624" s="76">
        <v>44091.0</v>
      </c>
      <c r="F624" s="77">
        <v>0.041666666666666664</v>
      </c>
      <c r="G624" s="62" t="b">
        <v>0</v>
      </c>
      <c r="H624" s="78" t="b">
        <f>IF(VLOOKUP(C624,Projetos!A:L,12,false)=TRUE,TRUE,FALSE)</f>
        <v>0</v>
      </c>
      <c r="I624" s="68">
        <v>143.7592061065197</v>
      </c>
      <c r="J624" s="68">
        <f t="shared" si="1"/>
        <v>0</v>
      </c>
      <c r="K624" s="68" t="b">
        <v>0</v>
      </c>
    </row>
    <row r="625" hidden="1">
      <c r="A625" s="75">
        <v>619.0</v>
      </c>
      <c r="B625" s="62" t="s">
        <v>356</v>
      </c>
      <c r="C625" s="62" t="s">
        <v>108</v>
      </c>
      <c r="D625" s="62" t="s">
        <v>455</v>
      </c>
      <c r="E625" s="76">
        <v>44089.0</v>
      </c>
      <c r="F625" s="77">
        <v>0.041666666666666664</v>
      </c>
      <c r="G625" s="62" t="b">
        <v>0</v>
      </c>
      <c r="H625" s="78" t="b">
        <f>IF(VLOOKUP(C625,Projetos!A:L,12,false)=TRUE,TRUE,FALSE)</f>
        <v>1</v>
      </c>
      <c r="I625" s="68">
        <v>143.7592061065197</v>
      </c>
      <c r="J625" s="68">
        <f t="shared" si="1"/>
        <v>0</v>
      </c>
      <c r="K625" s="68" t="b">
        <v>1</v>
      </c>
    </row>
    <row r="626">
      <c r="A626" s="75">
        <v>620.0</v>
      </c>
      <c r="B626" s="62" t="s">
        <v>356</v>
      </c>
      <c r="C626" s="62" t="s">
        <v>116</v>
      </c>
      <c r="D626" s="62" t="s">
        <v>456</v>
      </c>
      <c r="E626" s="76">
        <v>44089.0</v>
      </c>
      <c r="F626" s="77">
        <v>0.041666666666666664</v>
      </c>
      <c r="G626" s="62" t="b">
        <v>1</v>
      </c>
      <c r="H626" s="78" t="b">
        <f>IF(VLOOKUP(C626,Projetos!A:L,12,false)=TRUE,TRUE,FALSE)</f>
        <v>1</v>
      </c>
      <c r="I626" s="68">
        <v>143.7592061065197</v>
      </c>
      <c r="J626" s="68">
        <f t="shared" si="1"/>
        <v>143.7592061</v>
      </c>
      <c r="K626" s="68" t="b">
        <v>1</v>
      </c>
    </row>
    <row r="627">
      <c r="A627" s="75">
        <v>621.0</v>
      </c>
      <c r="B627" s="62" t="s">
        <v>356</v>
      </c>
      <c r="C627" s="62" t="s">
        <v>116</v>
      </c>
      <c r="D627" s="62" t="s">
        <v>457</v>
      </c>
      <c r="E627" s="76">
        <v>44099.0</v>
      </c>
      <c r="F627" s="77">
        <v>0.041666666666666664</v>
      </c>
      <c r="G627" s="62" t="b">
        <v>1</v>
      </c>
      <c r="H627" s="78" t="b">
        <f>IF(VLOOKUP(C627,Projetos!A:L,12,false)=TRUE,TRUE,FALSE)</f>
        <v>1</v>
      </c>
      <c r="I627" s="68">
        <v>143.7592061065197</v>
      </c>
      <c r="J627" s="68">
        <f t="shared" si="1"/>
        <v>143.7592061</v>
      </c>
      <c r="K627" s="68" t="b">
        <v>1</v>
      </c>
    </row>
    <row r="628" hidden="1">
      <c r="A628" s="75">
        <v>622.0</v>
      </c>
      <c r="B628" s="62" t="s">
        <v>356</v>
      </c>
      <c r="C628" s="62" t="s">
        <v>83</v>
      </c>
      <c r="D628" s="62" t="s">
        <v>458</v>
      </c>
      <c r="E628" s="76">
        <v>44110.0</v>
      </c>
      <c r="F628" s="77">
        <v>0.041666666666666664</v>
      </c>
      <c r="G628" s="62" t="b">
        <v>0</v>
      </c>
      <c r="H628" s="78" t="b">
        <f>IF(VLOOKUP(C628,Projetos!A:L,12,false)=TRUE,TRUE,FALSE)</f>
        <v>0</v>
      </c>
      <c r="I628" s="68">
        <v>150.60488258778258</v>
      </c>
      <c r="J628" s="68">
        <f t="shared" si="1"/>
        <v>0</v>
      </c>
      <c r="K628" s="68" t="b">
        <v>0</v>
      </c>
    </row>
    <row r="629" hidden="1">
      <c r="A629" s="75">
        <v>623.0</v>
      </c>
      <c r="B629" s="62" t="s">
        <v>356</v>
      </c>
      <c r="C629" s="62" t="s">
        <v>83</v>
      </c>
      <c r="D629" s="62" t="s">
        <v>459</v>
      </c>
      <c r="E629" s="76">
        <v>44127.0</v>
      </c>
      <c r="F629" s="77">
        <v>0.041666666666666664</v>
      </c>
      <c r="G629" s="62" t="b">
        <v>0</v>
      </c>
      <c r="H629" s="78" t="b">
        <f>IF(VLOOKUP(C629,Projetos!A:L,12,false)=TRUE,TRUE,FALSE)</f>
        <v>0</v>
      </c>
      <c r="I629" s="68">
        <v>150.60488258778258</v>
      </c>
      <c r="J629" s="68">
        <f t="shared" si="1"/>
        <v>0</v>
      </c>
      <c r="K629" s="68" t="b">
        <v>0</v>
      </c>
    </row>
    <row r="630">
      <c r="A630" s="75">
        <v>624.0</v>
      </c>
      <c r="B630" s="62" t="s">
        <v>356</v>
      </c>
      <c r="C630" s="62" t="s">
        <v>90</v>
      </c>
      <c r="D630" s="62" t="s">
        <v>460</v>
      </c>
      <c r="E630" s="76">
        <v>44105.0</v>
      </c>
      <c r="F630" s="77">
        <v>0.40625</v>
      </c>
      <c r="G630" s="62" t="b">
        <v>1</v>
      </c>
      <c r="H630" s="78" t="b">
        <f>IF(VLOOKUP(C630,Projetos!A:L,12,false)=TRUE,TRUE,FALSE)</f>
        <v>1</v>
      </c>
      <c r="I630" s="68">
        <v>150.60488258778258</v>
      </c>
      <c r="J630" s="68">
        <f t="shared" si="1"/>
        <v>1468.397605</v>
      </c>
      <c r="K630" s="68" t="b">
        <v>1</v>
      </c>
    </row>
    <row r="631">
      <c r="A631" s="75">
        <v>625.0</v>
      </c>
      <c r="B631" s="62" t="s">
        <v>356</v>
      </c>
      <c r="C631" s="62" t="s">
        <v>90</v>
      </c>
      <c r="D631" s="62" t="s">
        <v>461</v>
      </c>
      <c r="E631" s="76">
        <v>44111.0</v>
      </c>
      <c r="F631" s="77">
        <v>0.0625</v>
      </c>
      <c r="G631" s="62" t="b">
        <v>1</v>
      </c>
      <c r="H631" s="78" t="b">
        <f>IF(VLOOKUP(C631,Projetos!A:L,12,false)=TRUE,TRUE,FALSE)</f>
        <v>1</v>
      </c>
      <c r="I631" s="68">
        <v>150.60488258778258</v>
      </c>
      <c r="J631" s="68">
        <f t="shared" si="1"/>
        <v>225.9073239</v>
      </c>
      <c r="K631" s="68" t="b">
        <v>1</v>
      </c>
    </row>
    <row r="632">
      <c r="A632" s="75">
        <v>626.0</v>
      </c>
      <c r="B632" s="62" t="s">
        <v>356</v>
      </c>
      <c r="C632" s="62" t="s">
        <v>90</v>
      </c>
      <c r="D632" s="62" t="s">
        <v>462</v>
      </c>
      <c r="E632" s="76">
        <v>44118.0</v>
      </c>
      <c r="F632" s="77">
        <v>0.3333333333333333</v>
      </c>
      <c r="G632" s="62" t="b">
        <v>1</v>
      </c>
      <c r="H632" s="78" t="b">
        <f>IF(VLOOKUP(C632,Projetos!A:L,12,false)=TRUE,TRUE,FALSE)</f>
        <v>1</v>
      </c>
      <c r="I632" s="68">
        <v>150.60488258778258</v>
      </c>
      <c r="J632" s="68">
        <f t="shared" si="1"/>
        <v>1204.839061</v>
      </c>
      <c r="K632" s="68" t="b">
        <v>1</v>
      </c>
    </row>
    <row r="633">
      <c r="A633" s="75">
        <v>627.0</v>
      </c>
      <c r="B633" s="62" t="s">
        <v>356</v>
      </c>
      <c r="C633" s="62" t="s">
        <v>90</v>
      </c>
      <c r="D633" s="62" t="s">
        <v>463</v>
      </c>
      <c r="E633" s="76">
        <v>44120.0</v>
      </c>
      <c r="F633" s="77">
        <v>0.041666666666666664</v>
      </c>
      <c r="G633" s="62" t="b">
        <v>1</v>
      </c>
      <c r="H633" s="78" t="b">
        <f>IF(VLOOKUP(C633,Projetos!A:L,12,false)=TRUE,TRUE,FALSE)</f>
        <v>1</v>
      </c>
      <c r="I633" s="68">
        <v>150.60488258778258</v>
      </c>
      <c r="J633" s="68">
        <f t="shared" si="1"/>
        <v>150.6048826</v>
      </c>
      <c r="K633" s="68" t="b">
        <v>1</v>
      </c>
    </row>
    <row r="634">
      <c r="A634" s="75">
        <v>628.0</v>
      </c>
      <c r="B634" s="62" t="s">
        <v>356</v>
      </c>
      <c r="C634" s="62" t="s">
        <v>90</v>
      </c>
      <c r="D634" s="62" t="s">
        <v>464</v>
      </c>
      <c r="E634" s="76">
        <v>44130.0</v>
      </c>
      <c r="F634" s="77">
        <v>0.041666666666666664</v>
      </c>
      <c r="G634" s="62" t="b">
        <v>1</v>
      </c>
      <c r="H634" s="78" t="b">
        <f>IF(VLOOKUP(C634,Projetos!A:L,12,false)=TRUE,TRUE,FALSE)</f>
        <v>1</v>
      </c>
      <c r="I634" s="68">
        <v>150.60488258778258</v>
      </c>
      <c r="J634" s="68">
        <f t="shared" si="1"/>
        <v>150.6048826</v>
      </c>
      <c r="K634" s="68" t="b">
        <v>1</v>
      </c>
    </row>
    <row r="635">
      <c r="A635" s="75">
        <v>629.0</v>
      </c>
      <c r="B635" s="62" t="s">
        <v>356</v>
      </c>
      <c r="C635" s="62" t="s">
        <v>90</v>
      </c>
      <c r="D635" s="62" t="s">
        <v>465</v>
      </c>
      <c r="E635" s="76">
        <v>44130.0</v>
      </c>
      <c r="F635" s="77">
        <v>0.08333333333333333</v>
      </c>
      <c r="G635" s="62" t="b">
        <v>1</v>
      </c>
      <c r="H635" s="78" t="b">
        <f>IF(VLOOKUP(C635,Projetos!A:L,12,false)=TRUE,TRUE,FALSE)</f>
        <v>1</v>
      </c>
      <c r="I635" s="68">
        <v>150.60488258778258</v>
      </c>
      <c r="J635" s="68">
        <f t="shared" si="1"/>
        <v>301.2097652</v>
      </c>
      <c r="K635" s="68" t="b">
        <v>1</v>
      </c>
    </row>
    <row r="636">
      <c r="A636" s="75">
        <v>630.0</v>
      </c>
      <c r="B636" s="62" t="s">
        <v>356</v>
      </c>
      <c r="C636" s="62" t="s">
        <v>90</v>
      </c>
      <c r="D636" s="62" t="s">
        <v>466</v>
      </c>
      <c r="E636" s="76">
        <v>44133.0</v>
      </c>
      <c r="F636" s="77">
        <v>0.125</v>
      </c>
      <c r="G636" s="62" t="b">
        <v>1</v>
      </c>
      <c r="H636" s="78" t="b">
        <f>IF(VLOOKUP(C636,Projetos!A:L,12,false)=TRUE,TRUE,FALSE)</f>
        <v>1</v>
      </c>
      <c r="I636" s="68">
        <v>150.60488258778258</v>
      </c>
      <c r="J636" s="68">
        <f t="shared" si="1"/>
        <v>451.8146478</v>
      </c>
      <c r="K636" s="68" t="b">
        <v>1</v>
      </c>
    </row>
    <row r="637" hidden="1">
      <c r="A637" s="75">
        <v>631.0</v>
      </c>
      <c r="B637" s="62" t="s">
        <v>356</v>
      </c>
      <c r="C637" s="62" t="s">
        <v>90</v>
      </c>
      <c r="D637" s="62" t="s">
        <v>467</v>
      </c>
      <c r="E637" s="76">
        <v>44134.0</v>
      </c>
      <c r="F637" s="77">
        <v>0.041666666666666664</v>
      </c>
      <c r="G637" s="62" t="b">
        <v>0</v>
      </c>
      <c r="H637" s="78" t="b">
        <f>IF(VLOOKUP(C637,Projetos!A:L,12,false)=TRUE,TRUE,FALSE)</f>
        <v>1</v>
      </c>
      <c r="I637" s="68">
        <v>150.60488258778258</v>
      </c>
      <c r="J637" s="68">
        <f t="shared" si="1"/>
        <v>0</v>
      </c>
      <c r="K637" s="68" t="b">
        <v>1</v>
      </c>
    </row>
    <row r="638">
      <c r="A638" s="75">
        <v>632.0</v>
      </c>
      <c r="B638" s="62" t="s">
        <v>356</v>
      </c>
      <c r="C638" s="62" t="s">
        <v>97</v>
      </c>
      <c r="D638" s="62" t="s">
        <v>468</v>
      </c>
      <c r="E638" s="76">
        <v>44119.0</v>
      </c>
      <c r="F638" s="77">
        <v>0.16666666666666666</v>
      </c>
      <c r="G638" s="62" t="b">
        <v>1</v>
      </c>
      <c r="H638" s="78" t="b">
        <f>IF(VLOOKUP(C638,Projetos!A:L,12,false)=TRUE,TRUE,FALSE)</f>
        <v>1</v>
      </c>
      <c r="I638" s="68">
        <v>150.60488258778258</v>
      </c>
      <c r="J638" s="68">
        <f t="shared" si="1"/>
        <v>602.4195304</v>
      </c>
      <c r="K638" s="68" t="b">
        <v>1</v>
      </c>
    </row>
    <row r="639">
      <c r="A639" s="75">
        <v>633.0</v>
      </c>
      <c r="B639" s="62" t="s">
        <v>356</v>
      </c>
      <c r="C639" s="62" t="s">
        <v>97</v>
      </c>
      <c r="D639" s="62" t="s">
        <v>468</v>
      </c>
      <c r="E639" s="76">
        <v>44120.0</v>
      </c>
      <c r="F639" s="77">
        <v>0.16666666666666666</v>
      </c>
      <c r="G639" s="62" t="b">
        <v>1</v>
      </c>
      <c r="H639" s="78" t="b">
        <f>IF(VLOOKUP(C639,Projetos!A:L,12,false)=TRUE,TRUE,FALSE)</f>
        <v>1</v>
      </c>
      <c r="I639" s="68">
        <v>150.60488258778258</v>
      </c>
      <c r="J639" s="68">
        <f t="shared" si="1"/>
        <v>602.4195304</v>
      </c>
      <c r="K639" s="68" t="b">
        <v>1</v>
      </c>
    </row>
    <row r="640">
      <c r="A640" s="75">
        <v>634.0</v>
      </c>
      <c r="B640" s="62" t="s">
        <v>356</v>
      </c>
      <c r="C640" s="62" t="s">
        <v>97</v>
      </c>
      <c r="D640" s="62" t="s">
        <v>469</v>
      </c>
      <c r="E640" s="76">
        <v>44131.0</v>
      </c>
      <c r="F640" s="77">
        <v>0.125</v>
      </c>
      <c r="G640" s="62" t="b">
        <v>1</v>
      </c>
      <c r="H640" s="78" t="b">
        <f>IF(VLOOKUP(C640,Projetos!A:L,12,false)=TRUE,TRUE,FALSE)</f>
        <v>1</v>
      </c>
      <c r="I640" s="68">
        <v>150.60488258778258</v>
      </c>
      <c r="J640" s="68">
        <f t="shared" si="1"/>
        <v>451.8146478</v>
      </c>
      <c r="K640" s="68" t="b">
        <v>1</v>
      </c>
    </row>
    <row r="641" hidden="1">
      <c r="A641" s="75">
        <v>635.0</v>
      </c>
      <c r="B641" s="62" t="s">
        <v>356</v>
      </c>
      <c r="C641" s="62" t="s">
        <v>102</v>
      </c>
      <c r="D641" s="62" t="s">
        <v>470</v>
      </c>
      <c r="E641" s="76">
        <v>44117.0</v>
      </c>
      <c r="F641" s="77">
        <v>0.041666666666666664</v>
      </c>
      <c r="G641" s="62" t="b">
        <v>0</v>
      </c>
      <c r="H641" s="78" t="b">
        <f>IF(VLOOKUP(C641,Projetos!A:L,12,false)=TRUE,TRUE,FALSE)</f>
        <v>0</v>
      </c>
      <c r="I641" s="68">
        <v>150.60488258778258</v>
      </c>
      <c r="J641" s="68">
        <f t="shared" si="1"/>
        <v>0</v>
      </c>
      <c r="K641" s="68" t="b">
        <v>0</v>
      </c>
    </row>
    <row r="642" hidden="1">
      <c r="A642" s="75">
        <v>636.0</v>
      </c>
      <c r="B642" s="62" t="s">
        <v>356</v>
      </c>
      <c r="C642" s="62" t="s">
        <v>102</v>
      </c>
      <c r="D642" s="62" t="s">
        <v>471</v>
      </c>
      <c r="E642" s="76">
        <v>44131.0</v>
      </c>
      <c r="F642" s="77">
        <v>0.041666666666666664</v>
      </c>
      <c r="G642" s="62" t="b">
        <v>0</v>
      </c>
      <c r="H642" s="78" t="b">
        <f>IF(VLOOKUP(C642,Projetos!A:L,12,false)=TRUE,TRUE,FALSE)</f>
        <v>0</v>
      </c>
      <c r="I642" s="68">
        <v>150.60488258778258</v>
      </c>
      <c r="J642" s="68">
        <f t="shared" si="1"/>
        <v>0</v>
      </c>
      <c r="K642" s="68" t="b">
        <v>0</v>
      </c>
    </row>
    <row r="643">
      <c r="A643" s="75">
        <v>637.0</v>
      </c>
      <c r="B643" s="62" t="s">
        <v>356</v>
      </c>
      <c r="C643" s="62" t="s">
        <v>105</v>
      </c>
      <c r="D643" s="62" t="s">
        <v>472</v>
      </c>
      <c r="E643" s="76">
        <v>44132.0</v>
      </c>
      <c r="F643" s="77">
        <v>0.041666666666666664</v>
      </c>
      <c r="G643" s="62" t="b">
        <v>1</v>
      </c>
      <c r="H643" s="78" t="b">
        <f>IF(VLOOKUP(C643,Projetos!A:L,12,false)=TRUE,TRUE,FALSE)</f>
        <v>1</v>
      </c>
      <c r="I643" s="68">
        <v>150.60488258778258</v>
      </c>
      <c r="J643" s="68">
        <f t="shared" si="1"/>
        <v>150.6048826</v>
      </c>
      <c r="K643" s="68" t="b">
        <v>1</v>
      </c>
    </row>
    <row r="644" hidden="1">
      <c r="A644" s="75">
        <v>638.0</v>
      </c>
      <c r="B644" s="62" t="s">
        <v>356</v>
      </c>
      <c r="C644" s="62" t="s">
        <v>108</v>
      </c>
      <c r="D644" s="62" t="s">
        <v>473</v>
      </c>
      <c r="E644" s="76">
        <v>44109.0</v>
      </c>
      <c r="F644" s="77">
        <v>0.041666666666666664</v>
      </c>
      <c r="G644" s="62" t="b">
        <v>0</v>
      </c>
      <c r="H644" s="78" t="b">
        <f>IF(VLOOKUP(C644,Projetos!A:L,12,false)=TRUE,TRUE,FALSE)</f>
        <v>1</v>
      </c>
      <c r="I644" s="68">
        <v>150.60488258778258</v>
      </c>
      <c r="J644" s="68">
        <f t="shared" si="1"/>
        <v>0</v>
      </c>
      <c r="K644" s="68" t="b">
        <v>1</v>
      </c>
    </row>
    <row r="645" hidden="1">
      <c r="A645" s="75">
        <v>639.0</v>
      </c>
      <c r="B645" s="62" t="s">
        <v>356</v>
      </c>
      <c r="C645" s="62" t="s">
        <v>108</v>
      </c>
      <c r="D645" s="62" t="s">
        <v>474</v>
      </c>
      <c r="E645" s="76">
        <v>44111.0</v>
      </c>
      <c r="F645" s="77">
        <v>0.08333333333333333</v>
      </c>
      <c r="G645" s="62" t="b">
        <v>0</v>
      </c>
      <c r="H645" s="78" t="b">
        <f>IF(VLOOKUP(C645,Projetos!A:L,12,false)=TRUE,TRUE,FALSE)</f>
        <v>1</v>
      </c>
      <c r="I645" s="68">
        <v>150.60488258778258</v>
      </c>
      <c r="J645" s="68">
        <f t="shared" si="1"/>
        <v>0</v>
      </c>
      <c r="K645" s="68" t="b">
        <v>1</v>
      </c>
    </row>
    <row r="646" hidden="1">
      <c r="A646" s="75">
        <v>640.0</v>
      </c>
      <c r="B646" s="62" t="s">
        <v>356</v>
      </c>
      <c r="C646" s="62" t="s">
        <v>108</v>
      </c>
      <c r="D646" s="62" t="s">
        <v>473</v>
      </c>
      <c r="E646" s="76">
        <v>44120.0</v>
      </c>
      <c r="F646" s="77">
        <v>0.041666666666666664</v>
      </c>
      <c r="G646" s="62" t="b">
        <v>0</v>
      </c>
      <c r="H646" s="78" t="b">
        <f>IF(VLOOKUP(C646,Projetos!A:L,12,false)=TRUE,TRUE,FALSE)</f>
        <v>1</v>
      </c>
      <c r="I646" s="68">
        <v>150.60488258778258</v>
      </c>
      <c r="J646" s="68">
        <f t="shared" si="1"/>
        <v>0</v>
      </c>
      <c r="K646" s="68" t="b">
        <v>1</v>
      </c>
    </row>
    <row r="647" hidden="1">
      <c r="A647" s="75">
        <v>641.0</v>
      </c>
      <c r="B647" s="62" t="s">
        <v>356</v>
      </c>
      <c r="C647" s="62" t="s">
        <v>108</v>
      </c>
      <c r="D647" s="62" t="s">
        <v>475</v>
      </c>
      <c r="E647" s="76">
        <v>44123.0</v>
      </c>
      <c r="F647" s="77">
        <v>0.4166666666666667</v>
      </c>
      <c r="G647" s="62" t="b">
        <v>1</v>
      </c>
      <c r="H647" s="78" t="b">
        <f>IF(VLOOKUP(C647,Projetos!A:L,12,false)=TRUE,TRUE,FALSE)</f>
        <v>1</v>
      </c>
      <c r="I647" s="68">
        <v>150.60488258778258</v>
      </c>
      <c r="J647" s="68">
        <f t="shared" si="1"/>
        <v>1506.048826</v>
      </c>
      <c r="K647" s="68" t="b">
        <v>1</v>
      </c>
    </row>
    <row r="648" hidden="1">
      <c r="A648" s="75">
        <v>642.0</v>
      </c>
      <c r="B648" s="62" t="s">
        <v>356</v>
      </c>
      <c r="C648" s="62" t="s">
        <v>108</v>
      </c>
      <c r="D648" s="62" t="s">
        <v>475</v>
      </c>
      <c r="E648" s="76">
        <v>44124.0</v>
      </c>
      <c r="F648" s="77">
        <v>0.4166666666666667</v>
      </c>
      <c r="G648" s="62" t="b">
        <v>1</v>
      </c>
      <c r="H648" s="78" t="b">
        <f>IF(VLOOKUP(C648,Projetos!A:L,12,false)=TRUE,TRUE,FALSE)</f>
        <v>1</v>
      </c>
      <c r="I648" s="68">
        <v>150.60488258778258</v>
      </c>
      <c r="J648" s="68">
        <f t="shared" si="1"/>
        <v>1506.048826</v>
      </c>
      <c r="K648" s="68" t="b">
        <v>1</v>
      </c>
    </row>
    <row r="649" hidden="1">
      <c r="A649" s="75">
        <v>643.0</v>
      </c>
      <c r="B649" s="62" t="s">
        <v>356</v>
      </c>
      <c r="C649" s="62" t="s">
        <v>108</v>
      </c>
      <c r="D649" s="62" t="s">
        <v>475</v>
      </c>
      <c r="E649" s="76">
        <v>44125.0</v>
      </c>
      <c r="F649" s="77">
        <v>0.4166666666666667</v>
      </c>
      <c r="G649" s="62" t="b">
        <v>1</v>
      </c>
      <c r="H649" s="78" t="b">
        <f>IF(VLOOKUP(C649,Projetos!A:L,12,false)=TRUE,TRUE,FALSE)</f>
        <v>1</v>
      </c>
      <c r="I649" s="68">
        <v>150.60488258778258</v>
      </c>
      <c r="J649" s="68">
        <f t="shared" si="1"/>
        <v>1506.048826</v>
      </c>
      <c r="K649" s="68" t="b">
        <v>1</v>
      </c>
    </row>
    <row r="650" hidden="1">
      <c r="A650" s="75">
        <v>644.0</v>
      </c>
      <c r="B650" s="62" t="s">
        <v>356</v>
      </c>
      <c r="C650" s="62" t="s">
        <v>108</v>
      </c>
      <c r="D650" s="62" t="s">
        <v>475</v>
      </c>
      <c r="E650" s="76">
        <v>44126.0</v>
      </c>
      <c r="F650" s="77">
        <v>0.4166666666666667</v>
      </c>
      <c r="G650" s="62" t="b">
        <v>1</v>
      </c>
      <c r="H650" s="78" t="b">
        <f>IF(VLOOKUP(C650,Projetos!A:L,12,false)=TRUE,TRUE,FALSE)</f>
        <v>1</v>
      </c>
      <c r="I650" s="68">
        <v>150.60488258778258</v>
      </c>
      <c r="J650" s="68">
        <f t="shared" si="1"/>
        <v>1506.048826</v>
      </c>
      <c r="K650" s="68" t="b">
        <v>1</v>
      </c>
    </row>
    <row r="651" hidden="1">
      <c r="A651" s="75">
        <v>645.0</v>
      </c>
      <c r="B651" s="62" t="s">
        <v>356</v>
      </c>
      <c r="C651" s="62" t="s">
        <v>108</v>
      </c>
      <c r="D651" s="62" t="s">
        <v>476</v>
      </c>
      <c r="E651" s="76">
        <v>44131.0</v>
      </c>
      <c r="F651" s="77">
        <v>0.041666666666666664</v>
      </c>
      <c r="G651" s="62" t="b">
        <v>1</v>
      </c>
      <c r="H651" s="78" t="b">
        <f>IF(VLOOKUP(C651,Projetos!A:L,12,false)=TRUE,TRUE,FALSE)</f>
        <v>1</v>
      </c>
      <c r="I651" s="68">
        <v>150.60488258778258</v>
      </c>
      <c r="J651" s="68">
        <f t="shared" si="1"/>
        <v>150.6048826</v>
      </c>
      <c r="K651" s="68" t="b">
        <v>1</v>
      </c>
    </row>
    <row r="652" hidden="1">
      <c r="A652" s="75">
        <v>646.0</v>
      </c>
      <c r="B652" s="62" t="s">
        <v>356</v>
      </c>
      <c r="C652" s="62" t="s">
        <v>109</v>
      </c>
      <c r="D652" s="62" t="s">
        <v>477</v>
      </c>
      <c r="E652" s="76">
        <v>44106.0</v>
      </c>
      <c r="F652" s="77">
        <v>0.041666666666666664</v>
      </c>
      <c r="G652" s="62" t="b">
        <v>0</v>
      </c>
      <c r="H652" s="78" t="b">
        <f>IF(VLOOKUP(C652,Projetos!A:L,12,false)=TRUE,TRUE,FALSE)</f>
        <v>0</v>
      </c>
      <c r="I652" s="68">
        <v>150.60488258778258</v>
      </c>
      <c r="J652" s="68">
        <f t="shared" si="1"/>
        <v>0</v>
      </c>
      <c r="K652" s="68" t="b">
        <v>0</v>
      </c>
    </row>
    <row r="653" hidden="1">
      <c r="A653" s="75">
        <v>647.0</v>
      </c>
      <c r="B653" s="62" t="s">
        <v>356</v>
      </c>
      <c r="C653" s="62" t="s">
        <v>109</v>
      </c>
      <c r="D653" s="62" t="s">
        <v>478</v>
      </c>
      <c r="E653" s="76">
        <v>44112.0</v>
      </c>
      <c r="F653" s="77">
        <v>0.041666666666666664</v>
      </c>
      <c r="G653" s="62" t="b">
        <v>0</v>
      </c>
      <c r="H653" s="78" t="b">
        <f>IF(VLOOKUP(C653,Projetos!A:L,12,false)=TRUE,TRUE,FALSE)</f>
        <v>0</v>
      </c>
      <c r="I653" s="68">
        <v>150.60488258778258</v>
      </c>
      <c r="J653" s="68">
        <f t="shared" si="1"/>
        <v>0</v>
      </c>
      <c r="K653" s="68" t="b">
        <v>0</v>
      </c>
    </row>
    <row r="654">
      <c r="A654" s="75">
        <v>648.0</v>
      </c>
      <c r="B654" s="62" t="s">
        <v>356</v>
      </c>
      <c r="C654" s="62" t="s">
        <v>90</v>
      </c>
      <c r="D654" s="62" t="s">
        <v>463</v>
      </c>
      <c r="E654" s="76">
        <v>44141.0</v>
      </c>
      <c r="F654" s="77">
        <v>0.041666666666666664</v>
      </c>
      <c r="G654" s="62" t="b">
        <v>1</v>
      </c>
      <c r="H654" s="78" t="b">
        <f>IF(VLOOKUP(C654,Projetos!A:L,12,false)=TRUE,TRUE,FALSE)</f>
        <v>1</v>
      </c>
      <c r="I654" s="68">
        <v>146.1168501836547</v>
      </c>
      <c r="J654" s="68">
        <f t="shared" si="1"/>
        <v>146.1168502</v>
      </c>
      <c r="K654" s="68" t="b">
        <v>1</v>
      </c>
    </row>
    <row r="655">
      <c r="A655" s="75">
        <v>649.0</v>
      </c>
      <c r="B655" s="62" t="s">
        <v>356</v>
      </c>
      <c r="C655" s="62" t="s">
        <v>98</v>
      </c>
      <c r="D655" s="62" t="s">
        <v>479</v>
      </c>
      <c r="E655" s="76">
        <v>44144.0</v>
      </c>
      <c r="F655" s="77">
        <v>0.041666666666666664</v>
      </c>
      <c r="G655" s="62" t="b">
        <v>1</v>
      </c>
      <c r="H655" s="78" t="b">
        <f>IF(VLOOKUP(C655,Projetos!A:L,12,false)=TRUE,TRUE,FALSE)</f>
        <v>1</v>
      </c>
      <c r="I655" s="68">
        <v>146.1168501836547</v>
      </c>
      <c r="J655" s="68">
        <f t="shared" si="1"/>
        <v>146.1168502</v>
      </c>
      <c r="K655" s="68" t="b">
        <v>1</v>
      </c>
    </row>
    <row r="656" hidden="1">
      <c r="A656" s="75">
        <v>650.0</v>
      </c>
      <c r="B656" s="62" t="s">
        <v>356</v>
      </c>
      <c r="C656" s="62" t="s">
        <v>90</v>
      </c>
      <c r="D656" s="62" t="s">
        <v>480</v>
      </c>
      <c r="E656" s="76">
        <v>44144.0</v>
      </c>
      <c r="F656" s="77">
        <v>0.041666666666666664</v>
      </c>
      <c r="G656" s="62" t="b">
        <v>0</v>
      </c>
      <c r="H656" s="78" t="b">
        <f>IF(VLOOKUP(C656,Projetos!A:L,12,false)=TRUE,TRUE,FALSE)</f>
        <v>1</v>
      </c>
      <c r="I656" s="68">
        <v>146.1168501836547</v>
      </c>
      <c r="J656" s="68">
        <f t="shared" si="1"/>
        <v>0</v>
      </c>
      <c r="K656" s="68" t="b">
        <v>1</v>
      </c>
    </row>
    <row r="657">
      <c r="A657" s="75">
        <v>651.0</v>
      </c>
      <c r="B657" s="62" t="s">
        <v>356</v>
      </c>
      <c r="C657" s="62" t="s">
        <v>97</v>
      </c>
      <c r="D657" s="62" t="s">
        <v>481</v>
      </c>
      <c r="E657" s="76">
        <v>44145.0</v>
      </c>
      <c r="F657" s="77">
        <v>0.041666666666666664</v>
      </c>
      <c r="G657" s="62" t="b">
        <v>1</v>
      </c>
      <c r="H657" s="78" t="b">
        <f>IF(VLOOKUP(C657,Projetos!A:L,12,false)=TRUE,TRUE,FALSE)</f>
        <v>1</v>
      </c>
      <c r="I657" s="68">
        <v>146.1168501836547</v>
      </c>
      <c r="J657" s="68">
        <f t="shared" si="1"/>
        <v>146.1168502</v>
      </c>
      <c r="K657" s="68" t="b">
        <v>1</v>
      </c>
    </row>
    <row r="658" hidden="1">
      <c r="A658" s="75">
        <v>652.0</v>
      </c>
      <c r="B658" s="62" t="s">
        <v>356</v>
      </c>
      <c r="C658" s="62" t="s">
        <v>98</v>
      </c>
      <c r="D658" s="62" t="s">
        <v>482</v>
      </c>
      <c r="E658" s="76">
        <v>44146.0</v>
      </c>
      <c r="F658" s="77">
        <v>0.08125</v>
      </c>
      <c r="G658" s="62" t="b">
        <v>0</v>
      </c>
      <c r="H658" s="78" t="b">
        <f>IF(VLOOKUP(C658,Projetos!A:L,12,false)=TRUE,TRUE,FALSE)</f>
        <v>1</v>
      </c>
      <c r="I658" s="68">
        <v>146.1168501836547</v>
      </c>
      <c r="J658" s="68">
        <f t="shared" si="1"/>
        <v>0</v>
      </c>
      <c r="K658" s="68" t="b">
        <v>1</v>
      </c>
    </row>
    <row r="659">
      <c r="A659" s="75">
        <v>653.0</v>
      </c>
      <c r="B659" s="62" t="s">
        <v>356</v>
      </c>
      <c r="C659" s="62" t="s">
        <v>90</v>
      </c>
      <c r="D659" s="62" t="s">
        <v>463</v>
      </c>
      <c r="E659" s="76">
        <v>44147.0</v>
      </c>
      <c r="F659" s="77">
        <v>0.041666666666666664</v>
      </c>
      <c r="G659" s="62" t="b">
        <v>1</v>
      </c>
      <c r="H659" s="78" t="b">
        <f>IF(VLOOKUP(C659,Projetos!A:L,12,false)=TRUE,TRUE,FALSE)</f>
        <v>1</v>
      </c>
      <c r="I659" s="68">
        <v>146.1168501836547</v>
      </c>
      <c r="J659" s="68">
        <f t="shared" si="1"/>
        <v>146.1168502</v>
      </c>
      <c r="K659" s="68" t="b">
        <v>1</v>
      </c>
    </row>
    <row r="660">
      <c r="A660" s="75">
        <v>654.0</v>
      </c>
      <c r="B660" s="62" t="s">
        <v>356</v>
      </c>
      <c r="C660" s="62" t="s">
        <v>90</v>
      </c>
      <c r="D660" s="62" t="s">
        <v>463</v>
      </c>
      <c r="E660" s="76">
        <v>44148.0</v>
      </c>
      <c r="F660" s="77">
        <v>0.041666666666666664</v>
      </c>
      <c r="G660" s="62" t="b">
        <v>1</v>
      </c>
      <c r="H660" s="78" t="b">
        <f>IF(VLOOKUP(C660,Projetos!A:L,12,false)=TRUE,TRUE,FALSE)</f>
        <v>1</v>
      </c>
      <c r="I660" s="68">
        <v>146.1168501836547</v>
      </c>
      <c r="J660" s="68">
        <f t="shared" si="1"/>
        <v>146.1168502</v>
      </c>
      <c r="K660" s="68" t="b">
        <v>1</v>
      </c>
    </row>
    <row r="661" hidden="1">
      <c r="A661" s="75">
        <v>655.0</v>
      </c>
      <c r="B661" s="62" t="s">
        <v>356</v>
      </c>
      <c r="C661" s="62" t="s">
        <v>83</v>
      </c>
      <c r="D661" s="62" t="s">
        <v>483</v>
      </c>
      <c r="E661" s="76">
        <v>44148.0</v>
      </c>
      <c r="F661" s="77">
        <v>0.0625</v>
      </c>
      <c r="G661" s="62" t="b">
        <v>0</v>
      </c>
      <c r="H661" s="78" t="b">
        <f>IF(VLOOKUP(C661,Projetos!A:L,12,false)=TRUE,TRUE,FALSE)</f>
        <v>0</v>
      </c>
      <c r="I661" s="68">
        <v>146.1168501836547</v>
      </c>
      <c r="J661" s="68">
        <f t="shared" si="1"/>
        <v>0</v>
      </c>
      <c r="K661" s="68" t="b">
        <v>0</v>
      </c>
    </row>
    <row r="662" hidden="1">
      <c r="A662" s="75">
        <v>656.0</v>
      </c>
      <c r="B662" s="62" t="s">
        <v>356</v>
      </c>
      <c r="C662" s="62" t="s">
        <v>83</v>
      </c>
      <c r="D662" s="62" t="s">
        <v>484</v>
      </c>
      <c r="E662" s="76">
        <v>44151.0</v>
      </c>
      <c r="F662" s="77">
        <v>0.0625</v>
      </c>
      <c r="G662" s="62" t="b">
        <v>0</v>
      </c>
      <c r="H662" s="78" t="b">
        <f>IF(VLOOKUP(C662,Projetos!A:L,12,false)=TRUE,TRUE,FALSE)</f>
        <v>0</v>
      </c>
      <c r="I662" s="68">
        <v>146.1168501836547</v>
      </c>
      <c r="J662" s="68">
        <f t="shared" si="1"/>
        <v>0</v>
      </c>
      <c r="K662" s="68" t="b">
        <v>0</v>
      </c>
    </row>
    <row r="663">
      <c r="A663" s="75">
        <v>657.0</v>
      </c>
      <c r="B663" s="62" t="s">
        <v>356</v>
      </c>
      <c r="C663" s="62" t="s">
        <v>98</v>
      </c>
      <c r="D663" s="62" t="s">
        <v>485</v>
      </c>
      <c r="E663" s="76">
        <v>44152.0</v>
      </c>
      <c r="F663" s="77">
        <v>0.041666666666666664</v>
      </c>
      <c r="G663" s="62" t="b">
        <v>1</v>
      </c>
      <c r="H663" s="78" t="b">
        <f>IF(VLOOKUP(C663,Projetos!A:L,12,false)=TRUE,TRUE,FALSE)</f>
        <v>1</v>
      </c>
      <c r="I663" s="68">
        <v>146.1168501836547</v>
      </c>
      <c r="J663" s="68">
        <f t="shared" si="1"/>
        <v>146.1168502</v>
      </c>
      <c r="K663" s="68" t="b">
        <v>1</v>
      </c>
    </row>
    <row r="664" hidden="1">
      <c r="A664" s="75">
        <v>658.0</v>
      </c>
      <c r="B664" s="62" t="s">
        <v>356</v>
      </c>
      <c r="C664" s="62" t="s">
        <v>83</v>
      </c>
      <c r="D664" s="62" t="s">
        <v>484</v>
      </c>
      <c r="E664" s="76">
        <v>44153.0</v>
      </c>
      <c r="F664" s="77">
        <v>0.041666666666666664</v>
      </c>
      <c r="G664" s="62" t="b">
        <v>0</v>
      </c>
      <c r="H664" s="78" t="b">
        <f>IF(VLOOKUP(C664,Projetos!A:L,12,false)=TRUE,TRUE,FALSE)</f>
        <v>0</v>
      </c>
      <c r="I664" s="68">
        <v>146.1168501836547</v>
      </c>
      <c r="J664" s="68">
        <f t="shared" si="1"/>
        <v>0</v>
      </c>
      <c r="K664" s="68" t="b">
        <v>0</v>
      </c>
    </row>
    <row r="665" hidden="1">
      <c r="A665" s="75">
        <v>659.0</v>
      </c>
      <c r="B665" s="62" t="s">
        <v>356</v>
      </c>
      <c r="C665" s="62" t="s">
        <v>108</v>
      </c>
      <c r="D665" s="62" t="s">
        <v>486</v>
      </c>
      <c r="E665" s="76">
        <v>44154.0</v>
      </c>
      <c r="F665" s="77">
        <v>0.08333333333333333</v>
      </c>
      <c r="G665" s="62" t="b">
        <v>0</v>
      </c>
      <c r="H665" s="78" t="b">
        <f>IF(VLOOKUP(C665,Projetos!A:L,12,false)=TRUE,TRUE,FALSE)</f>
        <v>1</v>
      </c>
      <c r="I665" s="68">
        <v>146.1168501836547</v>
      </c>
      <c r="J665" s="68">
        <f t="shared" si="1"/>
        <v>0</v>
      </c>
      <c r="K665" s="68" t="b">
        <v>1</v>
      </c>
    </row>
    <row r="666" hidden="1">
      <c r="A666" s="75">
        <v>660.0</v>
      </c>
      <c r="B666" s="62" t="s">
        <v>356</v>
      </c>
      <c r="C666" s="62" t="s">
        <v>111</v>
      </c>
      <c r="D666" s="62" t="s">
        <v>487</v>
      </c>
      <c r="E666" s="76">
        <v>44154.0</v>
      </c>
      <c r="F666" s="77">
        <v>0.041666666666666664</v>
      </c>
      <c r="G666" s="62" t="b">
        <v>0</v>
      </c>
      <c r="H666" s="78" t="b">
        <f>IF(VLOOKUP(C666,Projetos!A:L,12,false)=TRUE,TRUE,FALSE)</f>
        <v>0</v>
      </c>
      <c r="I666" s="68">
        <v>146.1168501836547</v>
      </c>
      <c r="J666" s="68">
        <f t="shared" si="1"/>
        <v>0</v>
      </c>
      <c r="K666" s="68" t="b">
        <v>0</v>
      </c>
    </row>
    <row r="667">
      <c r="A667" s="75">
        <v>661.0</v>
      </c>
      <c r="B667" s="62" t="s">
        <v>356</v>
      </c>
      <c r="C667" s="62" t="s">
        <v>116</v>
      </c>
      <c r="D667" s="62" t="s">
        <v>488</v>
      </c>
      <c r="E667" s="76">
        <v>44158.0</v>
      </c>
      <c r="F667" s="77">
        <v>0.041666666666666664</v>
      </c>
      <c r="G667" s="62" t="b">
        <v>1</v>
      </c>
      <c r="H667" s="78" t="b">
        <f>IF(VLOOKUP(C667,Projetos!A:L,12,false)=TRUE,TRUE,FALSE)</f>
        <v>1</v>
      </c>
      <c r="I667" s="68">
        <v>146.1168501836547</v>
      </c>
      <c r="J667" s="68">
        <f t="shared" si="1"/>
        <v>146.1168502</v>
      </c>
      <c r="K667" s="68" t="b">
        <v>1</v>
      </c>
    </row>
    <row r="668" hidden="1">
      <c r="A668" s="75">
        <v>662.0</v>
      </c>
      <c r="B668" s="62" t="s">
        <v>356</v>
      </c>
      <c r="C668" s="62" t="s">
        <v>111</v>
      </c>
      <c r="D668" s="62" t="s">
        <v>489</v>
      </c>
      <c r="E668" s="76">
        <v>44158.0</v>
      </c>
      <c r="F668" s="77">
        <v>0.041666666666666664</v>
      </c>
      <c r="G668" s="62" t="b">
        <v>0</v>
      </c>
      <c r="H668" s="78" t="b">
        <f>IF(VLOOKUP(C668,Projetos!A:L,12,false)=TRUE,TRUE,FALSE)</f>
        <v>0</v>
      </c>
      <c r="I668" s="68">
        <v>146.1168501836547</v>
      </c>
      <c r="J668" s="68">
        <f t="shared" si="1"/>
        <v>0</v>
      </c>
      <c r="K668" s="68" t="b">
        <v>0</v>
      </c>
    </row>
    <row r="669">
      <c r="A669" s="75">
        <v>663.0</v>
      </c>
      <c r="B669" s="62" t="s">
        <v>356</v>
      </c>
      <c r="C669" s="62" t="s">
        <v>90</v>
      </c>
      <c r="D669" s="62" t="s">
        <v>490</v>
      </c>
      <c r="E669" s="76">
        <v>44158.0</v>
      </c>
      <c r="F669" s="77">
        <v>0.041666666666666664</v>
      </c>
      <c r="G669" s="62" t="b">
        <v>1</v>
      </c>
      <c r="H669" s="78" t="b">
        <f>IF(VLOOKUP(C669,Projetos!A:L,12,false)=TRUE,TRUE,FALSE)</f>
        <v>1</v>
      </c>
      <c r="I669" s="68">
        <v>146.1168501836547</v>
      </c>
      <c r="J669" s="68">
        <f t="shared" si="1"/>
        <v>146.1168502</v>
      </c>
      <c r="K669" s="68" t="b">
        <v>1</v>
      </c>
    </row>
    <row r="670" hidden="1">
      <c r="A670" s="75">
        <v>664.0</v>
      </c>
      <c r="B670" s="62" t="s">
        <v>356</v>
      </c>
      <c r="C670" s="62" t="s">
        <v>102</v>
      </c>
      <c r="D670" s="62" t="s">
        <v>491</v>
      </c>
      <c r="E670" s="76">
        <v>44159.0</v>
      </c>
      <c r="F670" s="77">
        <v>0.041666666666666664</v>
      </c>
      <c r="G670" s="62" t="b">
        <v>0</v>
      </c>
      <c r="H670" s="78" t="b">
        <f>IF(VLOOKUP(C670,Projetos!A:L,12,false)=TRUE,TRUE,FALSE)</f>
        <v>0</v>
      </c>
      <c r="I670" s="68">
        <v>146.1168501836547</v>
      </c>
      <c r="J670" s="68">
        <f t="shared" si="1"/>
        <v>0</v>
      </c>
      <c r="K670" s="68" t="b">
        <v>0</v>
      </c>
    </row>
    <row r="671" hidden="1">
      <c r="A671" s="75">
        <v>665.0</v>
      </c>
      <c r="B671" s="62" t="s">
        <v>356</v>
      </c>
      <c r="C671" s="62" t="s">
        <v>83</v>
      </c>
      <c r="D671" s="62" t="s">
        <v>484</v>
      </c>
      <c r="E671" s="76">
        <v>44159.0</v>
      </c>
      <c r="F671" s="77">
        <v>0.041666666666666664</v>
      </c>
      <c r="G671" s="62" t="b">
        <v>0</v>
      </c>
      <c r="H671" s="78" t="b">
        <f>IF(VLOOKUP(C671,Projetos!A:L,12,false)=TRUE,TRUE,FALSE)</f>
        <v>0</v>
      </c>
      <c r="I671" s="68">
        <v>146.1168501836547</v>
      </c>
      <c r="J671" s="68">
        <f t="shared" si="1"/>
        <v>0</v>
      </c>
      <c r="K671" s="68" t="b">
        <v>0</v>
      </c>
    </row>
    <row r="672">
      <c r="A672" s="75">
        <v>666.0</v>
      </c>
      <c r="B672" s="62" t="s">
        <v>356</v>
      </c>
      <c r="C672" s="62" t="s">
        <v>116</v>
      </c>
      <c r="D672" s="62" t="s">
        <v>488</v>
      </c>
      <c r="E672" s="76">
        <v>44160.0</v>
      </c>
      <c r="F672" s="77">
        <v>0.041666666666666664</v>
      </c>
      <c r="G672" s="62" t="b">
        <v>1</v>
      </c>
      <c r="H672" s="78" t="b">
        <f>IF(VLOOKUP(C672,Projetos!A:L,12,false)=TRUE,TRUE,FALSE)</f>
        <v>1</v>
      </c>
      <c r="I672" s="68">
        <v>146.1168501836547</v>
      </c>
      <c r="J672" s="68">
        <f t="shared" si="1"/>
        <v>146.1168502</v>
      </c>
      <c r="K672" s="68" t="b">
        <v>1</v>
      </c>
    </row>
    <row r="673">
      <c r="A673" s="75">
        <v>667.0</v>
      </c>
      <c r="B673" s="62" t="s">
        <v>356</v>
      </c>
      <c r="C673" s="62" t="s">
        <v>116</v>
      </c>
      <c r="D673" s="62" t="s">
        <v>492</v>
      </c>
      <c r="E673" s="76">
        <v>44160.0</v>
      </c>
      <c r="F673" s="77">
        <v>0.041666666666666664</v>
      </c>
      <c r="G673" s="62" t="b">
        <v>1</v>
      </c>
      <c r="H673" s="78" t="b">
        <f>IF(VLOOKUP(C673,Projetos!A:L,12,false)=TRUE,TRUE,FALSE)</f>
        <v>1</v>
      </c>
      <c r="I673" s="68">
        <v>146.1168501836547</v>
      </c>
      <c r="J673" s="68">
        <f t="shared" si="1"/>
        <v>146.1168502</v>
      </c>
      <c r="K673" s="68" t="b">
        <v>1</v>
      </c>
    </row>
    <row r="674" hidden="1">
      <c r="A674" s="75">
        <v>668.0</v>
      </c>
      <c r="B674" s="62" t="s">
        <v>356</v>
      </c>
      <c r="C674" s="62" t="s">
        <v>102</v>
      </c>
      <c r="D674" s="62" t="s">
        <v>493</v>
      </c>
      <c r="E674" s="76">
        <v>44161.0</v>
      </c>
      <c r="F674" s="77">
        <v>0.041666666666666664</v>
      </c>
      <c r="G674" s="62" t="b">
        <v>0</v>
      </c>
      <c r="H674" s="78" t="b">
        <f>IF(VLOOKUP(C674,Projetos!A:L,12,false)=TRUE,TRUE,FALSE)</f>
        <v>0</v>
      </c>
      <c r="I674" s="68">
        <v>146.1168501836547</v>
      </c>
      <c r="J674" s="68">
        <f t="shared" si="1"/>
        <v>0</v>
      </c>
      <c r="K674" s="68" t="b">
        <v>0</v>
      </c>
    </row>
    <row r="675" hidden="1">
      <c r="A675" s="75">
        <v>669.0</v>
      </c>
      <c r="B675" s="62" t="s">
        <v>356</v>
      </c>
      <c r="C675" s="62" t="s">
        <v>83</v>
      </c>
      <c r="D675" s="62" t="s">
        <v>494</v>
      </c>
      <c r="E675" s="76">
        <v>44162.0</v>
      </c>
      <c r="F675" s="77">
        <v>0.08333333333333333</v>
      </c>
      <c r="G675" s="62" t="b">
        <v>0</v>
      </c>
      <c r="H675" s="78" t="b">
        <f>IF(VLOOKUP(C675,Projetos!A:L,12,false)=TRUE,TRUE,FALSE)</f>
        <v>0</v>
      </c>
      <c r="I675" s="68">
        <v>146.1168501836547</v>
      </c>
      <c r="J675" s="68">
        <f t="shared" si="1"/>
        <v>0</v>
      </c>
      <c r="K675" s="68" t="b">
        <v>0</v>
      </c>
    </row>
    <row r="676" hidden="1">
      <c r="A676" s="75">
        <v>670.0</v>
      </c>
      <c r="B676" s="62" t="s">
        <v>356</v>
      </c>
      <c r="C676" s="62" t="s">
        <v>83</v>
      </c>
      <c r="D676" s="62" t="s">
        <v>495</v>
      </c>
      <c r="E676" s="76">
        <v>44166.0</v>
      </c>
      <c r="F676" s="77">
        <v>0.041666666666666664</v>
      </c>
      <c r="G676" s="62" t="b">
        <v>0</v>
      </c>
      <c r="H676" s="78" t="b">
        <f>IF(VLOOKUP(C676,Projetos!A:L,12,false)=TRUE,TRUE,FALSE)</f>
        <v>0</v>
      </c>
      <c r="I676" s="68">
        <v>153.0747954304954</v>
      </c>
      <c r="J676" s="68">
        <f t="shared" si="1"/>
        <v>0</v>
      </c>
      <c r="K676" s="68" t="b">
        <v>0</v>
      </c>
    </row>
    <row r="677">
      <c r="A677" s="75">
        <v>671.0</v>
      </c>
      <c r="B677" s="62" t="s">
        <v>356</v>
      </c>
      <c r="C677" s="62" t="s">
        <v>98</v>
      </c>
      <c r="D677" s="62" t="s">
        <v>496</v>
      </c>
      <c r="E677" s="76">
        <v>44167.0</v>
      </c>
      <c r="F677" s="77">
        <v>0.08333333333333333</v>
      </c>
      <c r="G677" s="62" t="b">
        <v>1</v>
      </c>
      <c r="H677" s="78" t="b">
        <f>IF(VLOOKUP(C677,Projetos!A:L,12,false)=TRUE,TRUE,FALSE)</f>
        <v>1</v>
      </c>
      <c r="I677" s="68">
        <v>153.0747954304954</v>
      </c>
      <c r="J677" s="68">
        <f t="shared" si="1"/>
        <v>306.1495909</v>
      </c>
      <c r="K677" s="68" t="b">
        <v>1</v>
      </c>
    </row>
    <row r="678" hidden="1">
      <c r="A678" s="75">
        <v>672.0</v>
      </c>
      <c r="B678" s="62" t="s">
        <v>356</v>
      </c>
      <c r="C678" s="62" t="s">
        <v>102</v>
      </c>
      <c r="D678" s="62" t="s">
        <v>497</v>
      </c>
      <c r="E678" s="76">
        <v>44168.0</v>
      </c>
      <c r="F678" s="77">
        <v>0.041666666666666664</v>
      </c>
      <c r="G678" s="62" t="b">
        <v>0</v>
      </c>
      <c r="H678" s="78" t="b">
        <f>IF(VLOOKUP(C678,Projetos!A:L,12,false)=TRUE,TRUE,FALSE)</f>
        <v>0</v>
      </c>
      <c r="I678" s="68">
        <v>153.0747954304954</v>
      </c>
      <c r="J678" s="68">
        <f t="shared" si="1"/>
        <v>0</v>
      </c>
      <c r="K678" s="68" t="b">
        <v>0</v>
      </c>
    </row>
    <row r="679" hidden="1">
      <c r="A679" s="75">
        <v>673.0</v>
      </c>
      <c r="B679" s="62" t="s">
        <v>356</v>
      </c>
      <c r="C679" s="62" t="s">
        <v>102</v>
      </c>
      <c r="D679" s="62" t="s">
        <v>498</v>
      </c>
      <c r="E679" s="76">
        <v>44168.0</v>
      </c>
      <c r="F679" s="77">
        <v>0.041666666666666664</v>
      </c>
      <c r="G679" s="62" t="b">
        <v>0</v>
      </c>
      <c r="H679" s="78" t="b">
        <f>IF(VLOOKUP(C679,Projetos!A:L,12,false)=TRUE,TRUE,FALSE)</f>
        <v>0</v>
      </c>
      <c r="I679" s="68">
        <v>153.0747954304954</v>
      </c>
      <c r="J679" s="68">
        <f t="shared" si="1"/>
        <v>0</v>
      </c>
      <c r="K679" s="68" t="b">
        <v>0</v>
      </c>
    </row>
    <row r="680" hidden="1">
      <c r="A680" s="75">
        <v>674.0</v>
      </c>
      <c r="B680" s="62" t="s">
        <v>356</v>
      </c>
      <c r="C680" s="62" t="s">
        <v>111</v>
      </c>
      <c r="D680" s="62" t="s">
        <v>499</v>
      </c>
      <c r="E680" s="76">
        <v>44168.0</v>
      </c>
      <c r="F680" s="77">
        <v>0.041666666666666664</v>
      </c>
      <c r="G680" s="62" t="b">
        <v>0</v>
      </c>
      <c r="H680" s="78" t="b">
        <f>IF(VLOOKUP(C680,Projetos!A:L,12,false)=TRUE,TRUE,FALSE)</f>
        <v>0</v>
      </c>
      <c r="I680" s="68">
        <v>153.0747954304954</v>
      </c>
      <c r="J680" s="68">
        <f t="shared" si="1"/>
        <v>0</v>
      </c>
      <c r="K680" s="68" t="b">
        <v>0</v>
      </c>
    </row>
    <row r="681">
      <c r="A681" s="75">
        <v>675.0</v>
      </c>
      <c r="B681" s="62" t="s">
        <v>356</v>
      </c>
      <c r="C681" s="62" t="s">
        <v>90</v>
      </c>
      <c r="D681" s="62" t="s">
        <v>463</v>
      </c>
      <c r="E681" s="76">
        <v>44169.0</v>
      </c>
      <c r="F681" s="77">
        <v>0.041666666666666664</v>
      </c>
      <c r="G681" s="62" t="b">
        <v>1</v>
      </c>
      <c r="H681" s="78" t="b">
        <f>IF(VLOOKUP(C681,Projetos!A:L,12,false)=TRUE,TRUE,FALSE)</f>
        <v>1</v>
      </c>
      <c r="I681" s="68">
        <v>153.0747954304954</v>
      </c>
      <c r="J681" s="68">
        <f t="shared" si="1"/>
        <v>153.0747954</v>
      </c>
      <c r="K681" s="68" t="b">
        <v>1</v>
      </c>
    </row>
    <row r="682" hidden="1">
      <c r="A682" s="75">
        <v>676.0</v>
      </c>
      <c r="B682" s="62" t="s">
        <v>356</v>
      </c>
      <c r="C682" s="62" t="s">
        <v>111</v>
      </c>
      <c r="D682" s="62" t="s">
        <v>499</v>
      </c>
      <c r="E682" s="76">
        <v>44169.0</v>
      </c>
      <c r="F682" s="77">
        <v>0.041666666666666664</v>
      </c>
      <c r="G682" s="62" t="b">
        <v>0</v>
      </c>
      <c r="H682" s="78" t="b">
        <f>IF(VLOOKUP(C682,Projetos!A:L,12,false)=TRUE,TRUE,FALSE)</f>
        <v>0</v>
      </c>
      <c r="I682" s="68">
        <v>153.0747954304954</v>
      </c>
      <c r="J682" s="68">
        <f t="shared" si="1"/>
        <v>0</v>
      </c>
      <c r="K682" s="68" t="b">
        <v>0</v>
      </c>
    </row>
    <row r="683" hidden="1">
      <c r="A683" s="75">
        <v>677.0</v>
      </c>
      <c r="B683" s="62" t="s">
        <v>356</v>
      </c>
      <c r="C683" s="62" t="s">
        <v>83</v>
      </c>
      <c r="D683" s="62" t="s">
        <v>500</v>
      </c>
      <c r="E683" s="76">
        <v>44172.0</v>
      </c>
      <c r="F683" s="77">
        <v>0.041666666666666664</v>
      </c>
      <c r="G683" s="62" t="b">
        <v>0</v>
      </c>
      <c r="H683" s="78" t="b">
        <f>IF(VLOOKUP(C683,Projetos!A:L,12,false)=TRUE,TRUE,FALSE)</f>
        <v>0</v>
      </c>
      <c r="I683" s="68">
        <v>153.0747954304954</v>
      </c>
      <c r="J683" s="68">
        <f t="shared" si="1"/>
        <v>0</v>
      </c>
      <c r="K683" s="68" t="b">
        <v>0</v>
      </c>
    </row>
    <row r="684">
      <c r="A684" s="75">
        <v>678.0</v>
      </c>
      <c r="B684" s="62" t="s">
        <v>356</v>
      </c>
      <c r="C684" s="62" t="s">
        <v>89</v>
      </c>
      <c r="D684" s="62" t="s">
        <v>501</v>
      </c>
      <c r="E684" s="76">
        <v>44172.0</v>
      </c>
      <c r="F684" s="77">
        <v>0.0625</v>
      </c>
      <c r="G684" s="62" t="b">
        <v>1</v>
      </c>
      <c r="H684" s="78" t="b">
        <f>IF(VLOOKUP(C684,Projetos!A:L,12,false)=TRUE,TRUE,FALSE)</f>
        <v>1</v>
      </c>
      <c r="I684" s="68">
        <v>153.0747954304954</v>
      </c>
      <c r="J684" s="68">
        <f t="shared" si="1"/>
        <v>229.6121931</v>
      </c>
      <c r="K684" s="68" t="b">
        <v>1</v>
      </c>
    </row>
    <row r="685">
      <c r="A685" s="75">
        <v>679.0</v>
      </c>
      <c r="B685" s="62" t="s">
        <v>356</v>
      </c>
      <c r="C685" s="62" t="s">
        <v>90</v>
      </c>
      <c r="D685" s="62" t="s">
        <v>502</v>
      </c>
      <c r="E685" s="76">
        <v>44173.0</v>
      </c>
      <c r="F685" s="77">
        <v>0.125</v>
      </c>
      <c r="G685" s="62" t="b">
        <v>1</v>
      </c>
      <c r="H685" s="78" t="b">
        <f>IF(VLOOKUP(C685,Projetos!A:L,12,false)=TRUE,TRUE,FALSE)</f>
        <v>1</v>
      </c>
      <c r="I685" s="68">
        <v>153.0747954304954</v>
      </c>
      <c r="J685" s="68">
        <f t="shared" si="1"/>
        <v>459.2243863</v>
      </c>
      <c r="K685" s="68" t="b">
        <v>1</v>
      </c>
    </row>
    <row r="686" hidden="1">
      <c r="A686" s="75">
        <v>680.0</v>
      </c>
      <c r="B686" s="62" t="s">
        <v>356</v>
      </c>
      <c r="C686" s="62" t="s">
        <v>83</v>
      </c>
      <c r="D686" s="62" t="s">
        <v>483</v>
      </c>
      <c r="E686" s="76">
        <v>44173.0</v>
      </c>
      <c r="F686" s="77">
        <v>0.125</v>
      </c>
      <c r="G686" s="62" t="b">
        <v>0</v>
      </c>
      <c r="H686" s="78" t="b">
        <f>IF(VLOOKUP(C686,Projetos!A:L,12,false)=TRUE,TRUE,FALSE)</f>
        <v>0</v>
      </c>
      <c r="I686" s="68">
        <v>153.0747954304954</v>
      </c>
      <c r="J686" s="68">
        <f t="shared" si="1"/>
        <v>0</v>
      </c>
      <c r="K686" s="68" t="b">
        <v>0</v>
      </c>
    </row>
    <row r="687" hidden="1">
      <c r="A687" s="75">
        <v>681.0</v>
      </c>
      <c r="B687" s="62" t="s">
        <v>356</v>
      </c>
      <c r="C687" s="62" t="s">
        <v>138</v>
      </c>
      <c r="D687" s="62" t="s">
        <v>503</v>
      </c>
      <c r="E687" s="76">
        <v>44175.0</v>
      </c>
      <c r="F687" s="77">
        <v>0.041666666666666664</v>
      </c>
      <c r="G687" s="62" t="b">
        <v>0</v>
      </c>
      <c r="H687" s="78" t="b">
        <f>IF(VLOOKUP(C687,Projetos!A:L,12,false)=TRUE,TRUE,FALSE)</f>
        <v>1</v>
      </c>
      <c r="I687" s="68">
        <v>153.0747954304954</v>
      </c>
      <c r="J687" s="68">
        <f t="shared" si="1"/>
        <v>0</v>
      </c>
      <c r="K687" s="68" t="b">
        <v>1</v>
      </c>
    </row>
    <row r="688" hidden="1">
      <c r="A688" s="75">
        <v>682.0</v>
      </c>
      <c r="B688" s="62" t="s">
        <v>356</v>
      </c>
      <c r="C688" s="62" t="s">
        <v>97</v>
      </c>
      <c r="D688" s="62" t="s">
        <v>504</v>
      </c>
      <c r="E688" s="76">
        <v>44179.0</v>
      </c>
      <c r="F688" s="77">
        <v>0.0625</v>
      </c>
      <c r="G688" s="62" t="b">
        <v>0</v>
      </c>
      <c r="H688" s="78" t="b">
        <f>IF(VLOOKUP(C688,Projetos!A:L,12,false)=TRUE,TRUE,FALSE)</f>
        <v>1</v>
      </c>
      <c r="I688" s="68">
        <v>153.0747954304954</v>
      </c>
      <c r="J688" s="68">
        <f t="shared" si="1"/>
        <v>0</v>
      </c>
      <c r="K688" s="68" t="b">
        <v>1</v>
      </c>
    </row>
    <row r="689" hidden="1">
      <c r="A689" s="75">
        <v>683.0</v>
      </c>
      <c r="B689" s="62" t="s">
        <v>356</v>
      </c>
      <c r="C689" s="62" t="s">
        <v>104</v>
      </c>
      <c r="D689" s="62" t="s">
        <v>505</v>
      </c>
      <c r="E689" s="76">
        <v>44179.0</v>
      </c>
      <c r="F689" s="77">
        <v>0.041666666666666664</v>
      </c>
      <c r="G689" s="62" t="b">
        <v>0</v>
      </c>
      <c r="H689" s="78" t="b">
        <f>IF(VLOOKUP(C689,Projetos!A:L,12,false)=TRUE,TRUE,FALSE)</f>
        <v>1</v>
      </c>
      <c r="I689" s="68">
        <v>153.0747954304954</v>
      </c>
      <c r="J689" s="68">
        <f t="shared" si="1"/>
        <v>0</v>
      </c>
      <c r="K689" s="68" t="b">
        <v>1</v>
      </c>
    </row>
    <row r="690">
      <c r="A690" s="75">
        <v>684.0</v>
      </c>
      <c r="B690" s="62" t="s">
        <v>356</v>
      </c>
      <c r="C690" s="62" t="s">
        <v>112</v>
      </c>
      <c r="D690" s="62" t="s">
        <v>506</v>
      </c>
      <c r="E690" s="76">
        <v>44180.0</v>
      </c>
      <c r="F690" s="77">
        <v>0.041666666666666664</v>
      </c>
      <c r="G690" s="62" t="b">
        <v>1</v>
      </c>
      <c r="H690" s="78" t="b">
        <f>IF(VLOOKUP(C690,Projetos!A:L,12,false)=TRUE,TRUE,FALSE)</f>
        <v>1</v>
      </c>
      <c r="I690" s="68">
        <v>153.0747954304954</v>
      </c>
      <c r="J690" s="68">
        <f t="shared" si="1"/>
        <v>153.0747954</v>
      </c>
      <c r="K690" s="68" t="b">
        <v>1</v>
      </c>
    </row>
    <row r="691" hidden="1">
      <c r="A691" s="75">
        <v>685.0</v>
      </c>
      <c r="B691" s="62" t="s">
        <v>356</v>
      </c>
      <c r="C691" s="62" t="s">
        <v>108</v>
      </c>
      <c r="D691" s="62" t="s">
        <v>507</v>
      </c>
      <c r="E691" s="76">
        <v>44180.0</v>
      </c>
      <c r="F691" s="77">
        <v>0.041666666666666664</v>
      </c>
      <c r="G691" s="62" t="b">
        <v>0</v>
      </c>
      <c r="H691" s="78" t="b">
        <f>IF(VLOOKUP(C691,Projetos!A:L,12,false)=TRUE,TRUE,FALSE)</f>
        <v>1</v>
      </c>
      <c r="I691" s="68">
        <v>153.0747954304954</v>
      </c>
      <c r="J691" s="68">
        <f t="shared" si="1"/>
        <v>0</v>
      </c>
      <c r="K691" s="68" t="b">
        <v>1</v>
      </c>
    </row>
    <row r="692">
      <c r="A692" s="75">
        <v>686.0</v>
      </c>
      <c r="B692" s="62" t="s">
        <v>356</v>
      </c>
      <c r="C692" s="62" t="s">
        <v>116</v>
      </c>
      <c r="D692" s="62" t="s">
        <v>488</v>
      </c>
      <c r="E692" s="76">
        <v>44182.0</v>
      </c>
      <c r="F692" s="77">
        <v>0.0625</v>
      </c>
      <c r="G692" s="62" t="b">
        <v>1</v>
      </c>
      <c r="H692" s="78" t="b">
        <f>IF(VLOOKUP(C692,Projetos!A:L,12,false)=TRUE,TRUE,FALSE)</f>
        <v>1</v>
      </c>
      <c r="I692" s="68">
        <v>153.0747954304954</v>
      </c>
      <c r="J692" s="68">
        <f t="shared" si="1"/>
        <v>229.6121931</v>
      </c>
      <c r="K692" s="68" t="b">
        <v>1</v>
      </c>
    </row>
    <row r="693" hidden="1">
      <c r="A693" s="75">
        <v>687.0</v>
      </c>
      <c r="B693" s="62" t="s">
        <v>356</v>
      </c>
      <c r="C693" s="62" t="s">
        <v>83</v>
      </c>
      <c r="D693" s="62" t="s">
        <v>483</v>
      </c>
      <c r="E693" s="76">
        <v>44183.0</v>
      </c>
      <c r="F693" s="77">
        <v>0.0625</v>
      </c>
      <c r="G693" s="62" t="b">
        <v>0</v>
      </c>
      <c r="H693" s="78" t="b">
        <f>IF(VLOOKUP(C693,Projetos!A:L,12,false)=TRUE,TRUE,FALSE)</f>
        <v>0</v>
      </c>
      <c r="I693" s="68">
        <v>153.0747954304954</v>
      </c>
      <c r="J693" s="68">
        <f t="shared" si="1"/>
        <v>0</v>
      </c>
      <c r="K693" s="68" t="b">
        <v>0</v>
      </c>
    </row>
    <row r="694" hidden="1">
      <c r="A694" s="75">
        <v>688.0</v>
      </c>
      <c r="B694" s="62" t="s">
        <v>508</v>
      </c>
      <c r="C694" s="62" t="s">
        <v>102</v>
      </c>
      <c r="D694" s="62" t="s">
        <v>509</v>
      </c>
      <c r="E694" s="76">
        <v>43845.0</v>
      </c>
      <c r="F694" s="77">
        <v>0.23958333333333334</v>
      </c>
      <c r="G694" s="62" t="b">
        <v>0</v>
      </c>
      <c r="H694" s="78" t="b">
        <f>IF(VLOOKUP(C694,Projetos!A:L,12,false)=TRUE,TRUE,FALSE)</f>
        <v>0</v>
      </c>
      <c r="I694" s="68">
        <v>32.2362044522607</v>
      </c>
      <c r="J694" s="68">
        <f t="shared" si="1"/>
        <v>0</v>
      </c>
      <c r="K694" s="68" t="b">
        <v>0</v>
      </c>
    </row>
    <row r="695">
      <c r="A695" s="75">
        <v>689.0</v>
      </c>
      <c r="B695" s="62" t="s">
        <v>508</v>
      </c>
      <c r="C695" s="62" t="s">
        <v>101</v>
      </c>
      <c r="D695" s="62" t="s">
        <v>131</v>
      </c>
      <c r="E695" s="76">
        <v>43846.0</v>
      </c>
      <c r="F695" s="77">
        <v>0.125</v>
      </c>
      <c r="G695" s="62" t="b">
        <v>1</v>
      </c>
      <c r="H695" s="78" t="b">
        <f>IF(VLOOKUP(C695,Projetos!A:L,12,false)=TRUE,TRUE,FALSE)</f>
        <v>1</v>
      </c>
      <c r="I695" s="68">
        <v>32.2362044522607</v>
      </c>
      <c r="J695" s="68">
        <f t="shared" si="1"/>
        <v>96.70861336</v>
      </c>
      <c r="K695" s="68" t="b">
        <v>1</v>
      </c>
    </row>
    <row r="696">
      <c r="A696" s="75">
        <v>690.0</v>
      </c>
      <c r="B696" s="62" t="s">
        <v>508</v>
      </c>
      <c r="C696" s="62" t="s">
        <v>103</v>
      </c>
      <c r="D696" s="62" t="s">
        <v>133</v>
      </c>
      <c r="E696" s="76">
        <v>43850.0</v>
      </c>
      <c r="F696" s="77">
        <v>0.40625</v>
      </c>
      <c r="G696" s="62" t="b">
        <v>1</v>
      </c>
      <c r="H696" s="78" t="b">
        <f>IF(VLOOKUP(C696,Projetos!A:L,12,false)=TRUE,TRUE,FALSE)</f>
        <v>1</v>
      </c>
      <c r="I696" s="68">
        <v>32.2362044522607</v>
      </c>
      <c r="J696" s="68">
        <f t="shared" si="1"/>
        <v>314.3029934</v>
      </c>
      <c r="K696" s="68" t="b">
        <v>1</v>
      </c>
    </row>
    <row r="697" hidden="1">
      <c r="A697" s="75">
        <v>691.0</v>
      </c>
      <c r="B697" s="62" t="s">
        <v>508</v>
      </c>
      <c r="C697" s="62" t="s">
        <v>102</v>
      </c>
      <c r="D697" s="62" t="s">
        <v>510</v>
      </c>
      <c r="E697" s="76">
        <v>43858.0</v>
      </c>
      <c r="F697" s="77">
        <v>0.15625</v>
      </c>
      <c r="G697" s="62" t="b">
        <v>0</v>
      </c>
      <c r="H697" s="78" t="b">
        <f>IF(VLOOKUP(C697,Projetos!A:L,12,false)=TRUE,TRUE,FALSE)</f>
        <v>0</v>
      </c>
      <c r="I697" s="68">
        <v>32.2362044522607</v>
      </c>
      <c r="J697" s="68">
        <f t="shared" si="1"/>
        <v>0</v>
      </c>
      <c r="K697" s="68" t="b">
        <v>0</v>
      </c>
    </row>
    <row r="698" hidden="1">
      <c r="A698" s="75">
        <v>692.0</v>
      </c>
      <c r="B698" s="62" t="s">
        <v>508</v>
      </c>
      <c r="C698" s="62" t="s">
        <v>102</v>
      </c>
      <c r="D698" s="62" t="s">
        <v>511</v>
      </c>
      <c r="E698" s="76">
        <v>43847.0</v>
      </c>
      <c r="F698" s="77">
        <v>0.004166666666666667</v>
      </c>
      <c r="G698" s="62" t="b">
        <v>0</v>
      </c>
      <c r="H698" s="78" t="b">
        <f>IF(VLOOKUP(C698,Projetos!A:L,12,false)=TRUE,TRUE,FALSE)</f>
        <v>0</v>
      </c>
      <c r="I698" s="68">
        <v>32.2362044522607</v>
      </c>
      <c r="J698" s="68">
        <f t="shared" si="1"/>
        <v>0</v>
      </c>
      <c r="K698" s="68" t="b">
        <v>0</v>
      </c>
    </row>
    <row r="699" hidden="1">
      <c r="A699" s="75">
        <v>693.0</v>
      </c>
      <c r="B699" s="62" t="s">
        <v>508</v>
      </c>
      <c r="C699" s="62" t="s">
        <v>102</v>
      </c>
      <c r="D699" s="62" t="s">
        <v>511</v>
      </c>
      <c r="E699" s="76">
        <v>43850.0</v>
      </c>
      <c r="F699" s="77">
        <v>0.052083333333333336</v>
      </c>
      <c r="G699" s="62" t="b">
        <v>0</v>
      </c>
      <c r="H699" s="78" t="b">
        <f>IF(VLOOKUP(C699,Projetos!A:L,12,false)=TRUE,TRUE,FALSE)</f>
        <v>0</v>
      </c>
      <c r="I699" s="68">
        <v>32.2362044522607</v>
      </c>
      <c r="J699" s="68">
        <f t="shared" si="1"/>
        <v>0</v>
      </c>
      <c r="K699" s="68" t="b">
        <v>0</v>
      </c>
    </row>
    <row r="700" hidden="1">
      <c r="A700" s="75">
        <v>694.0</v>
      </c>
      <c r="B700" s="62" t="s">
        <v>508</v>
      </c>
      <c r="C700" s="62" t="s">
        <v>102</v>
      </c>
      <c r="D700" s="62" t="s">
        <v>511</v>
      </c>
      <c r="E700" s="76">
        <v>43851.0</v>
      </c>
      <c r="F700" s="77">
        <v>0.08680555555555555</v>
      </c>
      <c r="G700" s="62" t="b">
        <v>0</v>
      </c>
      <c r="H700" s="78" t="b">
        <f>IF(VLOOKUP(C700,Projetos!A:L,12,false)=TRUE,TRUE,FALSE)</f>
        <v>0</v>
      </c>
      <c r="I700" s="68">
        <v>32.2362044522607</v>
      </c>
      <c r="J700" s="68">
        <f t="shared" si="1"/>
        <v>0</v>
      </c>
      <c r="K700" s="68" t="b">
        <v>0</v>
      </c>
    </row>
    <row r="701" hidden="1">
      <c r="A701" s="75">
        <v>695.0</v>
      </c>
      <c r="B701" s="62" t="s">
        <v>508</v>
      </c>
      <c r="C701" s="62" t="s">
        <v>102</v>
      </c>
      <c r="D701" s="62" t="s">
        <v>511</v>
      </c>
      <c r="E701" s="76">
        <v>43853.0</v>
      </c>
      <c r="F701" s="77">
        <v>0.08541666666666667</v>
      </c>
      <c r="G701" s="62" t="b">
        <v>0</v>
      </c>
      <c r="H701" s="78" t="b">
        <f>IF(VLOOKUP(C701,Projetos!A:L,12,false)=TRUE,TRUE,FALSE)</f>
        <v>0</v>
      </c>
      <c r="I701" s="68">
        <v>32.2362044522607</v>
      </c>
      <c r="J701" s="68">
        <f t="shared" si="1"/>
        <v>0</v>
      </c>
      <c r="K701" s="68" t="b">
        <v>0</v>
      </c>
    </row>
    <row r="702" hidden="1">
      <c r="A702" s="75">
        <v>696.0</v>
      </c>
      <c r="B702" s="62" t="s">
        <v>508</v>
      </c>
      <c r="C702" s="62" t="s">
        <v>102</v>
      </c>
      <c r="D702" s="62" t="s">
        <v>511</v>
      </c>
      <c r="E702" s="76">
        <v>43859.0</v>
      </c>
      <c r="F702" s="77">
        <v>0.07291666666666667</v>
      </c>
      <c r="G702" s="62" t="b">
        <v>0</v>
      </c>
      <c r="H702" s="78" t="b">
        <f>IF(VLOOKUP(C702,Projetos!A:L,12,false)=TRUE,TRUE,FALSE)</f>
        <v>0</v>
      </c>
      <c r="I702" s="68">
        <v>32.2362044522607</v>
      </c>
      <c r="J702" s="68">
        <f t="shared" si="1"/>
        <v>0</v>
      </c>
      <c r="K702" s="68" t="b">
        <v>0</v>
      </c>
    </row>
    <row r="703" hidden="1">
      <c r="A703" s="75">
        <v>697.0</v>
      </c>
      <c r="B703" s="62" t="s">
        <v>508</v>
      </c>
      <c r="C703" s="62" t="s">
        <v>138</v>
      </c>
      <c r="D703" s="62" t="s">
        <v>512</v>
      </c>
      <c r="E703" s="76">
        <v>43879.0</v>
      </c>
      <c r="F703" s="77">
        <v>0.01597222222222222</v>
      </c>
      <c r="G703" s="62" t="b">
        <v>0</v>
      </c>
      <c r="H703" s="78" t="b">
        <f>IF(VLOOKUP(C703,Projetos!A:L,12,false)=TRUE,TRUE,FALSE)</f>
        <v>1</v>
      </c>
      <c r="I703" s="68">
        <v>30.770922431703394</v>
      </c>
      <c r="J703" s="68">
        <f t="shared" si="1"/>
        <v>0</v>
      </c>
      <c r="K703" s="68" t="b">
        <v>1</v>
      </c>
    </row>
    <row r="704">
      <c r="A704" s="75">
        <v>698.0</v>
      </c>
      <c r="B704" s="62" t="s">
        <v>508</v>
      </c>
      <c r="C704" s="62" t="s">
        <v>138</v>
      </c>
      <c r="D704" s="62" t="s">
        <v>513</v>
      </c>
      <c r="E704" s="76">
        <v>43879.0</v>
      </c>
      <c r="F704" s="77">
        <v>0.020833333333333332</v>
      </c>
      <c r="G704" s="62" t="b">
        <v>1</v>
      </c>
      <c r="H704" s="78" t="b">
        <f>IF(VLOOKUP(C704,Projetos!A:L,12,false)=TRUE,TRUE,FALSE)</f>
        <v>1</v>
      </c>
      <c r="I704" s="68">
        <v>30.770922431703394</v>
      </c>
      <c r="J704" s="68">
        <f t="shared" si="1"/>
        <v>15.38546122</v>
      </c>
      <c r="K704" s="68" t="b">
        <v>1</v>
      </c>
    </row>
    <row r="705">
      <c r="A705" s="75">
        <v>699.0</v>
      </c>
      <c r="B705" s="62" t="s">
        <v>508</v>
      </c>
      <c r="C705" s="62" t="s">
        <v>103</v>
      </c>
      <c r="D705" s="62" t="s">
        <v>514</v>
      </c>
      <c r="E705" s="76">
        <v>43872.0</v>
      </c>
      <c r="F705" s="77">
        <v>0.125</v>
      </c>
      <c r="G705" s="62" t="b">
        <v>1</v>
      </c>
      <c r="H705" s="78" t="b">
        <f>IF(VLOOKUP(C705,Projetos!A:L,12,false)=TRUE,TRUE,FALSE)</f>
        <v>1</v>
      </c>
      <c r="I705" s="68">
        <v>30.770922431703394</v>
      </c>
      <c r="J705" s="68">
        <f t="shared" si="1"/>
        <v>92.3127673</v>
      </c>
      <c r="K705" s="68" t="b">
        <v>1</v>
      </c>
    </row>
    <row r="706" hidden="1">
      <c r="A706" s="75">
        <v>700.0</v>
      </c>
      <c r="B706" s="62" t="s">
        <v>508</v>
      </c>
      <c r="C706" s="62" t="s">
        <v>102</v>
      </c>
      <c r="D706" s="62" t="s">
        <v>511</v>
      </c>
      <c r="E706" s="76">
        <v>43875.0</v>
      </c>
      <c r="F706" s="77">
        <v>0.11805555555555555</v>
      </c>
      <c r="G706" s="62" t="b">
        <v>0</v>
      </c>
      <c r="H706" s="78" t="b">
        <f>IF(VLOOKUP(C706,Projetos!A:L,12,false)=TRUE,TRUE,FALSE)</f>
        <v>0</v>
      </c>
      <c r="I706" s="68">
        <v>30.770922431703394</v>
      </c>
      <c r="J706" s="68">
        <f t="shared" si="1"/>
        <v>0</v>
      </c>
      <c r="K706" s="68" t="b">
        <v>0</v>
      </c>
    </row>
    <row r="707" hidden="1">
      <c r="A707" s="75">
        <v>701.0</v>
      </c>
      <c r="B707" s="62" t="s">
        <v>508</v>
      </c>
      <c r="C707" s="62" t="s">
        <v>102</v>
      </c>
      <c r="D707" s="62" t="s">
        <v>511</v>
      </c>
      <c r="E707" s="76">
        <v>43875.0</v>
      </c>
      <c r="F707" s="77">
        <v>0.017361111111111112</v>
      </c>
      <c r="G707" s="62" t="b">
        <v>0</v>
      </c>
      <c r="H707" s="78" t="b">
        <f>IF(VLOOKUP(C707,Projetos!A:L,12,false)=TRUE,TRUE,FALSE)</f>
        <v>0</v>
      </c>
      <c r="I707" s="68">
        <v>30.770922431703394</v>
      </c>
      <c r="J707" s="68">
        <f t="shared" si="1"/>
        <v>0</v>
      </c>
      <c r="K707" s="68" t="b">
        <v>0</v>
      </c>
    </row>
    <row r="708" hidden="1">
      <c r="A708" s="75">
        <v>702.0</v>
      </c>
      <c r="B708" s="62" t="s">
        <v>508</v>
      </c>
      <c r="C708" s="62" t="s">
        <v>102</v>
      </c>
      <c r="D708" s="62" t="s">
        <v>511</v>
      </c>
      <c r="E708" s="76">
        <v>43875.0</v>
      </c>
      <c r="F708" s="77">
        <v>0.020833333333333332</v>
      </c>
      <c r="G708" s="62" t="b">
        <v>0</v>
      </c>
      <c r="H708" s="78" t="b">
        <f>IF(VLOOKUP(C708,Projetos!A:L,12,false)=TRUE,TRUE,FALSE)</f>
        <v>0</v>
      </c>
      <c r="I708" s="68">
        <v>30.770922431703394</v>
      </c>
      <c r="J708" s="68">
        <f t="shared" si="1"/>
        <v>0</v>
      </c>
      <c r="K708" s="68" t="b">
        <v>0</v>
      </c>
    </row>
    <row r="709" hidden="1">
      <c r="A709" s="75">
        <v>703.0</v>
      </c>
      <c r="B709" s="62" t="s">
        <v>508</v>
      </c>
      <c r="C709" s="62" t="s">
        <v>102</v>
      </c>
      <c r="D709" s="62" t="s">
        <v>511</v>
      </c>
      <c r="E709" s="76">
        <v>43875.0</v>
      </c>
      <c r="F709" s="77">
        <v>0.005555555555555556</v>
      </c>
      <c r="G709" s="62" t="b">
        <v>0</v>
      </c>
      <c r="H709" s="78" t="b">
        <f>IF(VLOOKUP(C709,Projetos!A:L,12,false)=TRUE,TRUE,FALSE)</f>
        <v>0</v>
      </c>
      <c r="I709" s="68">
        <v>30.770922431703394</v>
      </c>
      <c r="J709" s="68">
        <f t="shared" si="1"/>
        <v>0</v>
      </c>
      <c r="K709" s="68" t="b">
        <v>0</v>
      </c>
    </row>
    <row r="710" hidden="1">
      <c r="A710" s="75">
        <v>704.0</v>
      </c>
      <c r="B710" s="62" t="s">
        <v>508</v>
      </c>
      <c r="C710" s="62" t="s">
        <v>102</v>
      </c>
      <c r="D710" s="62" t="s">
        <v>511</v>
      </c>
      <c r="E710" s="76">
        <v>43868.0</v>
      </c>
      <c r="F710" s="77">
        <v>0.19791666666666666</v>
      </c>
      <c r="G710" s="62" t="b">
        <v>0</v>
      </c>
      <c r="H710" s="78" t="b">
        <f>IF(VLOOKUP(C710,Projetos!A:L,12,false)=TRUE,TRUE,FALSE)</f>
        <v>0</v>
      </c>
      <c r="I710" s="68">
        <v>30.770922431703394</v>
      </c>
      <c r="J710" s="68">
        <f t="shared" si="1"/>
        <v>0</v>
      </c>
      <c r="K710" s="68" t="b">
        <v>0</v>
      </c>
    </row>
    <row r="711">
      <c r="A711" s="75">
        <v>705.0</v>
      </c>
      <c r="B711" s="62" t="s">
        <v>508</v>
      </c>
      <c r="C711" s="62" t="s">
        <v>138</v>
      </c>
      <c r="D711" s="62" t="s">
        <v>515</v>
      </c>
      <c r="E711" s="76">
        <v>43921.0</v>
      </c>
      <c r="F711" s="77">
        <v>0.04375</v>
      </c>
      <c r="G711" s="62" t="b">
        <v>1</v>
      </c>
      <c r="H711" s="78" t="b">
        <f>IF(VLOOKUP(C711,Projetos!A:L,12,false)=TRUE,TRUE,FALSE)</f>
        <v>1</v>
      </c>
      <c r="I711" s="68">
        <v>32.2362044522607</v>
      </c>
      <c r="J711" s="68">
        <f t="shared" si="1"/>
        <v>33.84801467</v>
      </c>
      <c r="K711" s="68" t="b">
        <v>1</v>
      </c>
    </row>
    <row r="712">
      <c r="A712" s="75">
        <v>706.0</v>
      </c>
      <c r="B712" s="62" t="s">
        <v>508</v>
      </c>
      <c r="C712" s="62" t="s">
        <v>103</v>
      </c>
      <c r="D712" s="62" t="s">
        <v>516</v>
      </c>
      <c r="E712" s="76">
        <v>43920.0</v>
      </c>
      <c r="F712" s="77">
        <v>0.09375</v>
      </c>
      <c r="G712" s="62" t="b">
        <v>1</v>
      </c>
      <c r="H712" s="78" t="b">
        <f>IF(VLOOKUP(C712,Projetos!A:L,12,false)=TRUE,TRUE,FALSE)</f>
        <v>1</v>
      </c>
      <c r="I712" s="68">
        <v>32.2362044522607</v>
      </c>
      <c r="J712" s="68">
        <f t="shared" si="1"/>
        <v>72.53146002</v>
      </c>
      <c r="K712" s="68" t="b">
        <v>1</v>
      </c>
    </row>
    <row r="713" hidden="1">
      <c r="A713" s="75">
        <v>707.0</v>
      </c>
      <c r="B713" s="62" t="s">
        <v>508</v>
      </c>
      <c r="C713" s="62" t="s">
        <v>109</v>
      </c>
      <c r="D713" s="62" t="s">
        <v>517</v>
      </c>
      <c r="E713" s="76">
        <v>43920.0</v>
      </c>
      <c r="F713" s="77">
        <v>0.3229166666666667</v>
      </c>
      <c r="G713" s="62" t="b">
        <v>0</v>
      </c>
      <c r="H713" s="78" t="b">
        <f>IF(VLOOKUP(C713,Projetos!A:L,12,false)=TRUE,TRUE,FALSE)</f>
        <v>0</v>
      </c>
      <c r="I713" s="68">
        <v>32.2362044522607</v>
      </c>
      <c r="J713" s="68">
        <f t="shared" si="1"/>
        <v>0</v>
      </c>
      <c r="K713" s="68" t="b">
        <v>0</v>
      </c>
    </row>
    <row r="714" hidden="1">
      <c r="A714" s="75">
        <v>708.0</v>
      </c>
      <c r="B714" s="62" t="s">
        <v>508</v>
      </c>
      <c r="C714" s="62" t="s">
        <v>109</v>
      </c>
      <c r="D714" s="62" t="s">
        <v>518</v>
      </c>
      <c r="E714" s="76">
        <v>43899.0</v>
      </c>
      <c r="F714" s="77">
        <v>0.020833333333333332</v>
      </c>
      <c r="G714" s="62" t="b">
        <v>0</v>
      </c>
      <c r="H714" s="78" t="b">
        <f>IF(VLOOKUP(C714,Projetos!A:L,12,false)=TRUE,TRUE,FALSE)</f>
        <v>0</v>
      </c>
      <c r="I714" s="68">
        <v>32.2362044522607</v>
      </c>
      <c r="J714" s="68">
        <f t="shared" si="1"/>
        <v>0</v>
      </c>
      <c r="K714" s="68" t="b">
        <v>0</v>
      </c>
    </row>
    <row r="715" hidden="1">
      <c r="A715" s="75">
        <v>709.0</v>
      </c>
      <c r="B715" s="62" t="s">
        <v>508</v>
      </c>
      <c r="C715" s="62" t="s">
        <v>98</v>
      </c>
      <c r="D715" s="62" t="s">
        <v>518</v>
      </c>
      <c r="E715" s="76">
        <v>43902.0</v>
      </c>
      <c r="F715" s="77">
        <v>0.020833333333333332</v>
      </c>
      <c r="G715" s="62" t="b">
        <v>0</v>
      </c>
      <c r="H715" s="78" t="b">
        <f>IF(VLOOKUP(C715,Projetos!A:L,12,false)=TRUE,TRUE,FALSE)</f>
        <v>1</v>
      </c>
      <c r="I715" s="68">
        <v>32.2362044522607</v>
      </c>
      <c r="J715" s="68">
        <f t="shared" si="1"/>
        <v>0</v>
      </c>
      <c r="K715" s="68" t="b">
        <v>1</v>
      </c>
    </row>
    <row r="716">
      <c r="A716" s="75">
        <v>710.0</v>
      </c>
      <c r="B716" s="62" t="s">
        <v>508</v>
      </c>
      <c r="C716" s="62" t="s">
        <v>101</v>
      </c>
      <c r="D716" s="62" t="s">
        <v>147</v>
      </c>
      <c r="E716" s="76">
        <v>43951.0</v>
      </c>
      <c r="F716" s="77">
        <v>0.027777777777777776</v>
      </c>
      <c r="G716" s="62" t="b">
        <v>1</v>
      </c>
      <c r="H716" s="78" t="b">
        <f>IF(VLOOKUP(C716,Projetos!A:L,12,false)=TRUE,TRUE,FALSE)</f>
        <v>1</v>
      </c>
      <c r="I716" s="68">
        <v>30.770922431703394</v>
      </c>
      <c r="J716" s="68">
        <f t="shared" si="1"/>
        <v>20.51394829</v>
      </c>
      <c r="K716" s="68" t="b">
        <v>1</v>
      </c>
    </row>
    <row r="717">
      <c r="A717" s="75">
        <v>711.0</v>
      </c>
      <c r="B717" s="62" t="s">
        <v>508</v>
      </c>
      <c r="C717" s="62" t="s">
        <v>101</v>
      </c>
      <c r="D717" s="62" t="s">
        <v>148</v>
      </c>
      <c r="E717" s="76">
        <v>43950.0</v>
      </c>
      <c r="F717" s="77">
        <v>0.10416666666666667</v>
      </c>
      <c r="G717" s="62" t="b">
        <v>1</v>
      </c>
      <c r="H717" s="78" t="b">
        <f>IF(VLOOKUP(C717,Projetos!A:L,12,false)=TRUE,TRUE,FALSE)</f>
        <v>1</v>
      </c>
      <c r="I717" s="68">
        <v>30.770922431703394</v>
      </c>
      <c r="J717" s="68">
        <f t="shared" si="1"/>
        <v>76.92730608</v>
      </c>
      <c r="K717" s="68" t="b">
        <v>1</v>
      </c>
    </row>
    <row r="718">
      <c r="A718" s="75">
        <v>712.0</v>
      </c>
      <c r="B718" s="62" t="s">
        <v>508</v>
      </c>
      <c r="C718" s="62" t="s">
        <v>138</v>
      </c>
      <c r="D718" s="62" t="s">
        <v>149</v>
      </c>
      <c r="E718" s="76">
        <v>43950.0</v>
      </c>
      <c r="F718" s="77">
        <v>0.052083333333333336</v>
      </c>
      <c r="G718" s="62" t="b">
        <v>1</v>
      </c>
      <c r="H718" s="78" t="b">
        <f>IF(VLOOKUP(C718,Projetos!A:L,12,false)=TRUE,TRUE,FALSE)</f>
        <v>1</v>
      </c>
      <c r="I718" s="68">
        <v>30.770922431703394</v>
      </c>
      <c r="J718" s="68">
        <f t="shared" si="1"/>
        <v>38.46365304</v>
      </c>
      <c r="K718" s="68" t="b">
        <v>1</v>
      </c>
    </row>
    <row r="719">
      <c r="A719" s="75">
        <v>713.0</v>
      </c>
      <c r="B719" s="62" t="s">
        <v>508</v>
      </c>
      <c r="C719" s="62" t="s">
        <v>101</v>
      </c>
      <c r="D719" s="62" t="s">
        <v>148</v>
      </c>
      <c r="E719" s="76">
        <v>43934.0</v>
      </c>
      <c r="F719" s="77">
        <v>0.09375</v>
      </c>
      <c r="G719" s="62" t="b">
        <v>1</v>
      </c>
      <c r="H719" s="78" t="b">
        <f>IF(VLOOKUP(C719,Projetos!A:L,12,false)=TRUE,TRUE,FALSE)</f>
        <v>1</v>
      </c>
      <c r="I719" s="68">
        <v>30.770922431703394</v>
      </c>
      <c r="J719" s="68">
        <f t="shared" si="1"/>
        <v>69.23457547</v>
      </c>
      <c r="K719" s="68" t="b">
        <v>1</v>
      </c>
    </row>
    <row r="720">
      <c r="A720" s="75">
        <v>714.0</v>
      </c>
      <c r="B720" s="62" t="s">
        <v>508</v>
      </c>
      <c r="C720" s="62" t="s">
        <v>103</v>
      </c>
      <c r="D720" s="62" t="s">
        <v>519</v>
      </c>
      <c r="E720" s="76">
        <v>43950.0</v>
      </c>
      <c r="F720" s="77">
        <v>0.07291666666666667</v>
      </c>
      <c r="G720" s="62" t="b">
        <v>1</v>
      </c>
      <c r="H720" s="78" t="b">
        <f>IF(VLOOKUP(C720,Projetos!A:L,12,false)=TRUE,TRUE,FALSE)</f>
        <v>1</v>
      </c>
      <c r="I720" s="68">
        <v>30.770922431703394</v>
      </c>
      <c r="J720" s="68">
        <f t="shared" si="1"/>
        <v>53.84911426</v>
      </c>
      <c r="K720" s="68" t="b">
        <v>1</v>
      </c>
    </row>
    <row r="721">
      <c r="A721" s="75">
        <v>715.0</v>
      </c>
      <c r="B721" s="62" t="s">
        <v>508</v>
      </c>
      <c r="C721" s="62" t="s">
        <v>138</v>
      </c>
      <c r="D721" s="62" t="s">
        <v>151</v>
      </c>
      <c r="E721" s="76">
        <v>43973.0</v>
      </c>
      <c r="F721" s="77">
        <v>0.14583333333333334</v>
      </c>
      <c r="G721" s="62" t="b">
        <v>1</v>
      </c>
      <c r="H721" s="78" t="b">
        <f>IF(VLOOKUP(C721,Projetos!A:L,12,false)=TRUE,TRUE,FALSE)</f>
        <v>1</v>
      </c>
      <c r="I721" s="68">
        <v>32.2362044522607</v>
      </c>
      <c r="J721" s="68">
        <f t="shared" si="1"/>
        <v>112.8267156</v>
      </c>
      <c r="K721" s="68" t="b">
        <v>1</v>
      </c>
    </row>
    <row r="722">
      <c r="A722" s="75">
        <v>716.0</v>
      </c>
      <c r="B722" s="62" t="s">
        <v>508</v>
      </c>
      <c r="C722" s="62" t="s">
        <v>101</v>
      </c>
      <c r="D722" s="62" t="s">
        <v>152</v>
      </c>
      <c r="E722" s="76">
        <v>43966.0</v>
      </c>
      <c r="F722" s="77">
        <v>0.0625</v>
      </c>
      <c r="G722" s="62" t="b">
        <v>1</v>
      </c>
      <c r="H722" s="78" t="b">
        <f>IF(VLOOKUP(C722,Projetos!A:L,12,false)=TRUE,TRUE,FALSE)</f>
        <v>1</v>
      </c>
      <c r="I722" s="68">
        <v>32.2362044522607</v>
      </c>
      <c r="J722" s="68">
        <f t="shared" si="1"/>
        <v>48.35430668</v>
      </c>
      <c r="K722" s="68" t="b">
        <v>1</v>
      </c>
    </row>
    <row r="723" hidden="1">
      <c r="A723" s="75">
        <v>717.0</v>
      </c>
      <c r="B723" s="62" t="s">
        <v>508</v>
      </c>
      <c r="C723" s="62" t="s">
        <v>109</v>
      </c>
      <c r="D723" s="62" t="s">
        <v>159</v>
      </c>
      <c r="E723" s="76">
        <v>43983.0</v>
      </c>
      <c r="F723" s="77">
        <v>0.4166666666666667</v>
      </c>
      <c r="G723" s="62" t="b">
        <v>0</v>
      </c>
      <c r="H723" s="78" t="b">
        <f>IF(VLOOKUP(C723,Projetos!A:L,12,false)=TRUE,TRUE,FALSE)</f>
        <v>0</v>
      </c>
      <c r="I723" s="68">
        <v>30.770922431703394</v>
      </c>
      <c r="J723" s="68">
        <f t="shared" si="1"/>
        <v>0</v>
      </c>
      <c r="K723" s="68" t="b">
        <v>0</v>
      </c>
    </row>
    <row r="724" hidden="1">
      <c r="A724" s="75">
        <v>718.0</v>
      </c>
      <c r="B724" s="62" t="s">
        <v>508</v>
      </c>
      <c r="C724" s="62" t="s">
        <v>109</v>
      </c>
      <c r="D724" s="62" t="s">
        <v>160</v>
      </c>
      <c r="E724" s="76">
        <v>43985.0</v>
      </c>
      <c r="F724" s="77">
        <v>0.08333333333333333</v>
      </c>
      <c r="G724" s="62" t="b">
        <v>0</v>
      </c>
      <c r="H724" s="78" t="b">
        <f>IF(VLOOKUP(C724,Projetos!A:L,12,false)=TRUE,TRUE,FALSE)</f>
        <v>0</v>
      </c>
      <c r="I724" s="68">
        <v>30.770922431703394</v>
      </c>
      <c r="J724" s="68">
        <f t="shared" si="1"/>
        <v>0</v>
      </c>
      <c r="K724" s="68" t="b">
        <v>0</v>
      </c>
    </row>
    <row r="725" hidden="1">
      <c r="A725" s="75">
        <v>719.0</v>
      </c>
      <c r="B725" s="62" t="s">
        <v>508</v>
      </c>
      <c r="C725" s="62" t="s">
        <v>109</v>
      </c>
      <c r="D725" s="62" t="s">
        <v>161</v>
      </c>
      <c r="E725" s="76">
        <v>43992.0</v>
      </c>
      <c r="F725" s="77">
        <v>0.3333333333333333</v>
      </c>
      <c r="G725" s="62" t="b">
        <v>0</v>
      </c>
      <c r="H725" s="78" t="b">
        <f>IF(VLOOKUP(C725,Projetos!A:L,12,false)=TRUE,TRUE,FALSE)</f>
        <v>0</v>
      </c>
      <c r="I725" s="68">
        <v>30.770922431703394</v>
      </c>
      <c r="J725" s="68">
        <f t="shared" si="1"/>
        <v>0</v>
      </c>
      <c r="K725" s="68" t="b">
        <v>0</v>
      </c>
    </row>
    <row r="726">
      <c r="A726" s="75">
        <v>720.0</v>
      </c>
      <c r="B726" s="62" t="s">
        <v>508</v>
      </c>
      <c r="C726" s="62" t="s">
        <v>103</v>
      </c>
      <c r="D726" s="62" t="s">
        <v>162</v>
      </c>
      <c r="E726" s="76">
        <v>43999.0</v>
      </c>
      <c r="F726" s="77">
        <v>0.25</v>
      </c>
      <c r="G726" s="62" t="b">
        <v>1</v>
      </c>
      <c r="H726" s="78" t="b">
        <f>IF(VLOOKUP(C726,Projetos!A:L,12,false)=TRUE,TRUE,FALSE)</f>
        <v>1</v>
      </c>
      <c r="I726" s="68">
        <v>30.770922431703394</v>
      </c>
      <c r="J726" s="68">
        <f t="shared" si="1"/>
        <v>184.6255346</v>
      </c>
      <c r="K726" s="68" t="b">
        <v>1</v>
      </c>
    </row>
    <row r="727">
      <c r="A727" s="75">
        <v>721.0</v>
      </c>
      <c r="B727" s="62" t="s">
        <v>508</v>
      </c>
      <c r="C727" s="62" t="s">
        <v>101</v>
      </c>
      <c r="D727" s="62" t="s">
        <v>163</v>
      </c>
      <c r="E727" s="76">
        <v>44000.0</v>
      </c>
      <c r="F727" s="77">
        <v>0.041666666666666664</v>
      </c>
      <c r="G727" s="62" t="b">
        <v>1</v>
      </c>
      <c r="H727" s="78" t="b">
        <f>IF(VLOOKUP(C727,Projetos!A:L,12,false)=TRUE,TRUE,FALSE)</f>
        <v>1</v>
      </c>
      <c r="I727" s="68">
        <v>30.770922431703394</v>
      </c>
      <c r="J727" s="68">
        <f t="shared" si="1"/>
        <v>30.77092243</v>
      </c>
      <c r="K727" s="68" t="b">
        <v>1</v>
      </c>
    </row>
    <row r="728">
      <c r="A728" s="75">
        <v>722.0</v>
      </c>
      <c r="B728" s="62" t="s">
        <v>508</v>
      </c>
      <c r="C728" s="62" t="s">
        <v>101</v>
      </c>
      <c r="D728" s="62" t="s">
        <v>152</v>
      </c>
      <c r="E728" s="76">
        <v>44028.0</v>
      </c>
      <c r="F728" s="77">
        <v>0.25</v>
      </c>
      <c r="G728" s="62" t="b">
        <v>1</v>
      </c>
      <c r="H728" s="78" t="b">
        <f>IF(VLOOKUP(C728,Projetos!A:L,12,false)=TRUE,TRUE,FALSE)</f>
        <v>1</v>
      </c>
      <c r="I728" s="68">
        <v>32.2362044522607</v>
      </c>
      <c r="J728" s="68">
        <f t="shared" si="1"/>
        <v>193.4172267</v>
      </c>
      <c r="K728" s="68" t="b">
        <v>1</v>
      </c>
    </row>
    <row r="729" hidden="1">
      <c r="A729" s="75">
        <v>723.0</v>
      </c>
      <c r="B729" s="62" t="s">
        <v>508</v>
      </c>
      <c r="C729" s="62" t="s">
        <v>102</v>
      </c>
      <c r="D729" s="62" t="s">
        <v>167</v>
      </c>
      <c r="E729" s="76">
        <v>44049.0</v>
      </c>
      <c r="F729" s="77">
        <v>0.0625</v>
      </c>
      <c r="G729" s="62" t="b">
        <v>0</v>
      </c>
      <c r="H729" s="78" t="b">
        <f>IF(VLOOKUP(C729,Projetos!A:L,12,false)=TRUE,TRUE,FALSE)</f>
        <v>0</v>
      </c>
      <c r="I729" s="68">
        <v>32.2362044522607</v>
      </c>
      <c r="J729" s="68">
        <f t="shared" si="1"/>
        <v>0</v>
      </c>
      <c r="K729" s="68" t="b">
        <v>0</v>
      </c>
    </row>
    <row r="730">
      <c r="A730" s="75">
        <v>724.0</v>
      </c>
      <c r="B730" s="62" t="s">
        <v>508</v>
      </c>
      <c r="C730" s="62" t="s">
        <v>98</v>
      </c>
      <c r="D730" s="62" t="s">
        <v>520</v>
      </c>
      <c r="E730" s="76">
        <v>44049.0</v>
      </c>
      <c r="F730" s="77">
        <v>0.0625</v>
      </c>
      <c r="G730" s="62" t="b">
        <v>1</v>
      </c>
      <c r="H730" s="78" t="b">
        <f>IF(VLOOKUP(C730,Projetos!A:L,12,false)=TRUE,TRUE,FALSE)</f>
        <v>1</v>
      </c>
      <c r="I730" s="68">
        <v>32.2362044522607</v>
      </c>
      <c r="J730" s="68">
        <f t="shared" si="1"/>
        <v>48.35430668</v>
      </c>
      <c r="K730" s="68" t="b">
        <v>1</v>
      </c>
    </row>
    <row r="731" hidden="1">
      <c r="A731" s="75">
        <v>725.0</v>
      </c>
      <c r="B731" s="62" t="s">
        <v>508</v>
      </c>
      <c r="C731" s="62" t="s">
        <v>102</v>
      </c>
      <c r="D731" s="62" t="s">
        <v>169</v>
      </c>
      <c r="E731" s="76">
        <v>44050.0</v>
      </c>
      <c r="F731" s="77">
        <v>0.2916666666666667</v>
      </c>
      <c r="G731" s="62" t="b">
        <v>0</v>
      </c>
      <c r="H731" s="78" t="b">
        <f>IF(VLOOKUP(C731,Projetos!A:L,12,false)=TRUE,TRUE,FALSE)</f>
        <v>0</v>
      </c>
      <c r="I731" s="68">
        <v>32.2362044522607</v>
      </c>
      <c r="J731" s="68">
        <f t="shared" si="1"/>
        <v>0</v>
      </c>
      <c r="K731" s="68" t="b">
        <v>0</v>
      </c>
    </row>
    <row r="732" hidden="1">
      <c r="A732" s="75">
        <v>726.0</v>
      </c>
      <c r="B732" s="62" t="s">
        <v>508</v>
      </c>
      <c r="C732" s="62" t="s">
        <v>102</v>
      </c>
      <c r="D732" s="62" t="s">
        <v>169</v>
      </c>
      <c r="E732" s="76">
        <v>44053.0</v>
      </c>
      <c r="F732" s="77">
        <v>0.25</v>
      </c>
      <c r="G732" s="62" t="b">
        <v>0</v>
      </c>
      <c r="H732" s="78" t="b">
        <f>IF(VLOOKUP(C732,Projetos!A:L,12,false)=TRUE,TRUE,FALSE)</f>
        <v>0</v>
      </c>
      <c r="I732" s="68">
        <v>32.2362044522607</v>
      </c>
      <c r="J732" s="68">
        <f t="shared" si="1"/>
        <v>0</v>
      </c>
      <c r="K732" s="68" t="b">
        <v>0</v>
      </c>
    </row>
    <row r="733" hidden="1">
      <c r="A733" s="75">
        <v>727.0</v>
      </c>
      <c r="B733" s="62" t="s">
        <v>508</v>
      </c>
      <c r="C733" s="62" t="s">
        <v>102</v>
      </c>
      <c r="D733" s="62" t="s">
        <v>169</v>
      </c>
      <c r="E733" s="76">
        <v>44054.0</v>
      </c>
      <c r="F733" s="77">
        <v>0.20833333333333334</v>
      </c>
      <c r="G733" s="62" t="b">
        <v>0</v>
      </c>
      <c r="H733" s="78" t="b">
        <f>IF(VLOOKUP(C733,Projetos!A:L,12,false)=TRUE,TRUE,FALSE)</f>
        <v>0</v>
      </c>
      <c r="I733" s="68">
        <v>32.2362044522607</v>
      </c>
      <c r="J733" s="68">
        <f t="shared" si="1"/>
        <v>0</v>
      </c>
      <c r="K733" s="68" t="b">
        <v>0</v>
      </c>
    </row>
    <row r="734" hidden="1">
      <c r="A734" s="75">
        <v>728.0</v>
      </c>
      <c r="B734" s="62" t="s">
        <v>508</v>
      </c>
      <c r="C734" s="62" t="s">
        <v>102</v>
      </c>
      <c r="D734" s="62" t="s">
        <v>319</v>
      </c>
      <c r="E734" s="76">
        <v>44060.0</v>
      </c>
      <c r="F734" s="77">
        <v>0.23958333333333334</v>
      </c>
      <c r="G734" s="62" t="b">
        <v>0</v>
      </c>
      <c r="H734" s="78" t="b">
        <f>IF(VLOOKUP(C734,Projetos!A:L,12,false)=TRUE,TRUE,FALSE)</f>
        <v>0</v>
      </c>
      <c r="I734" s="68">
        <v>32.2362044522607</v>
      </c>
      <c r="J734" s="68">
        <f t="shared" si="1"/>
        <v>0</v>
      </c>
      <c r="K734" s="68" t="b">
        <v>0</v>
      </c>
    </row>
    <row r="735">
      <c r="A735" s="75">
        <v>729.0</v>
      </c>
      <c r="B735" s="62" t="s">
        <v>508</v>
      </c>
      <c r="C735" s="62" t="s">
        <v>98</v>
      </c>
      <c r="D735" s="62" t="s">
        <v>325</v>
      </c>
      <c r="E735" s="76">
        <v>44068.0</v>
      </c>
      <c r="F735" s="77">
        <v>0.1111111111111111</v>
      </c>
      <c r="G735" s="62" t="b">
        <v>1</v>
      </c>
      <c r="H735" s="78" t="b">
        <f>IF(VLOOKUP(C735,Projetos!A:L,12,false)=TRUE,TRUE,FALSE)</f>
        <v>1</v>
      </c>
      <c r="I735" s="68">
        <v>32.2362044522607</v>
      </c>
      <c r="J735" s="68">
        <f t="shared" si="1"/>
        <v>85.96321187</v>
      </c>
      <c r="K735" s="68" t="b">
        <v>1</v>
      </c>
    </row>
    <row r="736">
      <c r="A736" s="75">
        <v>730.0</v>
      </c>
      <c r="B736" s="62" t="s">
        <v>508</v>
      </c>
      <c r="C736" s="62" t="s">
        <v>103</v>
      </c>
      <c r="D736" s="62" t="s">
        <v>170</v>
      </c>
      <c r="E736" s="76">
        <v>44077.0</v>
      </c>
      <c r="F736" s="77">
        <v>0.08333333333333333</v>
      </c>
      <c r="G736" s="62" t="b">
        <v>1</v>
      </c>
      <c r="H736" s="78" t="b">
        <f>IF(VLOOKUP(C736,Projetos!A:L,12,false)=TRUE,TRUE,FALSE)</f>
        <v>1</v>
      </c>
      <c r="I736" s="68">
        <v>30.770922431703394</v>
      </c>
      <c r="J736" s="68">
        <f t="shared" si="1"/>
        <v>61.54184486</v>
      </c>
      <c r="K736" s="68" t="b">
        <v>1</v>
      </c>
    </row>
    <row r="737">
      <c r="A737" s="75">
        <v>731.0</v>
      </c>
      <c r="B737" s="62" t="s">
        <v>508</v>
      </c>
      <c r="C737" s="62" t="s">
        <v>101</v>
      </c>
      <c r="D737" s="62" t="s">
        <v>171</v>
      </c>
      <c r="E737" s="76">
        <v>44078.0</v>
      </c>
      <c r="F737" s="77">
        <v>0.08333333333333333</v>
      </c>
      <c r="G737" s="62" t="b">
        <v>1</v>
      </c>
      <c r="H737" s="78" t="b">
        <f>IF(VLOOKUP(C737,Projetos!A:L,12,false)=TRUE,TRUE,FALSE)</f>
        <v>1</v>
      </c>
      <c r="I737" s="68">
        <v>30.770922431703394</v>
      </c>
      <c r="J737" s="68">
        <f t="shared" si="1"/>
        <v>61.54184486</v>
      </c>
      <c r="K737" s="68" t="b">
        <v>1</v>
      </c>
    </row>
    <row r="738">
      <c r="A738" s="75">
        <v>732.0</v>
      </c>
      <c r="B738" s="62" t="s">
        <v>508</v>
      </c>
      <c r="C738" s="62" t="s">
        <v>101</v>
      </c>
      <c r="D738" s="62" t="s">
        <v>173</v>
      </c>
      <c r="E738" s="76">
        <v>44078.0</v>
      </c>
      <c r="F738" s="77">
        <v>0.041666666666666664</v>
      </c>
      <c r="G738" s="62" t="b">
        <v>1</v>
      </c>
      <c r="H738" s="78" t="b">
        <f>IF(VLOOKUP(C738,Projetos!A:L,12,false)=TRUE,TRUE,FALSE)</f>
        <v>1</v>
      </c>
      <c r="I738" s="68">
        <v>30.770922431703394</v>
      </c>
      <c r="J738" s="68">
        <f t="shared" si="1"/>
        <v>30.77092243</v>
      </c>
      <c r="K738" s="68" t="b">
        <v>1</v>
      </c>
    </row>
    <row r="739" hidden="1">
      <c r="A739" s="75">
        <v>733.0</v>
      </c>
      <c r="B739" s="62" t="s">
        <v>508</v>
      </c>
      <c r="C739" s="62" t="s">
        <v>102</v>
      </c>
      <c r="D739" s="62" t="s">
        <v>521</v>
      </c>
      <c r="E739" s="76">
        <v>44104.0</v>
      </c>
      <c r="F739" s="77">
        <v>0.041666666666666664</v>
      </c>
      <c r="G739" s="62" t="b">
        <v>0</v>
      </c>
      <c r="H739" s="78" t="b">
        <f>IF(VLOOKUP(C739,Projetos!A:L,12,false)=TRUE,TRUE,FALSE)</f>
        <v>0</v>
      </c>
      <c r="I739" s="68">
        <v>30.770922431703394</v>
      </c>
      <c r="J739" s="68">
        <f t="shared" si="1"/>
        <v>0</v>
      </c>
      <c r="K739" s="68" t="b">
        <v>0</v>
      </c>
    </row>
    <row r="740">
      <c r="A740" s="75">
        <v>734.0</v>
      </c>
      <c r="B740" s="62" t="s">
        <v>508</v>
      </c>
      <c r="C740" s="62" t="s">
        <v>98</v>
      </c>
      <c r="D740" s="62" t="s">
        <v>522</v>
      </c>
      <c r="E740" s="76">
        <v>44105.0</v>
      </c>
      <c r="F740" s="77">
        <v>0.04861111111111111</v>
      </c>
      <c r="G740" s="62" t="b">
        <v>1</v>
      </c>
      <c r="H740" s="78" t="b">
        <f>IF(VLOOKUP(C740,Projetos!A:L,12,false)=TRUE,TRUE,FALSE)</f>
        <v>1</v>
      </c>
      <c r="I740" s="68">
        <v>32.2362044522607</v>
      </c>
      <c r="J740" s="68">
        <f t="shared" si="1"/>
        <v>37.60890519</v>
      </c>
      <c r="K740" s="68" t="b">
        <v>1</v>
      </c>
    </row>
    <row r="741">
      <c r="A741" s="75">
        <v>735.0</v>
      </c>
      <c r="B741" s="62" t="s">
        <v>508</v>
      </c>
      <c r="C741" s="62" t="s">
        <v>101</v>
      </c>
      <c r="D741" s="62" t="s">
        <v>152</v>
      </c>
      <c r="E741" s="76">
        <v>44106.0</v>
      </c>
      <c r="F741" s="77">
        <v>0.08333333333333333</v>
      </c>
      <c r="G741" s="62" t="b">
        <v>1</v>
      </c>
      <c r="H741" s="78" t="b">
        <f>IF(VLOOKUP(C741,Projetos!A:L,12,false)=TRUE,TRUE,FALSE)</f>
        <v>1</v>
      </c>
      <c r="I741" s="68">
        <v>32.2362044522607</v>
      </c>
      <c r="J741" s="68">
        <f t="shared" si="1"/>
        <v>64.4724089</v>
      </c>
      <c r="K741" s="68" t="b">
        <v>1</v>
      </c>
    </row>
    <row r="742" hidden="1">
      <c r="A742" s="75">
        <v>736.0</v>
      </c>
      <c r="B742" s="62" t="s">
        <v>508</v>
      </c>
      <c r="C742" s="62" t="s">
        <v>108</v>
      </c>
      <c r="D742" s="62" t="s">
        <v>523</v>
      </c>
      <c r="E742" s="76">
        <v>44123.0</v>
      </c>
      <c r="F742" s="77">
        <v>0.14583333333333334</v>
      </c>
      <c r="G742" s="62" t="b">
        <v>0</v>
      </c>
      <c r="H742" s="78" t="b">
        <f>IF(VLOOKUP(C742,Projetos!A:L,12,false)=TRUE,TRUE,FALSE)</f>
        <v>1</v>
      </c>
      <c r="I742" s="68">
        <v>32.2362044522607</v>
      </c>
      <c r="J742" s="68">
        <f t="shared" si="1"/>
        <v>0</v>
      </c>
      <c r="K742" s="68" t="b">
        <v>1</v>
      </c>
    </row>
    <row r="743" hidden="1">
      <c r="A743" s="75">
        <v>737.0</v>
      </c>
      <c r="B743" s="62" t="s">
        <v>508</v>
      </c>
      <c r="C743" s="62" t="s">
        <v>108</v>
      </c>
      <c r="D743" s="62" t="s">
        <v>524</v>
      </c>
      <c r="E743" s="76">
        <v>44130.0</v>
      </c>
      <c r="F743" s="77">
        <v>0.027777777777777776</v>
      </c>
      <c r="G743" s="62" t="b">
        <v>0</v>
      </c>
      <c r="H743" s="78" t="b">
        <f>IF(VLOOKUP(C743,Projetos!A:L,12,false)=TRUE,TRUE,FALSE)</f>
        <v>1</v>
      </c>
      <c r="I743" s="68">
        <v>32.2362044522607</v>
      </c>
      <c r="J743" s="68">
        <f t="shared" si="1"/>
        <v>0</v>
      </c>
      <c r="K743" s="68" t="b">
        <v>1</v>
      </c>
    </row>
    <row r="744">
      <c r="A744" s="75">
        <v>738.0</v>
      </c>
      <c r="B744" s="62" t="s">
        <v>508</v>
      </c>
      <c r="C744" s="62" t="s">
        <v>101</v>
      </c>
      <c r="D744" s="62" t="s">
        <v>177</v>
      </c>
      <c r="E744" s="76">
        <v>44147.0</v>
      </c>
      <c r="F744" s="77">
        <v>0.125</v>
      </c>
      <c r="G744" s="62" t="b">
        <v>1</v>
      </c>
      <c r="H744" s="78" t="b">
        <f>IF(VLOOKUP(C744,Projetos!A:L,12,false)=TRUE,TRUE,FALSE)</f>
        <v>1</v>
      </c>
      <c r="I744" s="68">
        <v>31.275539241850318</v>
      </c>
      <c r="J744" s="68">
        <f t="shared" si="1"/>
        <v>93.82661773</v>
      </c>
      <c r="K744" s="68" t="b">
        <v>1</v>
      </c>
    </row>
    <row r="745">
      <c r="A745" s="75">
        <v>739.0</v>
      </c>
      <c r="B745" s="62" t="s">
        <v>508</v>
      </c>
      <c r="C745" s="62" t="s">
        <v>101</v>
      </c>
      <c r="D745" s="62" t="s">
        <v>178</v>
      </c>
      <c r="E745" s="76">
        <v>44165.0</v>
      </c>
      <c r="F745" s="77">
        <v>0.05555555555555555</v>
      </c>
      <c r="G745" s="62" t="b">
        <v>1</v>
      </c>
      <c r="H745" s="78" t="b">
        <f>IF(VLOOKUP(C745,Projetos!A:L,12,false)=TRUE,TRUE,FALSE)</f>
        <v>1</v>
      </c>
      <c r="I745" s="68">
        <v>31.275539241850318</v>
      </c>
      <c r="J745" s="68">
        <f t="shared" si="1"/>
        <v>41.70071899</v>
      </c>
      <c r="K745" s="68" t="b">
        <v>1</v>
      </c>
    </row>
    <row r="746">
      <c r="A746" s="75">
        <v>740.0</v>
      </c>
      <c r="B746" s="62" t="s">
        <v>508</v>
      </c>
      <c r="C746" s="62" t="s">
        <v>103</v>
      </c>
      <c r="D746" s="62" t="s">
        <v>179</v>
      </c>
      <c r="E746" s="76">
        <v>44140.0</v>
      </c>
      <c r="F746" s="77">
        <v>0.10416666666666667</v>
      </c>
      <c r="G746" s="62" t="b">
        <v>1</v>
      </c>
      <c r="H746" s="78" t="b">
        <f>IF(VLOOKUP(C746,Projetos!A:L,12,false)=TRUE,TRUE,FALSE)</f>
        <v>1</v>
      </c>
      <c r="I746" s="68">
        <v>31.275539241850318</v>
      </c>
      <c r="J746" s="68">
        <f t="shared" si="1"/>
        <v>78.1888481</v>
      </c>
      <c r="K746" s="68" t="b">
        <v>1</v>
      </c>
    </row>
    <row r="747" hidden="1">
      <c r="A747" s="75">
        <v>741.0</v>
      </c>
      <c r="B747" s="62" t="s">
        <v>508</v>
      </c>
      <c r="C747" s="62" t="s">
        <v>102</v>
      </c>
      <c r="D747" s="62" t="s">
        <v>180</v>
      </c>
      <c r="E747" s="76">
        <v>44147.0</v>
      </c>
      <c r="F747" s="77">
        <v>0.041666666666666664</v>
      </c>
      <c r="G747" s="62" t="b">
        <v>0</v>
      </c>
      <c r="H747" s="78" t="b">
        <f>IF(VLOOKUP(C747,Projetos!A:L,12,false)=TRUE,TRUE,FALSE)</f>
        <v>0</v>
      </c>
      <c r="I747" s="68">
        <v>31.275539241850318</v>
      </c>
      <c r="J747" s="68">
        <f t="shared" si="1"/>
        <v>0</v>
      </c>
      <c r="K747" s="68" t="b">
        <v>0</v>
      </c>
    </row>
    <row r="748" hidden="1">
      <c r="A748" s="75">
        <v>742.0</v>
      </c>
      <c r="B748" s="62" t="s">
        <v>508</v>
      </c>
      <c r="C748" s="62" t="s">
        <v>102</v>
      </c>
      <c r="D748" s="62" t="s">
        <v>181</v>
      </c>
      <c r="E748" s="76">
        <v>44147.0</v>
      </c>
      <c r="F748" s="77">
        <v>0.125</v>
      </c>
      <c r="G748" s="62" t="b">
        <v>0</v>
      </c>
      <c r="H748" s="78" t="b">
        <f>IF(VLOOKUP(C748,Projetos!A:L,12,false)=TRUE,TRUE,FALSE)</f>
        <v>0</v>
      </c>
      <c r="I748" s="68">
        <v>31.275539241850318</v>
      </c>
      <c r="J748" s="68">
        <f t="shared" si="1"/>
        <v>0</v>
      </c>
      <c r="K748" s="68" t="b">
        <v>0</v>
      </c>
    </row>
    <row r="749" hidden="1">
      <c r="A749" s="75">
        <v>743.0</v>
      </c>
      <c r="B749" s="62" t="s">
        <v>508</v>
      </c>
      <c r="C749" s="62" t="s">
        <v>102</v>
      </c>
      <c r="D749" s="62" t="s">
        <v>182</v>
      </c>
      <c r="E749" s="76">
        <v>44155.0</v>
      </c>
      <c r="F749" s="77">
        <v>0.027777777777777776</v>
      </c>
      <c r="G749" s="62" t="b">
        <v>0</v>
      </c>
      <c r="H749" s="78" t="b">
        <f>IF(VLOOKUP(C749,Projetos!A:L,12,false)=TRUE,TRUE,FALSE)</f>
        <v>0</v>
      </c>
      <c r="I749" s="68">
        <v>31.275539241850318</v>
      </c>
      <c r="J749" s="68">
        <f t="shared" si="1"/>
        <v>0</v>
      </c>
      <c r="K749" s="68" t="b">
        <v>0</v>
      </c>
    </row>
    <row r="750" hidden="1">
      <c r="A750" s="75">
        <v>744.0</v>
      </c>
      <c r="B750" s="62" t="s">
        <v>508</v>
      </c>
      <c r="C750" s="62" t="s">
        <v>102</v>
      </c>
      <c r="D750" s="62" t="s">
        <v>183</v>
      </c>
      <c r="E750" s="76">
        <v>44152.0</v>
      </c>
      <c r="F750" s="77">
        <v>0.1111111111111111</v>
      </c>
      <c r="G750" s="62" t="b">
        <v>0</v>
      </c>
      <c r="H750" s="78" t="b">
        <f>IF(VLOOKUP(C750,Projetos!A:L,12,false)=TRUE,TRUE,FALSE)</f>
        <v>0</v>
      </c>
      <c r="I750" s="68">
        <v>31.275539241850318</v>
      </c>
      <c r="J750" s="68">
        <f t="shared" si="1"/>
        <v>0</v>
      </c>
      <c r="K750" s="68" t="b">
        <v>0</v>
      </c>
    </row>
    <row r="751" hidden="1">
      <c r="A751" s="75">
        <v>745.0</v>
      </c>
      <c r="B751" s="62" t="s">
        <v>508</v>
      </c>
      <c r="C751" s="62" t="s">
        <v>102</v>
      </c>
      <c r="D751" s="62" t="s">
        <v>184</v>
      </c>
      <c r="E751" s="76">
        <v>44153.0</v>
      </c>
      <c r="F751" s="77">
        <v>0.09722222222222222</v>
      </c>
      <c r="G751" s="62" t="b">
        <v>0</v>
      </c>
      <c r="H751" s="78" t="b">
        <f>IF(VLOOKUP(C751,Projetos!A:L,12,false)=TRUE,TRUE,FALSE)</f>
        <v>0</v>
      </c>
      <c r="I751" s="68">
        <v>31.275539241850318</v>
      </c>
      <c r="J751" s="68">
        <f t="shared" si="1"/>
        <v>0</v>
      </c>
      <c r="K751" s="68" t="b">
        <v>0</v>
      </c>
    </row>
    <row r="752" hidden="1">
      <c r="A752" s="75">
        <v>746.0</v>
      </c>
      <c r="B752" s="62" t="s">
        <v>508</v>
      </c>
      <c r="C752" s="62" t="s">
        <v>109</v>
      </c>
      <c r="D752" s="62" t="s">
        <v>185</v>
      </c>
      <c r="E752" s="76">
        <v>44154.0</v>
      </c>
      <c r="F752" s="77">
        <v>0.020833333333333332</v>
      </c>
      <c r="G752" s="62" t="b">
        <v>0</v>
      </c>
      <c r="H752" s="78" t="b">
        <f>IF(VLOOKUP(C752,Projetos!A:L,12,false)=TRUE,TRUE,FALSE)</f>
        <v>0</v>
      </c>
      <c r="I752" s="68">
        <v>31.275539241850318</v>
      </c>
      <c r="J752" s="68">
        <f t="shared" si="1"/>
        <v>0</v>
      </c>
      <c r="K752" s="68" t="b">
        <v>0</v>
      </c>
    </row>
    <row r="753" hidden="1">
      <c r="A753" s="75">
        <v>747.0</v>
      </c>
      <c r="B753" s="62" t="s">
        <v>508</v>
      </c>
      <c r="C753" s="62" t="s">
        <v>102</v>
      </c>
      <c r="D753" s="62" t="s">
        <v>186</v>
      </c>
      <c r="E753" s="76">
        <v>44161.0</v>
      </c>
      <c r="F753" s="77">
        <v>0.2520833333333333</v>
      </c>
      <c r="G753" s="62" t="b">
        <v>0</v>
      </c>
      <c r="H753" s="78" t="b">
        <f>IF(VLOOKUP(C753,Projetos!A:L,12,false)=TRUE,TRUE,FALSE)</f>
        <v>0</v>
      </c>
      <c r="I753" s="68">
        <v>31.275539241850318</v>
      </c>
      <c r="J753" s="68">
        <f t="shared" si="1"/>
        <v>0</v>
      </c>
      <c r="K753" s="68" t="b">
        <v>0</v>
      </c>
    </row>
    <row r="754">
      <c r="A754" s="75">
        <v>748.0</v>
      </c>
      <c r="B754" s="62" t="s">
        <v>508</v>
      </c>
      <c r="C754" s="62" t="s">
        <v>101</v>
      </c>
      <c r="D754" s="62" t="s">
        <v>525</v>
      </c>
      <c r="E754" s="76">
        <v>44166.0</v>
      </c>
      <c r="F754" s="77">
        <v>0.041666666666666664</v>
      </c>
      <c r="G754" s="62" t="b">
        <v>1</v>
      </c>
      <c r="H754" s="78" t="b">
        <f>IF(VLOOKUP(C754,Projetos!A:L,12,false)=TRUE,TRUE,FALSE)</f>
        <v>1</v>
      </c>
      <c r="I754" s="68">
        <v>32.76485063431939</v>
      </c>
      <c r="J754" s="68">
        <f t="shared" si="1"/>
        <v>32.76485063</v>
      </c>
      <c r="K754" s="68" t="b">
        <v>1</v>
      </c>
    </row>
    <row r="755" hidden="1">
      <c r="A755" s="75">
        <v>749.0</v>
      </c>
      <c r="B755" s="62" t="s">
        <v>508</v>
      </c>
      <c r="C755" s="62" t="s">
        <v>117</v>
      </c>
      <c r="D755" s="62" t="s">
        <v>526</v>
      </c>
      <c r="E755" s="76">
        <v>44166.0</v>
      </c>
      <c r="F755" s="77">
        <v>0.08333333333333333</v>
      </c>
      <c r="G755" s="62" t="b">
        <v>0</v>
      </c>
      <c r="H755" s="78" t="b">
        <f>IF(VLOOKUP(C755,Projetos!A:L,12,false)=TRUE,TRUE,FALSE)</f>
        <v>0</v>
      </c>
      <c r="I755" s="68">
        <v>32.76485063431939</v>
      </c>
      <c r="J755" s="68">
        <f t="shared" si="1"/>
        <v>0</v>
      </c>
      <c r="K755" s="68" t="b">
        <v>0</v>
      </c>
    </row>
    <row r="756" hidden="1">
      <c r="A756" s="75">
        <v>750.0</v>
      </c>
      <c r="B756" s="62" t="s">
        <v>508</v>
      </c>
      <c r="C756" s="62" t="s">
        <v>117</v>
      </c>
      <c r="D756" s="62" t="s">
        <v>527</v>
      </c>
      <c r="E756" s="76">
        <v>44172.0</v>
      </c>
      <c r="F756" s="77">
        <v>0.0625</v>
      </c>
      <c r="G756" s="62" t="b">
        <v>0</v>
      </c>
      <c r="H756" s="78" t="b">
        <f>IF(VLOOKUP(C756,Projetos!A:L,12,false)=TRUE,TRUE,FALSE)</f>
        <v>0</v>
      </c>
      <c r="I756" s="68">
        <v>32.76485063431939</v>
      </c>
      <c r="J756" s="68">
        <f t="shared" si="1"/>
        <v>0</v>
      </c>
      <c r="K756" s="68" t="b">
        <v>0</v>
      </c>
    </row>
    <row r="757">
      <c r="A757" s="75">
        <v>751.0</v>
      </c>
      <c r="B757" s="62" t="s">
        <v>528</v>
      </c>
      <c r="C757" s="62" t="s">
        <v>104</v>
      </c>
      <c r="D757" s="62" t="s">
        <v>241</v>
      </c>
      <c r="E757" s="76">
        <v>44096.0</v>
      </c>
      <c r="F757" s="77">
        <v>0.08333333333333333</v>
      </c>
      <c r="G757" s="62" t="b">
        <v>1</v>
      </c>
      <c r="H757" s="78" t="b">
        <f>IF(VLOOKUP(C757,Projetos!A:L,12,false)=TRUE,TRUE,FALSE)</f>
        <v>1</v>
      </c>
      <c r="I757" s="68">
        <v>41.57521470959595</v>
      </c>
      <c r="J757" s="68">
        <f t="shared" si="1"/>
        <v>83.15042942</v>
      </c>
      <c r="K757" s="68" t="b">
        <v>1</v>
      </c>
    </row>
    <row r="758" hidden="1">
      <c r="A758" s="75">
        <v>752.0</v>
      </c>
      <c r="B758" s="62" t="s">
        <v>528</v>
      </c>
      <c r="C758" s="62" t="s">
        <v>104</v>
      </c>
      <c r="D758" s="62" t="s">
        <v>529</v>
      </c>
      <c r="E758" s="76">
        <v>44102.0</v>
      </c>
      <c r="F758" s="77">
        <v>0.125</v>
      </c>
      <c r="G758" s="62" t="b">
        <v>0</v>
      </c>
      <c r="H758" s="78" t="b">
        <f>IF(VLOOKUP(C758,Projetos!A:L,12,false)=TRUE,TRUE,FALSE)</f>
        <v>1</v>
      </c>
      <c r="I758" s="68">
        <v>41.57521470959595</v>
      </c>
      <c r="J758" s="68">
        <f t="shared" si="1"/>
        <v>0</v>
      </c>
      <c r="K758" s="68" t="b">
        <v>1</v>
      </c>
    </row>
    <row r="759" hidden="1">
      <c r="A759" s="75">
        <v>753.0</v>
      </c>
      <c r="B759" s="62" t="s">
        <v>528</v>
      </c>
      <c r="C759" s="62" t="s">
        <v>109</v>
      </c>
      <c r="D759" s="62" t="s">
        <v>234</v>
      </c>
      <c r="E759" s="76">
        <v>44112.0</v>
      </c>
      <c r="F759" s="77">
        <v>0.041666666666666664</v>
      </c>
      <c r="G759" s="62" t="b">
        <v>0</v>
      </c>
      <c r="H759" s="78" t="b">
        <f>IF(VLOOKUP(C759,Projetos!A:L,12,false)=TRUE,TRUE,FALSE)</f>
        <v>0</v>
      </c>
      <c r="I759" s="68">
        <v>43.55498683862433</v>
      </c>
      <c r="J759" s="68">
        <f t="shared" si="1"/>
        <v>0</v>
      </c>
      <c r="K759" s="68" t="b">
        <v>0</v>
      </c>
    </row>
    <row r="760" hidden="1">
      <c r="A760" s="75">
        <v>754.0</v>
      </c>
      <c r="B760" s="62" t="s">
        <v>528</v>
      </c>
      <c r="C760" s="62" t="s">
        <v>109</v>
      </c>
      <c r="D760" s="62" t="s">
        <v>234</v>
      </c>
      <c r="E760" s="76">
        <v>44125.0</v>
      </c>
      <c r="F760" s="77">
        <v>0.020833333333333332</v>
      </c>
      <c r="G760" s="62" t="b">
        <v>0</v>
      </c>
      <c r="H760" s="78" t="b">
        <f>IF(VLOOKUP(C760,Projetos!A:L,12,false)=TRUE,TRUE,FALSE)</f>
        <v>0</v>
      </c>
      <c r="I760" s="68">
        <v>43.55498683862433</v>
      </c>
      <c r="J760" s="68">
        <f t="shared" si="1"/>
        <v>0</v>
      </c>
      <c r="K760" s="68" t="b">
        <v>0</v>
      </c>
    </row>
    <row r="761" hidden="1">
      <c r="A761" s="75">
        <v>755.0</v>
      </c>
      <c r="B761" s="62" t="s">
        <v>528</v>
      </c>
      <c r="C761" s="62" t="s">
        <v>109</v>
      </c>
      <c r="D761" s="62" t="s">
        <v>234</v>
      </c>
      <c r="E761" s="76">
        <v>44134.0</v>
      </c>
      <c r="F761" s="77">
        <v>0.041666666666666664</v>
      </c>
      <c r="G761" s="62" t="b">
        <v>0</v>
      </c>
      <c r="H761" s="78" t="b">
        <f>IF(VLOOKUP(C761,Projetos!A:L,12,false)=TRUE,TRUE,FALSE)</f>
        <v>0</v>
      </c>
      <c r="I761" s="68">
        <v>43.55498683862433</v>
      </c>
      <c r="J761" s="68">
        <f t="shared" si="1"/>
        <v>0</v>
      </c>
      <c r="K761" s="68" t="b">
        <v>0</v>
      </c>
    </row>
    <row r="762">
      <c r="A762" s="75">
        <v>756.0</v>
      </c>
      <c r="B762" s="62" t="s">
        <v>528</v>
      </c>
      <c r="C762" s="62" t="s">
        <v>104</v>
      </c>
      <c r="D762" s="62" t="s">
        <v>241</v>
      </c>
      <c r="E762" s="76">
        <v>44146.0</v>
      </c>
      <c r="F762" s="77">
        <v>0.041666666666666664</v>
      </c>
      <c r="G762" s="62" t="b">
        <v>1</v>
      </c>
      <c r="H762" s="78" t="b">
        <f>IF(VLOOKUP(C762,Projetos!A:L,12,false)=TRUE,TRUE,FALSE)</f>
        <v>1</v>
      </c>
      <c r="I762" s="68">
        <v>42.25705307621671</v>
      </c>
      <c r="J762" s="68">
        <f t="shared" si="1"/>
        <v>42.25705308</v>
      </c>
      <c r="K762" s="68" t="b">
        <v>1</v>
      </c>
    </row>
    <row r="763" hidden="1">
      <c r="A763" s="75">
        <v>757.0</v>
      </c>
      <c r="B763" s="62" t="s">
        <v>528</v>
      </c>
      <c r="C763" s="62" t="s">
        <v>109</v>
      </c>
      <c r="D763" s="62" t="s">
        <v>241</v>
      </c>
      <c r="E763" s="76">
        <v>44152.0</v>
      </c>
      <c r="F763" s="77">
        <v>0.041666666666666664</v>
      </c>
      <c r="G763" s="62" t="b">
        <v>0</v>
      </c>
      <c r="H763" s="78" t="b">
        <f>IF(VLOOKUP(C763,Projetos!A:L,12,false)=TRUE,TRUE,FALSE)</f>
        <v>0</v>
      </c>
      <c r="I763" s="68">
        <v>42.25705307621671</v>
      </c>
      <c r="J763" s="68">
        <f t="shared" si="1"/>
        <v>0</v>
      </c>
      <c r="K763" s="68" t="b">
        <v>0</v>
      </c>
    </row>
    <row r="764" hidden="1">
      <c r="A764" s="75">
        <v>758.0</v>
      </c>
      <c r="B764" s="62" t="s">
        <v>528</v>
      </c>
      <c r="C764" s="62" t="s">
        <v>109</v>
      </c>
      <c r="D764" s="62" t="s">
        <v>241</v>
      </c>
      <c r="E764" s="76">
        <v>44161.0</v>
      </c>
      <c r="F764" s="77">
        <v>0.020833333333333332</v>
      </c>
      <c r="G764" s="62" t="b">
        <v>0</v>
      </c>
      <c r="H764" s="78" t="b">
        <f>IF(VLOOKUP(C764,Projetos!A:L,12,false)=TRUE,TRUE,FALSE)</f>
        <v>0</v>
      </c>
      <c r="I764" s="68">
        <v>42.25705307621671</v>
      </c>
      <c r="J764" s="68">
        <f t="shared" si="1"/>
        <v>0</v>
      </c>
      <c r="K764" s="68" t="b">
        <v>0</v>
      </c>
    </row>
    <row r="765" hidden="1">
      <c r="A765" s="75">
        <v>759.0</v>
      </c>
      <c r="B765" s="62" t="s">
        <v>528</v>
      </c>
      <c r="C765" s="62" t="s">
        <v>109</v>
      </c>
      <c r="D765" s="62" t="s">
        <v>530</v>
      </c>
      <c r="E765" s="76">
        <v>44173.0</v>
      </c>
      <c r="F765" s="77">
        <v>0.041666666666666664</v>
      </c>
      <c r="G765" s="62" t="b">
        <v>0</v>
      </c>
      <c r="H765" s="78" t="b">
        <f>IF(VLOOKUP(C765,Projetos!A:L,12,false)=TRUE,TRUE,FALSE)</f>
        <v>0</v>
      </c>
      <c r="I765" s="68">
        <v>44.26929369889369</v>
      </c>
      <c r="J765" s="68">
        <f t="shared" si="1"/>
        <v>0</v>
      </c>
      <c r="K765" s="68" t="b">
        <v>0</v>
      </c>
    </row>
    <row r="766" hidden="1">
      <c r="A766" s="75">
        <v>760.0</v>
      </c>
      <c r="B766" s="62" t="s">
        <v>528</v>
      </c>
      <c r="C766" s="62" t="s">
        <v>117</v>
      </c>
      <c r="D766" s="62" t="s">
        <v>530</v>
      </c>
      <c r="E766" s="76">
        <v>44179.0</v>
      </c>
      <c r="F766" s="77">
        <v>0.0625</v>
      </c>
      <c r="G766" s="62" t="b">
        <v>0</v>
      </c>
      <c r="H766" s="78" t="b">
        <f>IF(VLOOKUP(C766,Projetos!A:L,12,false)=TRUE,TRUE,FALSE)</f>
        <v>0</v>
      </c>
      <c r="I766" s="68">
        <v>44.26929369889369</v>
      </c>
      <c r="J766" s="68">
        <f t="shared" si="1"/>
        <v>0</v>
      </c>
      <c r="K766" s="68" t="b">
        <v>0</v>
      </c>
    </row>
    <row r="767" hidden="1">
      <c r="A767" s="75">
        <v>761.0</v>
      </c>
      <c r="B767" s="62" t="s">
        <v>528</v>
      </c>
      <c r="C767" s="62" t="s">
        <v>109</v>
      </c>
      <c r="D767" s="62" t="s">
        <v>531</v>
      </c>
      <c r="E767" s="76">
        <v>44186.0</v>
      </c>
      <c r="F767" s="77">
        <v>0.125</v>
      </c>
      <c r="G767" s="62" t="b">
        <v>0</v>
      </c>
      <c r="H767" s="78" t="b">
        <f>IF(VLOOKUP(C767,Projetos!A:L,12,false)=TRUE,TRUE,FALSE)</f>
        <v>0</v>
      </c>
      <c r="I767" s="68">
        <v>44.26929369889369</v>
      </c>
      <c r="J767" s="68">
        <f t="shared" si="1"/>
        <v>0</v>
      </c>
      <c r="K767" s="68" t="b">
        <v>0</v>
      </c>
    </row>
    <row r="768" hidden="1">
      <c r="A768" s="75">
        <v>762.0</v>
      </c>
      <c r="B768" s="62" t="s">
        <v>532</v>
      </c>
      <c r="C768" s="62" t="s">
        <v>101</v>
      </c>
      <c r="D768" s="62" t="s">
        <v>533</v>
      </c>
      <c r="E768" s="76">
        <v>43970.0</v>
      </c>
      <c r="F768" s="77">
        <v>0.041666666666666664</v>
      </c>
      <c r="G768" s="62" t="b">
        <v>0</v>
      </c>
      <c r="H768" s="78" t="b">
        <f>IF(VLOOKUP(C768,Projetos!A:L,12,false)=TRUE,TRUE,FALSE)</f>
        <v>1</v>
      </c>
      <c r="I768" s="68">
        <v>33.89072271524771</v>
      </c>
      <c r="J768" s="68">
        <f t="shared" si="1"/>
        <v>0</v>
      </c>
      <c r="K768" s="68" t="b">
        <v>1</v>
      </c>
    </row>
    <row r="769" hidden="1">
      <c r="A769" s="75">
        <v>763.0</v>
      </c>
      <c r="B769" s="62" t="s">
        <v>532</v>
      </c>
      <c r="C769" s="62" t="s">
        <v>101</v>
      </c>
      <c r="D769" s="62" t="s">
        <v>534</v>
      </c>
      <c r="E769" s="76">
        <v>43973.0</v>
      </c>
      <c r="F769" s="77">
        <v>0.041666666666666664</v>
      </c>
      <c r="G769" s="62" t="b">
        <v>0</v>
      </c>
      <c r="H769" s="78" t="b">
        <f>IF(VLOOKUP(C769,Projetos!A:L,12,false)=TRUE,TRUE,FALSE)</f>
        <v>1</v>
      </c>
      <c r="I769" s="68">
        <v>33.89072271524771</v>
      </c>
      <c r="J769" s="68">
        <f t="shared" si="1"/>
        <v>0</v>
      </c>
      <c r="K769" s="68" t="b">
        <v>1</v>
      </c>
    </row>
    <row r="770">
      <c r="A770" s="75">
        <v>764.0</v>
      </c>
      <c r="B770" s="62" t="s">
        <v>532</v>
      </c>
      <c r="C770" s="62" t="s">
        <v>104</v>
      </c>
      <c r="D770" s="62" t="s">
        <v>535</v>
      </c>
      <c r="E770" s="76">
        <v>43976.0</v>
      </c>
      <c r="F770" s="77">
        <v>0.08333333333333333</v>
      </c>
      <c r="G770" s="62" t="b">
        <v>1</v>
      </c>
      <c r="H770" s="78" t="b">
        <f>IF(VLOOKUP(C770,Projetos!A:L,12,false)=TRUE,TRUE,FALSE)</f>
        <v>1</v>
      </c>
      <c r="I770" s="68">
        <v>33.89072271524771</v>
      </c>
      <c r="J770" s="68">
        <f t="shared" si="1"/>
        <v>67.78144543</v>
      </c>
      <c r="K770" s="68" t="b">
        <v>1</v>
      </c>
    </row>
    <row r="771">
      <c r="A771" s="75">
        <v>765.0</v>
      </c>
      <c r="B771" s="62" t="s">
        <v>532</v>
      </c>
      <c r="C771" s="62" t="s">
        <v>104</v>
      </c>
      <c r="D771" s="62" t="s">
        <v>535</v>
      </c>
      <c r="E771" s="76">
        <v>43980.0</v>
      </c>
      <c r="F771" s="77">
        <v>0.0625</v>
      </c>
      <c r="G771" s="62" t="b">
        <v>1</v>
      </c>
      <c r="H771" s="78" t="b">
        <f>IF(VLOOKUP(C771,Projetos!A:L,12,false)=TRUE,TRUE,FALSE)</f>
        <v>1</v>
      </c>
      <c r="I771" s="68">
        <v>33.89072271524771</v>
      </c>
      <c r="J771" s="68">
        <f t="shared" si="1"/>
        <v>50.83608407</v>
      </c>
      <c r="K771" s="68" t="b">
        <v>1</v>
      </c>
    </row>
    <row r="772" hidden="1">
      <c r="A772" s="75">
        <v>766.0</v>
      </c>
      <c r="B772" s="62" t="s">
        <v>532</v>
      </c>
      <c r="C772" s="62" t="s">
        <v>138</v>
      </c>
      <c r="D772" s="62" t="s">
        <v>536</v>
      </c>
      <c r="E772" s="76">
        <v>43971.0</v>
      </c>
      <c r="F772" s="77">
        <v>0.0625</v>
      </c>
      <c r="G772" s="62" t="b">
        <v>0</v>
      </c>
      <c r="H772" s="78" t="b">
        <f>IF(VLOOKUP(C772,Projetos!A:L,12,false)=TRUE,TRUE,FALSE)</f>
        <v>1</v>
      </c>
      <c r="I772" s="68">
        <v>33.89072271524771</v>
      </c>
      <c r="J772" s="68">
        <f t="shared" si="1"/>
        <v>0</v>
      </c>
      <c r="K772" s="68" t="b">
        <v>1</v>
      </c>
    </row>
    <row r="773" hidden="1">
      <c r="A773" s="75">
        <v>767.0</v>
      </c>
      <c r="B773" s="62" t="s">
        <v>532</v>
      </c>
      <c r="C773" s="62" t="s">
        <v>138</v>
      </c>
      <c r="D773" s="62" t="s">
        <v>536</v>
      </c>
      <c r="E773" s="76">
        <v>44008.0</v>
      </c>
      <c r="F773" s="77">
        <v>0.0625</v>
      </c>
      <c r="G773" s="62" t="b">
        <v>0</v>
      </c>
      <c r="H773" s="78" t="b">
        <f>IF(VLOOKUP(C773,Projetos!A:L,12,false)=TRUE,TRUE,FALSE)</f>
        <v>1</v>
      </c>
      <c r="I773" s="68">
        <v>32.350235319100086</v>
      </c>
      <c r="J773" s="68">
        <f t="shared" si="1"/>
        <v>0</v>
      </c>
      <c r="K773" s="68" t="b">
        <v>1</v>
      </c>
    </row>
    <row r="774">
      <c r="A774" s="75">
        <v>768.0</v>
      </c>
      <c r="B774" s="62" t="s">
        <v>532</v>
      </c>
      <c r="C774" s="62" t="s">
        <v>101</v>
      </c>
      <c r="D774" s="62" t="s">
        <v>537</v>
      </c>
      <c r="E774" s="76">
        <v>43983.0</v>
      </c>
      <c r="F774" s="77">
        <v>0.08333333333333333</v>
      </c>
      <c r="G774" s="62" t="b">
        <v>1</v>
      </c>
      <c r="H774" s="78" t="b">
        <f>IF(VLOOKUP(C774,Projetos!A:L,12,false)=TRUE,TRUE,FALSE)</f>
        <v>1</v>
      </c>
      <c r="I774" s="68">
        <v>32.350235319100086</v>
      </c>
      <c r="J774" s="68">
        <f t="shared" si="1"/>
        <v>64.70047064</v>
      </c>
      <c r="K774" s="68" t="b">
        <v>1</v>
      </c>
    </row>
    <row r="775" hidden="1">
      <c r="A775" s="75">
        <v>769.0</v>
      </c>
      <c r="B775" s="62" t="s">
        <v>532</v>
      </c>
      <c r="C775" s="62" t="s">
        <v>101</v>
      </c>
      <c r="D775" s="62" t="s">
        <v>538</v>
      </c>
      <c r="E775" s="76">
        <v>43985.0</v>
      </c>
      <c r="F775" s="77">
        <v>0.16666666666666666</v>
      </c>
      <c r="G775" s="62" t="b">
        <v>0</v>
      </c>
      <c r="H775" s="78" t="b">
        <f>IF(VLOOKUP(C775,Projetos!A:L,12,false)=TRUE,TRUE,FALSE)</f>
        <v>1</v>
      </c>
      <c r="I775" s="68">
        <v>32.350235319100086</v>
      </c>
      <c r="J775" s="68">
        <f t="shared" si="1"/>
        <v>0</v>
      </c>
      <c r="K775" s="68" t="b">
        <v>1</v>
      </c>
    </row>
    <row r="776">
      <c r="A776" s="75">
        <v>770.0</v>
      </c>
      <c r="B776" s="62" t="s">
        <v>532</v>
      </c>
      <c r="C776" s="62" t="s">
        <v>101</v>
      </c>
      <c r="D776" s="62" t="s">
        <v>539</v>
      </c>
      <c r="E776" s="76">
        <v>43998.0</v>
      </c>
      <c r="F776" s="77">
        <v>0.0625</v>
      </c>
      <c r="G776" s="62" t="b">
        <v>1</v>
      </c>
      <c r="H776" s="78" t="b">
        <f>IF(VLOOKUP(C776,Projetos!A:L,12,false)=TRUE,TRUE,FALSE)</f>
        <v>1</v>
      </c>
      <c r="I776" s="68">
        <v>32.350235319100086</v>
      </c>
      <c r="J776" s="68">
        <f t="shared" si="1"/>
        <v>48.52535298</v>
      </c>
      <c r="K776" s="68" t="b">
        <v>1</v>
      </c>
    </row>
    <row r="777" hidden="1">
      <c r="A777" s="75">
        <v>771.0</v>
      </c>
      <c r="B777" s="62" t="s">
        <v>532</v>
      </c>
      <c r="C777" s="62" t="s">
        <v>104</v>
      </c>
      <c r="D777" s="62" t="s">
        <v>540</v>
      </c>
      <c r="E777" s="76">
        <v>43992.0</v>
      </c>
      <c r="F777" s="77">
        <v>0.16666666666666666</v>
      </c>
      <c r="G777" s="62" t="b">
        <v>0</v>
      </c>
      <c r="H777" s="78" t="b">
        <f>IF(VLOOKUP(C777,Projetos!A:L,12,false)=TRUE,TRUE,FALSE)</f>
        <v>1</v>
      </c>
      <c r="I777" s="68">
        <v>32.350235319100086</v>
      </c>
      <c r="J777" s="68">
        <f t="shared" si="1"/>
        <v>0</v>
      </c>
      <c r="K777" s="68" t="b">
        <v>1</v>
      </c>
    </row>
    <row r="778">
      <c r="A778" s="75">
        <v>772.0</v>
      </c>
      <c r="B778" s="62" t="s">
        <v>532</v>
      </c>
      <c r="C778" s="62" t="s">
        <v>104</v>
      </c>
      <c r="D778" s="62" t="s">
        <v>541</v>
      </c>
      <c r="E778" s="76">
        <v>43997.0</v>
      </c>
      <c r="F778" s="77">
        <v>0.08333333333333333</v>
      </c>
      <c r="G778" s="62" t="b">
        <v>1</v>
      </c>
      <c r="H778" s="78" t="b">
        <f>IF(VLOOKUP(C778,Projetos!A:L,12,false)=TRUE,TRUE,FALSE)</f>
        <v>1</v>
      </c>
      <c r="I778" s="68">
        <v>32.350235319100086</v>
      </c>
      <c r="J778" s="68">
        <f t="shared" si="1"/>
        <v>64.70047064</v>
      </c>
      <c r="K778" s="68" t="b">
        <v>1</v>
      </c>
    </row>
    <row r="779">
      <c r="A779" s="75">
        <v>773.0</v>
      </c>
      <c r="B779" s="62" t="s">
        <v>532</v>
      </c>
      <c r="C779" s="62" t="s">
        <v>104</v>
      </c>
      <c r="D779" s="62" t="s">
        <v>542</v>
      </c>
      <c r="E779" s="76">
        <v>44004.0</v>
      </c>
      <c r="F779" s="77">
        <v>0.08333333333333333</v>
      </c>
      <c r="G779" s="62" t="b">
        <v>1</v>
      </c>
      <c r="H779" s="78" t="b">
        <f>IF(VLOOKUP(C779,Projetos!A:L,12,false)=TRUE,TRUE,FALSE)</f>
        <v>1</v>
      </c>
      <c r="I779" s="68">
        <v>32.350235319100086</v>
      </c>
      <c r="J779" s="68">
        <f t="shared" si="1"/>
        <v>64.70047064</v>
      </c>
      <c r="K779" s="68" t="b">
        <v>1</v>
      </c>
    </row>
    <row r="780" hidden="1">
      <c r="A780" s="75">
        <v>774.0</v>
      </c>
      <c r="B780" s="62" t="s">
        <v>532</v>
      </c>
      <c r="C780" s="62" t="s">
        <v>109</v>
      </c>
      <c r="D780" s="62" t="s">
        <v>543</v>
      </c>
      <c r="E780" s="76">
        <v>43999.0</v>
      </c>
      <c r="F780" s="77">
        <v>0.041666666666666664</v>
      </c>
      <c r="G780" s="62" t="b">
        <v>0</v>
      </c>
      <c r="H780" s="78" t="b">
        <f>IF(VLOOKUP(C780,Projetos!A:L,12,false)=TRUE,TRUE,FALSE)</f>
        <v>0</v>
      </c>
      <c r="I780" s="68">
        <v>32.350235319100086</v>
      </c>
      <c r="J780" s="68">
        <f t="shared" si="1"/>
        <v>0</v>
      </c>
      <c r="K780" s="68" t="b">
        <v>0</v>
      </c>
    </row>
    <row r="781" hidden="1">
      <c r="A781" s="75">
        <v>775.0</v>
      </c>
      <c r="B781" s="62" t="s">
        <v>532</v>
      </c>
      <c r="C781" s="62" t="s">
        <v>109</v>
      </c>
      <c r="D781" s="62" t="s">
        <v>544</v>
      </c>
      <c r="E781" s="76">
        <v>44006.0</v>
      </c>
      <c r="F781" s="77">
        <v>0.041666666666666664</v>
      </c>
      <c r="G781" s="62" t="b">
        <v>0</v>
      </c>
      <c r="H781" s="78" t="b">
        <f>IF(VLOOKUP(C781,Projetos!A:L,12,false)=TRUE,TRUE,FALSE)</f>
        <v>0</v>
      </c>
      <c r="I781" s="68">
        <v>32.350235319100086</v>
      </c>
      <c r="J781" s="68">
        <f t="shared" si="1"/>
        <v>0</v>
      </c>
      <c r="K781" s="68" t="b">
        <v>0</v>
      </c>
    </row>
    <row r="782" hidden="1">
      <c r="A782" s="75">
        <v>776.0</v>
      </c>
      <c r="B782" s="62" t="s">
        <v>532</v>
      </c>
      <c r="C782" s="62" t="s">
        <v>109</v>
      </c>
      <c r="D782" s="62" t="s">
        <v>545</v>
      </c>
      <c r="E782" s="76">
        <v>44008.0</v>
      </c>
      <c r="F782" s="77">
        <v>0.041666666666666664</v>
      </c>
      <c r="G782" s="62" t="b">
        <v>0</v>
      </c>
      <c r="H782" s="78" t="b">
        <f>IF(VLOOKUP(C782,Projetos!A:L,12,false)=TRUE,TRUE,FALSE)</f>
        <v>0</v>
      </c>
      <c r="I782" s="68">
        <v>32.350235319100086</v>
      </c>
      <c r="J782" s="68">
        <f t="shared" si="1"/>
        <v>0</v>
      </c>
      <c r="K782" s="68" t="b">
        <v>0</v>
      </c>
    </row>
    <row r="783" hidden="1">
      <c r="A783" s="75">
        <v>777.0</v>
      </c>
      <c r="B783" s="62" t="s">
        <v>532</v>
      </c>
      <c r="C783" s="62" t="s">
        <v>138</v>
      </c>
      <c r="D783" s="62" t="s">
        <v>546</v>
      </c>
      <c r="E783" s="76">
        <v>44011.0</v>
      </c>
      <c r="F783" s="77">
        <v>0.08333333333333333</v>
      </c>
      <c r="G783" s="62" t="b">
        <v>0</v>
      </c>
      <c r="H783" s="78" t="b">
        <f>IF(VLOOKUP(C783,Projetos!A:L,12,false)=TRUE,TRUE,FALSE)</f>
        <v>1</v>
      </c>
      <c r="I783" s="68">
        <v>32.350235319100086</v>
      </c>
      <c r="J783" s="68">
        <f t="shared" si="1"/>
        <v>0</v>
      </c>
      <c r="K783" s="68" t="b">
        <v>1</v>
      </c>
    </row>
    <row r="784" hidden="1">
      <c r="A784" s="75">
        <v>778.0</v>
      </c>
      <c r="B784" s="62" t="s">
        <v>532</v>
      </c>
      <c r="C784" s="62" t="s">
        <v>104</v>
      </c>
      <c r="D784" s="62" t="s">
        <v>547</v>
      </c>
      <c r="E784" s="76">
        <v>44001.0</v>
      </c>
      <c r="F784" s="77">
        <v>0.041666666666666664</v>
      </c>
      <c r="G784" s="62" t="b">
        <v>0</v>
      </c>
      <c r="H784" s="78" t="b">
        <f>IF(VLOOKUP(C784,Projetos!A:L,12,false)=TRUE,TRUE,FALSE)</f>
        <v>1</v>
      </c>
      <c r="I784" s="68">
        <v>32.350235319100086</v>
      </c>
      <c r="J784" s="68">
        <f t="shared" si="1"/>
        <v>0</v>
      </c>
      <c r="K784" s="68" t="b">
        <v>1</v>
      </c>
    </row>
    <row r="785">
      <c r="A785" s="75">
        <v>779.0</v>
      </c>
      <c r="B785" s="62" t="s">
        <v>532</v>
      </c>
      <c r="C785" s="62" t="s">
        <v>103</v>
      </c>
      <c r="D785" s="62" t="s">
        <v>548</v>
      </c>
      <c r="E785" s="76">
        <v>43994.0</v>
      </c>
      <c r="F785" s="77">
        <v>0.041666666666666664</v>
      </c>
      <c r="G785" s="62" t="b">
        <v>1</v>
      </c>
      <c r="H785" s="78" t="b">
        <f>IF(VLOOKUP(C785,Projetos!A:L,12,false)=TRUE,TRUE,FALSE)</f>
        <v>1</v>
      </c>
      <c r="I785" s="68">
        <v>32.350235319100086</v>
      </c>
      <c r="J785" s="68">
        <f t="shared" si="1"/>
        <v>32.35023532</v>
      </c>
      <c r="K785" s="68" t="b">
        <v>1</v>
      </c>
    </row>
    <row r="786">
      <c r="A786" s="75">
        <v>780.0</v>
      </c>
      <c r="B786" s="62" t="s">
        <v>532</v>
      </c>
      <c r="C786" s="62" t="s">
        <v>103</v>
      </c>
      <c r="D786" s="62" t="s">
        <v>549</v>
      </c>
      <c r="E786" s="76">
        <v>44001.0</v>
      </c>
      <c r="F786" s="77">
        <v>0.020833333333333332</v>
      </c>
      <c r="G786" s="62" t="b">
        <v>1</v>
      </c>
      <c r="H786" s="78" t="b">
        <f>IF(VLOOKUP(C786,Projetos!A:L,12,false)=TRUE,TRUE,FALSE)</f>
        <v>1</v>
      </c>
      <c r="I786" s="68">
        <v>32.350235319100086</v>
      </c>
      <c r="J786" s="68">
        <f t="shared" si="1"/>
        <v>16.17511766</v>
      </c>
      <c r="K786" s="68" t="b">
        <v>1</v>
      </c>
    </row>
    <row r="787">
      <c r="A787" s="75">
        <v>781.0</v>
      </c>
      <c r="B787" s="62" t="s">
        <v>532</v>
      </c>
      <c r="C787" s="62" t="s">
        <v>104</v>
      </c>
      <c r="D787" s="62" t="s">
        <v>550</v>
      </c>
      <c r="E787" s="76">
        <v>44021.0</v>
      </c>
      <c r="F787" s="77">
        <v>0.041666666666666664</v>
      </c>
      <c r="G787" s="62" t="b">
        <v>1</v>
      </c>
      <c r="H787" s="78" t="b">
        <f>IF(VLOOKUP(C787,Projetos!A:L,12,false)=TRUE,TRUE,FALSE)</f>
        <v>1</v>
      </c>
      <c r="I787" s="68">
        <v>33.89072271524771</v>
      </c>
      <c r="J787" s="68">
        <f t="shared" si="1"/>
        <v>33.89072272</v>
      </c>
      <c r="K787" s="68" t="b">
        <v>1</v>
      </c>
    </row>
    <row r="788">
      <c r="A788" s="75">
        <v>782.0</v>
      </c>
      <c r="B788" s="62" t="s">
        <v>532</v>
      </c>
      <c r="C788" s="62" t="s">
        <v>104</v>
      </c>
      <c r="D788" s="62" t="s">
        <v>551</v>
      </c>
      <c r="E788" s="76">
        <v>44025.0</v>
      </c>
      <c r="F788" s="77">
        <v>0.20833333333333334</v>
      </c>
      <c r="G788" s="62" t="b">
        <v>1</v>
      </c>
      <c r="H788" s="78" t="b">
        <f>IF(VLOOKUP(C788,Projetos!A:L,12,false)=TRUE,TRUE,FALSE)</f>
        <v>1</v>
      </c>
      <c r="I788" s="68">
        <v>33.89072271524771</v>
      </c>
      <c r="J788" s="68">
        <f t="shared" si="1"/>
        <v>169.4536136</v>
      </c>
      <c r="K788" s="68" t="b">
        <v>1</v>
      </c>
    </row>
    <row r="789" hidden="1">
      <c r="A789" s="75">
        <v>783.0</v>
      </c>
      <c r="B789" s="62" t="s">
        <v>532</v>
      </c>
      <c r="C789" s="62" t="s">
        <v>104</v>
      </c>
      <c r="D789" s="62" t="s">
        <v>552</v>
      </c>
      <c r="E789" s="76">
        <v>44026.0</v>
      </c>
      <c r="F789" s="77">
        <v>0.125</v>
      </c>
      <c r="G789" s="62" t="b">
        <v>0</v>
      </c>
      <c r="H789" s="78" t="b">
        <f>IF(VLOOKUP(C789,Projetos!A:L,12,false)=TRUE,TRUE,FALSE)</f>
        <v>1</v>
      </c>
      <c r="I789" s="68">
        <v>33.89072271524771</v>
      </c>
      <c r="J789" s="68">
        <f t="shared" si="1"/>
        <v>0</v>
      </c>
      <c r="K789" s="68" t="b">
        <v>1</v>
      </c>
    </row>
    <row r="790" hidden="1">
      <c r="A790" s="75">
        <v>784.0</v>
      </c>
      <c r="B790" s="62" t="s">
        <v>532</v>
      </c>
      <c r="C790" s="62" t="s">
        <v>104</v>
      </c>
      <c r="D790" s="62" t="s">
        <v>553</v>
      </c>
      <c r="E790" s="76">
        <v>44032.0</v>
      </c>
      <c r="F790" s="77">
        <v>0.125</v>
      </c>
      <c r="G790" s="62" t="b">
        <v>0</v>
      </c>
      <c r="H790" s="78" t="b">
        <f>IF(VLOOKUP(C790,Projetos!A:L,12,false)=TRUE,TRUE,FALSE)</f>
        <v>1</v>
      </c>
      <c r="I790" s="68">
        <v>33.89072271524771</v>
      </c>
      <c r="J790" s="68">
        <f t="shared" si="1"/>
        <v>0</v>
      </c>
      <c r="K790" s="68" t="b">
        <v>1</v>
      </c>
    </row>
    <row r="791" hidden="1">
      <c r="A791" s="75">
        <v>785.0</v>
      </c>
      <c r="B791" s="62" t="s">
        <v>532</v>
      </c>
      <c r="C791" s="62" t="s">
        <v>104</v>
      </c>
      <c r="D791" s="62" t="s">
        <v>553</v>
      </c>
      <c r="E791" s="76">
        <v>44036.0</v>
      </c>
      <c r="F791" s="77">
        <v>0.08333333333333333</v>
      </c>
      <c r="G791" s="62" t="b">
        <v>0</v>
      </c>
      <c r="H791" s="78" t="b">
        <f>IF(VLOOKUP(C791,Projetos!A:L,12,false)=TRUE,TRUE,FALSE)</f>
        <v>1</v>
      </c>
      <c r="I791" s="68">
        <v>33.89072271524771</v>
      </c>
      <c r="J791" s="68">
        <f t="shared" si="1"/>
        <v>0</v>
      </c>
      <c r="K791" s="68" t="b">
        <v>1</v>
      </c>
    </row>
    <row r="792">
      <c r="A792" s="75">
        <v>786.0</v>
      </c>
      <c r="B792" s="62" t="s">
        <v>532</v>
      </c>
      <c r="C792" s="62" t="s">
        <v>104</v>
      </c>
      <c r="D792" s="62" t="s">
        <v>550</v>
      </c>
      <c r="E792" s="76">
        <v>44033.0</v>
      </c>
      <c r="F792" s="77">
        <v>0.041666666666666664</v>
      </c>
      <c r="G792" s="62" t="b">
        <v>1</v>
      </c>
      <c r="H792" s="78" t="b">
        <f>IF(VLOOKUP(C792,Projetos!A:L,12,false)=TRUE,TRUE,FALSE)</f>
        <v>1</v>
      </c>
      <c r="I792" s="68">
        <v>33.89072271524771</v>
      </c>
      <c r="J792" s="68">
        <f t="shared" si="1"/>
        <v>33.89072272</v>
      </c>
      <c r="K792" s="68" t="b">
        <v>1</v>
      </c>
    </row>
    <row r="793" hidden="1">
      <c r="A793" s="75">
        <v>787.0</v>
      </c>
      <c r="B793" s="62" t="s">
        <v>532</v>
      </c>
      <c r="C793" s="62" t="s">
        <v>104</v>
      </c>
      <c r="D793" s="62" t="s">
        <v>553</v>
      </c>
      <c r="E793" s="76">
        <v>44040.0</v>
      </c>
      <c r="F793" s="77">
        <v>0.041666666666666664</v>
      </c>
      <c r="G793" s="62" t="b">
        <v>0</v>
      </c>
      <c r="H793" s="78" t="b">
        <f>IF(VLOOKUP(C793,Projetos!A:L,12,false)=TRUE,TRUE,FALSE)</f>
        <v>1</v>
      </c>
      <c r="I793" s="68">
        <v>33.89072271524771</v>
      </c>
      <c r="J793" s="68">
        <f t="shared" si="1"/>
        <v>0</v>
      </c>
      <c r="K793" s="68" t="b">
        <v>1</v>
      </c>
    </row>
    <row r="794" hidden="1">
      <c r="A794" s="75">
        <v>788.0</v>
      </c>
      <c r="B794" s="62" t="s">
        <v>532</v>
      </c>
      <c r="C794" s="62" t="s">
        <v>104</v>
      </c>
      <c r="D794" s="62" t="s">
        <v>553</v>
      </c>
      <c r="E794" s="76">
        <v>44042.0</v>
      </c>
      <c r="F794" s="77">
        <v>0.0625</v>
      </c>
      <c r="G794" s="62" t="b">
        <v>0</v>
      </c>
      <c r="H794" s="78" t="b">
        <f>IF(VLOOKUP(C794,Projetos!A:L,12,false)=TRUE,TRUE,FALSE)</f>
        <v>1</v>
      </c>
      <c r="I794" s="68">
        <v>33.89072271524771</v>
      </c>
      <c r="J794" s="68">
        <f t="shared" si="1"/>
        <v>0</v>
      </c>
      <c r="K794" s="68" t="b">
        <v>1</v>
      </c>
    </row>
    <row r="795">
      <c r="A795" s="75">
        <v>789.0</v>
      </c>
      <c r="B795" s="62" t="s">
        <v>532</v>
      </c>
      <c r="C795" s="62" t="s">
        <v>103</v>
      </c>
      <c r="D795" s="62" t="s">
        <v>554</v>
      </c>
      <c r="E795" s="76">
        <v>44027.0</v>
      </c>
      <c r="F795" s="77">
        <v>0.020833333333333332</v>
      </c>
      <c r="G795" s="62" t="b">
        <v>1</v>
      </c>
      <c r="H795" s="78" t="b">
        <f>IF(VLOOKUP(C795,Projetos!A:L,12,false)=TRUE,TRUE,FALSE)</f>
        <v>1</v>
      </c>
      <c r="I795" s="68">
        <v>33.89072271524771</v>
      </c>
      <c r="J795" s="68">
        <f t="shared" si="1"/>
        <v>16.94536136</v>
      </c>
      <c r="K795" s="68" t="b">
        <v>1</v>
      </c>
    </row>
    <row r="796">
      <c r="A796" s="75">
        <v>790.0</v>
      </c>
      <c r="B796" s="62" t="s">
        <v>532</v>
      </c>
      <c r="C796" s="62" t="s">
        <v>104</v>
      </c>
      <c r="D796" s="62" t="s">
        <v>555</v>
      </c>
      <c r="E796" s="76">
        <v>44051.0</v>
      </c>
      <c r="F796" s="77">
        <v>0.041666666666666664</v>
      </c>
      <c r="G796" s="62" t="b">
        <v>1</v>
      </c>
      <c r="H796" s="78" t="b">
        <f>IF(VLOOKUP(C796,Projetos!A:L,12,false)=TRUE,TRUE,FALSE)</f>
        <v>1</v>
      </c>
      <c r="I796" s="68">
        <v>33.89072271524771</v>
      </c>
      <c r="J796" s="68">
        <f t="shared" si="1"/>
        <v>33.89072272</v>
      </c>
      <c r="K796" s="68" t="b">
        <v>1</v>
      </c>
    </row>
    <row r="797">
      <c r="A797" s="75">
        <v>791.0</v>
      </c>
      <c r="B797" s="62" t="s">
        <v>532</v>
      </c>
      <c r="C797" s="62" t="s">
        <v>104</v>
      </c>
      <c r="D797" s="62" t="s">
        <v>556</v>
      </c>
      <c r="E797" s="76">
        <v>44060.0</v>
      </c>
      <c r="F797" s="77">
        <v>0.020833333333333332</v>
      </c>
      <c r="G797" s="62" t="b">
        <v>1</v>
      </c>
      <c r="H797" s="78" t="b">
        <f>IF(VLOOKUP(C797,Projetos!A:L,12,false)=TRUE,TRUE,FALSE)</f>
        <v>1</v>
      </c>
      <c r="I797" s="68">
        <v>33.89072271524771</v>
      </c>
      <c r="J797" s="68">
        <f t="shared" si="1"/>
        <v>16.94536136</v>
      </c>
      <c r="K797" s="68" t="b">
        <v>1</v>
      </c>
    </row>
    <row r="798">
      <c r="A798" s="75">
        <v>792.0</v>
      </c>
      <c r="B798" s="62" t="s">
        <v>532</v>
      </c>
      <c r="C798" s="62" t="s">
        <v>104</v>
      </c>
      <c r="D798" s="62" t="s">
        <v>556</v>
      </c>
      <c r="E798" s="76">
        <v>44064.0</v>
      </c>
      <c r="F798" s="77">
        <v>0.020833333333333332</v>
      </c>
      <c r="G798" s="62" t="b">
        <v>1</v>
      </c>
      <c r="H798" s="78" t="b">
        <f>IF(VLOOKUP(C798,Projetos!A:L,12,false)=TRUE,TRUE,FALSE)</f>
        <v>1</v>
      </c>
      <c r="I798" s="68">
        <v>33.89072271524771</v>
      </c>
      <c r="J798" s="68">
        <f t="shared" si="1"/>
        <v>16.94536136</v>
      </c>
      <c r="K798" s="68" t="b">
        <v>1</v>
      </c>
    </row>
    <row r="799">
      <c r="A799" s="75">
        <v>793.0</v>
      </c>
      <c r="B799" s="62" t="s">
        <v>532</v>
      </c>
      <c r="C799" s="62" t="s">
        <v>104</v>
      </c>
      <c r="D799" s="62" t="s">
        <v>557</v>
      </c>
      <c r="E799" s="76">
        <v>44074.0</v>
      </c>
      <c r="F799" s="77">
        <v>0.041666666666666664</v>
      </c>
      <c r="G799" s="62" t="b">
        <v>1</v>
      </c>
      <c r="H799" s="78" t="b">
        <f>IF(VLOOKUP(C799,Projetos!A:L,12,false)=TRUE,TRUE,FALSE)</f>
        <v>1</v>
      </c>
      <c r="I799" s="68">
        <v>33.89072271524771</v>
      </c>
      <c r="J799" s="68">
        <f t="shared" si="1"/>
        <v>33.89072272</v>
      </c>
      <c r="K799" s="68" t="b">
        <v>1</v>
      </c>
    </row>
    <row r="800" hidden="1">
      <c r="A800" s="75">
        <v>794.0</v>
      </c>
      <c r="B800" s="62" t="s">
        <v>532</v>
      </c>
      <c r="C800" s="62" t="s">
        <v>104</v>
      </c>
      <c r="D800" s="62" t="s">
        <v>558</v>
      </c>
      <c r="E800" s="76">
        <v>44062.0</v>
      </c>
      <c r="F800" s="77">
        <v>0.20833333333333334</v>
      </c>
      <c r="G800" s="62" t="b">
        <v>0</v>
      </c>
      <c r="H800" s="78" t="b">
        <f>IF(VLOOKUP(C800,Projetos!A:L,12,false)=TRUE,TRUE,FALSE)</f>
        <v>1</v>
      </c>
      <c r="I800" s="68">
        <v>33.89072271524771</v>
      </c>
      <c r="J800" s="68">
        <f t="shared" si="1"/>
        <v>0</v>
      </c>
      <c r="K800" s="68" t="b">
        <v>1</v>
      </c>
    </row>
    <row r="801" hidden="1">
      <c r="A801" s="75">
        <v>795.0</v>
      </c>
      <c r="B801" s="62" t="s">
        <v>532</v>
      </c>
      <c r="C801" s="62" t="s">
        <v>104</v>
      </c>
      <c r="D801" s="62" t="s">
        <v>559</v>
      </c>
      <c r="E801" s="76">
        <v>44064.0</v>
      </c>
      <c r="F801" s="77">
        <v>0.0625</v>
      </c>
      <c r="G801" s="62" t="b">
        <v>0</v>
      </c>
      <c r="H801" s="78" t="b">
        <f>IF(VLOOKUP(C801,Projetos!A:L,12,false)=TRUE,TRUE,FALSE)</f>
        <v>1</v>
      </c>
      <c r="I801" s="68">
        <v>33.89072271524771</v>
      </c>
      <c r="J801" s="68">
        <f t="shared" si="1"/>
        <v>0</v>
      </c>
      <c r="K801" s="68" t="b">
        <v>1</v>
      </c>
    </row>
    <row r="802" hidden="1">
      <c r="A802" s="75">
        <v>796.0</v>
      </c>
      <c r="B802" s="62" t="s">
        <v>532</v>
      </c>
      <c r="C802" s="62" t="s">
        <v>104</v>
      </c>
      <c r="D802" s="62" t="s">
        <v>560</v>
      </c>
      <c r="E802" s="76">
        <v>44046.0</v>
      </c>
      <c r="F802" s="77">
        <v>0.20833333333333334</v>
      </c>
      <c r="G802" s="62" t="b">
        <v>0</v>
      </c>
      <c r="H802" s="78" t="b">
        <f>IF(VLOOKUP(C802,Projetos!A:L,12,false)=TRUE,TRUE,FALSE)</f>
        <v>1</v>
      </c>
      <c r="I802" s="68">
        <v>33.89072271524771</v>
      </c>
      <c r="J802" s="68">
        <f t="shared" si="1"/>
        <v>0</v>
      </c>
      <c r="K802" s="68" t="b">
        <v>1</v>
      </c>
    </row>
    <row r="803" hidden="1">
      <c r="A803" s="75">
        <v>797.0</v>
      </c>
      <c r="B803" s="62" t="s">
        <v>532</v>
      </c>
      <c r="C803" s="62" t="s">
        <v>103</v>
      </c>
      <c r="D803" s="62" t="s">
        <v>561</v>
      </c>
      <c r="E803" s="76">
        <v>44068.0</v>
      </c>
      <c r="F803" s="77">
        <v>0.041666666666666664</v>
      </c>
      <c r="G803" s="62" t="b">
        <v>0</v>
      </c>
      <c r="H803" s="78" t="b">
        <f>IF(VLOOKUP(C803,Projetos!A:L,12,false)=TRUE,TRUE,FALSE)</f>
        <v>1</v>
      </c>
      <c r="I803" s="68">
        <v>33.89072271524771</v>
      </c>
      <c r="J803" s="68">
        <f t="shared" si="1"/>
        <v>0</v>
      </c>
      <c r="K803" s="68" t="b">
        <v>1</v>
      </c>
    </row>
    <row r="804" hidden="1">
      <c r="A804" s="75">
        <v>798.0</v>
      </c>
      <c r="B804" s="62" t="s">
        <v>532</v>
      </c>
      <c r="C804" s="62" t="s">
        <v>104</v>
      </c>
      <c r="D804" s="62" t="s">
        <v>562</v>
      </c>
      <c r="E804" s="76">
        <v>44117.0</v>
      </c>
      <c r="F804" s="77">
        <v>0.041666666666666664</v>
      </c>
      <c r="G804" s="62" t="b">
        <v>0</v>
      </c>
      <c r="H804" s="78" t="b">
        <f>IF(VLOOKUP(C804,Projetos!A:L,12,false)=TRUE,TRUE,FALSE)</f>
        <v>1</v>
      </c>
      <c r="I804" s="68">
        <v>33.89072271524771</v>
      </c>
      <c r="J804" s="68">
        <f t="shared" si="1"/>
        <v>0</v>
      </c>
      <c r="K804" s="68" t="b">
        <v>1</v>
      </c>
    </row>
    <row r="805" hidden="1">
      <c r="A805" s="75">
        <v>799.0</v>
      </c>
      <c r="B805" s="62" t="s">
        <v>532</v>
      </c>
      <c r="C805" s="62" t="s">
        <v>104</v>
      </c>
      <c r="D805" s="62" t="s">
        <v>562</v>
      </c>
      <c r="E805" s="76">
        <v>44119.0</v>
      </c>
      <c r="F805" s="77">
        <v>0.020833333333333332</v>
      </c>
      <c r="G805" s="62" t="b">
        <v>0</v>
      </c>
      <c r="H805" s="78" t="b">
        <f>IF(VLOOKUP(C805,Projetos!A:L,12,false)=TRUE,TRUE,FALSE)</f>
        <v>1</v>
      </c>
      <c r="I805" s="68">
        <v>33.89072271524771</v>
      </c>
      <c r="J805" s="68">
        <f t="shared" si="1"/>
        <v>0</v>
      </c>
      <c r="K805" s="68" t="b">
        <v>1</v>
      </c>
    </row>
    <row r="806" hidden="1">
      <c r="A806" s="75">
        <v>800.0</v>
      </c>
      <c r="B806" s="62" t="s">
        <v>532</v>
      </c>
      <c r="C806" s="62" t="s">
        <v>104</v>
      </c>
      <c r="D806" s="62" t="s">
        <v>562</v>
      </c>
      <c r="E806" s="76">
        <v>44130.0</v>
      </c>
      <c r="F806" s="77">
        <v>0.020833333333333332</v>
      </c>
      <c r="G806" s="62" t="b">
        <v>0</v>
      </c>
      <c r="H806" s="78" t="b">
        <f>IF(VLOOKUP(C806,Projetos!A:L,12,false)=TRUE,TRUE,FALSE)</f>
        <v>1</v>
      </c>
      <c r="I806" s="68">
        <v>33.89072271524771</v>
      </c>
      <c r="J806" s="68">
        <f t="shared" si="1"/>
        <v>0</v>
      </c>
      <c r="K806" s="68" t="b">
        <v>1</v>
      </c>
    </row>
    <row r="807" hidden="1">
      <c r="A807" s="75">
        <v>801.0</v>
      </c>
      <c r="B807" s="62" t="s">
        <v>532</v>
      </c>
      <c r="C807" s="62" t="s">
        <v>108</v>
      </c>
      <c r="D807" s="62" t="s">
        <v>563</v>
      </c>
      <c r="E807" s="76">
        <v>44110.0</v>
      </c>
      <c r="F807" s="77">
        <v>0.16666666666666666</v>
      </c>
      <c r="G807" s="62" t="b">
        <v>0</v>
      </c>
      <c r="H807" s="78" t="b">
        <f>IF(VLOOKUP(C807,Projetos!A:L,12,false)=TRUE,TRUE,FALSE)</f>
        <v>1</v>
      </c>
      <c r="I807" s="68">
        <v>33.89072271524771</v>
      </c>
      <c r="J807" s="68">
        <f t="shared" si="1"/>
        <v>0</v>
      </c>
      <c r="K807" s="68" t="b">
        <v>1</v>
      </c>
    </row>
    <row r="808" hidden="1">
      <c r="A808" s="75">
        <v>802.0</v>
      </c>
      <c r="B808" s="62" t="s">
        <v>532</v>
      </c>
      <c r="C808" s="62" t="s">
        <v>108</v>
      </c>
      <c r="D808" s="62" t="s">
        <v>564</v>
      </c>
      <c r="E808" s="76">
        <v>44116.0</v>
      </c>
      <c r="F808" s="77">
        <v>0.041666666666666664</v>
      </c>
      <c r="G808" s="62" t="b">
        <v>0</v>
      </c>
      <c r="H808" s="78" t="b">
        <f>IF(VLOOKUP(C808,Projetos!A:L,12,false)=TRUE,TRUE,FALSE)</f>
        <v>1</v>
      </c>
      <c r="I808" s="68">
        <v>33.89072271524771</v>
      </c>
      <c r="J808" s="68">
        <f t="shared" si="1"/>
        <v>0</v>
      </c>
      <c r="K808" s="68" t="b">
        <v>1</v>
      </c>
    </row>
    <row r="809" hidden="1">
      <c r="A809" s="75">
        <v>803.0</v>
      </c>
      <c r="B809" s="62" t="s">
        <v>532</v>
      </c>
      <c r="C809" s="62" t="s">
        <v>108</v>
      </c>
      <c r="D809" s="62" t="s">
        <v>565</v>
      </c>
      <c r="E809" s="76">
        <v>44119.0</v>
      </c>
      <c r="F809" s="77">
        <v>0.020833333333333332</v>
      </c>
      <c r="G809" s="62" t="b">
        <v>0</v>
      </c>
      <c r="H809" s="78" t="b">
        <f>IF(VLOOKUP(C809,Projetos!A:L,12,false)=TRUE,TRUE,FALSE)</f>
        <v>1</v>
      </c>
      <c r="I809" s="68">
        <v>33.89072271524771</v>
      </c>
      <c r="J809" s="68">
        <f t="shared" si="1"/>
        <v>0</v>
      </c>
      <c r="K809" s="68" t="b">
        <v>1</v>
      </c>
    </row>
    <row r="810" hidden="1">
      <c r="A810" s="75">
        <v>804.0</v>
      </c>
      <c r="B810" s="62" t="s">
        <v>532</v>
      </c>
      <c r="C810" s="62" t="s">
        <v>109</v>
      </c>
      <c r="D810" s="62" t="s">
        <v>204</v>
      </c>
      <c r="E810" s="76">
        <v>44109.0</v>
      </c>
      <c r="F810" s="77">
        <v>0.041666666666666664</v>
      </c>
      <c r="G810" s="62" t="b">
        <v>0</v>
      </c>
      <c r="H810" s="78" t="b">
        <f>IF(VLOOKUP(C810,Projetos!A:L,12,false)=TRUE,TRUE,FALSE)</f>
        <v>0</v>
      </c>
      <c r="I810" s="68">
        <v>33.89072271524771</v>
      </c>
      <c r="J810" s="68">
        <f t="shared" si="1"/>
        <v>0</v>
      </c>
      <c r="K810" s="68" t="b">
        <v>0</v>
      </c>
    </row>
    <row r="811" hidden="1">
      <c r="A811" s="75">
        <v>805.0</v>
      </c>
      <c r="B811" s="62" t="s">
        <v>532</v>
      </c>
      <c r="C811" s="62" t="s">
        <v>109</v>
      </c>
      <c r="D811" s="62" t="s">
        <v>204</v>
      </c>
      <c r="E811" s="76">
        <v>44112.0</v>
      </c>
      <c r="F811" s="77">
        <v>0.041666666666666664</v>
      </c>
      <c r="G811" s="62" t="b">
        <v>0</v>
      </c>
      <c r="H811" s="78" t="b">
        <f>IF(VLOOKUP(C811,Projetos!A:L,12,false)=TRUE,TRUE,FALSE)</f>
        <v>0</v>
      </c>
      <c r="I811" s="68">
        <v>33.89072271524771</v>
      </c>
      <c r="J811" s="68">
        <f t="shared" si="1"/>
        <v>0</v>
      </c>
      <c r="K811" s="68" t="b">
        <v>0</v>
      </c>
    </row>
    <row r="812" hidden="1">
      <c r="A812" s="75">
        <v>806.0</v>
      </c>
      <c r="B812" s="62" t="s">
        <v>532</v>
      </c>
      <c r="C812" s="62" t="s">
        <v>109</v>
      </c>
      <c r="D812" s="62" t="s">
        <v>204</v>
      </c>
      <c r="E812" s="76">
        <v>44120.0</v>
      </c>
      <c r="F812" s="77">
        <v>0.041666666666666664</v>
      </c>
      <c r="G812" s="62" t="b">
        <v>0</v>
      </c>
      <c r="H812" s="78" t="b">
        <f>IF(VLOOKUP(C812,Projetos!A:L,12,false)=TRUE,TRUE,FALSE)</f>
        <v>0</v>
      </c>
      <c r="I812" s="68">
        <v>33.89072271524771</v>
      </c>
      <c r="J812" s="68">
        <f t="shared" si="1"/>
        <v>0</v>
      </c>
      <c r="K812" s="68" t="b">
        <v>0</v>
      </c>
    </row>
    <row r="813" hidden="1">
      <c r="A813" s="75">
        <v>807.0</v>
      </c>
      <c r="B813" s="62" t="s">
        <v>532</v>
      </c>
      <c r="C813" s="62" t="s">
        <v>109</v>
      </c>
      <c r="D813" s="62" t="s">
        <v>204</v>
      </c>
      <c r="E813" s="76">
        <v>44124.0</v>
      </c>
      <c r="F813" s="77">
        <v>0.041666666666666664</v>
      </c>
      <c r="G813" s="62" t="b">
        <v>0</v>
      </c>
      <c r="H813" s="78" t="b">
        <f>IF(VLOOKUP(C813,Projetos!A:L,12,false)=TRUE,TRUE,FALSE)</f>
        <v>0</v>
      </c>
      <c r="I813" s="68">
        <v>33.89072271524771</v>
      </c>
      <c r="J813" s="68">
        <f t="shared" si="1"/>
        <v>0</v>
      </c>
      <c r="K813" s="68" t="b">
        <v>0</v>
      </c>
    </row>
    <row r="814" hidden="1">
      <c r="A814" s="75">
        <v>808.0</v>
      </c>
      <c r="B814" s="62" t="s">
        <v>532</v>
      </c>
      <c r="C814" s="62" t="s">
        <v>109</v>
      </c>
      <c r="D814" s="62" t="s">
        <v>204</v>
      </c>
      <c r="E814" s="76">
        <v>44126.0</v>
      </c>
      <c r="F814" s="77">
        <v>0.041666666666666664</v>
      </c>
      <c r="G814" s="62" t="b">
        <v>0</v>
      </c>
      <c r="H814" s="78" t="b">
        <f>IF(VLOOKUP(C814,Projetos!A:L,12,false)=TRUE,TRUE,FALSE)</f>
        <v>0</v>
      </c>
      <c r="I814" s="68">
        <v>33.89072271524771</v>
      </c>
      <c r="J814" s="68">
        <f t="shared" si="1"/>
        <v>0</v>
      </c>
      <c r="K814" s="68" t="b">
        <v>0</v>
      </c>
    </row>
    <row r="815" hidden="1">
      <c r="A815" s="75">
        <v>809.0</v>
      </c>
      <c r="B815" s="62" t="s">
        <v>532</v>
      </c>
      <c r="C815" s="62" t="s">
        <v>109</v>
      </c>
      <c r="D815" s="62" t="s">
        <v>204</v>
      </c>
      <c r="E815" s="76">
        <v>44131.0</v>
      </c>
      <c r="F815" s="77">
        <v>0.041666666666666664</v>
      </c>
      <c r="G815" s="62" t="b">
        <v>0</v>
      </c>
      <c r="H815" s="78" t="b">
        <f>IF(VLOOKUP(C815,Projetos!A:L,12,false)=TRUE,TRUE,FALSE)</f>
        <v>0</v>
      </c>
      <c r="I815" s="68">
        <v>33.89072271524771</v>
      </c>
      <c r="J815" s="68">
        <f t="shared" si="1"/>
        <v>0</v>
      </c>
      <c r="K815" s="68" t="b">
        <v>0</v>
      </c>
    </row>
    <row r="816">
      <c r="A816" s="75">
        <v>810.0</v>
      </c>
      <c r="B816" s="62" t="s">
        <v>532</v>
      </c>
      <c r="C816" s="62" t="s">
        <v>116</v>
      </c>
      <c r="D816" s="62" t="s">
        <v>566</v>
      </c>
      <c r="E816" s="76">
        <v>44115.0</v>
      </c>
      <c r="F816" s="77">
        <v>0.08333333333333333</v>
      </c>
      <c r="G816" s="62" t="b">
        <v>1</v>
      </c>
      <c r="H816" s="78" t="b">
        <f>IF(VLOOKUP(C816,Projetos!A:L,12,false)=TRUE,TRUE,FALSE)</f>
        <v>1</v>
      </c>
      <c r="I816" s="68">
        <v>33.89072271524771</v>
      </c>
      <c r="J816" s="68">
        <f t="shared" si="1"/>
        <v>67.78144543</v>
      </c>
      <c r="K816" s="68" t="b">
        <v>1</v>
      </c>
    </row>
    <row r="817">
      <c r="A817" s="75">
        <v>811.0</v>
      </c>
      <c r="B817" s="62" t="s">
        <v>532</v>
      </c>
      <c r="C817" s="62" t="s">
        <v>104</v>
      </c>
      <c r="D817" s="62" t="s">
        <v>567</v>
      </c>
      <c r="E817" s="76">
        <v>44118.0</v>
      </c>
      <c r="F817" s="77">
        <v>0.041666666666666664</v>
      </c>
      <c r="G817" s="62" t="b">
        <v>1</v>
      </c>
      <c r="H817" s="78" t="b">
        <f>IF(VLOOKUP(C817,Projetos!A:L,12,false)=TRUE,TRUE,FALSE)</f>
        <v>1</v>
      </c>
      <c r="I817" s="68">
        <v>33.89072271524771</v>
      </c>
      <c r="J817" s="68">
        <f t="shared" si="1"/>
        <v>33.89072272</v>
      </c>
      <c r="K817" s="68" t="b">
        <v>1</v>
      </c>
    </row>
    <row r="818">
      <c r="A818" s="75">
        <v>812.0</v>
      </c>
      <c r="B818" s="62" t="s">
        <v>532</v>
      </c>
      <c r="C818" s="62" t="s">
        <v>104</v>
      </c>
      <c r="D818" s="62" t="s">
        <v>568</v>
      </c>
      <c r="E818" s="76">
        <v>44132.0</v>
      </c>
      <c r="F818" s="77">
        <v>0.041666666666666664</v>
      </c>
      <c r="G818" s="62" t="b">
        <v>1</v>
      </c>
      <c r="H818" s="78" t="b">
        <f>IF(VLOOKUP(C818,Projetos!A:L,12,false)=TRUE,TRUE,FALSE)</f>
        <v>1</v>
      </c>
      <c r="I818" s="68">
        <v>33.89072271524771</v>
      </c>
      <c r="J818" s="68">
        <f t="shared" si="1"/>
        <v>33.89072272</v>
      </c>
      <c r="K818" s="68" t="b">
        <v>1</v>
      </c>
    </row>
    <row r="819">
      <c r="A819" s="75">
        <v>813.0</v>
      </c>
      <c r="B819" s="62" t="s">
        <v>532</v>
      </c>
      <c r="C819" s="62" t="s">
        <v>104</v>
      </c>
      <c r="D819" s="62" t="s">
        <v>555</v>
      </c>
      <c r="E819" s="76">
        <v>44145.0</v>
      </c>
      <c r="F819" s="77">
        <v>0.041666666666666664</v>
      </c>
      <c r="G819" s="62" t="b">
        <v>1</v>
      </c>
      <c r="H819" s="78" t="b">
        <f>IF(VLOOKUP(C819,Projetos!A:L,12,false)=TRUE,TRUE,FALSE)</f>
        <v>1</v>
      </c>
      <c r="I819" s="68">
        <v>32.880738424012854</v>
      </c>
      <c r="J819" s="68">
        <f t="shared" si="1"/>
        <v>32.88073842</v>
      </c>
      <c r="K819" s="68" t="b">
        <v>1</v>
      </c>
    </row>
    <row r="820" hidden="1">
      <c r="A820" s="75">
        <v>814.0</v>
      </c>
      <c r="B820" s="62" t="s">
        <v>532</v>
      </c>
      <c r="C820" s="62" t="s">
        <v>104</v>
      </c>
      <c r="D820" s="62" t="s">
        <v>569</v>
      </c>
      <c r="E820" s="76">
        <v>44148.0</v>
      </c>
      <c r="F820" s="77">
        <v>0.125</v>
      </c>
      <c r="G820" s="62" t="b">
        <v>0</v>
      </c>
      <c r="H820" s="78" t="b">
        <f>IF(VLOOKUP(C820,Projetos!A:L,12,false)=TRUE,TRUE,FALSE)</f>
        <v>1</v>
      </c>
      <c r="I820" s="68">
        <v>32.880738424012854</v>
      </c>
      <c r="J820" s="68">
        <f t="shared" si="1"/>
        <v>0</v>
      </c>
      <c r="K820" s="68" t="b">
        <v>1</v>
      </c>
    </row>
    <row r="821">
      <c r="A821" s="75">
        <v>815.0</v>
      </c>
      <c r="B821" s="62" t="s">
        <v>532</v>
      </c>
      <c r="C821" s="62" t="s">
        <v>104</v>
      </c>
      <c r="D821" s="62" t="s">
        <v>570</v>
      </c>
      <c r="E821" s="76">
        <v>44147.0</v>
      </c>
      <c r="F821" s="77">
        <v>0.020833333333333332</v>
      </c>
      <c r="G821" s="62" t="b">
        <v>1</v>
      </c>
      <c r="H821" s="78" t="b">
        <f>IF(VLOOKUP(C821,Projetos!A:L,12,false)=TRUE,TRUE,FALSE)</f>
        <v>1</v>
      </c>
      <c r="I821" s="68">
        <v>32.880738424012854</v>
      </c>
      <c r="J821" s="68">
        <f t="shared" si="1"/>
        <v>16.44036921</v>
      </c>
      <c r="K821" s="68" t="b">
        <v>1</v>
      </c>
    </row>
    <row r="822" hidden="1">
      <c r="A822" s="75">
        <v>816.0</v>
      </c>
      <c r="B822" s="62" t="s">
        <v>532</v>
      </c>
      <c r="C822" s="62" t="s">
        <v>104</v>
      </c>
      <c r="D822" s="62" t="s">
        <v>571</v>
      </c>
      <c r="E822" s="76">
        <v>44160.0</v>
      </c>
      <c r="F822" s="77">
        <v>0.375</v>
      </c>
      <c r="G822" s="62" t="b">
        <v>0</v>
      </c>
      <c r="H822" s="78" t="b">
        <f>IF(VLOOKUP(C822,Projetos!A:L,12,false)=TRUE,TRUE,FALSE)</f>
        <v>1</v>
      </c>
      <c r="I822" s="68">
        <v>32.880738424012854</v>
      </c>
      <c r="J822" s="68">
        <f t="shared" si="1"/>
        <v>0</v>
      </c>
      <c r="K822" s="68" t="b">
        <v>1</v>
      </c>
    </row>
    <row r="823" hidden="1">
      <c r="A823" s="75">
        <v>817.0</v>
      </c>
      <c r="B823" s="62" t="s">
        <v>532</v>
      </c>
      <c r="C823" s="62" t="s">
        <v>109</v>
      </c>
      <c r="D823" s="62" t="s">
        <v>572</v>
      </c>
      <c r="E823" s="76">
        <v>44153.0</v>
      </c>
      <c r="F823" s="77">
        <v>0.08333333333333333</v>
      </c>
      <c r="G823" s="62" t="b">
        <v>0</v>
      </c>
      <c r="H823" s="78" t="b">
        <f>IF(VLOOKUP(C823,Projetos!A:L,12,false)=TRUE,TRUE,FALSE)</f>
        <v>0</v>
      </c>
      <c r="I823" s="68">
        <v>32.880738424012854</v>
      </c>
      <c r="J823" s="68">
        <f t="shared" si="1"/>
        <v>0</v>
      </c>
      <c r="K823" s="68" t="b">
        <v>0</v>
      </c>
    </row>
    <row r="824" hidden="1">
      <c r="A824" s="75">
        <v>818.0</v>
      </c>
      <c r="B824" s="62" t="s">
        <v>532</v>
      </c>
      <c r="C824" s="62" t="s">
        <v>109</v>
      </c>
      <c r="D824" s="62" t="s">
        <v>573</v>
      </c>
      <c r="E824" s="76">
        <v>44154.0</v>
      </c>
      <c r="F824" s="77">
        <v>0.041666666666666664</v>
      </c>
      <c r="G824" s="62" t="b">
        <v>0</v>
      </c>
      <c r="H824" s="78" t="b">
        <f>IF(VLOOKUP(C824,Projetos!A:L,12,false)=TRUE,TRUE,FALSE)</f>
        <v>0</v>
      </c>
      <c r="I824" s="68">
        <v>32.880738424012854</v>
      </c>
      <c r="J824" s="68">
        <f t="shared" si="1"/>
        <v>0</v>
      </c>
      <c r="K824" s="68" t="b">
        <v>0</v>
      </c>
    </row>
    <row r="825" hidden="1">
      <c r="A825" s="75">
        <v>819.0</v>
      </c>
      <c r="B825" s="62" t="s">
        <v>532</v>
      </c>
      <c r="C825" s="62" t="s">
        <v>109</v>
      </c>
      <c r="D825" s="62" t="s">
        <v>574</v>
      </c>
      <c r="E825" s="76">
        <v>44155.0</v>
      </c>
      <c r="F825" s="77">
        <v>0.041666666666666664</v>
      </c>
      <c r="G825" s="62" t="b">
        <v>0</v>
      </c>
      <c r="H825" s="78" t="b">
        <f>IF(VLOOKUP(C825,Projetos!A:L,12,false)=TRUE,TRUE,FALSE)</f>
        <v>0</v>
      </c>
      <c r="I825" s="68">
        <v>32.880738424012854</v>
      </c>
      <c r="J825" s="68">
        <f t="shared" si="1"/>
        <v>0</v>
      </c>
      <c r="K825" s="68" t="b">
        <v>0</v>
      </c>
    </row>
    <row r="826" hidden="1">
      <c r="A826" s="75">
        <v>820.0</v>
      </c>
      <c r="B826" s="62" t="s">
        <v>532</v>
      </c>
      <c r="C826" s="62" t="s">
        <v>109</v>
      </c>
      <c r="D826" s="62" t="s">
        <v>575</v>
      </c>
      <c r="E826" s="76">
        <v>44162.0</v>
      </c>
      <c r="F826" s="77">
        <v>0.020833333333333332</v>
      </c>
      <c r="G826" s="62" t="b">
        <v>0</v>
      </c>
      <c r="H826" s="78" t="b">
        <f>IF(VLOOKUP(C826,Projetos!A:L,12,false)=TRUE,TRUE,FALSE)</f>
        <v>0</v>
      </c>
      <c r="I826" s="68">
        <v>32.880738424012854</v>
      </c>
      <c r="J826" s="68">
        <f t="shared" si="1"/>
        <v>0</v>
      </c>
      <c r="K826" s="68" t="b">
        <v>0</v>
      </c>
    </row>
    <row r="827" hidden="1">
      <c r="A827" s="75">
        <v>821.0</v>
      </c>
      <c r="B827" s="62" t="s">
        <v>532</v>
      </c>
      <c r="C827" s="62" t="s">
        <v>109</v>
      </c>
      <c r="D827" s="62" t="s">
        <v>576</v>
      </c>
      <c r="E827" s="76">
        <v>44162.0</v>
      </c>
      <c r="F827" s="77">
        <v>0.020833333333333332</v>
      </c>
      <c r="G827" s="62" t="b">
        <v>0</v>
      </c>
      <c r="H827" s="78" t="b">
        <f>IF(VLOOKUP(C827,Projetos!A:L,12,false)=TRUE,TRUE,FALSE)</f>
        <v>0</v>
      </c>
      <c r="I827" s="68">
        <v>32.880738424012854</v>
      </c>
      <c r="J827" s="68">
        <f t="shared" si="1"/>
        <v>0</v>
      </c>
      <c r="K827" s="68" t="b">
        <v>0</v>
      </c>
    </row>
    <row r="828">
      <c r="A828" s="75">
        <v>822.0</v>
      </c>
      <c r="B828" s="62" t="s">
        <v>532</v>
      </c>
      <c r="C828" s="62" t="s">
        <v>113</v>
      </c>
      <c r="D828" s="62" t="s">
        <v>577</v>
      </c>
      <c r="E828" s="76">
        <v>44137.0</v>
      </c>
      <c r="F828" s="77">
        <v>0.10416666666666667</v>
      </c>
      <c r="G828" s="62" t="b">
        <v>1</v>
      </c>
      <c r="H828" s="78" t="b">
        <f>IF(VLOOKUP(C828,Projetos!A:L,12,false)=TRUE,TRUE,FALSE)</f>
        <v>1</v>
      </c>
      <c r="I828" s="68">
        <v>32.880738424012854</v>
      </c>
      <c r="J828" s="68">
        <f t="shared" si="1"/>
        <v>82.20184606</v>
      </c>
      <c r="K828" s="68" t="b">
        <v>1</v>
      </c>
    </row>
    <row r="829" hidden="1">
      <c r="A829" s="75">
        <v>823.0</v>
      </c>
      <c r="B829" s="62" t="s">
        <v>532</v>
      </c>
      <c r="C829" s="62" t="s">
        <v>113</v>
      </c>
      <c r="D829" s="62" t="s">
        <v>578</v>
      </c>
      <c r="E829" s="76">
        <v>44144.0</v>
      </c>
      <c r="F829" s="77">
        <v>0.08333333333333333</v>
      </c>
      <c r="G829" s="62" t="b">
        <v>0</v>
      </c>
      <c r="H829" s="78" t="b">
        <f>IF(VLOOKUP(C829,Projetos!A:L,12,false)=TRUE,TRUE,FALSE)</f>
        <v>1</v>
      </c>
      <c r="I829" s="68">
        <v>32.880738424012854</v>
      </c>
      <c r="J829" s="68">
        <f t="shared" si="1"/>
        <v>0</v>
      </c>
      <c r="K829" s="68" t="b">
        <v>1</v>
      </c>
    </row>
    <row r="830">
      <c r="A830" s="75">
        <v>824.0</v>
      </c>
      <c r="B830" s="62" t="s">
        <v>532</v>
      </c>
      <c r="C830" s="62" t="s">
        <v>113</v>
      </c>
      <c r="D830" s="62" t="s">
        <v>579</v>
      </c>
      <c r="E830" s="76">
        <v>44151.0</v>
      </c>
      <c r="F830" s="77">
        <v>0.041666666666666664</v>
      </c>
      <c r="G830" s="62" t="b">
        <v>1</v>
      </c>
      <c r="H830" s="78" t="b">
        <f>IF(VLOOKUP(C830,Projetos!A:L,12,false)=TRUE,TRUE,FALSE)</f>
        <v>1</v>
      </c>
      <c r="I830" s="68">
        <v>32.880738424012854</v>
      </c>
      <c r="J830" s="68">
        <f t="shared" si="1"/>
        <v>32.88073842</v>
      </c>
      <c r="K830" s="68" t="b">
        <v>1</v>
      </c>
    </row>
    <row r="831">
      <c r="A831" s="75">
        <v>825.0</v>
      </c>
      <c r="B831" s="62" t="s">
        <v>532</v>
      </c>
      <c r="C831" s="62" t="s">
        <v>113</v>
      </c>
      <c r="D831" s="62" t="s">
        <v>579</v>
      </c>
      <c r="E831" s="76">
        <v>44152.0</v>
      </c>
      <c r="F831" s="77">
        <v>0.020833333333333332</v>
      </c>
      <c r="G831" s="62" t="b">
        <v>1</v>
      </c>
      <c r="H831" s="78" t="b">
        <f>IF(VLOOKUP(C831,Projetos!A:L,12,false)=TRUE,TRUE,FALSE)</f>
        <v>1</v>
      </c>
      <c r="I831" s="68">
        <v>32.880738424012854</v>
      </c>
      <c r="J831" s="68">
        <f t="shared" si="1"/>
        <v>16.44036921</v>
      </c>
      <c r="K831" s="68" t="b">
        <v>1</v>
      </c>
    </row>
    <row r="832">
      <c r="A832" s="75">
        <v>826.0</v>
      </c>
      <c r="B832" s="62" t="s">
        <v>532</v>
      </c>
      <c r="C832" s="62" t="s">
        <v>113</v>
      </c>
      <c r="D832" s="62" t="s">
        <v>579</v>
      </c>
      <c r="E832" s="76">
        <v>44154.0</v>
      </c>
      <c r="F832" s="77">
        <v>0.020833333333333332</v>
      </c>
      <c r="G832" s="62" t="b">
        <v>1</v>
      </c>
      <c r="H832" s="78" t="b">
        <f>IF(VLOOKUP(C832,Projetos!A:L,12,false)=TRUE,TRUE,FALSE)</f>
        <v>1</v>
      </c>
      <c r="I832" s="68">
        <v>32.880738424012854</v>
      </c>
      <c r="J832" s="68">
        <f t="shared" si="1"/>
        <v>16.44036921</v>
      </c>
      <c r="K832" s="68" t="b">
        <v>1</v>
      </c>
    </row>
    <row r="833">
      <c r="A833" s="75">
        <v>827.0</v>
      </c>
      <c r="B833" s="62" t="s">
        <v>532</v>
      </c>
      <c r="C833" s="62" t="s">
        <v>113</v>
      </c>
      <c r="D833" s="62" t="s">
        <v>579</v>
      </c>
      <c r="E833" s="76">
        <v>44160.0</v>
      </c>
      <c r="F833" s="77">
        <v>0.020833333333333332</v>
      </c>
      <c r="G833" s="62" t="b">
        <v>1</v>
      </c>
      <c r="H833" s="78" t="b">
        <f>IF(VLOOKUP(C833,Projetos!A:L,12,false)=TRUE,TRUE,FALSE)</f>
        <v>1</v>
      </c>
      <c r="I833" s="68">
        <v>32.880738424012854</v>
      </c>
      <c r="J833" s="68">
        <f t="shared" si="1"/>
        <v>16.44036921</v>
      </c>
      <c r="K833" s="68" t="b">
        <v>1</v>
      </c>
    </row>
    <row r="834" hidden="1">
      <c r="A834" s="75">
        <v>828.0</v>
      </c>
      <c r="B834" s="62" t="s">
        <v>532</v>
      </c>
      <c r="C834" s="62" t="s">
        <v>104</v>
      </c>
      <c r="D834" s="62" t="s">
        <v>580</v>
      </c>
      <c r="E834" s="76">
        <v>44186.0</v>
      </c>
      <c r="F834" s="77">
        <v>0.08333333333333333</v>
      </c>
      <c r="G834" s="62" t="b">
        <v>0</v>
      </c>
      <c r="H834" s="78" t="b">
        <f>IF(VLOOKUP(C834,Projetos!A:L,12,false)=TRUE,TRUE,FALSE)</f>
        <v>1</v>
      </c>
      <c r="I834" s="68">
        <v>34.44648787277537</v>
      </c>
      <c r="J834" s="68">
        <f t="shared" si="1"/>
        <v>0</v>
      </c>
      <c r="K834" s="68" t="b">
        <v>1</v>
      </c>
    </row>
    <row r="835" hidden="1">
      <c r="A835" s="75">
        <v>829.0</v>
      </c>
      <c r="B835" s="62" t="s">
        <v>532</v>
      </c>
      <c r="C835" s="62" t="s">
        <v>104</v>
      </c>
      <c r="D835" s="62" t="s">
        <v>580</v>
      </c>
      <c r="E835" s="76">
        <v>44188.0</v>
      </c>
      <c r="F835" s="77">
        <v>0.041666666666666664</v>
      </c>
      <c r="G835" s="62" t="b">
        <v>0</v>
      </c>
      <c r="H835" s="78" t="b">
        <f>IF(VLOOKUP(C835,Projetos!A:L,12,false)=TRUE,TRUE,FALSE)</f>
        <v>1</v>
      </c>
      <c r="I835" s="68">
        <v>34.44648787277537</v>
      </c>
      <c r="J835" s="68">
        <f t="shared" si="1"/>
        <v>0</v>
      </c>
      <c r="K835" s="68" t="b">
        <v>1</v>
      </c>
    </row>
    <row r="836" hidden="1">
      <c r="A836" s="75">
        <v>830.0</v>
      </c>
      <c r="B836" s="62" t="s">
        <v>532</v>
      </c>
      <c r="C836" s="62" t="s">
        <v>109</v>
      </c>
      <c r="D836" s="62" t="s">
        <v>581</v>
      </c>
      <c r="E836" s="76">
        <v>44170.0</v>
      </c>
      <c r="F836" s="77">
        <v>0.041666666666666664</v>
      </c>
      <c r="G836" s="62" t="b">
        <v>0</v>
      </c>
      <c r="H836" s="78" t="b">
        <f>IF(VLOOKUP(C836,Projetos!A:L,12,false)=TRUE,TRUE,FALSE)</f>
        <v>0</v>
      </c>
      <c r="I836" s="68">
        <v>34.44648787277537</v>
      </c>
      <c r="J836" s="68">
        <f t="shared" si="1"/>
        <v>0</v>
      </c>
      <c r="K836" s="68" t="b">
        <v>0</v>
      </c>
    </row>
    <row r="837" hidden="1">
      <c r="A837" s="75">
        <v>831.0</v>
      </c>
      <c r="B837" s="62" t="s">
        <v>532</v>
      </c>
      <c r="C837" s="62" t="s">
        <v>109</v>
      </c>
      <c r="D837" s="62" t="s">
        <v>582</v>
      </c>
      <c r="E837" s="76">
        <v>44172.0</v>
      </c>
      <c r="F837" s="77">
        <v>0.0625</v>
      </c>
      <c r="G837" s="62" t="b">
        <v>0</v>
      </c>
      <c r="H837" s="78" t="b">
        <f>IF(VLOOKUP(C837,Projetos!A:L,12,false)=TRUE,TRUE,FALSE)</f>
        <v>0</v>
      </c>
      <c r="I837" s="68">
        <v>34.44648787277537</v>
      </c>
      <c r="J837" s="68">
        <f t="shared" si="1"/>
        <v>0</v>
      </c>
      <c r="K837" s="68" t="b">
        <v>0</v>
      </c>
    </row>
    <row r="838" hidden="1">
      <c r="A838" s="75">
        <v>832.0</v>
      </c>
      <c r="B838" s="62" t="s">
        <v>532</v>
      </c>
      <c r="C838" s="62" t="s">
        <v>109</v>
      </c>
      <c r="D838" s="62" t="s">
        <v>583</v>
      </c>
      <c r="E838" s="76">
        <v>44182.0</v>
      </c>
      <c r="F838" s="77">
        <v>0.020833333333333332</v>
      </c>
      <c r="G838" s="62" t="b">
        <v>0</v>
      </c>
      <c r="H838" s="78" t="b">
        <f>IF(VLOOKUP(C838,Projetos!A:L,12,false)=TRUE,TRUE,FALSE)</f>
        <v>0</v>
      </c>
      <c r="I838" s="68">
        <v>34.44648787277537</v>
      </c>
      <c r="J838" s="68">
        <f t="shared" si="1"/>
        <v>0</v>
      </c>
      <c r="K838" s="68" t="b">
        <v>0</v>
      </c>
    </row>
    <row r="839" hidden="1">
      <c r="A839" s="75">
        <v>833.0</v>
      </c>
      <c r="B839" s="62" t="s">
        <v>532</v>
      </c>
      <c r="C839" s="62" t="s">
        <v>109</v>
      </c>
      <c r="D839" s="62" t="s">
        <v>581</v>
      </c>
      <c r="E839" s="76">
        <v>44194.0</v>
      </c>
      <c r="F839" s="77">
        <v>0.16666666666666666</v>
      </c>
      <c r="G839" s="62" t="b">
        <v>0</v>
      </c>
      <c r="H839" s="78" t="b">
        <f>IF(VLOOKUP(C839,Projetos!A:L,12,false)=TRUE,TRUE,FALSE)</f>
        <v>0</v>
      </c>
      <c r="I839" s="68">
        <v>34.44648787277537</v>
      </c>
      <c r="J839" s="68">
        <f t="shared" si="1"/>
        <v>0</v>
      </c>
      <c r="K839" s="68" t="b">
        <v>0</v>
      </c>
    </row>
    <row r="840">
      <c r="A840" s="75">
        <v>834.0</v>
      </c>
      <c r="B840" s="62" t="s">
        <v>532</v>
      </c>
      <c r="C840" s="62" t="s">
        <v>113</v>
      </c>
      <c r="D840" s="62" t="s">
        <v>584</v>
      </c>
      <c r="E840" s="76">
        <v>44179.0</v>
      </c>
      <c r="F840" s="77">
        <v>0.041666666666666664</v>
      </c>
      <c r="G840" s="62" t="b">
        <v>1</v>
      </c>
      <c r="H840" s="78" t="b">
        <f>IF(VLOOKUP(C840,Projetos!A:L,12,false)=TRUE,TRUE,FALSE)</f>
        <v>1</v>
      </c>
      <c r="I840" s="68">
        <v>34.44648787277537</v>
      </c>
      <c r="J840" s="68">
        <f t="shared" si="1"/>
        <v>34.44648787</v>
      </c>
      <c r="K840" s="68" t="b">
        <v>1</v>
      </c>
    </row>
    <row r="841">
      <c r="A841" s="75">
        <v>835.0</v>
      </c>
      <c r="B841" s="62" t="s">
        <v>532</v>
      </c>
      <c r="C841" s="62" t="s">
        <v>113</v>
      </c>
      <c r="D841" s="62" t="s">
        <v>585</v>
      </c>
      <c r="E841" s="76">
        <v>44189.0</v>
      </c>
      <c r="F841" s="77">
        <v>0.020833333333333332</v>
      </c>
      <c r="G841" s="62" t="b">
        <v>1</v>
      </c>
      <c r="H841" s="78" t="b">
        <f>IF(VLOOKUP(C841,Projetos!A:L,12,false)=TRUE,TRUE,FALSE)</f>
        <v>1</v>
      </c>
      <c r="I841" s="68">
        <v>34.44648787277537</v>
      </c>
      <c r="J841" s="68">
        <f t="shared" si="1"/>
        <v>17.22324394</v>
      </c>
      <c r="K841" s="68" t="b">
        <v>1</v>
      </c>
    </row>
    <row r="842">
      <c r="A842" s="75">
        <v>836.0</v>
      </c>
      <c r="B842" s="62" t="s">
        <v>532</v>
      </c>
      <c r="C842" s="62" t="s">
        <v>113</v>
      </c>
      <c r="D842" s="62" t="s">
        <v>585</v>
      </c>
      <c r="E842" s="76">
        <v>44193.0</v>
      </c>
      <c r="F842" s="77">
        <v>0.020833333333333332</v>
      </c>
      <c r="G842" s="62" t="b">
        <v>1</v>
      </c>
      <c r="H842" s="78" t="b">
        <f>IF(VLOOKUP(C842,Projetos!A:L,12,false)=TRUE,TRUE,FALSE)</f>
        <v>1</v>
      </c>
      <c r="I842" s="68">
        <v>34.44648787277537</v>
      </c>
      <c r="J842" s="68">
        <f t="shared" si="1"/>
        <v>17.22324394</v>
      </c>
      <c r="K842" s="68" t="b">
        <v>1</v>
      </c>
    </row>
    <row r="843" hidden="1">
      <c r="A843" s="75">
        <v>837.0</v>
      </c>
      <c r="B843" s="62" t="s">
        <v>532</v>
      </c>
      <c r="C843" s="62" t="s">
        <v>117</v>
      </c>
      <c r="D843" s="62" t="s">
        <v>586</v>
      </c>
      <c r="E843" s="76">
        <v>44166.0</v>
      </c>
      <c r="F843" s="77">
        <v>0.041666666666666664</v>
      </c>
      <c r="G843" s="62" t="b">
        <v>0</v>
      </c>
      <c r="H843" s="78" t="b">
        <f>IF(VLOOKUP(C843,Projetos!A:L,12,false)=TRUE,TRUE,FALSE)</f>
        <v>0</v>
      </c>
      <c r="I843" s="68">
        <v>34.44648787277537</v>
      </c>
      <c r="J843" s="68">
        <f t="shared" si="1"/>
        <v>0</v>
      </c>
      <c r="K843" s="68" t="b">
        <v>0</v>
      </c>
    </row>
    <row r="844" hidden="1">
      <c r="A844" s="75">
        <v>838.0</v>
      </c>
      <c r="B844" s="62" t="s">
        <v>532</v>
      </c>
      <c r="C844" s="62" t="s">
        <v>117</v>
      </c>
      <c r="D844" s="62" t="s">
        <v>587</v>
      </c>
      <c r="E844" s="76">
        <v>44169.0</v>
      </c>
      <c r="F844" s="77">
        <v>0.041666666666666664</v>
      </c>
      <c r="G844" s="62" t="b">
        <v>0</v>
      </c>
      <c r="H844" s="78" t="b">
        <f>IF(VLOOKUP(C844,Projetos!A:L,12,false)=TRUE,TRUE,FALSE)</f>
        <v>0</v>
      </c>
      <c r="I844" s="68">
        <v>34.44648787277537</v>
      </c>
      <c r="J844" s="68">
        <f t="shared" si="1"/>
        <v>0</v>
      </c>
      <c r="K844" s="68" t="b">
        <v>0</v>
      </c>
    </row>
    <row r="845" hidden="1">
      <c r="A845" s="75">
        <v>839.0</v>
      </c>
      <c r="B845" s="62" t="s">
        <v>532</v>
      </c>
      <c r="C845" s="62" t="s">
        <v>117</v>
      </c>
      <c r="D845" s="62" t="s">
        <v>588</v>
      </c>
      <c r="E845" s="76">
        <v>44175.0</v>
      </c>
      <c r="F845" s="77">
        <v>0.08333333333333333</v>
      </c>
      <c r="G845" s="62" t="b">
        <v>0</v>
      </c>
      <c r="H845" s="78" t="b">
        <f>IF(VLOOKUP(C845,Projetos!A:L,12,false)=TRUE,TRUE,FALSE)</f>
        <v>0</v>
      </c>
      <c r="I845" s="68">
        <v>34.44648787277537</v>
      </c>
      <c r="J845" s="68">
        <f t="shared" si="1"/>
        <v>0</v>
      </c>
      <c r="K845" s="68" t="b">
        <v>0</v>
      </c>
    </row>
    <row r="846" hidden="1">
      <c r="A846" s="75">
        <v>840.0</v>
      </c>
      <c r="B846" s="62" t="s">
        <v>532</v>
      </c>
      <c r="C846" s="62" t="s">
        <v>117</v>
      </c>
      <c r="D846" s="62" t="s">
        <v>589</v>
      </c>
      <c r="E846" s="76">
        <v>44181.0</v>
      </c>
      <c r="F846" s="77">
        <v>0.041666666666666664</v>
      </c>
      <c r="G846" s="62" t="b">
        <v>0</v>
      </c>
      <c r="H846" s="78" t="b">
        <f>IF(VLOOKUP(C846,Projetos!A:L,12,false)=TRUE,TRUE,FALSE)</f>
        <v>0</v>
      </c>
      <c r="I846" s="68">
        <v>34.44648787277537</v>
      </c>
      <c r="J846" s="68">
        <f t="shared" si="1"/>
        <v>0</v>
      </c>
      <c r="K846" s="68" t="b">
        <v>0</v>
      </c>
    </row>
    <row r="847" hidden="1">
      <c r="A847" s="75">
        <v>841.0</v>
      </c>
      <c r="B847" s="62" t="s">
        <v>532</v>
      </c>
      <c r="C847" s="62" t="s">
        <v>117</v>
      </c>
      <c r="D847" s="62" t="s">
        <v>590</v>
      </c>
      <c r="E847" s="76">
        <v>44183.0</v>
      </c>
      <c r="F847" s="77">
        <v>0.10416666666666667</v>
      </c>
      <c r="G847" s="62" t="b">
        <v>0</v>
      </c>
      <c r="H847" s="78" t="b">
        <f>IF(VLOOKUP(C847,Projetos!A:L,12,false)=TRUE,TRUE,FALSE)</f>
        <v>0</v>
      </c>
      <c r="I847" s="68">
        <v>34.44648787277537</v>
      </c>
      <c r="J847" s="68">
        <f t="shared" si="1"/>
        <v>0</v>
      </c>
      <c r="K847" s="68" t="b">
        <v>0</v>
      </c>
    </row>
    <row r="848">
      <c r="A848" s="75">
        <v>842.0</v>
      </c>
      <c r="B848" s="62" t="s">
        <v>591</v>
      </c>
      <c r="C848" s="62" t="s">
        <v>98</v>
      </c>
      <c r="D848" s="62" t="s">
        <v>592</v>
      </c>
      <c r="E848" s="76">
        <v>43843.0</v>
      </c>
      <c r="F848" s="77">
        <v>0.041666666666666664</v>
      </c>
      <c r="G848" s="62" t="b">
        <v>1</v>
      </c>
      <c r="H848" s="78" t="b">
        <f>IF(VLOOKUP(C848,Projetos!A:L,12,false)=TRUE,TRUE,FALSE)</f>
        <v>1</v>
      </c>
      <c r="I848" s="68">
        <v>169.0374654280904</v>
      </c>
      <c r="J848" s="68">
        <f t="shared" si="1"/>
        <v>169.0374654</v>
      </c>
      <c r="K848" s="68" t="b">
        <v>1</v>
      </c>
    </row>
    <row r="849">
      <c r="A849" s="75">
        <v>843.0</v>
      </c>
      <c r="B849" s="62" t="s">
        <v>591</v>
      </c>
      <c r="C849" s="62" t="s">
        <v>98</v>
      </c>
      <c r="D849" s="62" t="s">
        <v>593</v>
      </c>
      <c r="E849" s="76">
        <v>43844.0</v>
      </c>
      <c r="F849" s="77">
        <v>0.125</v>
      </c>
      <c r="G849" s="62" t="b">
        <v>1</v>
      </c>
      <c r="H849" s="78" t="b">
        <f>IF(VLOOKUP(C849,Projetos!A:L,12,false)=TRUE,TRUE,FALSE)</f>
        <v>1</v>
      </c>
      <c r="I849" s="68">
        <v>169.0374654280904</v>
      </c>
      <c r="J849" s="68">
        <f t="shared" si="1"/>
        <v>507.1123963</v>
      </c>
      <c r="K849" s="68" t="b">
        <v>1</v>
      </c>
    </row>
    <row r="850" hidden="1">
      <c r="A850" s="75">
        <v>844.0</v>
      </c>
      <c r="B850" s="62" t="s">
        <v>591</v>
      </c>
      <c r="C850" s="62" t="s">
        <v>102</v>
      </c>
      <c r="D850" s="62" t="s">
        <v>594</v>
      </c>
      <c r="E850" s="76">
        <v>43844.0</v>
      </c>
      <c r="F850" s="77">
        <v>0.041666666666666664</v>
      </c>
      <c r="G850" s="62" t="b">
        <v>0</v>
      </c>
      <c r="H850" s="78" t="b">
        <f>IF(VLOOKUP(C850,Projetos!A:L,12,false)=TRUE,TRUE,FALSE)</f>
        <v>0</v>
      </c>
      <c r="I850" s="68">
        <v>169.0374654280904</v>
      </c>
      <c r="J850" s="68">
        <f t="shared" si="1"/>
        <v>0</v>
      </c>
      <c r="K850" s="68" t="b">
        <v>0</v>
      </c>
    </row>
    <row r="851" hidden="1">
      <c r="A851" s="75">
        <v>845.0</v>
      </c>
      <c r="B851" s="62" t="s">
        <v>591</v>
      </c>
      <c r="C851" s="62" t="s">
        <v>102</v>
      </c>
      <c r="D851" s="62" t="s">
        <v>594</v>
      </c>
      <c r="E851" s="76">
        <v>43844.0</v>
      </c>
      <c r="F851" s="77">
        <v>0.041666666666666664</v>
      </c>
      <c r="G851" s="62" t="b">
        <v>0</v>
      </c>
      <c r="H851" s="78" t="b">
        <f>IF(VLOOKUP(C851,Projetos!A:L,12,false)=TRUE,TRUE,FALSE)</f>
        <v>0</v>
      </c>
      <c r="I851" s="68">
        <v>169.0374654280904</v>
      </c>
      <c r="J851" s="68">
        <f t="shared" si="1"/>
        <v>0</v>
      </c>
      <c r="K851" s="68" t="b">
        <v>0</v>
      </c>
    </row>
    <row r="852">
      <c r="A852" s="75">
        <v>846.0</v>
      </c>
      <c r="B852" s="62" t="s">
        <v>591</v>
      </c>
      <c r="C852" s="62" t="s">
        <v>104</v>
      </c>
      <c r="D852" s="62" t="s">
        <v>595</v>
      </c>
      <c r="E852" s="76">
        <v>43836.0</v>
      </c>
      <c r="F852" s="77">
        <v>0.08333333333333333</v>
      </c>
      <c r="G852" s="62" t="b">
        <v>1</v>
      </c>
      <c r="H852" s="78" t="b">
        <f>IF(VLOOKUP(C852,Projetos!A:L,12,false)=TRUE,TRUE,FALSE)</f>
        <v>1</v>
      </c>
      <c r="I852" s="68">
        <v>169.0374654280904</v>
      </c>
      <c r="J852" s="68">
        <f t="shared" si="1"/>
        <v>338.0749309</v>
      </c>
      <c r="K852" s="68" t="b">
        <v>1</v>
      </c>
    </row>
    <row r="853">
      <c r="A853" s="75">
        <v>847.0</v>
      </c>
      <c r="B853" s="62" t="s">
        <v>591</v>
      </c>
      <c r="C853" s="62" t="s">
        <v>104</v>
      </c>
      <c r="D853" s="62" t="s">
        <v>596</v>
      </c>
      <c r="E853" s="76">
        <v>43838.0</v>
      </c>
      <c r="F853" s="77">
        <v>0.041666666666666664</v>
      </c>
      <c r="G853" s="62" t="b">
        <v>1</v>
      </c>
      <c r="H853" s="78" t="b">
        <f>IF(VLOOKUP(C853,Projetos!A:L,12,false)=TRUE,TRUE,FALSE)</f>
        <v>1</v>
      </c>
      <c r="I853" s="68">
        <v>169.0374654280904</v>
      </c>
      <c r="J853" s="68">
        <f t="shared" si="1"/>
        <v>169.0374654</v>
      </c>
      <c r="K853" s="68" t="b">
        <v>1</v>
      </c>
    </row>
    <row r="854">
      <c r="A854" s="75">
        <v>848.0</v>
      </c>
      <c r="B854" s="62" t="s">
        <v>591</v>
      </c>
      <c r="C854" s="62" t="s">
        <v>104</v>
      </c>
      <c r="D854" s="62" t="s">
        <v>597</v>
      </c>
      <c r="E854" s="76">
        <v>43838.0</v>
      </c>
      <c r="F854" s="77">
        <v>0.041666666666666664</v>
      </c>
      <c r="G854" s="62" t="b">
        <v>1</v>
      </c>
      <c r="H854" s="78" t="b">
        <f>IF(VLOOKUP(C854,Projetos!A:L,12,false)=TRUE,TRUE,FALSE)</f>
        <v>1</v>
      </c>
      <c r="I854" s="68">
        <v>169.0374654280904</v>
      </c>
      <c r="J854" s="68">
        <f t="shared" si="1"/>
        <v>169.0374654</v>
      </c>
      <c r="K854" s="68" t="b">
        <v>1</v>
      </c>
    </row>
    <row r="855">
      <c r="A855" s="75">
        <v>849.0</v>
      </c>
      <c r="B855" s="62" t="s">
        <v>591</v>
      </c>
      <c r="C855" s="62" t="s">
        <v>104</v>
      </c>
      <c r="D855" s="62" t="s">
        <v>598</v>
      </c>
      <c r="E855" s="76">
        <v>43844.0</v>
      </c>
      <c r="F855" s="77">
        <v>0.041666666666666664</v>
      </c>
      <c r="G855" s="62" t="b">
        <v>1</v>
      </c>
      <c r="H855" s="78" t="b">
        <f>IF(VLOOKUP(C855,Projetos!A:L,12,false)=TRUE,TRUE,FALSE)</f>
        <v>1</v>
      </c>
      <c r="I855" s="68">
        <v>169.0374654280904</v>
      </c>
      <c r="J855" s="68">
        <f t="shared" si="1"/>
        <v>169.0374654</v>
      </c>
      <c r="K855" s="68" t="b">
        <v>1</v>
      </c>
    </row>
    <row r="856">
      <c r="A856" s="75">
        <v>850.0</v>
      </c>
      <c r="B856" s="62" t="s">
        <v>591</v>
      </c>
      <c r="C856" s="62" t="s">
        <v>104</v>
      </c>
      <c r="D856" s="62" t="s">
        <v>599</v>
      </c>
      <c r="E856" s="76">
        <v>43844.0</v>
      </c>
      <c r="F856" s="77">
        <v>0.020833333333333332</v>
      </c>
      <c r="G856" s="62" t="b">
        <v>1</v>
      </c>
      <c r="H856" s="78" t="b">
        <f>IF(VLOOKUP(C856,Projetos!A:L,12,false)=TRUE,TRUE,FALSE)</f>
        <v>1</v>
      </c>
      <c r="I856" s="68">
        <v>169.0374654280904</v>
      </c>
      <c r="J856" s="68">
        <f t="shared" si="1"/>
        <v>84.51873271</v>
      </c>
      <c r="K856" s="68" t="b">
        <v>1</v>
      </c>
    </row>
    <row r="857" hidden="1">
      <c r="A857" s="75">
        <v>851.0</v>
      </c>
      <c r="B857" s="62" t="s">
        <v>591</v>
      </c>
      <c r="C857" s="62" t="s">
        <v>104</v>
      </c>
      <c r="D857" s="62" t="s">
        <v>599</v>
      </c>
      <c r="E857" s="76"/>
      <c r="F857" s="77">
        <v>0.0</v>
      </c>
      <c r="G857" s="62" t="b">
        <v>0</v>
      </c>
      <c r="H857" s="78" t="b">
        <f>IF(VLOOKUP(C857,Projetos!A:L,12,false)=TRUE,TRUE,FALSE)</f>
        <v>1</v>
      </c>
      <c r="I857" s="68">
        <v>169.0374654280904</v>
      </c>
      <c r="J857" s="68">
        <f t="shared" si="1"/>
        <v>0</v>
      </c>
      <c r="K857" s="68" t="b">
        <v>1</v>
      </c>
    </row>
    <row r="858" hidden="1">
      <c r="A858" s="75">
        <v>852.0</v>
      </c>
      <c r="B858" s="62" t="s">
        <v>591</v>
      </c>
      <c r="C858" s="62" t="s">
        <v>108</v>
      </c>
      <c r="D858" s="62" t="s">
        <v>600</v>
      </c>
      <c r="E858" s="76">
        <v>43837.0</v>
      </c>
      <c r="F858" s="77">
        <v>0.0625</v>
      </c>
      <c r="G858" s="62" t="b">
        <v>0</v>
      </c>
      <c r="H858" s="78" t="b">
        <f>IF(VLOOKUP(C858,Projetos!A:L,12,false)=TRUE,TRUE,FALSE)</f>
        <v>1</v>
      </c>
      <c r="I858" s="68">
        <v>169.0374654280904</v>
      </c>
      <c r="J858" s="68">
        <f t="shared" si="1"/>
        <v>0</v>
      </c>
      <c r="K858" s="68" t="b">
        <v>1</v>
      </c>
    </row>
    <row r="859" hidden="1">
      <c r="A859" s="75">
        <v>853.0</v>
      </c>
      <c r="B859" s="62" t="s">
        <v>591</v>
      </c>
      <c r="C859" s="62" t="s">
        <v>108</v>
      </c>
      <c r="D859" s="62" t="s">
        <v>601</v>
      </c>
      <c r="E859" s="76">
        <v>43838.0</v>
      </c>
      <c r="F859" s="77">
        <v>0.08333333333333333</v>
      </c>
      <c r="G859" s="62" t="b">
        <v>0</v>
      </c>
      <c r="H859" s="78" t="b">
        <f>IF(VLOOKUP(C859,Projetos!A:L,12,false)=TRUE,TRUE,FALSE)</f>
        <v>1</v>
      </c>
      <c r="I859" s="68">
        <v>169.0374654280904</v>
      </c>
      <c r="J859" s="68">
        <f t="shared" si="1"/>
        <v>0</v>
      </c>
      <c r="K859" s="68" t="b">
        <v>1</v>
      </c>
    </row>
    <row r="860" hidden="1">
      <c r="A860" s="75">
        <v>854.0</v>
      </c>
      <c r="B860" s="62" t="s">
        <v>591</v>
      </c>
      <c r="C860" s="62" t="s">
        <v>108</v>
      </c>
      <c r="D860" s="62" t="s">
        <v>602</v>
      </c>
      <c r="E860" s="76">
        <v>43858.0</v>
      </c>
      <c r="F860" s="77">
        <v>0.041666666666666664</v>
      </c>
      <c r="G860" s="62" t="b">
        <v>0</v>
      </c>
      <c r="H860" s="78" t="b">
        <f>IF(VLOOKUP(C860,Projetos!A:L,12,false)=TRUE,TRUE,FALSE)</f>
        <v>1</v>
      </c>
      <c r="I860" s="68">
        <v>169.0374654280904</v>
      </c>
      <c r="J860" s="68">
        <f t="shared" si="1"/>
        <v>0</v>
      </c>
      <c r="K860" s="68" t="b">
        <v>1</v>
      </c>
    </row>
    <row r="861">
      <c r="A861" s="75">
        <v>855.0</v>
      </c>
      <c r="B861" s="62" t="s">
        <v>591</v>
      </c>
      <c r="C861" s="62" t="s">
        <v>110</v>
      </c>
      <c r="D861" s="62" t="s">
        <v>603</v>
      </c>
      <c r="E861" s="76">
        <v>43837.0</v>
      </c>
      <c r="F861" s="77">
        <v>0.041666666666666664</v>
      </c>
      <c r="G861" s="62" t="b">
        <v>1</v>
      </c>
      <c r="H861" s="78" t="b">
        <f>IF(VLOOKUP(C861,Projetos!A:L,12,false)=TRUE,TRUE,FALSE)</f>
        <v>1</v>
      </c>
      <c r="I861" s="68">
        <v>169.0374654280904</v>
      </c>
      <c r="J861" s="68">
        <f t="shared" si="1"/>
        <v>169.0374654</v>
      </c>
      <c r="K861" s="68" t="b">
        <v>1</v>
      </c>
    </row>
    <row r="862">
      <c r="A862" s="75">
        <v>856.0</v>
      </c>
      <c r="B862" s="62" t="s">
        <v>591</v>
      </c>
      <c r="C862" s="62" t="s">
        <v>104</v>
      </c>
      <c r="D862" s="62" t="s">
        <v>604</v>
      </c>
      <c r="E862" s="76">
        <v>43873.0</v>
      </c>
      <c r="F862" s="77">
        <v>0.041666666666666664</v>
      </c>
      <c r="G862" s="62" t="b">
        <v>1</v>
      </c>
      <c r="H862" s="78" t="b">
        <f>IF(VLOOKUP(C862,Projetos!A:L,12,false)=TRUE,TRUE,FALSE)</f>
        <v>1</v>
      </c>
      <c r="I862" s="68">
        <v>161.35394427226808</v>
      </c>
      <c r="J862" s="68">
        <f t="shared" si="1"/>
        <v>161.3539443</v>
      </c>
      <c r="K862" s="68" t="b">
        <v>1</v>
      </c>
    </row>
    <row r="863" hidden="1">
      <c r="A863" s="75">
        <v>857.0</v>
      </c>
      <c r="B863" s="62" t="s">
        <v>591</v>
      </c>
      <c r="C863" s="62" t="s">
        <v>108</v>
      </c>
      <c r="D863" s="62" t="s">
        <v>605</v>
      </c>
      <c r="E863" s="76">
        <v>43866.0</v>
      </c>
      <c r="F863" s="77">
        <v>0.041666666666666664</v>
      </c>
      <c r="G863" s="62" t="b">
        <v>1</v>
      </c>
      <c r="H863" s="78" t="b">
        <f>IF(VLOOKUP(C863,Projetos!A:L,12,false)=TRUE,TRUE,FALSE)</f>
        <v>1</v>
      </c>
      <c r="I863" s="68">
        <v>161.35394427226808</v>
      </c>
      <c r="J863" s="68">
        <f t="shared" si="1"/>
        <v>161.3539443</v>
      </c>
      <c r="K863" s="68" t="b">
        <v>1</v>
      </c>
    </row>
    <row r="864" hidden="1">
      <c r="A864" s="75">
        <v>858.0</v>
      </c>
      <c r="B864" s="62" t="s">
        <v>591</v>
      </c>
      <c r="C864" s="62" t="s">
        <v>108</v>
      </c>
      <c r="D864" s="62" t="s">
        <v>606</v>
      </c>
      <c r="E864" s="76">
        <v>43871.0</v>
      </c>
      <c r="F864" s="77">
        <v>0.0625</v>
      </c>
      <c r="G864" s="62" t="b">
        <v>0</v>
      </c>
      <c r="H864" s="78" t="b">
        <f>IF(VLOOKUP(C864,Projetos!A:L,12,false)=TRUE,TRUE,FALSE)</f>
        <v>1</v>
      </c>
      <c r="I864" s="68">
        <v>161.35394427226808</v>
      </c>
      <c r="J864" s="68">
        <f t="shared" si="1"/>
        <v>0</v>
      </c>
      <c r="K864" s="68" t="b">
        <v>1</v>
      </c>
    </row>
    <row r="865" hidden="1">
      <c r="A865" s="75">
        <v>859.0</v>
      </c>
      <c r="B865" s="62" t="s">
        <v>591</v>
      </c>
      <c r="C865" s="62" t="s">
        <v>108</v>
      </c>
      <c r="D865" s="62" t="s">
        <v>599</v>
      </c>
      <c r="E865" s="76">
        <v>43872.0</v>
      </c>
      <c r="F865" s="77">
        <v>0.041666666666666664</v>
      </c>
      <c r="G865" s="62" t="b">
        <v>1</v>
      </c>
      <c r="H865" s="78" t="b">
        <f>IF(VLOOKUP(C865,Projetos!A:L,12,false)=TRUE,TRUE,FALSE)</f>
        <v>1</v>
      </c>
      <c r="I865" s="68">
        <v>161.35394427226808</v>
      </c>
      <c r="J865" s="68">
        <f t="shared" si="1"/>
        <v>161.3539443</v>
      </c>
      <c r="K865" s="68" t="b">
        <v>1</v>
      </c>
    </row>
    <row r="866" hidden="1">
      <c r="A866" s="75">
        <v>860.0</v>
      </c>
      <c r="B866" s="62" t="s">
        <v>591</v>
      </c>
      <c r="C866" s="62" t="s">
        <v>108</v>
      </c>
      <c r="D866" s="62" t="s">
        <v>607</v>
      </c>
      <c r="E866" s="76">
        <v>43873.0</v>
      </c>
      <c r="F866" s="77">
        <v>0.020833333333333332</v>
      </c>
      <c r="G866" s="62" t="b">
        <v>1</v>
      </c>
      <c r="H866" s="78" t="b">
        <f>IF(VLOOKUP(C866,Projetos!A:L,12,false)=TRUE,TRUE,FALSE)</f>
        <v>1</v>
      </c>
      <c r="I866" s="68">
        <v>161.35394427226808</v>
      </c>
      <c r="J866" s="68">
        <f t="shared" si="1"/>
        <v>80.67697214</v>
      </c>
      <c r="K866" s="68" t="b">
        <v>1</v>
      </c>
    </row>
    <row r="867" hidden="1">
      <c r="A867" s="75">
        <v>861.0</v>
      </c>
      <c r="B867" s="62" t="s">
        <v>591</v>
      </c>
      <c r="C867" s="62" t="s">
        <v>108</v>
      </c>
      <c r="D867" s="62" t="s">
        <v>608</v>
      </c>
      <c r="E867" s="76">
        <v>43878.0</v>
      </c>
      <c r="F867" s="77">
        <v>0.4166666666666667</v>
      </c>
      <c r="G867" s="62" t="b">
        <v>1</v>
      </c>
      <c r="H867" s="78" t="b">
        <f>IF(VLOOKUP(C867,Projetos!A:L,12,false)=TRUE,TRUE,FALSE)</f>
        <v>1</v>
      </c>
      <c r="I867" s="68">
        <v>161.35394427226808</v>
      </c>
      <c r="J867" s="68">
        <f t="shared" si="1"/>
        <v>1613.539443</v>
      </c>
      <c r="K867" s="68" t="b">
        <v>1</v>
      </c>
    </row>
    <row r="868" hidden="1">
      <c r="A868" s="75">
        <v>862.0</v>
      </c>
      <c r="B868" s="62" t="s">
        <v>591</v>
      </c>
      <c r="C868" s="62" t="s">
        <v>108</v>
      </c>
      <c r="D868" s="62" t="s">
        <v>608</v>
      </c>
      <c r="E868" s="76">
        <v>43879.0</v>
      </c>
      <c r="F868" s="77">
        <v>0.4166666666666667</v>
      </c>
      <c r="G868" s="62" t="b">
        <v>1</v>
      </c>
      <c r="H868" s="78" t="b">
        <f>IF(VLOOKUP(C868,Projetos!A:L,12,false)=TRUE,TRUE,FALSE)</f>
        <v>1</v>
      </c>
      <c r="I868" s="68">
        <v>161.35394427226808</v>
      </c>
      <c r="J868" s="68">
        <f t="shared" si="1"/>
        <v>1613.539443</v>
      </c>
      <c r="K868" s="68" t="b">
        <v>1</v>
      </c>
    </row>
    <row r="869" hidden="1">
      <c r="A869" s="75">
        <v>863.0</v>
      </c>
      <c r="B869" s="62" t="s">
        <v>591</v>
      </c>
      <c r="C869" s="62" t="s">
        <v>108</v>
      </c>
      <c r="D869" s="62" t="s">
        <v>609</v>
      </c>
      <c r="E869" s="76">
        <v>43889.0</v>
      </c>
      <c r="F869" s="77">
        <v>0.041666666666666664</v>
      </c>
      <c r="G869" s="62" t="b">
        <v>1</v>
      </c>
      <c r="H869" s="78" t="b">
        <f>IF(VLOOKUP(C869,Projetos!A:L,12,false)=TRUE,TRUE,FALSE)</f>
        <v>1</v>
      </c>
      <c r="I869" s="68">
        <v>161.35394427226808</v>
      </c>
      <c r="J869" s="68">
        <f t="shared" si="1"/>
        <v>161.3539443</v>
      </c>
      <c r="K869" s="68" t="b">
        <v>1</v>
      </c>
    </row>
    <row r="870">
      <c r="A870" s="75">
        <v>864.0</v>
      </c>
      <c r="B870" s="62" t="s">
        <v>591</v>
      </c>
      <c r="C870" s="62" t="s">
        <v>110</v>
      </c>
      <c r="D870" s="62" t="s">
        <v>599</v>
      </c>
      <c r="E870" s="76">
        <v>43873.0</v>
      </c>
      <c r="F870" s="77">
        <v>0.10416666666666667</v>
      </c>
      <c r="G870" s="62" t="b">
        <v>1</v>
      </c>
      <c r="H870" s="78" t="b">
        <f>IF(VLOOKUP(C870,Projetos!A:L,12,false)=TRUE,TRUE,FALSE)</f>
        <v>1</v>
      </c>
      <c r="I870" s="68">
        <v>161.35394427226808</v>
      </c>
      <c r="J870" s="68">
        <f t="shared" si="1"/>
        <v>403.3848607</v>
      </c>
      <c r="K870" s="68" t="b">
        <v>1</v>
      </c>
    </row>
    <row r="871">
      <c r="A871" s="75">
        <v>865.0</v>
      </c>
      <c r="B871" s="62" t="s">
        <v>591</v>
      </c>
      <c r="C871" s="62" t="s">
        <v>95</v>
      </c>
      <c r="D871" s="62" t="s">
        <v>610</v>
      </c>
      <c r="E871" s="76">
        <v>43909.0</v>
      </c>
      <c r="F871" s="77">
        <v>0.08333333333333333</v>
      </c>
      <c r="G871" s="62" t="b">
        <v>1</v>
      </c>
      <c r="H871" s="78" t="b">
        <f>IF(VLOOKUP(C871,Projetos!A:L,12,false)=TRUE,TRUE,FALSE)</f>
        <v>1</v>
      </c>
      <c r="I871" s="68">
        <v>169.0374654280904</v>
      </c>
      <c r="J871" s="68">
        <f t="shared" si="1"/>
        <v>338.0749309</v>
      </c>
      <c r="K871" s="68" t="b">
        <v>1</v>
      </c>
    </row>
    <row r="872">
      <c r="A872" s="75">
        <v>866.0</v>
      </c>
      <c r="B872" s="62" t="s">
        <v>591</v>
      </c>
      <c r="C872" s="62" t="s">
        <v>97</v>
      </c>
      <c r="D872" s="62" t="s">
        <v>611</v>
      </c>
      <c r="E872" s="76">
        <v>43913.0</v>
      </c>
      <c r="F872" s="77">
        <v>0.041666666666666664</v>
      </c>
      <c r="G872" s="62" t="b">
        <v>1</v>
      </c>
      <c r="H872" s="78" t="b">
        <f>IF(VLOOKUP(C872,Projetos!A:L,12,false)=TRUE,TRUE,FALSE)</f>
        <v>1</v>
      </c>
      <c r="I872" s="68">
        <v>169.0374654280904</v>
      </c>
      <c r="J872" s="68">
        <f t="shared" si="1"/>
        <v>169.0374654</v>
      </c>
      <c r="K872" s="68" t="b">
        <v>1</v>
      </c>
    </row>
    <row r="873">
      <c r="A873" s="75">
        <v>867.0</v>
      </c>
      <c r="B873" s="62" t="s">
        <v>591</v>
      </c>
      <c r="C873" s="62" t="s">
        <v>98</v>
      </c>
      <c r="D873" s="62" t="s">
        <v>612</v>
      </c>
      <c r="E873" s="76">
        <v>43908.0</v>
      </c>
      <c r="F873" s="77">
        <v>0.020833333333333332</v>
      </c>
      <c r="G873" s="62" t="b">
        <v>1</v>
      </c>
      <c r="H873" s="78" t="b">
        <f>IF(VLOOKUP(C873,Projetos!A:L,12,false)=TRUE,TRUE,FALSE)</f>
        <v>1</v>
      </c>
      <c r="I873" s="68">
        <v>169.0374654280904</v>
      </c>
      <c r="J873" s="68">
        <f t="shared" si="1"/>
        <v>84.51873271</v>
      </c>
      <c r="K873" s="68" t="b">
        <v>1</v>
      </c>
    </row>
    <row r="874">
      <c r="A874" s="75">
        <v>868.0</v>
      </c>
      <c r="B874" s="62" t="s">
        <v>591</v>
      </c>
      <c r="C874" s="62" t="s">
        <v>98</v>
      </c>
      <c r="D874" s="62" t="s">
        <v>613</v>
      </c>
      <c r="E874" s="76">
        <v>43921.0</v>
      </c>
      <c r="F874" s="77">
        <v>0.041666666666666664</v>
      </c>
      <c r="G874" s="62" t="b">
        <v>1</v>
      </c>
      <c r="H874" s="78" t="b">
        <f>IF(VLOOKUP(C874,Projetos!A:L,12,false)=TRUE,TRUE,FALSE)</f>
        <v>1</v>
      </c>
      <c r="I874" s="68">
        <v>169.0374654280904</v>
      </c>
      <c r="J874" s="68">
        <f t="shared" si="1"/>
        <v>169.0374654</v>
      </c>
      <c r="K874" s="68" t="b">
        <v>1</v>
      </c>
    </row>
    <row r="875">
      <c r="A875" s="75">
        <v>869.0</v>
      </c>
      <c r="B875" s="62" t="s">
        <v>591</v>
      </c>
      <c r="C875" s="62" t="s">
        <v>100</v>
      </c>
      <c r="D875" s="62" t="s">
        <v>614</v>
      </c>
      <c r="E875" s="76">
        <v>43913.0</v>
      </c>
      <c r="F875" s="77">
        <v>0.020833333333333332</v>
      </c>
      <c r="G875" s="62" t="b">
        <v>1</v>
      </c>
      <c r="H875" s="78" t="b">
        <f>IF(VLOOKUP(C875,Projetos!A:L,12,false)=TRUE,TRUE,FALSE)</f>
        <v>1</v>
      </c>
      <c r="I875" s="68">
        <v>169.0374654280904</v>
      </c>
      <c r="J875" s="68">
        <f t="shared" si="1"/>
        <v>84.51873271</v>
      </c>
      <c r="K875" s="68" t="b">
        <v>1</v>
      </c>
    </row>
    <row r="876">
      <c r="A876" s="75">
        <v>870.0</v>
      </c>
      <c r="B876" s="62" t="s">
        <v>591</v>
      </c>
      <c r="C876" s="62" t="s">
        <v>101</v>
      </c>
      <c r="D876" s="62" t="s">
        <v>615</v>
      </c>
      <c r="E876" s="76">
        <v>43910.0</v>
      </c>
      <c r="F876" s="77">
        <v>0.013888888888888888</v>
      </c>
      <c r="G876" s="62" t="b">
        <v>1</v>
      </c>
      <c r="H876" s="78" t="b">
        <f>IF(VLOOKUP(C876,Projetos!A:L,12,false)=TRUE,TRUE,FALSE)</f>
        <v>1</v>
      </c>
      <c r="I876" s="68">
        <v>169.0374654280904</v>
      </c>
      <c r="J876" s="68">
        <f t="shared" si="1"/>
        <v>56.34582181</v>
      </c>
      <c r="K876" s="68" t="b">
        <v>1</v>
      </c>
    </row>
    <row r="877" hidden="1">
      <c r="A877" s="75">
        <v>871.0</v>
      </c>
      <c r="B877" s="62" t="s">
        <v>591</v>
      </c>
      <c r="C877" s="62" t="s">
        <v>102</v>
      </c>
      <c r="D877" s="62" t="s">
        <v>616</v>
      </c>
      <c r="E877" s="76">
        <v>43894.0</v>
      </c>
      <c r="F877" s="77">
        <v>0.020833333333333332</v>
      </c>
      <c r="G877" s="62" t="b">
        <v>0</v>
      </c>
      <c r="H877" s="78" t="b">
        <f>IF(VLOOKUP(C877,Projetos!A:L,12,false)=TRUE,TRUE,FALSE)</f>
        <v>0</v>
      </c>
      <c r="I877" s="68">
        <v>169.0374654280904</v>
      </c>
      <c r="J877" s="68">
        <f t="shared" si="1"/>
        <v>0</v>
      </c>
      <c r="K877" s="68" t="b">
        <v>0</v>
      </c>
    </row>
    <row r="878" hidden="1">
      <c r="A878" s="75">
        <v>872.0</v>
      </c>
      <c r="B878" s="62" t="s">
        <v>591</v>
      </c>
      <c r="C878" s="62" t="s">
        <v>102</v>
      </c>
      <c r="D878" s="62" t="s">
        <v>617</v>
      </c>
      <c r="E878" s="76">
        <v>43906.0</v>
      </c>
      <c r="F878" s="77">
        <v>0.020833333333333332</v>
      </c>
      <c r="G878" s="62" t="b">
        <v>0</v>
      </c>
      <c r="H878" s="78" t="b">
        <f>IF(VLOOKUP(C878,Projetos!A:L,12,false)=TRUE,TRUE,FALSE)</f>
        <v>0</v>
      </c>
      <c r="I878" s="68">
        <v>169.0374654280904</v>
      </c>
      <c r="J878" s="68">
        <f t="shared" si="1"/>
        <v>0</v>
      </c>
      <c r="K878" s="68" t="b">
        <v>0</v>
      </c>
    </row>
    <row r="879">
      <c r="A879" s="75">
        <v>873.0</v>
      </c>
      <c r="B879" s="62" t="s">
        <v>591</v>
      </c>
      <c r="C879" s="62" t="s">
        <v>103</v>
      </c>
      <c r="D879" s="62" t="s">
        <v>618</v>
      </c>
      <c r="E879" s="76">
        <v>43892.0</v>
      </c>
      <c r="F879" s="77">
        <v>0.041666666666666664</v>
      </c>
      <c r="G879" s="62" t="b">
        <v>1</v>
      </c>
      <c r="H879" s="78" t="b">
        <f>IF(VLOOKUP(C879,Projetos!A:L,12,false)=TRUE,TRUE,FALSE)</f>
        <v>1</v>
      </c>
      <c r="I879" s="68">
        <v>169.0374654280904</v>
      </c>
      <c r="J879" s="68">
        <f t="shared" si="1"/>
        <v>169.0374654</v>
      </c>
      <c r="K879" s="68" t="b">
        <v>1</v>
      </c>
    </row>
    <row r="880" hidden="1">
      <c r="A880" s="75">
        <v>874.0</v>
      </c>
      <c r="B880" s="62" t="s">
        <v>591</v>
      </c>
      <c r="C880" s="62" t="s">
        <v>103</v>
      </c>
      <c r="D880" s="62" t="s">
        <v>619</v>
      </c>
      <c r="E880" s="76">
        <v>43896.0</v>
      </c>
      <c r="F880" s="77">
        <v>0.020833333333333332</v>
      </c>
      <c r="G880" s="62" t="b">
        <v>0</v>
      </c>
      <c r="H880" s="78" t="b">
        <f>IF(VLOOKUP(C880,Projetos!A:L,12,false)=TRUE,TRUE,FALSE)</f>
        <v>1</v>
      </c>
      <c r="I880" s="68">
        <v>169.0374654280904</v>
      </c>
      <c r="J880" s="68">
        <f t="shared" si="1"/>
        <v>0</v>
      </c>
      <c r="K880" s="68" t="b">
        <v>1</v>
      </c>
    </row>
    <row r="881">
      <c r="A881" s="75">
        <v>875.0</v>
      </c>
      <c r="B881" s="62" t="s">
        <v>591</v>
      </c>
      <c r="C881" s="62" t="s">
        <v>103</v>
      </c>
      <c r="D881" s="62" t="s">
        <v>620</v>
      </c>
      <c r="E881" s="76">
        <v>43920.0</v>
      </c>
      <c r="F881" s="77">
        <v>0.020833333333333332</v>
      </c>
      <c r="G881" s="62" t="b">
        <v>1</v>
      </c>
      <c r="H881" s="78" t="b">
        <f>IF(VLOOKUP(C881,Projetos!A:L,12,false)=TRUE,TRUE,FALSE)</f>
        <v>1</v>
      </c>
      <c r="I881" s="68">
        <v>169.0374654280904</v>
      </c>
      <c r="J881" s="68">
        <f t="shared" si="1"/>
        <v>84.51873271</v>
      </c>
      <c r="K881" s="68" t="b">
        <v>1</v>
      </c>
    </row>
    <row r="882">
      <c r="A882" s="75">
        <v>876.0</v>
      </c>
      <c r="B882" s="62" t="s">
        <v>591</v>
      </c>
      <c r="C882" s="62" t="s">
        <v>104</v>
      </c>
      <c r="D882" s="62" t="s">
        <v>621</v>
      </c>
      <c r="E882" s="76">
        <v>43892.0</v>
      </c>
      <c r="F882" s="77">
        <v>0.020833333333333332</v>
      </c>
      <c r="G882" s="62" t="b">
        <v>1</v>
      </c>
      <c r="H882" s="78" t="b">
        <f>IF(VLOOKUP(C882,Projetos!A:L,12,false)=TRUE,TRUE,FALSE)</f>
        <v>1</v>
      </c>
      <c r="I882" s="68">
        <v>169.0374654280904</v>
      </c>
      <c r="J882" s="68">
        <f t="shared" si="1"/>
        <v>84.51873271</v>
      </c>
      <c r="K882" s="68" t="b">
        <v>1</v>
      </c>
    </row>
    <row r="883">
      <c r="A883" s="75">
        <v>877.0</v>
      </c>
      <c r="B883" s="62" t="s">
        <v>591</v>
      </c>
      <c r="C883" s="62" t="s">
        <v>104</v>
      </c>
      <c r="D883" s="62" t="s">
        <v>612</v>
      </c>
      <c r="E883" s="76">
        <v>43893.0</v>
      </c>
      <c r="F883" s="77">
        <v>0.041666666666666664</v>
      </c>
      <c r="G883" s="62" t="b">
        <v>1</v>
      </c>
      <c r="H883" s="78" t="b">
        <f>IF(VLOOKUP(C883,Projetos!A:L,12,false)=TRUE,TRUE,FALSE)</f>
        <v>1</v>
      </c>
      <c r="I883" s="68">
        <v>169.0374654280904</v>
      </c>
      <c r="J883" s="68">
        <f t="shared" si="1"/>
        <v>169.0374654</v>
      </c>
      <c r="K883" s="68" t="b">
        <v>1</v>
      </c>
    </row>
    <row r="884">
      <c r="A884" s="75">
        <v>878.0</v>
      </c>
      <c r="B884" s="62" t="s">
        <v>591</v>
      </c>
      <c r="C884" s="62" t="s">
        <v>104</v>
      </c>
      <c r="D884" s="62" t="s">
        <v>599</v>
      </c>
      <c r="E884" s="76">
        <v>43895.0</v>
      </c>
      <c r="F884" s="77">
        <v>0.041666666666666664</v>
      </c>
      <c r="G884" s="62" t="b">
        <v>1</v>
      </c>
      <c r="H884" s="78" t="b">
        <f>IF(VLOOKUP(C884,Projetos!A:L,12,false)=TRUE,TRUE,FALSE)</f>
        <v>1</v>
      </c>
      <c r="I884" s="68">
        <v>169.0374654280904</v>
      </c>
      <c r="J884" s="68">
        <f t="shared" si="1"/>
        <v>169.0374654</v>
      </c>
      <c r="K884" s="68" t="b">
        <v>1</v>
      </c>
    </row>
    <row r="885" hidden="1">
      <c r="A885" s="75">
        <v>879.0</v>
      </c>
      <c r="B885" s="62" t="s">
        <v>591</v>
      </c>
      <c r="C885" s="62" t="s">
        <v>104</v>
      </c>
      <c r="D885" s="62" t="s">
        <v>622</v>
      </c>
      <c r="E885" s="76">
        <v>43896.0</v>
      </c>
      <c r="F885" s="77">
        <v>0.08333333333333333</v>
      </c>
      <c r="G885" s="62" t="b">
        <v>0</v>
      </c>
      <c r="H885" s="78" t="b">
        <f>IF(VLOOKUP(C885,Projetos!A:L,12,false)=TRUE,TRUE,FALSE)</f>
        <v>1</v>
      </c>
      <c r="I885" s="68">
        <v>169.0374654280904</v>
      </c>
      <c r="J885" s="68">
        <f t="shared" si="1"/>
        <v>0</v>
      </c>
      <c r="K885" s="68" t="b">
        <v>1</v>
      </c>
    </row>
    <row r="886">
      <c r="A886" s="75">
        <v>880.0</v>
      </c>
      <c r="B886" s="62" t="s">
        <v>591</v>
      </c>
      <c r="C886" s="62" t="s">
        <v>104</v>
      </c>
      <c r="D886" s="62" t="s">
        <v>623</v>
      </c>
      <c r="E886" s="76">
        <v>43901.0</v>
      </c>
      <c r="F886" s="77">
        <v>0.020833333333333332</v>
      </c>
      <c r="G886" s="62" t="b">
        <v>1</v>
      </c>
      <c r="H886" s="78" t="b">
        <f>IF(VLOOKUP(C886,Projetos!A:L,12,false)=TRUE,TRUE,FALSE)</f>
        <v>1</v>
      </c>
      <c r="I886" s="68">
        <v>169.0374654280904</v>
      </c>
      <c r="J886" s="68">
        <f t="shared" si="1"/>
        <v>84.51873271</v>
      </c>
      <c r="K886" s="68" t="b">
        <v>1</v>
      </c>
    </row>
    <row r="887" hidden="1">
      <c r="A887" s="75">
        <v>881.0</v>
      </c>
      <c r="B887" s="62" t="s">
        <v>591</v>
      </c>
      <c r="C887" s="62" t="s">
        <v>104</v>
      </c>
      <c r="D887" s="62" t="s">
        <v>622</v>
      </c>
      <c r="E887" s="76">
        <v>43903.0</v>
      </c>
      <c r="F887" s="77">
        <v>0.041666666666666664</v>
      </c>
      <c r="G887" s="62" t="b">
        <v>0</v>
      </c>
      <c r="H887" s="78" t="b">
        <f>IF(VLOOKUP(C887,Projetos!A:L,12,false)=TRUE,TRUE,FALSE)</f>
        <v>1</v>
      </c>
      <c r="I887" s="68">
        <v>169.0374654280904</v>
      </c>
      <c r="J887" s="68">
        <f t="shared" si="1"/>
        <v>0</v>
      </c>
      <c r="K887" s="68" t="b">
        <v>1</v>
      </c>
    </row>
    <row r="888">
      <c r="A888" s="75">
        <v>882.0</v>
      </c>
      <c r="B888" s="62" t="s">
        <v>591</v>
      </c>
      <c r="C888" s="62" t="s">
        <v>104</v>
      </c>
      <c r="D888" s="62" t="s">
        <v>624</v>
      </c>
      <c r="E888" s="76">
        <v>43905.0</v>
      </c>
      <c r="F888" s="77">
        <v>0.020833333333333332</v>
      </c>
      <c r="G888" s="62" t="b">
        <v>1</v>
      </c>
      <c r="H888" s="78" t="b">
        <f>IF(VLOOKUP(C888,Projetos!A:L,12,false)=TRUE,TRUE,FALSE)</f>
        <v>1</v>
      </c>
      <c r="I888" s="68">
        <v>169.0374654280904</v>
      </c>
      <c r="J888" s="68">
        <f t="shared" si="1"/>
        <v>84.51873271</v>
      </c>
      <c r="K888" s="68" t="b">
        <v>1</v>
      </c>
    </row>
    <row r="889">
      <c r="A889" s="75">
        <v>883.0</v>
      </c>
      <c r="B889" s="62" t="s">
        <v>591</v>
      </c>
      <c r="C889" s="62" t="s">
        <v>104</v>
      </c>
      <c r="D889" s="62" t="s">
        <v>625</v>
      </c>
      <c r="E889" s="76">
        <v>43906.0</v>
      </c>
      <c r="F889" s="77">
        <v>0.041666666666666664</v>
      </c>
      <c r="G889" s="62" t="b">
        <v>1</v>
      </c>
      <c r="H889" s="78" t="b">
        <f>IF(VLOOKUP(C889,Projetos!A:L,12,false)=TRUE,TRUE,FALSE)</f>
        <v>1</v>
      </c>
      <c r="I889" s="68">
        <v>169.0374654280904</v>
      </c>
      <c r="J889" s="68">
        <f t="shared" si="1"/>
        <v>169.0374654</v>
      </c>
      <c r="K889" s="68" t="b">
        <v>1</v>
      </c>
    </row>
    <row r="890">
      <c r="A890" s="75">
        <v>884.0</v>
      </c>
      <c r="B890" s="62" t="s">
        <v>591</v>
      </c>
      <c r="C890" s="62" t="s">
        <v>104</v>
      </c>
      <c r="D890" s="62" t="s">
        <v>614</v>
      </c>
      <c r="E890" s="76">
        <v>43906.0</v>
      </c>
      <c r="F890" s="77">
        <v>0.041666666666666664</v>
      </c>
      <c r="G890" s="62" t="b">
        <v>1</v>
      </c>
      <c r="H890" s="78" t="b">
        <f>IF(VLOOKUP(C890,Projetos!A:L,12,false)=TRUE,TRUE,FALSE)</f>
        <v>1</v>
      </c>
      <c r="I890" s="68">
        <v>169.0374654280904</v>
      </c>
      <c r="J890" s="68">
        <f t="shared" si="1"/>
        <v>169.0374654</v>
      </c>
      <c r="K890" s="68" t="b">
        <v>1</v>
      </c>
    </row>
    <row r="891" hidden="1">
      <c r="A891" s="75">
        <v>885.0</v>
      </c>
      <c r="B891" s="62" t="s">
        <v>591</v>
      </c>
      <c r="C891" s="62" t="s">
        <v>104</v>
      </c>
      <c r="D891" s="62" t="s">
        <v>622</v>
      </c>
      <c r="E891" s="76">
        <v>43907.0</v>
      </c>
      <c r="F891" s="77">
        <v>0.041666666666666664</v>
      </c>
      <c r="G891" s="62" t="b">
        <v>0</v>
      </c>
      <c r="H891" s="78" t="b">
        <f>IF(VLOOKUP(C891,Projetos!A:L,12,false)=TRUE,TRUE,FALSE)</f>
        <v>1</v>
      </c>
      <c r="I891" s="68">
        <v>169.0374654280904</v>
      </c>
      <c r="J891" s="68">
        <f t="shared" si="1"/>
        <v>0</v>
      </c>
      <c r="K891" s="68" t="b">
        <v>1</v>
      </c>
    </row>
    <row r="892" hidden="1">
      <c r="A892" s="75">
        <v>886.0</v>
      </c>
      <c r="B892" s="62" t="s">
        <v>591</v>
      </c>
      <c r="C892" s="62" t="s">
        <v>104</v>
      </c>
      <c r="D892" s="62" t="s">
        <v>622</v>
      </c>
      <c r="E892" s="76">
        <v>43908.0</v>
      </c>
      <c r="F892" s="77">
        <v>0.020833333333333332</v>
      </c>
      <c r="G892" s="62" t="b">
        <v>0</v>
      </c>
      <c r="H892" s="78" t="b">
        <f>IF(VLOOKUP(C892,Projetos!A:L,12,false)=TRUE,TRUE,FALSE)</f>
        <v>1</v>
      </c>
      <c r="I892" s="68">
        <v>169.0374654280904</v>
      </c>
      <c r="J892" s="68">
        <f t="shared" si="1"/>
        <v>0</v>
      </c>
      <c r="K892" s="68" t="b">
        <v>1</v>
      </c>
    </row>
    <row r="893">
      <c r="A893" s="75">
        <v>887.0</v>
      </c>
      <c r="B893" s="62" t="s">
        <v>591</v>
      </c>
      <c r="C893" s="62" t="s">
        <v>104</v>
      </c>
      <c r="D893" s="62" t="s">
        <v>626</v>
      </c>
      <c r="E893" s="76">
        <v>43909.0</v>
      </c>
      <c r="F893" s="77">
        <v>0.08333333333333333</v>
      </c>
      <c r="G893" s="62" t="b">
        <v>1</v>
      </c>
      <c r="H893" s="78" t="b">
        <f>IF(VLOOKUP(C893,Projetos!A:L,12,false)=TRUE,TRUE,FALSE)</f>
        <v>1</v>
      </c>
      <c r="I893" s="68">
        <v>169.0374654280904</v>
      </c>
      <c r="J893" s="68">
        <f t="shared" si="1"/>
        <v>338.0749309</v>
      </c>
      <c r="K893" s="68" t="b">
        <v>1</v>
      </c>
    </row>
    <row r="894" hidden="1">
      <c r="A894" s="75">
        <v>888.0</v>
      </c>
      <c r="B894" s="62" t="s">
        <v>591</v>
      </c>
      <c r="C894" s="62" t="s">
        <v>104</v>
      </c>
      <c r="D894" s="62" t="s">
        <v>622</v>
      </c>
      <c r="E894" s="76">
        <v>43913.0</v>
      </c>
      <c r="F894" s="77">
        <v>0.020833333333333332</v>
      </c>
      <c r="G894" s="62" t="b">
        <v>0</v>
      </c>
      <c r="H894" s="78" t="b">
        <f>IF(VLOOKUP(C894,Projetos!A:L,12,false)=TRUE,TRUE,FALSE)</f>
        <v>1</v>
      </c>
      <c r="I894" s="68">
        <v>169.0374654280904</v>
      </c>
      <c r="J894" s="68">
        <f t="shared" si="1"/>
        <v>0</v>
      </c>
      <c r="K894" s="68" t="b">
        <v>1</v>
      </c>
    </row>
    <row r="895" hidden="1">
      <c r="A895" s="75">
        <v>889.0</v>
      </c>
      <c r="B895" s="62" t="s">
        <v>591</v>
      </c>
      <c r="C895" s="62" t="s">
        <v>104</v>
      </c>
      <c r="D895" s="62" t="s">
        <v>627</v>
      </c>
      <c r="E895" s="76">
        <v>43915.0</v>
      </c>
      <c r="F895" s="77">
        <v>0.020833333333333332</v>
      </c>
      <c r="G895" s="62" t="b">
        <v>0</v>
      </c>
      <c r="H895" s="78" t="b">
        <f>IF(VLOOKUP(C895,Projetos!A:L,12,false)=TRUE,TRUE,FALSE)</f>
        <v>1</v>
      </c>
      <c r="I895" s="68">
        <v>169.0374654280904</v>
      </c>
      <c r="J895" s="68">
        <f t="shared" si="1"/>
        <v>0</v>
      </c>
      <c r="K895" s="68" t="b">
        <v>1</v>
      </c>
    </row>
    <row r="896">
      <c r="A896" s="75">
        <v>890.0</v>
      </c>
      <c r="B896" s="62" t="s">
        <v>591</v>
      </c>
      <c r="C896" s="62" t="s">
        <v>104</v>
      </c>
      <c r="D896" s="62" t="s">
        <v>625</v>
      </c>
      <c r="E896" s="76">
        <v>43916.0</v>
      </c>
      <c r="F896" s="77">
        <v>0.041666666666666664</v>
      </c>
      <c r="G896" s="62" t="b">
        <v>1</v>
      </c>
      <c r="H896" s="78" t="b">
        <f>IF(VLOOKUP(C896,Projetos!A:L,12,false)=TRUE,TRUE,FALSE)</f>
        <v>1</v>
      </c>
      <c r="I896" s="68">
        <v>169.0374654280904</v>
      </c>
      <c r="J896" s="68">
        <f t="shared" si="1"/>
        <v>169.0374654</v>
      </c>
      <c r="K896" s="68" t="b">
        <v>1</v>
      </c>
    </row>
    <row r="897" hidden="1">
      <c r="A897" s="75">
        <v>891.0</v>
      </c>
      <c r="B897" s="62" t="s">
        <v>591</v>
      </c>
      <c r="C897" s="62" t="s">
        <v>108</v>
      </c>
      <c r="D897" s="62" t="s">
        <v>628</v>
      </c>
      <c r="E897" s="76">
        <v>43892.0</v>
      </c>
      <c r="F897" s="77">
        <v>0.041666666666666664</v>
      </c>
      <c r="G897" s="62" t="b">
        <v>1</v>
      </c>
      <c r="H897" s="78" t="b">
        <f>IF(VLOOKUP(C897,Projetos!A:L,12,false)=TRUE,TRUE,FALSE)</f>
        <v>1</v>
      </c>
      <c r="I897" s="68">
        <v>169.0374654280904</v>
      </c>
      <c r="J897" s="68">
        <f t="shared" si="1"/>
        <v>169.0374654</v>
      </c>
      <c r="K897" s="68" t="b">
        <v>1</v>
      </c>
    </row>
    <row r="898" hidden="1">
      <c r="A898" s="75">
        <v>892.0</v>
      </c>
      <c r="B898" s="62" t="s">
        <v>591</v>
      </c>
      <c r="C898" s="62" t="s">
        <v>108</v>
      </c>
      <c r="D898" s="62" t="s">
        <v>629</v>
      </c>
      <c r="E898" s="76">
        <v>43893.0</v>
      </c>
      <c r="F898" s="77">
        <v>0.041666666666666664</v>
      </c>
      <c r="G898" s="62" t="b">
        <v>1</v>
      </c>
      <c r="H898" s="78" t="b">
        <f>IF(VLOOKUP(C898,Projetos!A:L,12,false)=TRUE,TRUE,FALSE)</f>
        <v>1</v>
      </c>
      <c r="I898" s="68">
        <v>169.0374654280904</v>
      </c>
      <c r="J898" s="68">
        <f t="shared" si="1"/>
        <v>169.0374654</v>
      </c>
      <c r="K898" s="68" t="b">
        <v>1</v>
      </c>
    </row>
    <row r="899" hidden="1">
      <c r="A899" s="75">
        <v>893.0</v>
      </c>
      <c r="B899" s="62" t="s">
        <v>591</v>
      </c>
      <c r="C899" s="62" t="s">
        <v>108</v>
      </c>
      <c r="D899" s="62" t="s">
        <v>630</v>
      </c>
      <c r="E899" s="76">
        <v>43896.0</v>
      </c>
      <c r="F899" s="77">
        <v>0.041666666666666664</v>
      </c>
      <c r="G899" s="62" t="b">
        <v>1</v>
      </c>
      <c r="H899" s="78" t="b">
        <f>IF(VLOOKUP(C899,Projetos!A:L,12,false)=TRUE,TRUE,FALSE)</f>
        <v>1</v>
      </c>
      <c r="I899" s="68">
        <v>169.0374654280904</v>
      </c>
      <c r="J899" s="68">
        <f t="shared" si="1"/>
        <v>169.0374654</v>
      </c>
      <c r="K899" s="68" t="b">
        <v>1</v>
      </c>
    </row>
    <row r="900" hidden="1">
      <c r="A900" s="75">
        <v>894.0</v>
      </c>
      <c r="B900" s="62" t="s">
        <v>591</v>
      </c>
      <c r="C900" s="62" t="s">
        <v>108</v>
      </c>
      <c r="D900" s="62" t="s">
        <v>631</v>
      </c>
      <c r="E900" s="76">
        <v>43899.0</v>
      </c>
      <c r="F900" s="77">
        <v>0.0625</v>
      </c>
      <c r="G900" s="62" t="b">
        <v>0</v>
      </c>
      <c r="H900" s="78" t="b">
        <f>IF(VLOOKUP(C900,Projetos!A:L,12,false)=TRUE,TRUE,FALSE)</f>
        <v>1</v>
      </c>
      <c r="I900" s="68">
        <v>169.0374654280904</v>
      </c>
      <c r="J900" s="68">
        <f t="shared" si="1"/>
        <v>0</v>
      </c>
      <c r="K900" s="68" t="b">
        <v>1</v>
      </c>
    </row>
    <row r="901" hidden="1">
      <c r="A901" s="75">
        <v>895.0</v>
      </c>
      <c r="B901" s="62" t="s">
        <v>591</v>
      </c>
      <c r="C901" s="62" t="s">
        <v>108</v>
      </c>
      <c r="D901" s="62" t="s">
        <v>632</v>
      </c>
      <c r="E901" s="76">
        <v>43906.0</v>
      </c>
      <c r="F901" s="77">
        <v>0.08333333333333333</v>
      </c>
      <c r="G901" s="62" t="b">
        <v>0</v>
      </c>
      <c r="H901" s="78" t="b">
        <f>IF(VLOOKUP(C901,Projetos!A:L,12,false)=TRUE,TRUE,FALSE)</f>
        <v>1</v>
      </c>
      <c r="I901" s="68">
        <v>169.0374654280904</v>
      </c>
      <c r="J901" s="68">
        <f t="shared" si="1"/>
        <v>0</v>
      </c>
      <c r="K901" s="68" t="b">
        <v>1</v>
      </c>
    </row>
    <row r="902" hidden="1">
      <c r="A902" s="75">
        <v>896.0</v>
      </c>
      <c r="B902" s="62" t="s">
        <v>591</v>
      </c>
      <c r="C902" s="62" t="s">
        <v>108</v>
      </c>
      <c r="D902" s="62" t="s">
        <v>629</v>
      </c>
      <c r="E902" s="76">
        <v>43908.0</v>
      </c>
      <c r="F902" s="77">
        <v>0.020833333333333332</v>
      </c>
      <c r="G902" s="62" t="b">
        <v>0</v>
      </c>
      <c r="H902" s="78" t="b">
        <f>IF(VLOOKUP(C902,Projetos!A:L,12,false)=TRUE,TRUE,FALSE)</f>
        <v>1</v>
      </c>
      <c r="I902" s="68">
        <v>169.0374654280904</v>
      </c>
      <c r="J902" s="68">
        <f t="shared" si="1"/>
        <v>0</v>
      </c>
      <c r="K902" s="68" t="b">
        <v>1</v>
      </c>
    </row>
    <row r="903" hidden="1">
      <c r="A903" s="75">
        <v>897.0</v>
      </c>
      <c r="B903" s="62" t="s">
        <v>591</v>
      </c>
      <c r="C903" s="62" t="s">
        <v>108</v>
      </c>
      <c r="D903" s="62" t="s">
        <v>633</v>
      </c>
      <c r="E903" s="76">
        <v>43915.0</v>
      </c>
      <c r="F903" s="77">
        <v>0.020833333333333332</v>
      </c>
      <c r="G903" s="62" t="b">
        <v>0</v>
      </c>
      <c r="H903" s="78" t="b">
        <f>IF(VLOOKUP(C903,Projetos!A:L,12,false)=TRUE,TRUE,FALSE)</f>
        <v>1</v>
      </c>
      <c r="I903" s="68">
        <v>169.0374654280904</v>
      </c>
      <c r="J903" s="68">
        <f t="shared" si="1"/>
        <v>0</v>
      </c>
      <c r="K903" s="68" t="b">
        <v>1</v>
      </c>
    </row>
    <row r="904" hidden="1">
      <c r="A904" s="75">
        <v>898.0</v>
      </c>
      <c r="B904" s="62" t="s">
        <v>591</v>
      </c>
      <c r="C904" s="62" t="s">
        <v>108</v>
      </c>
      <c r="D904" s="62" t="s">
        <v>629</v>
      </c>
      <c r="E904" s="76">
        <v>43916.0</v>
      </c>
      <c r="F904" s="77">
        <v>0.0625</v>
      </c>
      <c r="G904" s="62" t="b">
        <v>1</v>
      </c>
      <c r="H904" s="78" t="b">
        <f>IF(VLOOKUP(C904,Projetos!A:L,12,false)=TRUE,TRUE,FALSE)</f>
        <v>1</v>
      </c>
      <c r="I904" s="68">
        <v>169.0374654280904</v>
      </c>
      <c r="J904" s="68">
        <f t="shared" si="1"/>
        <v>253.5561981</v>
      </c>
      <c r="K904" s="68" t="b">
        <v>1</v>
      </c>
    </row>
    <row r="905" hidden="1">
      <c r="A905" s="75">
        <v>899.0</v>
      </c>
      <c r="B905" s="62" t="s">
        <v>591</v>
      </c>
      <c r="C905" s="62" t="s">
        <v>108</v>
      </c>
      <c r="D905" s="62" t="s">
        <v>634</v>
      </c>
      <c r="E905" s="76">
        <v>43920.0</v>
      </c>
      <c r="F905" s="77">
        <v>0.041666666666666664</v>
      </c>
      <c r="G905" s="62" t="b">
        <v>0</v>
      </c>
      <c r="H905" s="78" t="b">
        <f>IF(VLOOKUP(C905,Projetos!A:L,12,false)=TRUE,TRUE,FALSE)</f>
        <v>1</v>
      </c>
      <c r="I905" s="68">
        <v>169.0374654280904</v>
      </c>
      <c r="J905" s="68">
        <f t="shared" si="1"/>
        <v>0</v>
      </c>
      <c r="K905" s="68" t="b">
        <v>1</v>
      </c>
    </row>
    <row r="906">
      <c r="A906" s="75">
        <v>900.0</v>
      </c>
      <c r="B906" s="62" t="s">
        <v>591</v>
      </c>
      <c r="C906" s="62" t="s">
        <v>110</v>
      </c>
      <c r="D906" s="62" t="s">
        <v>599</v>
      </c>
      <c r="E906" s="76">
        <v>43902.0</v>
      </c>
      <c r="F906" s="77">
        <v>0.020833333333333332</v>
      </c>
      <c r="G906" s="62" t="b">
        <v>1</v>
      </c>
      <c r="H906" s="78" t="b">
        <f>IF(VLOOKUP(C906,Projetos!A:L,12,false)=TRUE,TRUE,FALSE)</f>
        <v>1</v>
      </c>
      <c r="I906" s="68">
        <v>169.0374654280904</v>
      </c>
      <c r="J906" s="68">
        <f t="shared" si="1"/>
        <v>84.51873271</v>
      </c>
      <c r="K906" s="68" t="b">
        <v>1</v>
      </c>
    </row>
    <row r="907">
      <c r="A907" s="75">
        <v>901.0</v>
      </c>
      <c r="B907" s="62" t="s">
        <v>591</v>
      </c>
      <c r="C907" s="62" t="s">
        <v>110</v>
      </c>
      <c r="D907" s="62" t="s">
        <v>599</v>
      </c>
      <c r="E907" s="76">
        <v>43906.0</v>
      </c>
      <c r="F907" s="77">
        <v>0.020833333333333332</v>
      </c>
      <c r="G907" s="62" t="b">
        <v>1</v>
      </c>
      <c r="H907" s="78" t="b">
        <f>IF(VLOOKUP(C907,Projetos!A:L,12,false)=TRUE,TRUE,FALSE)</f>
        <v>1</v>
      </c>
      <c r="I907" s="68">
        <v>169.0374654280904</v>
      </c>
      <c r="J907" s="68">
        <f t="shared" si="1"/>
        <v>84.51873271</v>
      </c>
      <c r="K907" s="68" t="b">
        <v>1</v>
      </c>
    </row>
    <row r="908">
      <c r="A908" s="75">
        <v>902.0</v>
      </c>
      <c r="B908" s="62" t="s">
        <v>591</v>
      </c>
      <c r="C908" s="62" t="s">
        <v>110</v>
      </c>
      <c r="D908" s="62" t="s">
        <v>635</v>
      </c>
      <c r="E908" s="76">
        <v>43906.0</v>
      </c>
      <c r="F908" s="77">
        <v>0.020833333333333332</v>
      </c>
      <c r="G908" s="62" t="b">
        <v>1</v>
      </c>
      <c r="H908" s="78" t="b">
        <f>IF(VLOOKUP(C908,Projetos!A:L,12,false)=TRUE,TRUE,FALSE)</f>
        <v>1</v>
      </c>
      <c r="I908" s="68">
        <v>169.0374654280904</v>
      </c>
      <c r="J908" s="68">
        <f t="shared" si="1"/>
        <v>84.51873271</v>
      </c>
      <c r="K908" s="68" t="b">
        <v>1</v>
      </c>
    </row>
    <row r="909" hidden="1">
      <c r="A909" s="75">
        <v>903.0</v>
      </c>
      <c r="B909" s="62" t="s">
        <v>591</v>
      </c>
      <c r="C909" s="62" t="s">
        <v>138</v>
      </c>
      <c r="D909" s="62" t="s">
        <v>636</v>
      </c>
      <c r="E909" s="76">
        <v>43956.0</v>
      </c>
      <c r="F909" s="77">
        <v>0.03125</v>
      </c>
      <c r="G909" s="62" t="b">
        <v>0</v>
      </c>
      <c r="H909" s="78" t="b">
        <f>IF(VLOOKUP(C909,Projetos!A:L,12,false)=TRUE,TRUE,FALSE)</f>
        <v>1</v>
      </c>
      <c r="I909" s="68">
        <v>169.0374654280904</v>
      </c>
      <c r="J909" s="68">
        <f t="shared" si="1"/>
        <v>0</v>
      </c>
      <c r="K909" s="68" t="b">
        <v>1</v>
      </c>
    </row>
    <row r="910" hidden="1">
      <c r="A910" s="75">
        <v>904.0</v>
      </c>
      <c r="B910" s="62" t="s">
        <v>591</v>
      </c>
      <c r="C910" s="62" t="s">
        <v>138</v>
      </c>
      <c r="D910" s="62" t="s">
        <v>637</v>
      </c>
      <c r="E910" s="76">
        <v>43958.0</v>
      </c>
      <c r="F910" s="77">
        <v>0.020833333333333332</v>
      </c>
      <c r="G910" s="62" t="b">
        <v>0</v>
      </c>
      <c r="H910" s="78" t="b">
        <f>IF(VLOOKUP(C910,Projetos!A:L,12,false)=TRUE,TRUE,FALSE)</f>
        <v>1</v>
      </c>
      <c r="I910" s="68">
        <v>169.0374654280904</v>
      </c>
      <c r="J910" s="68">
        <f t="shared" si="1"/>
        <v>0</v>
      </c>
      <c r="K910" s="68" t="b">
        <v>1</v>
      </c>
    </row>
    <row r="911" hidden="1">
      <c r="A911" s="75">
        <v>905.0</v>
      </c>
      <c r="B911" s="62" t="s">
        <v>591</v>
      </c>
      <c r="C911" s="62" t="s">
        <v>83</v>
      </c>
      <c r="D911" s="62" t="s">
        <v>638</v>
      </c>
      <c r="E911" s="76">
        <v>43956.0</v>
      </c>
      <c r="F911" s="77">
        <v>0.041666666666666664</v>
      </c>
      <c r="G911" s="62" t="b">
        <v>0</v>
      </c>
      <c r="H911" s="78" t="b">
        <f>IF(VLOOKUP(C911,Projetos!A:L,12,false)=TRUE,TRUE,FALSE)</f>
        <v>0</v>
      </c>
      <c r="I911" s="68">
        <v>169.0374654280904</v>
      </c>
      <c r="J911" s="68">
        <f t="shared" si="1"/>
        <v>0</v>
      </c>
      <c r="K911" s="68" t="b">
        <v>0</v>
      </c>
    </row>
    <row r="912" hidden="1">
      <c r="A912" s="75">
        <v>906.0</v>
      </c>
      <c r="B912" s="62" t="s">
        <v>591</v>
      </c>
      <c r="C912" s="62" t="s">
        <v>83</v>
      </c>
      <c r="D912" s="62" t="s">
        <v>639</v>
      </c>
      <c r="E912" s="76">
        <v>43957.0</v>
      </c>
      <c r="F912" s="77">
        <v>0.0625</v>
      </c>
      <c r="G912" s="62" t="b">
        <v>0</v>
      </c>
      <c r="H912" s="78" t="b">
        <f>IF(VLOOKUP(C912,Projetos!A:L,12,false)=TRUE,TRUE,FALSE)</f>
        <v>0</v>
      </c>
      <c r="I912" s="68">
        <v>169.0374654280904</v>
      </c>
      <c r="J912" s="68">
        <f t="shared" si="1"/>
        <v>0</v>
      </c>
      <c r="K912" s="68" t="b">
        <v>0</v>
      </c>
    </row>
    <row r="913" hidden="1">
      <c r="A913" s="75">
        <v>907.0</v>
      </c>
      <c r="B913" s="62" t="s">
        <v>591</v>
      </c>
      <c r="C913" s="62" t="s">
        <v>83</v>
      </c>
      <c r="D913" s="62" t="s">
        <v>640</v>
      </c>
      <c r="E913" s="76">
        <v>43958.0</v>
      </c>
      <c r="F913" s="77">
        <v>0.0625</v>
      </c>
      <c r="G913" s="62" t="b">
        <v>0</v>
      </c>
      <c r="H913" s="78" t="b">
        <f>IF(VLOOKUP(C913,Projetos!A:L,12,false)=TRUE,TRUE,FALSE)</f>
        <v>0</v>
      </c>
      <c r="I913" s="68">
        <v>169.0374654280904</v>
      </c>
      <c r="J913" s="68">
        <f t="shared" si="1"/>
        <v>0</v>
      </c>
      <c r="K913" s="68" t="b">
        <v>0</v>
      </c>
    </row>
    <row r="914" hidden="1">
      <c r="A914" s="75">
        <v>908.0</v>
      </c>
      <c r="B914" s="62" t="s">
        <v>591</v>
      </c>
      <c r="C914" s="62" t="s">
        <v>83</v>
      </c>
      <c r="D914" s="62" t="s">
        <v>641</v>
      </c>
      <c r="E914" s="76">
        <v>43962.0</v>
      </c>
      <c r="F914" s="77">
        <v>0.041666666666666664</v>
      </c>
      <c r="G914" s="62" t="b">
        <v>0</v>
      </c>
      <c r="H914" s="78" t="b">
        <f>IF(VLOOKUP(C914,Projetos!A:L,12,false)=TRUE,TRUE,FALSE)</f>
        <v>0</v>
      </c>
      <c r="I914" s="68">
        <v>169.0374654280904</v>
      </c>
      <c r="J914" s="68">
        <f t="shared" si="1"/>
        <v>0</v>
      </c>
      <c r="K914" s="68" t="b">
        <v>0</v>
      </c>
    </row>
    <row r="915" hidden="1">
      <c r="A915" s="75">
        <v>909.0</v>
      </c>
      <c r="B915" s="62" t="s">
        <v>591</v>
      </c>
      <c r="C915" s="62" t="s">
        <v>83</v>
      </c>
      <c r="D915" s="62" t="s">
        <v>639</v>
      </c>
      <c r="E915" s="76">
        <v>43965.0</v>
      </c>
      <c r="F915" s="77">
        <v>0.041666666666666664</v>
      </c>
      <c r="G915" s="62" t="b">
        <v>0</v>
      </c>
      <c r="H915" s="78" t="b">
        <f>IF(VLOOKUP(C915,Projetos!A:L,12,false)=TRUE,TRUE,FALSE)</f>
        <v>0</v>
      </c>
      <c r="I915" s="68">
        <v>169.0374654280904</v>
      </c>
      <c r="J915" s="68">
        <f t="shared" si="1"/>
        <v>0</v>
      </c>
      <c r="K915" s="68" t="b">
        <v>0</v>
      </c>
    </row>
    <row r="916" hidden="1">
      <c r="A916" s="75">
        <v>910.0</v>
      </c>
      <c r="B916" s="62" t="s">
        <v>591</v>
      </c>
      <c r="C916" s="62" t="s">
        <v>83</v>
      </c>
      <c r="D916" s="62" t="s">
        <v>642</v>
      </c>
      <c r="E916" s="76">
        <v>43966.0</v>
      </c>
      <c r="F916" s="77">
        <v>0.0625</v>
      </c>
      <c r="G916" s="62" t="b">
        <v>0</v>
      </c>
      <c r="H916" s="78" t="b">
        <f>IF(VLOOKUP(C916,Projetos!A:L,12,false)=TRUE,TRUE,FALSE)</f>
        <v>0</v>
      </c>
      <c r="I916" s="68">
        <v>169.0374654280904</v>
      </c>
      <c r="J916" s="68">
        <f t="shared" si="1"/>
        <v>0</v>
      </c>
      <c r="K916" s="68" t="b">
        <v>0</v>
      </c>
    </row>
    <row r="917">
      <c r="A917" s="75">
        <v>911.0</v>
      </c>
      <c r="B917" s="62" t="s">
        <v>591</v>
      </c>
      <c r="C917" s="62" t="s">
        <v>90</v>
      </c>
      <c r="D917" s="62" t="s">
        <v>643</v>
      </c>
      <c r="E917" s="76">
        <v>43976.0</v>
      </c>
      <c r="F917" s="77">
        <v>0.041666666666666664</v>
      </c>
      <c r="G917" s="62" t="b">
        <v>1</v>
      </c>
      <c r="H917" s="78" t="b">
        <f>IF(VLOOKUP(C917,Projetos!A:L,12,false)=TRUE,TRUE,FALSE)</f>
        <v>1</v>
      </c>
      <c r="I917" s="68">
        <v>169.0374654280904</v>
      </c>
      <c r="J917" s="68">
        <f t="shared" si="1"/>
        <v>169.0374654</v>
      </c>
      <c r="K917" s="68" t="b">
        <v>1</v>
      </c>
    </row>
    <row r="918">
      <c r="A918" s="75">
        <v>912.0</v>
      </c>
      <c r="B918" s="62" t="s">
        <v>591</v>
      </c>
      <c r="C918" s="62" t="s">
        <v>95</v>
      </c>
      <c r="D918" s="62" t="s">
        <v>644</v>
      </c>
      <c r="E918" s="76">
        <v>43958.0</v>
      </c>
      <c r="F918" s="77">
        <v>0.041666666666666664</v>
      </c>
      <c r="G918" s="62" t="b">
        <v>1</v>
      </c>
      <c r="H918" s="78" t="b">
        <f>IF(VLOOKUP(C918,Projetos!A:L,12,false)=TRUE,TRUE,FALSE)</f>
        <v>1</v>
      </c>
      <c r="I918" s="68">
        <v>169.0374654280904</v>
      </c>
      <c r="J918" s="68">
        <f t="shared" si="1"/>
        <v>169.0374654</v>
      </c>
      <c r="K918" s="68" t="b">
        <v>1</v>
      </c>
    </row>
    <row r="919">
      <c r="A919" s="75">
        <v>913.0</v>
      </c>
      <c r="B919" s="62" t="s">
        <v>591</v>
      </c>
      <c r="C919" s="62" t="s">
        <v>101</v>
      </c>
      <c r="D919" s="62" t="s">
        <v>645</v>
      </c>
      <c r="E919" s="76">
        <v>43956.0</v>
      </c>
      <c r="F919" s="77">
        <v>0.020833333333333332</v>
      </c>
      <c r="G919" s="62" t="b">
        <v>1</v>
      </c>
      <c r="H919" s="78" t="b">
        <f>IF(VLOOKUP(C919,Projetos!A:L,12,false)=TRUE,TRUE,FALSE)</f>
        <v>1</v>
      </c>
      <c r="I919" s="68">
        <v>169.0374654280904</v>
      </c>
      <c r="J919" s="68">
        <f t="shared" si="1"/>
        <v>84.51873271</v>
      </c>
      <c r="K919" s="68" t="b">
        <v>1</v>
      </c>
    </row>
    <row r="920">
      <c r="A920" s="75">
        <v>914.0</v>
      </c>
      <c r="B920" s="62" t="s">
        <v>591</v>
      </c>
      <c r="C920" s="62" t="s">
        <v>101</v>
      </c>
      <c r="D920" s="62" t="s">
        <v>645</v>
      </c>
      <c r="E920" s="76">
        <v>43958.0</v>
      </c>
      <c r="F920" s="77">
        <v>0.020833333333333332</v>
      </c>
      <c r="G920" s="62" t="b">
        <v>1</v>
      </c>
      <c r="H920" s="78" t="b">
        <f>IF(VLOOKUP(C920,Projetos!A:L,12,false)=TRUE,TRUE,FALSE)</f>
        <v>1</v>
      </c>
      <c r="I920" s="68">
        <v>169.0374654280904</v>
      </c>
      <c r="J920" s="68">
        <f t="shared" si="1"/>
        <v>84.51873271</v>
      </c>
      <c r="K920" s="68" t="b">
        <v>1</v>
      </c>
    </row>
    <row r="921" hidden="1">
      <c r="A921" s="75">
        <v>915.0</v>
      </c>
      <c r="B921" s="62" t="s">
        <v>591</v>
      </c>
      <c r="C921" s="62" t="s">
        <v>104</v>
      </c>
      <c r="D921" s="62" t="s">
        <v>645</v>
      </c>
      <c r="E921" s="76">
        <v>43957.0</v>
      </c>
      <c r="F921" s="77">
        <v>0.0</v>
      </c>
      <c r="G921" s="62" t="b">
        <v>0</v>
      </c>
      <c r="H921" s="78" t="b">
        <f>IF(VLOOKUP(C921,Projetos!A:L,12,false)=TRUE,TRUE,FALSE)</f>
        <v>1</v>
      </c>
      <c r="I921" s="68">
        <v>169.0374654280904</v>
      </c>
      <c r="J921" s="68">
        <f t="shared" si="1"/>
        <v>0</v>
      </c>
      <c r="K921" s="68" t="b">
        <v>1</v>
      </c>
    </row>
    <row r="922" hidden="1">
      <c r="A922" s="75">
        <v>916.0</v>
      </c>
      <c r="B922" s="62" t="s">
        <v>591</v>
      </c>
      <c r="C922" s="62" t="s">
        <v>108</v>
      </c>
      <c r="D922" s="62" t="s">
        <v>646</v>
      </c>
      <c r="E922" s="76">
        <v>43963.0</v>
      </c>
      <c r="F922" s="77">
        <v>0.0625</v>
      </c>
      <c r="G922" s="62" t="b">
        <v>1</v>
      </c>
      <c r="H922" s="78" t="b">
        <f>IF(VLOOKUP(C922,Projetos!A:L,12,false)=TRUE,TRUE,FALSE)</f>
        <v>1</v>
      </c>
      <c r="I922" s="68">
        <v>169.0374654280904</v>
      </c>
      <c r="J922" s="68">
        <f t="shared" si="1"/>
        <v>253.5561981</v>
      </c>
      <c r="K922" s="68" t="b">
        <v>1</v>
      </c>
    </row>
    <row r="923" hidden="1">
      <c r="A923" s="75">
        <v>917.0</v>
      </c>
      <c r="B923" s="62" t="s">
        <v>591</v>
      </c>
      <c r="C923" s="62" t="s">
        <v>108</v>
      </c>
      <c r="D923" s="62" t="s">
        <v>646</v>
      </c>
      <c r="E923" s="76">
        <v>43963.0</v>
      </c>
      <c r="F923" s="77">
        <v>0.041666666666666664</v>
      </c>
      <c r="G923" s="62" t="b">
        <v>1</v>
      </c>
      <c r="H923" s="78" t="b">
        <f>IF(VLOOKUP(C923,Projetos!A:L,12,false)=TRUE,TRUE,FALSE)</f>
        <v>1</v>
      </c>
      <c r="I923" s="68">
        <v>169.0374654280904</v>
      </c>
      <c r="J923" s="68">
        <f t="shared" si="1"/>
        <v>169.0374654</v>
      </c>
      <c r="K923" s="68" t="b">
        <v>1</v>
      </c>
    </row>
    <row r="924" hidden="1">
      <c r="A924" s="75">
        <v>918.0</v>
      </c>
      <c r="B924" s="62" t="s">
        <v>591</v>
      </c>
      <c r="C924" s="62" t="s">
        <v>108</v>
      </c>
      <c r="D924" s="62" t="s">
        <v>647</v>
      </c>
      <c r="E924" s="76">
        <v>43969.0</v>
      </c>
      <c r="F924" s="77">
        <v>0.041666666666666664</v>
      </c>
      <c r="G924" s="62" t="b">
        <v>1</v>
      </c>
      <c r="H924" s="78" t="b">
        <f>IF(VLOOKUP(C924,Projetos!A:L,12,false)=TRUE,TRUE,FALSE)</f>
        <v>1</v>
      </c>
      <c r="I924" s="68">
        <v>169.0374654280904</v>
      </c>
      <c r="J924" s="68">
        <f t="shared" si="1"/>
        <v>169.0374654</v>
      </c>
      <c r="K924" s="68" t="b">
        <v>1</v>
      </c>
    </row>
    <row r="925">
      <c r="A925" s="75">
        <v>919.0</v>
      </c>
      <c r="B925" s="62" t="s">
        <v>591</v>
      </c>
      <c r="C925" s="62" t="s">
        <v>110</v>
      </c>
      <c r="D925" s="62" t="s">
        <v>648</v>
      </c>
      <c r="E925" s="76">
        <v>43972.0</v>
      </c>
      <c r="F925" s="77">
        <v>0.041666666666666664</v>
      </c>
      <c r="G925" s="62" t="b">
        <v>1</v>
      </c>
      <c r="H925" s="78" t="b">
        <f>IF(VLOOKUP(C925,Projetos!A:L,12,false)=TRUE,TRUE,FALSE)</f>
        <v>1</v>
      </c>
      <c r="I925" s="68">
        <v>169.0374654280904</v>
      </c>
      <c r="J925" s="68">
        <f t="shared" si="1"/>
        <v>169.0374654</v>
      </c>
      <c r="K925" s="68" t="b">
        <v>1</v>
      </c>
    </row>
    <row r="926" hidden="1">
      <c r="A926" s="75">
        <v>920.0</v>
      </c>
      <c r="B926" s="62" t="s">
        <v>591</v>
      </c>
      <c r="C926" s="62" t="s">
        <v>83</v>
      </c>
      <c r="D926" s="62" t="s">
        <v>649</v>
      </c>
      <c r="E926" s="76">
        <v>43983.0</v>
      </c>
      <c r="F926" s="77">
        <v>0.041666666666666664</v>
      </c>
      <c r="G926" s="62" t="b">
        <v>0</v>
      </c>
      <c r="H926" s="78" t="b">
        <f>IF(VLOOKUP(C926,Projetos!A:L,12,false)=TRUE,TRUE,FALSE)</f>
        <v>0</v>
      </c>
      <c r="I926" s="68">
        <v>161.35394427226808</v>
      </c>
      <c r="J926" s="68">
        <f t="shared" si="1"/>
        <v>0</v>
      </c>
      <c r="K926" s="68" t="b">
        <v>0</v>
      </c>
    </row>
    <row r="927" hidden="1">
      <c r="A927" s="75">
        <v>921.0</v>
      </c>
      <c r="B927" s="62" t="s">
        <v>591</v>
      </c>
      <c r="C927" s="62" t="s">
        <v>83</v>
      </c>
      <c r="D927" s="62" t="s">
        <v>650</v>
      </c>
      <c r="E927" s="76">
        <v>43983.0</v>
      </c>
      <c r="F927" s="77">
        <v>0.041666666666666664</v>
      </c>
      <c r="G927" s="62" t="b">
        <v>0</v>
      </c>
      <c r="H927" s="78" t="b">
        <f>IF(VLOOKUP(C927,Projetos!A:L,12,false)=TRUE,TRUE,FALSE)</f>
        <v>0</v>
      </c>
      <c r="I927" s="68">
        <v>161.35394427226808</v>
      </c>
      <c r="J927" s="68">
        <f t="shared" si="1"/>
        <v>0</v>
      </c>
      <c r="K927" s="68" t="b">
        <v>0</v>
      </c>
    </row>
    <row r="928" hidden="1">
      <c r="A928" s="75">
        <v>922.0</v>
      </c>
      <c r="B928" s="62" t="s">
        <v>591</v>
      </c>
      <c r="C928" s="62" t="s">
        <v>83</v>
      </c>
      <c r="D928" s="62" t="s">
        <v>651</v>
      </c>
      <c r="E928" s="76">
        <v>44012.0</v>
      </c>
      <c r="F928" s="77">
        <v>0.08333333333333333</v>
      </c>
      <c r="G928" s="62" t="b">
        <v>0</v>
      </c>
      <c r="H928" s="78" t="b">
        <f>IF(VLOOKUP(C928,Projetos!A:L,12,false)=TRUE,TRUE,FALSE)</f>
        <v>0</v>
      </c>
      <c r="I928" s="68">
        <v>161.35394427226808</v>
      </c>
      <c r="J928" s="68">
        <f t="shared" si="1"/>
        <v>0</v>
      </c>
      <c r="K928" s="68" t="b">
        <v>0</v>
      </c>
    </row>
    <row r="929">
      <c r="A929" s="75">
        <v>923.0</v>
      </c>
      <c r="B929" s="62" t="s">
        <v>591</v>
      </c>
      <c r="C929" s="62" t="s">
        <v>90</v>
      </c>
      <c r="D929" s="62" t="s">
        <v>652</v>
      </c>
      <c r="E929" s="76">
        <v>43984.0</v>
      </c>
      <c r="F929" s="77">
        <v>0.041666666666666664</v>
      </c>
      <c r="G929" s="62" t="b">
        <v>1</v>
      </c>
      <c r="H929" s="78" t="b">
        <f>IF(VLOOKUP(C929,Projetos!A:L,12,false)=TRUE,TRUE,FALSE)</f>
        <v>1</v>
      </c>
      <c r="I929" s="68">
        <v>161.35394427226808</v>
      </c>
      <c r="J929" s="68">
        <f t="shared" si="1"/>
        <v>161.3539443</v>
      </c>
      <c r="K929" s="68" t="b">
        <v>1</v>
      </c>
    </row>
    <row r="930">
      <c r="A930" s="75">
        <v>924.0</v>
      </c>
      <c r="B930" s="62" t="s">
        <v>591</v>
      </c>
      <c r="C930" s="62" t="s">
        <v>90</v>
      </c>
      <c r="D930" s="62" t="s">
        <v>653</v>
      </c>
      <c r="E930" s="76">
        <v>43984.0</v>
      </c>
      <c r="F930" s="77">
        <v>0.020833333333333332</v>
      </c>
      <c r="G930" s="62" t="b">
        <v>1</v>
      </c>
      <c r="H930" s="78" t="b">
        <f>IF(VLOOKUP(C930,Projetos!A:L,12,false)=TRUE,TRUE,FALSE)</f>
        <v>1</v>
      </c>
      <c r="I930" s="68">
        <v>161.35394427226808</v>
      </c>
      <c r="J930" s="68">
        <f t="shared" si="1"/>
        <v>80.67697214</v>
      </c>
      <c r="K930" s="68" t="b">
        <v>1</v>
      </c>
    </row>
    <row r="931">
      <c r="A931" s="75">
        <v>925.0</v>
      </c>
      <c r="B931" s="62" t="s">
        <v>591</v>
      </c>
      <c r="C931" s="62" t="s">
        <v>90</v>
      </c>
      <c r="D931" s="62" t="s">
        <v>654</v>
      </c>
      <c r="E931" s="76">
        <v>43984.0</v>
      </c>
      <c r="F931" s="77">
        <v>0.0625</v>
      </c>
      <c r="G931" s="62" t="b">
        <v>1</v>
      </c>
      <c r="H931" s="78" t="b">
        <f>IF(VLOOKUP(C931,Projetos!A:L,12,false)=TRUE,TRUE,FALSE)</f>
        <v>1</v>
      </c>
      <c r="I931" s="68">
        <v>161.35394427226808</v>
      </c>
      <c r="J931" s="68">
        <f t="shared" si="1"/>
        <v>242.0309164</v>
      </c>
      <c r="K931" s="68" t="b">
        <v>1</v>
      </c>
    </row>
    <row r="932" hidden="1">
      <c r="A932" s="75">
        <v>926.0</v>
      </c>
      <c r="B932" s="62" t="s">
        <v>591</v>
      </c>
      <c r="C932" s="62" t="s">
        <v>90</v>
      </c>
      <c r="D932" s="62" t="s">
        <v>655</v>
      </c>
      <c r="E932" s="76">
        <v>43985.0</v>
      </c>
      <c r="F932" s="77">
        <v>0.0625</v>
      </c>
      <c r="G932" s="62" t="b">
        <v>0</v>
      </c>
      <c r="H932" s="78" t="b">
        <f>IF(VLOOKUP(C932,Projetos!A:L,12,false)=TRUE,TRUE,FALSE)</f>
        <v>1</v>
      </c>
      <c r="I932" s="68">
        <v>161.35394427226808</v>
      </c>
      <c r="J932" s="68">
        <f t="shared" si="1"/>
        <v>0</v>
      </c>
      <c r="K932" s="68" t="b">
        <v>1</v>
      </c>
    </row>
    <row r="933" hidden="1">
      <c r="A933" s="75">
        <v>927.0</v>
      </c>
      <c r="B933" s="62" t="s">
        <v>591</v>
      </c>
      <c r="C933" s="62" t="s">
        <v>90</v>
      </c>
      <c r="D933" s="62" t="s">
        <v>655</v>
      </c>
      <c r="E933" s="76">
        <v>43986.0</v>
      </c>
      <c r="F933" s="77">
        <v>0.0625</v>
      </c>
      <c r="G933" s="62" t="b">
        <v>0</v>
      </c>
      <c r="H933" s="78" t="b">
        <f>IF(VLOOKUP(C933,Projetos!A:L,12,false)=TRUE,TRUE,FALSE)</f>
        <v>1</v>
      </c>
      <c r="I933" s="68">
        <v>161.35394427226808</v>
      </c>
      <c r="J933" s="68">
        <f t="shared" si="1"/>
        <v>0</v>
      </c>
      <c r="K933" s="68" t="b">
        <v>1</v>
      </c>
    </row>
    <row r="934">
      <c r="A934" s="75">
        <v>928.0</v>
      </c>
      <c r="B934" s="62" t="s">
        <v>591</v>
      </c>
      <c r="C934" s="62" t="s">
        <v>90</v>
      </c>
      <c r="D934" s="62" t="s">
        <v>656</v>
      </c>
      <c r="E934" s="76">
        <v>43987.0</v>
      </c>
      <c r="F934" s="77">
        <v>0.020833333333333332</v>
      </c>
      <c r="G934" s="62" t="b">
        <v>1</v>
      </c>
      <c r="H934" s="78" t="b">
        <f>IF(VLOOKUP(C934,Projetos!A:L,12,false)=TRUE,TRUE,FALSE)</f>
        <v>1</v>
      </c>
      <c r="I934" s="68">
        <v>161.35394427226808</v>
      </c>
      <c r="J934" s="68">
        <f t="shared" si="1"/>
        <v>80.67697214</v>
      </c>
      <c r="K934" s="68" t="b">
        <v>1</v>
      </c>
    </row>
    <row r="935">
      <c r="A935" s="75">
        <v>929.0</v>
      </c>
      <c r="B935" s="62" t="s">
        <v>591</v>
      </c>
      <c r="C935" s="62" t="s">
        <v>90</v>
      </c>
      <c r="D935" s="62" t="s">
        <v>657</v>
      </c>
      <c r="E935" s="76">
        <v>44008.0</v>
      </c>
      <c r="F935" s="77">
        <v>0.041666666666666664</v>
      </c>
      <c r="G935" s="62" t="b">
        <v>1</v>
      </c>
      <c r="H935" s="78" t="b">
        <f>IF(VLOOKUP(C935,Projetos!A:L,12,false)=TRUE,TRUE,FALSE)</f>
        <v>1</v>
      </c>
      <c r="I935" s="68">
        <v>161.35394427226808</v>
      </c>
      <c r="J935" s="68">
        <f t="shared" si="1"/>
        <v>161.3539443</v>
      </c>
      <c r="K935" s="68" t="b">
        <v>1</v>
      </c>
    </row>
    <row r="936">
      <c r="A936" s="75">
        <v>930.0</v>
      </c>
      <c r="B936" s="62" t="s">
        <v>591</v>
      </c>
      <c r="C936" s="62" t="s">
        <v>95</v>
      </c>
      <c r="D936" s="62" t="s">
        <v>658</v>
      </c>
      <c r="E936" s="76">
        <v>43999.0</v>
      </c>
      <c r="F936" s="77">
        <v>0.041666666666666664</v>
      </c>
      <c r="G936" s="62" t="b">
        <v>1</v>
      </c>
      <c r="H936" s="78" t="b">
        <f>IF(VLOOKUP(C936,Projetos!A:L,12,false)=TRUE,TRUE,FALSE)</f>
        <v>1</v>
      </c>
      <c r="I936" s="68">
        <v>161.35394427226808</v>
      </c>
      <c r="J936" s="68">
        <f t="shared" si="1"/>
        <v>161.3539443</v>
      </c>
      <c r="K936" s="68" t="b">
        <v>1</v>
      </c>
    </row>
    <row r="937">
      <c r="A937" s="75">
        <v>931.0</v>
      </c>
      <c r="B937" s="62" t="s">
        <v>591</v>
      </c>
      <c r="C937" s="62" t="s">
        <v>95</v>
      </c>
      <c r="D937" s="62" t="s">
        <v>659</v>
      </c>
      <c r="E937" s="76">
        <v>44000.0</v>
      </c>
      <c r="F937" s="77">
        <v>0.041666666666666664</v>
      </c>
      <c r="G937" s="62" t="b">
        <v>1</v>
      </c>
      <c r="H937" s="78" t="b">
        <f>IF(VLOOKUP(C937,Projetos!A:L,12,false)=TRUE,TRUE,FALSE)</f>
        <v>1</v>
      </c>
      <c r="I937" s="68">
        <v>161.35394427226808</v>
      </c>
      <c r="J937" s="68">
        <f t="shared" si="1"/>
        <v>161.3539443</v>
      </c>
      <c r="K937" s="68" t="b">
        <v>1</v>
      </c>
    </row>
    <row r="938">
      <c r="A938" s="75">
        <v>932.0</v>
      </c>
      <c r="B938" s="62" t="s">
        <v>591</v>
      </c>
      <c r="C938" s="62" t="s">
        <v>98</v>
      </c>
      <c r="D938" s="62" t="s">
        <v>660</v>
      </c>
      <c r="E938" s="76">
        <v>44004.0</v>
      </c>
      <c r="F938" s="77">
        <v>0.041666666666666664</v>
      </c>
      <c r="G938" s="62" t="b">
        <v>1</v>
      </c>
      <c r="H938" s="78" t="b">
        <f>IF(VLOOKUP(C938,Projetos!A:L,12,false)=TRUE,TRUE,FALSE)</f>
        <v>1</v>
      </c>
      <c r="I938" s="68">
        <v>161.35394427226808</v>
      </c>
      <c r="J938" s="68">
        <f t="shared" si="1"/>
        <v>161.3539443</v>
      </c>
      <c r="K938" s="68" t="b">
        <v>1</v>
      </c>
    </row>
    <row r="939">
      <c r="A939" s="75">
        <v>933.0</v>
      </c>
      <c r="B939" s="62" t="s">
        <v>591</v>
      </c>
      <c r="C939" s="62" t="s">
        <v>98</v>
      </c>
      <c r="D939" s="62" t="s">
        <v>661</v>
      </c>
      <c r="E939" s="76">
        <v>44006.0</v>
      </c>
      <c r="F939" s="77">
        <v>0.041666666666666664</v>
      </c>
      <c r="G939" s="62" t="b">
        <v>1</v>
      </c>
      <c r="H939" s="78" t="b">
        <f>IF(VLOOKUP(C939,Projetos!A:L,12,false)=TRUE,TRUE,FALSE)</f>
        <v>1</v>
      </c>
      <c r="I939" s="68">
        <v>161.35394427226808</v>
      </c>
      <c r="J939" s="68">
        <f t="shared" si="1"/>
        <v>161.3539443</v>
      </c>
      <c r="K939" s="68" t="b">
        <v>1</v>
      </c>
    </row>
    <row r="940">
      <c r="A940" s="75">
        <v>934.0</v>
      </c>
      <c r="B940" s="62" t="s">
        <v>591</v>
      </c>
      <c r="C940" s="62" t="s">
        <v>100</v>
      </c>
      <c r="D940" s="62" t="s">
        <v>662</v>
      </c>
      <c r="E940" s="76">
        <v>44000.0</v>
      </c>
      <c r="F940" s="77">
        <v>0.041666666666666664</v>
      </c>
      <c r="G940" s="62" t="b">
        <v>1</v>
      </c>
      <c r="H940" s="78" t="b">
        <f>IF(VLOOKUP(C940,Projetos!A:L,12,false)=TRUE,TRUE,FALSE)</f>
        <v>1</v>
      </c>
      <c r="I940" s="68">
        <v>161.35394427226808</v>
      </c>
      <c r="J940" s="68">
        <f t="shared" si="1"/>
        <v>161.3539443</v>
      </c>
      <c r="K940" s="68" t="b">
        <v>1</v>
      </c>
    </row>
    <row r="941">
      <c r="A941" s="75">
        <v>935.0</v>
      </c>
      <c r="B941" s="62" t="s">
        <v>591</v>
      </c>
      <c r="C941" s="62" t="s">
        <v>104</v>
      </c>
      <c r="D941" s="62" t="s">
        <v>663</v>
      </c>
      <c r="E941" s="76">
        <v>43983.0</v>
      </c>
      <c r="F941" s="77">
        <v>0.041666666666666664</v>
      </c>
      <c r="G941" s="62" t="b">
        <v>1</v>
      </c>
      <c r="H941" s="78" t="b">
        <f>IF(VLOOKUP(C941,Projetos!A:L,12,false)=TRUE,TRUE,FALSE)</f>
        <v>1</v>
      </c>
      <c r="I941" s="68">
        <v>161.35394427226808</v>
      </c>
      <c r="J941" s="68">
        <f t="shared" si="1"/>
        <v>161.3539443</v>
      </c>
      <c r="K941" s="68" t="b">
        <v>1</v>
      </c>
    </row>
    <row r="942">
      <c r="A942" s="75">
        <v>936.0</v>
      </c>
      <c r="B942" s="62" t="s">
        <v>591</v>
      </c>
      <c r="C942" s="62" t="s">
        <v>104</v>
      </c>
      <c r="D942" s="62" t="s">
        <v>664</v>
      </c>
      <c r="E942" s="76">
        <v>43997.0</v>
      </c>
      <c r="F942" s="77">
        <v>0.041666666666666664</v>
      </c>
      <c r="G942" s="62" t="b">
        <v>1</v>
      </c>
      <c r="H942" s="78" t="b">
        <f>IF(VLOOKUP(C942,Projetos!A:L,12,false)=TRUE,TRUE,FALSE)</f>
        <v>1</v>
      </c>
      <c r="I942" s="68">
        <v>161.35394427226808</v>
      </c>
      <c r="J942" s="68">
        <f t="shared" si="1"/>
        <v>161.3539443</v>
      </c>
      <c r="K942" s="68" t="b">
        <v>1</v>
      </c>
    </row>
    <row r="943" hidden="1">
      <c r="A943" s="75">
        <v>937.0</v>
      </c>
      <c r="B943" s="62" t="s">
        <v>591</v>
      </c>
      <c r="C943" s="62" t="s">
        <v>104</v>
      </c>
      <c r="D943" s="62" t="s">
        <v>665</v>
      </c>
      <c r="E943" s="76">
        <v>44000.0</v>
      </c>
      <c r="F943" s="77">
        <v>0.020833333333333332</v>
      </c>
      <c r="G943" s="62" t="b">
        <v>0</v>
      </c>
      <c r="H943" s="78" t="b">
        <f>IF(VLOOKUP(C943,Projetos!A:L,12,false)=TRUE,TRUE,FALSE)</f>
        <v>1</v>
      </c>
      <c r="I943" s="68">
        <v>161.35394427226808</v>
      </c>
      <c r="J943" s="68">
        <f t="shared" si="1"/>
        <v>0</v>
      </c>
      <c r="K943" s="68" t="b">
        <v>1</v>
      </c>
    </row>
    <row r="944" hidden="1">
      <c r="A944" s="75">
        <v>938.0</v>
      </c>
      <c r="B944" s="62" t="s">
        <v>591</v>
      </c>
      <c r="C944" s="62" t="s">
        <v>104</v>
      </c>
      <c r="D944" s="62" t="s">
        <v>666</v>
      </c>
      <c r="E944" s="76">
        <v>44006.0</v>
      </c>
      <c r="F944" s="77">
        <v>0.08333333333333333</v>
      </c>
      <c r="G944" s="62" t="b">
        <v>0</v>
      </c>
      <c r="H944" s="78" t="b">
        <f>IF(VLOOKUP(C944,Projetos!A:L,12,false)=TRUE,TRUE,FALSE)</f>
        <v>1</v>
      </c>
      <c r="I944" s="68">
        <v>161.35394427226808</v>
      </c>
      <c r="J944" s="68">
        <f t="shared" si="1"/>
        <v>0</v>
      </c>
      <c r="K944" s="68" t="b">
        <v>1</v>
      </c>
    </row>
    <row r="945" hidden="1">
      <c r="A945" s="75">
        <v>939.0</v>
      </c>
      <c r="B945" s="62" t="s">
        <v>591</v>
      </c>
      <c r="C945" s="62" t="s">
        <v>104</v>
      </c>
      <c r="D945" s="62" t="s">
        <v>666</v>
      </c>
      <c r="E945" s="76">
        <v>44007.0</v>
      </c>
      <c r="F945" s="77">
        <v>0.041666666666666664</v>
      </c>
      <c r="G945" s="62" t="b">
        <v>0</v>
      </c>
      <c r="H945" s="78" t="b">
        <f>IF(VLOOKUP(C945,Projetos!A:L,12,false)=TRUE,TRUE,FALSE)</f>
        <v>1</v>
      </c>
      <c r="I945" s="68">
        <v>161.35394427226808</v>
      </c>
      <c r="J945" s="68">
        <f t="shared" si="1"/>
        <v>0</v>
      </c>
      <c r="K945" s="68" t="b">
        <v>1</v>
      </c>
    </row>
    <row r="946" hidden="1">
      <c r="A946" s="75">
        <v>940.0</v>
      </c>
      <c r="B946" s="62" t="s">
        <v>591</v>
      </c>
      <c r="C946" s="62" t="s">
        <v>108</v>
      </c>
      <c r="D946" s="62" t="s">
        <v>667</v>
      </c>
      <c r="E946" s="76">
        <v>43999.0</v>
      </c>
      <c r="F946" s="77">
        <v>0.020833333333333332</v>
      </c>
      <c r="G946" s="62" t="b">
        <v>1</v>
      </c>
      <c r="H946" s="78" t="b">
        <f>IF(VLOOKUP(C946,Projetos!A:L,12,false)=TRUE,TRUE,FALSE)</f>
        <v>1</v>
      </c>
      <c r="I946" s="68">
        <v>161.35394427226808</v>
      </c>
      <c r="J946" s="68">
        <f t="shared" si="1"/>
        <v>80.67697214</v>
      </c>
      <c r="K946" s="68" t="b">
        <v>1</v>
      </c>
    </row>
    <row r="947" hidden="1">
      <c r="A947" s="75">
        <v>941.0</v>
      </c>
      <c r="B947" s="62" t="s">
        <v>591</v>
      </c>
      <c r="C947" s="62" t="s">
        <v>108</v>
      </c>
      <c r="D947" s="62" t="s">
        <v>668</v>
      </c>
      <c r="E947" s="76">
        <v>44005.0</v>
      </c>
      <c r="F947" s="77">
        <v>0.041666666666666664</v>
      </c>
      <c r="G947" s="62" t="b">
        <v>0</v>
      </c>
      <c r="H947" s="78" t="b">
        <f>IF(VLOOKUP(C947,Projetos!A:L,12,false)=TRUE,TRUE,FALSE)</f>
        <v>1</v>
      </c>
      <c r="I947" s="68">
        <v>161.35394427226808</v>
      </c>
      <c r="J947" s="68">
        <f t="shared" si="1"/>
        <v>0</v>
      </c>
      <c r="K947" s="68" t="b">
        <v>1</v>
      </c>
    </row>
    <row r="948">
      <c r="A948" s="75">
        <v>942.0</v>
      </c>
      <c r="B948" s="62" t="s">
        <v>591</v>
      </c>
      <c r="C948" s="62" t="s">
        <v>110</v>
      </c>
      <c r="D948" s="62" t="s">
        <v>669</v>
      </c>
      <c r="E948" s="76">
        <v>43992.0</v>
      </c>
      <c r="F948" s="77">
        <v>0.041666666666666664</v>
      </c>
      <c r="G948" s="62" t="b">
        <v>1</v>
      </c>
      <c r="H948" s="78" t="b">
        <f>IF(VLOOKUP(C948,Projetos!A:L,12,false)=TRUE,TRUE,FALSE)</f>
        <v>1</v>
      </c>
      <c r="I948" s="68">
        <v>161.35394427226808</v>
      </c>
      <c r="J948" s="68">
        <f t="shared" si="1"/>
        <v>161.3539443</v>
      </c>
      <c r="K948" s="68" t="b">
        <v>1</v>
      </c>
    </row>
    <row r="949">
      <c r="A949" s="75">
        <v>943.0</v>
      </c>
      <c r="B949" s="62" t="s">
        <v>591</v>
      </c>
      <c r="C949" s="62" t="s">
        <v>115</v>
      </c>
      <c r="D949" s="62" t="s">
        <v>670</v>
      </c>
      <c r="E949" s="76">
        <v>43998.0</v>
      </c>
      <c r="F949" s="77">
        <v>0.041666666666666664</v>
      </c>
      <c r="G949" s="62" t="b">
        <v>1</v>
      </c>
      <c r="H949" s="78" t="b">
        <f>IF(VLOOKUP(C949,Projetos!A:L,12,false)=TRUE,TRUE,FALSE)</f>
        <v>1</v>
      </c>
      <c r="I949" s="68">
        <v>161.35394427226808</v>
      </c>
      <c r="J949" s="68">
        <f t="shared" si="1"/>
        <v>161.3539443</v>
      </c>
      <c r="K949" s="68" t="b">
        <v>1</v>
      </c>
    </row>
    <row r="950">
      <c r="A950" s="75">
        <v>944.0</v>
      </c>
      <c r="B950" s="62" t="s">
        <v>591</v>
      </c>
      <c r="C950" s="62" t="s">
        <v>115</v>
      </c>
      <c r="D950" s="62" t="s">
        <v>671</v>
      </c>
      <c r="E950" s="76">
        <v>43999.0</v>
      </c>
      <c r="F950" s="77">
        <v>0.041666666666666664</v>
      </c>
      <c r="G950" s="62" t="b">
        <v>1</v>
      </c>
      <c r="H950" s="78" t="b">
        <f>IF(VLOOKUP(C950,Projetos!A:L,12,false)=TRUE,TRUE,FALSE)</f>
        <v>1</v>
      </c>
      <c r="I950" s="68">
        <v>161.35394427226808</v>
      </c>
      <c r="J950" s="68">
        <f t="shared" si="1"/>
        <v>161.3539443</v>
      </c>
      <c r="K950" s="68" t="b">
        <v>1</v>
      </c>
    </row>
    <row r="951">
      <c r="A951" s="75">
        <v>945.0</v>
      </c>
      <c r="B951" s="62" t="s">
        <v>591</v>
      </c>
      <c r="C951" s="62" t="s">
        <v>115</v>
      </c>
      <c r="D951" s="62" t="s">
        <v>672</v>
      </c>
      <c r="E951" s="76">
        <v>44004.0</v>
      </c>
      <c r="F951" s="77">
        <v>0.041666666666666664</v>
      </c>
      <c r="G951" s="62" t="b">
        <v>1</v>
      </c>
      <c r="H951" s="78" t="b">
        <f>IF(VLOOKUP(C951,Projetos!A:L,12,false)=TRUE,TRUE,FALSE)</f>
        <v>1</v>
      </c>
      <c r="I951" s="68">
        <v>161.35394427226808</v>
      </c>
      <c r="J951" s="68">
        <f t="shared" si="1"/>
        <v>161.3539443</v>
      </c>
      <c r="K951" s="68" t="b">
        <v>1</v>
      </c>
    </row>
    <row r="952" hidden="1">
      <c r="A952" s="75">
        <v>946.0</v>
      </c>
      <c r="B952" s="62" t="s">
        <v>591</v>
      </c>
      <c r="C952" s="62" t="s">
        <v>83</v>
      </c>
      <c r="D952" s="62" t="s">
        <v>673</v>
      </c>
      <c r="E952" s="76">
        <v>44013.0</v>
      </c>
      <c r="F952" s="77">
        <v>0.041666666666666664</v>
      </c>
      <c r="G952" s="62" t="b">
        <v>0</v>
      </c>
      <c r="H952" s="78" t="b">
        <f>IF(VLOOKUP(C952,Projetos!A:L,12,false)=TRUE,TRUE,FALSE)</f>
        <v>0</v>
      </c>
      <c r="I952" s="68">
        <v>169.0374654280904</v>
      </c>
      <c r="J952" s="68">
        <f t="shared" si="1"/>
        <v>0</v>
      </c>
      <c r="K952" s="68" t="b">
        <v>0</v>
      </c>
    </row>
    <row r="953" hidden="1">
      <c r="A953" s="75">
        <v>947.0</v>
      </c>
      <c r="B953" s="62" t="s">
        <v>591</v>
      </c>
      <c r="C953" s="62" t="s">
        <v>83</v>
      </c>
      <c r="D953" s="62" t="s">
        <v>674</v>
      </c>
      <c r="E953" s="76">
        <v>44014.0</v>
      </c>
      <c r="F953" s="77">
        <v>0.041666666666666664</v>
      </c>
      <c r="G953" s="62" t="b">
        <v>0</v>
      </c>
      <c r="H953" s="78" t="b">
        <f>IF(VLOOKUP(C953,Projetos!A:L,12,false)=TRUE,TRUE,FALSE)</f>
        <v>0</v>
      </c>
      <c r="I953" s="68">
        <v>169.0374654280904</v>
      </c>
      <c r="J953" s="68">
        <f t="shared" si="1"/>
        <v>0</v>
      </c>
      <c r="K953" s="68" t="b">
        <v>0</v>
      </c>
    </row>
    <row r="954" hidden="1">
      <c r="A954" s="75">
        <v>948.0</v>
      </c>
      <c r="B954" s="62" t="s">
        <v>591</v>
      </c>
      <c r="C954" s="62" t="s">
        <v>83</v>
      </c>
      <c r="D954" s="62" t="s">
        <v>675</v>
      </c>
      <c r="E954" s="76">
        <v>44021.0</v>
      </c>
      <c r="F954" s="77">
        <v>0.0625</v>
      </c>
      <c r="G954" s="62" t="b">
        <v>0</v>
      </c>
      <c r="H954" s="78" t="b">
        <f>IF(VLOOKUP(C954,Projetos!A:L,12,false)=TRUE,TRUE,FALSE)</f>
        <v>0</v>
      </c>
      <c r="I954" s="68">
        <v>169.0374654280904</v>
      </c>
      <c r="J954" s="68">
        <f t="shared" si="1"/>
        <v>0</v>
      </c>
      <c r="K954" s="68" t="b">
        <v>0</v>
      </c>
    </row>
    <row r="955" hidden="1">
      <c r="A955" s="75">
        <v>949.0</v>
      </c>
      <c r="B955" s="62" t="s">
        <v>591</v>
      </c>
      <c r="C955" s="62" t="s">
        <v>83</v>
      </c>
      <c r="D955" s="62" t="s">
        <v>676</v>
      </c>
      <c r="E955" s="76">
        <v>44025.0</v>
      </c>
      <c r="F955" s="77">
        <v>0.041666666666666664</v>
      </c>
      <c r="G955" s="62" t="b">
        <v>0</v>
      </c>
      <c r="H955" s="78" t="b">
        <f>IF(VLOOKUP(C955,Projetos!A:L,12,false)=TRUE,TRUE,FALSE)</f>
        <v>0</v>
      </c>
      <c r="I955" s="68">
        <v>169.0374654280904</v>
      </c>
      <c r="J955" s="68">
        <f t="shared" si="1"/>
        <v>0</v>
      </c>
      <c r="K955" s="68" t="b">
        <v>0</v>
      </c>
    </row>
    <row r="956" hidden="1">
      <c r="A956" s="75">
        <v>950.0</v>
      </c>
      <c r="B956" s="62" t="s">
        <v>591</v>
      </c>
      <c r="C956" s="62" t="s">
        <v>83</v>
      </c>
      <c r="D956" s="62" t="s">
        <v>674</v>
      </c>
      <c r="E956" s="76">
        <v>44028.0</v>
      </c>
      <c r="F956" s="77">
        <v>0.041666666666666664</v>
      </c>
      <c r="G956" s="62" t="b">
        <v>0</v>
      </c>
      <c r="H956" s="78" t="b">
        <f>IF(VLOOKUP(C956,Projetos!A:L,12,false)=TRUE,TRUE,FALSE)</f>
        <v>0</v>
      </c>
      <c r="I956" s="68">
        <v>169.0374654280904</v>
      </c>
      <c r="J956" s="68">
        <f t="shared" si="1"/>
        <v>0</v>
      </c>
      <c r="K956" s="68" t="b">
        <v>0</v>
      </c>
    </row>
    <row r="957" hidden="1">
      <c r="A957" s="75">
        <v>951.0</v>
      </c>
      <c r="B957" s="62" t="s">
        <v>591</v>
      </c>
      <c r="C957" s="62" t="s">
        <v>83</v>
      </c>
      <c r="D957" s="62" t="s">
        <v>674</v>
      </c>
      <c r="E957" s="76">
        <v>44035.0</v>
      </c>
      <c r="F957" s="77">
        <v>0.041666666666666664</v>
      </c>
      <c r="G957" s="62" t="b">
        <v>0</v>
      </c>
      <c r="H957" s="78" t="b">
        <f>IF(VLOOKUP(C957,Projetos!A:L,12,false)=TRUE,TRUE,FALSE)</f>
        <v>0</v>
      </c>
      <c r="I957" s="68">
        <v>169.0374654280904</v>
      </c>
      <c r="J957" s="68">
        <f t="shared" si="1"/>
        <v>0</v>
      </c>
      <c r="K957" s="68" t="b">
        <v>0</v>
      </c>
    </row>
    <row r="958">
      <c r="A958" s="75">
        <v>952.0</v>
      </c>
      <c r="B958" s="62" t="s">
        <v>591</v>
      </c>
      <c r="C958" s="62" t="s">
        <v>90</v>
      </c>
      <c r="D958" s="62" t="s">
        <v>677</v>
      </c>
      <c r="E958" s="76">
        <v>44035.0</v>
      </c>
      <c r="F958" s="77">
        <v>0.041666666666666664</v>
      </c>
      <c r="G958" s="62" t="b">
        <v>1</v>
      </c>
      <c r="H958" s="78" t="b">
        <f>IF(VLOOKUP(C958,Projetos!A:L,12,false)=TRUE,TRUE,FALSE)</f>
        <v>1</v>
      </c>
      <c r="I958" s="68">
        <v>169.0374654280904</v>
      </c>
      <c r="J958" s="68">
        <f t="shared" si="1"/>
        <v>169.0374654</v>
      </c>
      <c r="K958" s="68" t="b">
        <v>1</v>
      </c>
    </row>
    <row r="959">
      <c r="A959" s="75">
        <v>953.0</v>
      </c>
      <c r="B959" s="62" t="s">
        <v>591</v>
      </c>
      <c r="C959" s="62" t="s">
        <v>90</v>
      </c>
      <c r="D959" s="62" t="s">
        <v>678</v>
      </c>
      <c r="E959" s="76">
        <v>44036.0</v>
      </c>
      <c r="F959" s="77">
        <v>0.041666666666666664</v>
      </c>
      <c r="G959" s="62" t="b">
        <v>1</v>
      </c>
      <c r="H959" s="78" t="b">
        <f>IF(VLOOKUP(C959,Projetos!A:L,12,false)=TRUE,TRUE,FALSE)</f>
        <v>1</v>
      </c>
      <c r="I959" s="68">
        <v>169.0374654280904</v>
      </c>
      <c r="J959" s="68">
        <f t="shared" si="1"/>
        <v>169.0374654</v>
      </c>
      <c r="K959" s="68" t="b">
        <v>1</v>
      </c>
    </row>
    <row r="960">
      <c r="A960" s="75">
        <v>954.0</v>
      </c>
      <c r="B960" s="62" t="s">
        <v>591</v>
      </c>
      <c r="C960" s="62" t="s">
        <v>90</v>
      </c>
      <c r="D960" s="62" t="s">
        <v>679</v>
      </c>
      <c r="E960" s="76">
        <v>44043.0</v>
      </c>
      <c r="F960" s="77">
        <v>0.041666666666666664</v>
      </c>
      <c r="G960" s="62" t="b">
        <v>1</v>
      </c>
      <c r="H960" s="78" t="b">
        <f>IF(VLOOKUP(C960,Projetos!A:L,12,false)=TRUE,TRUE,FALSE)</f>
        <v>1</v>
      </c>
      <c r="I960" s="68">
        <v>169.0374654280904</v>
      </c>
      <c r="J960" s="68">
        <f t="shared" si="1"/>
        <v>169.0374654</v>
      </c>
      <c r="K960" s="68" t="b">
        <v>1</v>
      </c>
    </row>
    <row r="961">
      <c r="A961" s="75">
        <v>955.0</v>
      </c>
      <c r="B961" s="62" t="s">
        <v>591</v>
      </c>
      <c r="C961" s="62" t="s">
        <v>104</v>
      </c>
      <c r="D961" s="62" t="s">
        <v>680</v>
      </c>
      <c r="E961" s="76">
        <v>44013.0</v>
      </c>
      <c r="F961" s="77">
        <v>0.041666666666666664</v>
      </c>
      <c r="G961" s="62" t="b">
        <v>1</v>
      </c>
      <c r="H961" s="78" t="b">
        <f>IF(VLOOKUP(C961,Projetos!A:L,12,false)=TRUE,TRUE,FALSE)</f>
        <v>1</v>
      </c>
      <c r="I961" s="68">
        <v>169.0374654280904</v>
      </c>
      <c r="J961" s="68">
        <f t="shared" si="1"/>
        <v>169.0374654</v>
      </c>
      <c r="K961" s="68" t="b">
        <v>1</v>
      </c>
    </row>
    <row r="962">
      <c r="A962" s="75">
        <v>956.0</v>
      </c>
      <c r="B962" s="62" t="s">
        <v>591</v>
      </c>
      <c r="C962" s="62" t="s">
        <v>104</v>
      </c>
      <c r="D962" s="62" t="s">
        <v>681</v>
      </c>
      <c r="E962" s="76">
        <v>44015.0</v>
      </c>
      <c r="F962" s="77">
        <v>0.041666666666666664</v>
      </c>
      <c r="G962" s="62" t="b">
        <v>1</v>
      </c>
      <c r="H962" s="78" t="b">
        <f>IF(VLOOKUP(C962,Projetos!A:L,12,false)=TRUE,TRUE,FALSE)</f>
        <v>1</v>
      </c>
      <c r="I962" s="68">
        <v>169.0374654280904</v>
      </c>
      <c r="J962" s="68">
        <f t="shared" si="1"/>
        <v>169.0374654</v>
      </c>
      <c r="K962" s="68" t="b">
        <v>1</v>
      </c>
    </row>
    <row r="963">
      <c r="A963" s="75">
        <v>957.0</v>
      </c>
      <c r="B963" s="62" t="s">
        <v>591</v>
      </c>
      <c r="C963" s="62" t="s">
        <v>104</v>
      </c>
      <c r="D963" s="62" t="s">
        <v>681</v>
      </c>
      <c r="E963" s="76">
        <v>44025.0</v>
      </c>
      <c r="F963" s="77">
        <v>0.041666666666666664</v>
      </c>
      <c r="G963" s="62" t="b">
        <v>1</v>
      </c>
      <c r="H963" s="78" t="b">
        <f>IF(VLOOKUP(C963,Projetos!A:L,12,false)=TRUE,TRUE,FALSE)</f>
        <v>1</v>
      </c>
      <c r="I963" s="68">
        <v>169.0374654280904</v>
      </c>
      <c r="J963" s="68">
        <f t="shared" si="1"/>
        <v>169.0374654</v>
      </c>
      <c r="K963" s="68" t="b">
        <v>1</v>
      </c>
    </row>
    <row r="964">
      <c r="A964" s="75">
        <v>958.0</v>
      </c>
      <c r="B964" s="62" t="s">
        <v>591</v>
      </c>
      <c r="C964" s="62" t="s">
        <v>104</v>
      </c>
      <c r="D964" s="62" t="s">
        <v>682</v>
      </c>
      <c r="E964" s="76">
        <v>44028.0</v>
      </c>
      <c r="F964" s="77">
        <v>0.041666666666666664</v>
      </c>
      <c r="G964" s="62" t="b">
        <v>1</v>
      </c>
      <c r="H964" s="78" t="b">
        <f>IF(VLOOKUP(C964,Projetos!A:L,12,false)=TRUE,TRUE,FALSE)</f>
        <v>1</v>
      </c>
      <c r="I964" s="68">
        <v>169.0374654280904</v>
      </c>
      <c r="J964" s="68">
        <f t="shared" si="1"/>
        <v>169.0374654</v>
      </c>
      <c r="K964" s="68" t="b">
        <v>1</v>
      </c>
    </row>
    <row r="965">
      <c r="A965" s="75">
        <v>959.0</v>
      </c>
      <c r="B965" s="62" t="s">
        <v>591</v>
      </c>
      <c r="C965" s="62" t="s">
        <v>104</v>
      </c>
      <c r="D965" s="62" t="s">
        <v>683</v>
      </c>
      <c r="E965" s="76">
        <v>44029.0</v>
      </c>
      <c r="F965" s="77">
        <v>0.020833333333333332</v>
      </c>
      <c r="G965" s="62" t="b">
        <v>1</v>
      </c>
      <c r="H965" s="78" t="b">
        <f>IF(VLOOKUP(C965,Projetos!A:L,12,false)=TRUE,TRUE,FALSE)</f>
        <v>1</v>
      </c>
      <c r="I965" s="68">
        <v>169.0374654280904</v>
      </c>
      <c r="J965" s="68">
        <f t="shared" si="1"/>
        <v>84.51873271</v>
      </c>
      <c r="K965" s="68" t="b">
        <v>1</v>
      </c>
    </row>
    <row r="966" hidden="1">
      <c r="A966" s="75">
        <v>960.0</v>
      </c>
      <c r="B966" s="62" t="s">
        <v>591</v>
      </c>
      <c r="C966" s="62" t="s">
        <v>108</v>
      </c>
      <c r="D966" s="62" t="s">
        <v>684</v>
      </c>
      <c r="E966" s="76">
        <v>44014.0</v>
      </c>
      <c r="F966" s="77">
        <v>0.041666666666666664</v>
      </c>
      <c r="G966" s="62" t="b">
        <v>0</v>
      </c>
      <c r="H966" s="78" t="b">
        <f>IF(VLOOKUP(C966,Projetos!A:L,12,false)=TRUE,TRUE,FALSE)</f>
        <v>1</v>
      </c>
      <c r="I966" s="68">
        <v>169.0374654280904</v>
      </c>
      <c r="J966" s="68">
        <f t="shared" si="1"/>
        <v>0</v>
      </c>
      <c r="K966" s="68" t="b">
        <v>1</v>
      </c>
    </row>
    <row r="967" hidden="1">
      <c r="A967" s="75">
        <v>961.0</v>
      </c>
      <c r="B967" s="62" t="s">
        <v>591</v>
      </c>
      <c r="C967" s="62" t="s">
        <v>108</v>
      </c>
      <c r="D967" s="62" t="s">
        <v>685</v>
      </c>
      <c r="E967" s="76">
        <v>44021.0</v>
      </c>
      <c r="F967" s="77">
        <v>0.041666666666666664</v>
      </c>
      <c r="G967" s="62" t="b">
        <v>0</v>
      </c>
      <c r="H967" s="78" t="b">
        <f>IF(VLOOKUP(C967,Projetos!A:L,12,false)=TRUE,TRUE,FALSE)</f>
        <v>1</v>
      </c>
      <c r="I967" s="68">
        <v>169.0374654280904</v>
      </c>
      <c r="J967" s="68">
        <f t="shared" si="1"/>
        <v>0</v>
      </c>
      <c r="K967" s="68" t="b">
        <v>1</v>
      </c>
    </row>
    <row r="968" hidden="1">
      <c r="A968" s="75">
        <v>962.0</v>
      </c>
      <c r="B968" s="62" t="s">
        <v>591</v>
      </c>
      <c r="C968" s="62" t="s">
        <v>108</v>
      </c>
      <c r="D968" s="62" t="s">
        <v>686</v>
      </c>
      <c r="E968" s="76">
        <v>44032.0</v>
      </c>
      <c r="F968" s="77">
        <v>0.041666666666666664</v>
      </c>
      <c r="G968" s="62" t="b">
        <v>0</v>
      </c>
      <c r="H968" s="78" t="b">
        <f>IF(VLOOKUP(C968,Projetos!A:L,12,false)=TRUE,TRUE,FALSE)</f>
        <v>1</v>
      </c>
      <c r="I968" s="68">
        <v>169.0374654280904</v>
      </c>
      <c r="J968" s="68">
        <f t="shared" si="1"/>
        <v>0</v>
      </c>
      <c r="K968" s="68" t="b">
        <v>1</v>
      </c>
    </row>
    <row r="969" hidden="1">
      <c r="A969" s="75">
        <v>963.0</v>
      </c>
      <c r="B969" s="62" t="s">
        <v>591</v>
      </c>
      <c r="C969" s="62" t="s">
        <v>108</v>
      </c>
      <c r="D969" s="62" t="s">
        <v>687</v>
      </c>
      <c r="E969" s="76">
        <v>44039.0</v>
      </c>
      <c r="F969" s="77">
        <v>0.041666666666666664</v>
      </c>
      <c r="G969" s="62" t="b">
        <v>0</v>
      </c>
      <c r="H969" s="78" t="b">
        <f>IF(VLOOKUP(C969,Projetos!A:L,12,false)=TRUE,TRUE,FALSE)</f>
        <v>1</v>
      </c>
      <c r="I969" s="68">
        <v>169.0374654280904</v>
      </c>
      <c r="J969" s="68">
        <f t="shared" si="1"/>
        <v>0</v>
      </c>
      <c r="K969" s="68" t="b">
        <v>1</v>
      </c>
    </row>
    <row r="970" hidden="1">
      <c r="A970" s="75">
        <v>964.0</v>
      </c>
      <c r="B970" s="62" t="s">
        <v>591</v>
      </c>
      <c r="C970" s="62" t="s">
        <v>108</v>
      </c>
      <c r="D970" s="62" t="s">
        <v>688</v>
      </c>
      <c r="E970" s="76">
        <v>44041.0</v>
      </c>
      <c r="F970" s="77">
        <v>0.0625</v>
      </c>
      <c r="G970" s="62" t="b">
        <v>0</v>
      </c>
      <c r="H970" s="78" t="b">
        <f>IF(VLOOKUP(C970,Projetos!A:L,12,false)=TRUE,TRUE,FALSE)</f>
        <v>1</v>
      </c>
      <c r="I970" s="68">
        <v>169.0374654280904</v>
      </c>
      <c r="J970" s="68">
        <f t="shared" si="1"/>
        <v>0</v>
      </c>
      <c r="K970" s="68" t="b">
        <v>1</v>
      </c>
    </row>
    <row r="971" hidden="1">
      <c r="A971" s="75">
        <v>965.0</v>
      </c>
      <c r="B971" s="62" t="s">
        <v>591</v>
      </c>
      <c r="C971" s="62" t="s">
        <v>108</v>
      </c>
      <c r="D971" s="62" t="s">
        <v>689</v>
      </c>
      <c r="E971" s="76">
        <v>44042.0</v>
      </c>
      <c r="F971" s="77">
        <v>0.041666666666666664</v>
      </c>
      <c r="G971" s="62" t="b">
        <v>0</v>
      </c>
      <c r="H971" s="78" t="b">
        <f>IF(VLOOKUP(C971,Projetos!A:L,12,false)=TRUE,TRUE,FALSE)</f>
        <v>1</v>
      </c>
      <c r="I971" s="68">
        <v>169.0374654280904</v>
      </c>
      <c r="J971" s="68">
        <f t="shared" si="1"/>
        <v>0</v>
      </c>
      <c r="K971" s="68" t="b">
        <v>1</v>
      </c>
    </row>
    <row r="972">
      <c r="A972" s="75">
        <v>966.0</v>
      </c>
      <c r="B972" s="62" t="s">
        <v>591</v>
      </c>
      <c r="C972" s="62" t="s">
        <v>110</v>
      </c>
      <c r="D972" s="62" t="s">
        <v>690</v>
      </c>
      <c r="E972" s="76">
        <v>44019.0</v>
      </c>
      <c r="F972" s="77">
        <v>0.020833333333333332</v>
      </c>
      <c r="G972" s="62" t="b">
        <v>1</v>
      </c>
      <c r="H972" s="78" t="b">
        <f>IF(VLOOKUP(C972,Projetos!A:L,12,false)=TRUE,TRUE,FALSE)</f>
        <v>1</v>
      </c>
      <c r="I972" s="68">
        <v>169.0374654280904</v>
      </c>
      <c r="J972" s="68">
        <f t="shared" si="1"/>
        <v>84.51873271</v>
      </c>
      <c r="K972" s="68" t="b">
        <v>1</v>
      </c>
    </row>
    <row r="973">
      <c r="A973" s="75">
        <v>967.0</v>
      </c>
      <c r="B973" s="62" t="s">
        <v>591</v>
      </c>
      <c r="C973" s="62" t="s">
        <v>115</v>
      </c>
      <c r="D973" s="62" t="s">
        <v>690</v>
      </c>
      <c r="E973" s="76">
        <v>44019.0</v>
      </c>
      <c r="F973" s="77">
        <v>0.020833333333333332</v>
      </c>
      <c r="G973" s="62" t="b">
        <v>1</v>
      </c>
      <c r="H973" s="78" t="b">
        <f>IF(VLOOKUP(C973,Projetos!A:L,12,false)=TRUE,TRUE,FALSE)</f>
        <v>1</v>
      </c>
      <c r="I973" s="68">
        <v>169.0374654280904</v>
      </c>
      <c r="J973" s="68">
        <f t="shared" si="1"/>
        <v>84.51873271</v>
      </c>
      <c r="K973" s="68" t="b">
        <v>1</v>
      </c>
    </row>
    <row r="974">
      <c r="A974" s="75">
        <v>968.0</v>
      </c>
      <c r="B974" s="62" t="s">
        <v>591</v>
      </c>
      <c r="C974" s="62" t="s">
        <v>115</v>
      </c>
      <c r="D974" s="62" t="s">
        <v>691</v>
      </c>
      <c r="E974" s="76">
        <v>44032.0</v>
      </c>
      <c r="F974" s="77">
        <v>0.08333333333333333</v>
      </c>
      <c r="G974" s="62" t="b">
        <v>1</v>
      </c>
      <c r="H974" s="78" t="b">
        <f>IF(VLOOKUP(C974,Projetos!A:L,12,false)=TRUE,TRUE,FALSE)</f>
        <v>1</v>
      </c>
      <c r="I974" s="68">
        <v>169.0374654280904</v>
      </c>
      <c r="J974" s="68">
        <f t="shared" si="1"/>
        <v>338.0749309</v>
      </c>
      <c r="K974" s="68" t="b">
        <v>1</v>
      </c>
    </row>
    <row r="975">
      <c r="A975" s="75">
        <v>969.0</v>
      </c>
      <c r="B975" s="62" t="s">
        <v>591</v>
      </c>
      <c r="C975" s="62" t="s">
        <v>115</v>
      </c>
      <c r="D975" s="62" t="s">
        <v>692</v>
      </c>
      <c r="E975" s="76">
        <v>44036.0</v>
      </c>
      <c r="F975" s="77">
        <v>0.020833333333333332</v>
      </c>
      <c r="G975" s="62" t="b">
        <v>1</v>
      </c>
      <c r="H975" s="78" t="b">
        <f>IF(VLOOKUP(C975,Projetos!A:L,12,false)=TRUE,TRUE,FALSE)</f>
        <v>1</v>
      </c>
      <c r="I975" s="68">
        <v>169.0374654280904</v>
      </c>
      <c r="J975" s="68">
        <f t="shared" si="1"/>
        <v>84.51873271</v>
      </c>
      <c r="K975" s="68" t="b">
        <v>1</v>
      </c>
    </row>
    <row r="976">
      <c r="A976" s="75">
        <v>970.0</v>
      </c>
      <c r="B976" s="62" t="s">
        <v>591</v>
      </c>
      <c r="C976" s="62" t="s">
        <v>115</v>
      </c>
      <c r="D976" s="62" t="s">
        <v>693</v>
      </c>
      <c r="E976" s="76">
        <v>44043.0</v>
      </c>
      <c r="F976" s="77">
        <v>0.041666666666666664</v>
      </c>
      <c r="G976" s="62" t="b">
        <v>1</v>
      </c>
      <c r="H976" s="78" t="b">
        <f>IF(VLOOKUP(C976,Projetos!A:L,12,false)=TRUE,TRUE,FALSE)</f>
        <v>1</v>
      </c>
      <c r="I976" s="68">
        <v>169.0374654280904</v>
      </c>
      <c r="J976" s="68">
        <f t="shared" si="1"/>
        <v>169.0374654</v>
      </c>
      <c r="K976" s="68" t="b">
        <v>1</v>
      </c>
    </row>
    <row r="977" hidden="1">
      <c r="A977" s="75">
        <v>971.0</v>
      </c>
      <c r="B977" s="62" t="s">
        <v>591</v>
      </c>
      <c r="C977" s="62" t="s">
        <v>83</v>
      </c>
      <c r="D977" s="79" t="s">
        <v>150</v>
      </c>
      <c r="E977" s="76">
        <v>44049.0</v>
      </c>
      <c r="F977" s="77">
        <v>0.0625</v>
      </c>
      <c r="G977" s="62" t="b">
        <v>0</v>
      </c>
      <c r="H977" s="78" t="b">
        <f>IF(VLOOKUP(C977,Projetos!A:L,12,false)=TRUE,TRUE,FALSE)</f>
        <v>0</v>
      </c>
      <c r="I977" s="68">
        <v>169.0374654280904</v>
      </c>
      <c r="J977" s="68">
        <f t="shared" si="1"/>
        <v>0</v>
      </c>
      <c r="K977" s="68" t="b">
        <v>0</v>
      </c>
    </row>
    <row r="978" hidden="1">
      <c r="A978" s="75">
        <v>972.0</v>
      </c>
      <c r="B978" s="62" t="s">
        <v>591</v>
      </c>
      <c r="C978" s="62" t="s">
        <v>83</v>
      </c>
      <c r="D978" s="79" t="s">
        <v>150</v>
      </c>
      <c r="E978" s="76">
        <v>44054.0</v>
      </c>
      <c r="F978" s="77">
        <v>0.10416666666666667</v>
      </c>
      <c r="G978" s="62" t="b">
        <v>0</v>
      </c>
      <c r="H978" s="78" t="b">
        <f>IF(VLOOKUP(C978,Projetos!A:L,12,false)=TRUE,TRUE,FALSE)</f>
        <v>0</v>
      </c>
      <c r="I978" s="68">
        <v>169.0374654280904</v>
      </c>
      <c r="J978" s="68">
        <f t="shared" si="1"/>
        <v>0</v>
      </c>
      <c r="K978" s="68" t="b">
        <v>0</v>
      </c>
    </row>
    <row r="979" hidden="1">
      <c r="A979" s="75">
        <v>973.0</v>
      </c>
      <c r="B979" s="62" t="s">
        <v>591</v>
      </c>
      <c r="C979" s="62" t="s">
        <v>83</v>
      </c>
      <c r="D979" s="79" t="s">
        <v>150</v>
      </c>
      <c r="E979" s="76">
        <v>44055.0</v>
      </c>
      <c r="F979" s="77">
        <v>0.041666666666666664</v>
      </c>
      <c r="G979" s="62" t="b">
        <v>0</v>
      </c>
      <c r="H979" s="78" t="b">
        <f>IF(VLOOKUP(C979,Projetos!A:L,12,false)=TRUE,TRUE,FALSE)</f>
        <v>0</v>
      </c>
      <c r="I979" s="68">
        <v>169.0374654280904</v>
      </c>
      <c r="J979" s="68">
        <f t="shared" si="1"/>
        <v>0</v>
      </c>
      <c r="K979" s="68" t="b">
        <v>0</v>
      </c>
    </row>
    <row r="980" hidden="1">
      <c r="A980" s="75">
        <v>974.0</v>
      </c>
      <c r="B980" s="62" t="s">
        <v>591</v>
      </c>
      <c r="C980" s="62" t="s">
        <v>83</v>
      </c>
      <c r="D980" s="79" t="s">
        <v>150</v>
      </c>
      <c r="E980" s="76">
        <v>44061.0</v>
      </c>
      <c r="F980" s="77">
        <v>0.0625</v>
      </c>
      <c r="G980" s="62" t="b">
        <v>0</v>
      </c>
      <c r="H980" s="78" t="b">
        <f>IF(VLOOKUP(C980,Projetos!A:L,12,false)=TRUE,TRUE,FALSE)</f>
        <v>0</v>
      </c>
      <c r="I980" s="68">
        <v>169.0374654280904</v>
      </c>
      <c r="J980" s="68">
        <f t="shared" si="1"/>
        <v>0</v>
      </c>
      <c r="K980" s="68" t="b">
        <v>0</v>
      </c>
    </row>
    <row r="981" hidden="1">
      <c r="A981" s="75">
        <v>975.0</v>
      </c>
      <c r="B981" s="62" t="s">
        <v>591</v>
      </c>
      <c r="C981" s="62" t="s">
        <v>90</v>
      </c>
      <c r="D981" s="79" t="s">
        <v>150</v>
      </c>
      <c r="E981" s="76">
        <v>44054.0</v>
      </c>
      <c r="F981" s="77">
        <v>0.041666666666666664</v>
      </c>
      <c r="G981" s="62" t="b">
        <v>0</v>
      </c>
      <c r="H981" s="78" t="b">
        <f>IF(VLOOKUP(C981,Projetos!A:L,12,false)=TRUE,TRUE,FALSE)</f>
        <v>1</v>
      </c>
      <c r="I981" s="68">
        <v>169.0374654280904</v>
      </c>
      <c r="J981" s="68">
        <f t="shared" si="1"/>
        <v>0</v>
      </c>
      <c r="K981" s="68" t="b">
        <v>1</v>
      </c>
    </row>
    <row r="982" hidden="1">
      <c r="A982" s="75">
        <v>976.0</v>
      </c>
      <c r="B982" s="62" t="s">
        <v>591</v>
      </c>
      <c r="C982" s="62" t="s">
        <v>90</v>
      </c>
      <c r="D982" s="79" t="s">
        <v>150</v>
      </c>
      <c r="E982" s="76">
        <v>44056.0</v>
      </c>
      <c r="F982" s="77">
        <v>0.041666666666666664</v>
      </c>
      <c r="G982" s="62" t="b">
        <v>0</v>
      </c>
      <c r="H982" s="78" t="b">
        <f>IF(VLOOKUP(C982,Projetos!A:L,12,false)=TRUE,TRUE,FALSE)</f>
        <v>1</v>
      </c>
      <c r="I982" s="68">
        <v>169.0374654280904</v>
      </c>
      <c r="J982" s="68">
        <f t="shared" si="1"/>
        <v>0</v>
      </c>
      <c r="K982" s="68" t="b">
        <v>1</v>
      </c>
    </row>
    <row r="983" hidden="1">
      <c r="A983" s="75">
        <v>977.0</v>
      </c>
      <c r="B983" s="62" t="s">
        <v>591</v>
      </c>
      <c r="C983" s="62" t="s">
        <v>90</v>
      </c>
      <c r="D983" s="79" t="s">
        <v>150</v>
      </c>
      <c r="E983" s="76">
        <v>44061.0</v>
      </c>
      <c r="F983" s="77">
        <v>0.08333333333333333</v>
      </c>
      <c r="G983" s="62" t="b">
        <v>0</v>
      </c>
      <c r="H983" s="78" t="b">
        <f>IF(VLOOKUP(C983,Projetos!A:L,12,false)=TRUE,TRUE,FALSE)</f>
        <v>1</v>
      </c>
      <c r="I983" s="68">
        <v>169.0374654280904</v>
      </c>
      <c r="J983" s="68">
        <f t="shared" si="1"/>
        <v>0</v>
      </c>
      <c r="K983" s="68" t="b">
        <v>1</v>
      </c>
    </row>
    <row r="984" hidden="1">
      <c r="A984" s="75">
        <v>978.0</v>
      </c>
      <c r="B984" s="62" t="s">
        <v>591</v>
      </c>
      <c r="C984" s="62" t="s">
        <v>90</v>
      </c>
      <c r="D984" s="79" t="s">
        <v>150</v>
      </c>
      <c r="E984" s="76">
        <v>44067.0</v>
      </c>
      <c r="F984" s="77">
        <v>0.08333333333333333</v>
      </c>
      <c r="G984" s="62" t="b">
        <v>0</v>
      </c>
      <c r="H984" s="78" t="b">
        <f>IF(VLOOKUP(C984,Projetos!A:L,12,false)=TRUE,TRUE,FALSE)</f>
        <v>1</v>
      </c>
      <c r="I984" s="68">
        <v>169.0374654280904</v>
      </c>
      <c r="J984" s="68">
        <f t="shared" si="1"/>
        <v>0</v>
      </c>
      <c r="K984" s="68" t="b">
        <v>1</v>
      </c>
    </row>
    <row r="985" hidden="1">
      <c r="A985" s="75">
        <v>979.0</v>
      </c>
      <c r="B985" s="62" t="s">
        <v>591</v>
      </c>
      <c r="C985" s="62" t="s">
        <v>90</v>
      </c>
      <c r="D985" s="79" t="s">
        <v>150</v>
      </c>
      <c r="E985" s="76">
        <v>44068.0</v>
      </c>
      <c r="F985" s="77">
        <v>0.020833333333333332</v>
      </c>
      <c r="G985" s="62" t="b">
        <v>0</v>
      </c>
      <c r="H985" s="78" t="b">
        <f>IF(VLOOKUP(C985,Projetos!A:L,12,false)=TRUE,TRUE,FALSE)</f>
        <v>1</v>
      </c>
      <c r="I985" s="68">
        <v>169.0374654280904</v>
      </c>
      <c r="J985" s="68">
        <f t="shared" si="1"/>
        <v>0</v>
      </c>
      <c r="K985" s="68" t="b">
        <v>1</v>
      </c>
    </row>
    <row r="986" hidden="1">
      <c r="A986" s="75">
        <v>980.0</v>
      </c>
      <c r="B986" s="62" t="s">
        <v>591</v>
      </c>
      <c r="C986" s="62" t="s">
        <v>98</v>
      </c>
      <c r="D986" s="79" t="s">
        <v>150</v>
      </c>
      <c r="E986" s="76">
        <v>44049.0</v>
      </c>
      <c r="F986" s="77">
        <v>0.020833333333333332</v>
      </c>
      <c r="G986" s="62" t="b">
        <v>0</v>
      </c>
      <c r="H986" s="78" t="b">
        <f>IF(VLOOKUP(C986,Projetos!A:L,12,false)=TRUE,TRUE,FALSE)</f>
        <v>1</v>
      </c>
      <c r="I986" s="68">
        <v>169.0374654280904</v>
      </c>
      <c r="J986" s="68">
        <f t="shared" si="1"/>
        <v>0</v>
      </c>
      <c r="K986" s="68" t="b">
        <v>1</v>
      </c>
    </row>
    <row r="987" hidden="1">
      <c r="A987" s="75">
        <v>981.0</v>
      </c>
      <c r="B987" s="62" t="s">
        <v>591</v>
      </c>
      <c r="C987" s="62" t="s">
        <v>104</v>
      </c>
      <c r="D987" s="79" t="s">
        <v>150</v>
      </c>
      <c r="E987" s="76">
        <v>44057.0</v>
      </c>
      <c r="F987" s="77">
        <v>0.041666666666666664</v>
      </c>
      <c r="G987" s="62" t="b">
        <v>0</v>
      </c>
      <c r="H987" s="78" t="b">
        <f>IF(VLOOKUP(C987,Projetos!A:L,12,false)=TRUE,TRUE,FALSE)</f>
        <v>1</v>
      </c>
      <c r="I987" s="68">
        <v>169.0374654280904</v>
      </c>
      <c r="J987" s="68">
        <f t="shared" si="1"/>
        <v>0</v>
      </c>
      <c r="K987" s="68" t="b">
        <v>1</v>
      </c>
    </row>
    <row r="988" hidden="1">
      <c r="A988" s="75">
        <v>982.0</v>
      </c>
      <c r="B988" s="62" t="s">
        <v>591</v>
      </c>
      <c r="C988" s="62" t="s">
        <v>104</v>
      </c>
      <c r="D988" s="79" t="s">
        <v>150</v>
      </c>
      <c r="E988" s="76">
        <v>44064.0</v>
      </c>
      <c r="F988" s="77">
        <v>0.041666666666666664</v>
      </c>
      <c r="G988" s="62" t="b">
        <v>0</v>
      </c>
      <c r="H988" s="78" t="b">
        <f>IF(VLOOKUP(C988,Projetos!A:L,12,false)=TRUE,TRUE,FALSE)</f>
        <v>1</v>
      </c>
      <c r="I988" s="68">
        <v>169.0374654280904</v>
      </c>
      <c r="J988" s="68">
        <f t="shared" si="1"/>
        <v>0</v>
      </c>
      <c r="K988" s="68" t="b">
        <v>1</v>
      </c>
    </row>
    <row r="989" hidden="1">
      <c r="A989" s="75">
        <v>983.0</v>
      </c>
      <c r="B989" s="62" t="s">
        <v>591</v>
      </c>
      <c r="C989" s="62" t="s">
        <v>108</v>
      </c>
      <c r="D989" s="79" t="s">
        <v>150</v>
      </c>
      <c r="E989" s="76">
        <v>44053.0</v>
      </c>
      <c r="F989" s="77">
        <v>0.0625</v>
      </c>
      <c r="G989" s="62" t="b">
        <v>0</v>
      </c>
      <c r="H989" s="78" t="b">
        <f>IF(VLOOKUP(C989,Projetos!A:L,12,false)=TRUE,TRUE,FALSE)</f>
        <v>1</v>
      </c>
      <c r="I989" s="68">
        <v>169.0374654280904</v>
      </c>
      <c r="J989" s="68">
        <f t="shared" si="1"/>
        <v>0</v>
      </c>
      <c r="K989" s="68" t="b">
        <v>1</v>
      </c>
    </row>
    <row r="990" hidden="1">
      <c r="A990" s="75">
        <v>984.0</v>
      </c>
      <c r="B990" s="62" t="s">
        <v>591</v>
      </c>
      <c r="C990" s="62" t="s">
        <v>83</v>
      </c>
      <c r="D990" s="79" t="s">
        <v>150</v>
      </c>
      <c r="E990" s="76">
        <v>44083.0</v>
      </c>
      <c r="F990" s="77">
        <v>0.020833333333333332</v>
      </c>
      <c r="G990" s="62" t="b">
        <v>0</v>
      </c>
      <c r="H990" s="78" t="b">
        <f>IF(VLOOKUP(C990,Projetos!A:L,12,false)=TRUE,TRUE,FALSE)</f>
        <v>0</v>
      </c>
      <c r="I990" s="68">
        <v>161.35394427226808</v>
      </c>
      <c r="J990" s="68">
        <f t="shared" si="1"/>
        <v>0</v>
      </c>
      <c r="K990" s="68" t="b">
        <v>0</v>
      </c>
    </row>
    <row r="991" hidden="1">
      <c r="A991" s="75">
        <v>985.0</v>
      </c>
      <c r="B991" s="62" t="s">
        <v>591</v>
      </c>
      <c r="C991" s="62" t="s">
        <v>83</v>
      </c>
      <c r="D991" s="79" t="s">
        <v>150</v>
      </c>
      <c r="E991" s="76">
        <v>44084.0</v>
      </c>
      <c r="F991" s="77">
        <v>0.0625</v>
      </c>
      <c r="G991" s="62" t="b">
        <v>0</v>
      </c>
      <c r="H991" s="78" t="b">
        <f>IF(VLOOKUP(C991,Projetos!A:L,12,false)=TRUE,TRUE,FALSE)</f>
        <v>0</v>
      </c>
      <c r="I991" s="68">
        <v>161.35394427226808</v>
      </c>
      <c r="J991" s="68">
        <f t="shared" si="1"/>
        <v>0</v>
      </c>
      <c r="K991" s="68" t="b">
        <v>0</v>
      </c>
    </row>
    <row r="992" hidden="1">
      <c r="A992" s="75">
        <v>986.0</v>
      </c>
      <c r="B992" s="62" t="s">
        <v>591</v>
      </c>
      <c r="C992" s="62" t="s">
        <v>83</v>
      </c>
      <c r="D992" s="79" t="s">
        <v>150</v>
      </c>
      <c r="E992" s="76">
        <v>44090.0</v>
      </c>
      <c r="F992" s="77">
        <v>0.020833333333333332</v>
      </c>
      <c r="G992" s="62" t="b">
        <v>0</v>
      </c>
      <c r="H992" s="78" t="b">
        <f>IF(VLOOKUP(C992,Projetos!A:L,12,false)=TRUE,TRUE,FALSE)</f>
        <v>0</v>
      </c>
      <c r="I992" s="68">
        <v>161.35394427226808</v>
      </c>
      <c r="J992" s="68">
        <f t="shared" si="1"/>
        <v>0</v>
      </c>
      <c r="K992" s="68" t="b">
        <v>0</v>
      </c>
    </row>
    <row r="993" hidden="1">
      <c r="A993" s="75">
        <v>987.0</v>
      </c>
      <c r="B993" s="62" t="s">
        <v>591</v>
      </c>
      <c r="C993" s="62" t="s">
        <v>83</v>
      </c>
      <c r="D993" s="79" t="s">
        <v>150</v>
      </c>
      <c r="E993" s="76">
        <v>44097.0</v>
      </c>
      <c r="F993" s="77">
        <v>0.0625</v>
      </c>
      <c r="G993" s="62" t="b">
        <v>0</v>
      </c>
      <c r="H993" s="78" t="b">
        <f>IF(VLOOKUP(C993,Projetos!A:L,12,false)=TRUE,TRUE,FALSE)</f>
        <v>0</v>
      </c>
      <c r="I993" s="68">
        <v>161.35394427226808</v>
      </c>
      <c r="J993" s="68">
        <f t="shared" si="1"/>
        <v>0</v>
      </c>
      <c r="K993" s="68" t="b">
        <v>0</v>
      </c>
    </row>
    <row r="994" hidden="1">
      <c r="A994" s="75">
        <v>988.0</v>
      </c>
      <c r="B994" s="62" t="s">
        <v>591</v>
      </c>
      <c r="C994" s="62" t="s">
        <v>90</v>
      </c>
      <c r="D994" s="79" t="s">
        <v>150</v>
      </c>
      <c r="E994" s="76">
        <v>44083.0</v>
      </c>
      <c r="F994" s="77">
        <v>0.041666666666666664</v>
      </c>
      <c r="G994" s="62" t="b">
        <v>0</v>
      </c>
      <c r="H994" s="78" t="b">
        <f>IF(VLOOKUP(C994,Projetos!A:L,12,false)=TRUE,TRUE,FALSE)</f>
        <v>1</v>
      </c>
      <c r="I994" s="68">
        <v>161.35394427226808</v>
      </c>
      <c r="J994" s="68">
        <f t="shared" si="1"/>
        <v>0</v>
      </c>
      <c r="K994" s="68" t="b">
        <v>1</v>
      </c>
    </row>
    <row r="995" hidden="1">
      <c r="A995" s="75">
        <v>989.0</v>
      </c>
      <c r="B995" s="62" t="s">
        <v>591</v>
      </c>
      <c r="C995" s="62" t="s">
        <v>90</v>
      </c>
      <c r="D995" s="79" t="s">
        <v>150</v>
      </c>
      <c r="E995" s="76">
        <v>44083.0</v>
      </c>
      <c r="F995" s="77">
        <v>0.0625</v>
      </c>
      <c r="G995" s="62" t="b">
        <v>0</v>
      </c>
      <c r="H995" s="78" t="b">
        <f>IF(VLOOKUP(C995,Projetos!A:L,12,false)=TRUE,TRUE,FALSE)</f>
        <v>1</v>
      </c>
      <c r="I995" s="68">
        <v>161.35394427226808</v>
      </c>
      <c r="J995" s="68">
        <f t="shared" si="1"/>
        <v>0</v>
      </c>
      <c r="K995" s="68" t="b">
        <v>1</v>
      </c>
    </row>
    <row r="996" hidden="1">
      <c r="A996" s="75">
        <v>990.0</v>
      </c>
      <c r="B996" s="62" t="s">
        <v>591</v>
      </c>
      <c r="C996" s="62" t="s">
        <v>90</v>
      </c>
      <c r="D996" s="79" t="s">
        <v>150</v>
      </c>
      <c r="E996" s="76">
        <v>44084.0</v>
      </c>
      <c r="F996" s="77">
        <v>0.041666666666666664</v>
      </c>
      <c r="G996" s="62" t="b">
        <v>0</v>
      </c>
      <c r="H996" s="78" t="b">
        <f>IF(VLOOKUP(C996,Projetos!A:L,12,false)=TRUE,TRUE,FALSE)</f>
        <v>1</v>
      </c>
      <c r="I996" s="68">
        <v>161.35394427226808</v>
      </c>
      <c r="J996" s="68">
        <f t="shared" si="1"/>
        <v>0</v>
      </c>
      <c r="K996" s="68" t="b">
        <v>1</v>
      </c>
    </row>
    <row r="997" hidden="1">
      <c r="A997" s="75">
        <v>991.0</v>
      </c>
      <c r="B997" s="62" t="s">
        <v>591</v>
      </c>
      <c r="C997" s="62" t="s">
        <v>90</v>
      </c>
      <c r="D997" s="79" t="s">
        <v>150</v>
      </c>
      <c r="E997" s="76">
        <v>44090.0</v>
      </c>
      <c r="F997" s="77">
        <v>0.020833333333333332</v>
      </c>
      <c r="G997" s="62" t="b">
        <v>0</v>
      </c>
      <c r="H997" s="78" t="b">
        <f>IF(VLOOKUP(C997,Projetos!A:L,12,false)=TRUE,TRUE,FALSE)</f>
        <v>1</v>
      </c>
      <c r="I997" s="68">
        <v>161.35394427226808</v>
      </c>
      <c r="J997" s="68">
        <f t="shared" si="1"/>
        <v>0</v>
      </c>
      <c r="K997" s="68" t="b">
        <v>1</v>
      </c>
    </row>
    <row r="998" hidden="1">
      <c r="A998" s="75">
        <v>992.0</v>
      </c>
      <c r="B998" s="62" t="s">
        <v>591</v>
      </c>
      <c r="C998" s="62" t="s">
        <v>90</v>
      </c>
      <c r="D998" s="79" t="s">
        <v>150</v>
      </c>
      <c r="E998" s="76">
        <v>44090.0</v>
      </c>
      <c r="F998" s="77">
        <v>0.0625</v>
      </c>
      <c r="G998" s="62" t="b">
        <v>0</v>
      </c>
      <c r="H998" s="78" t="b">
        <f>IF(VLOOKUP(C998,Projetos!A:L,12,false)=TRUE,TRUE,FALSE)</f>
        <v>1</v>
      </c>
      <c r="I998" s="68">
        <v>161.35394427226808</v>
      </c>
      <c r="J998" s="68">
        <f t="shared" si="1"/>
        <v>0</v>
      </c>
      <c r="K998" s="68" t="b">
        <v>1</v>
      </c>
    </row>
    <row r="999" hidden="1">
      <c r="A999" s="75">
        <v>993.0</v>
      </c>
      <c r="B999" s="62" t="s">
        <v>591</v>
      </c>
      <c r="C999" s="62" t="s">
        <v>104</v>
      </c>
      <c r="D999" s="79" t="s">
        <v>150</v>
      </c>
      <c r="E999" s="76">
        <v>44088.0</v>
      </c>
      <c r="F999" s="77">
        <v>0.041666666666666664</v>
      </c>
      <c r="G999" s="62" t="b">
        <v>0</v>
      </c>
      <c r="H999" s="78" t="b">
        <f>IF(VLOOKUP(C999,Projetos!A:L,12,false)=TRUE,TRUE,FALSE)</f>
        <v>1</v>
      </c>
      <c r="I999" s="68">
        <v>161.35394427226808</v>
      </c>
      <c r="J999" s="68">
        <f t="shared" si="1"/>
        <v>0</v>
      </c>
      <c r="K999" s="68" t="b">
        <v>1</v>
      </c>
    </row>
    <row r="1000" hidden="1">
      <c r="A1000" s="75">
        <v>994.0</v>
      </c>
      <c r="B1000" s="62" t="s">
        <v>591</v>
      </c>
      <c r="C1000" s="62" t="s">
        <v>104</v>
      </c>
      <c r="D1000" s="79" t="s">
        <v>150</v>
      </c>
      <c r="E1000" s="76">
        <v>44089.0</v>
      </c>
      <c r="F1000" s="77">
        <v>0.041666666666666664</v>
      </c>
      <c r="G1000" s="62" t="b">
        <v>0</v>
      </c>
      <c r="H1000" s="78" t="b">
        <f>IF(VLOOKUP(C1000,Projetos!A:L,12,false)=TRUE,TRUE,FALSE)</f>
        <v>1</v>
      </c>
      <c r="I1000" s="68">
        <v>161.35394427226808</v>
      </c>
      <c r="J1000" s="68">
        <f t="shared" si="1"/>
        <v>0</v>
      </c>
      <c r="K1000" s="68" t="b">
        <v>1</v>
      </c>
    </row>
    <row r="1001" hidden="1">
      <c r="A1001" s="75">
        <v>995.0</v>
      </c>
      <c r="B1001" s="62" t="s">
        <v>591</v>
      </c>
      <c r="C1001" s="62" t="s">
        <v>104</v>
      </c>
      <c r="D1001" s="79" t="s">
        <v>150</v>
      </c>
      <c r="E1001" s="76">
        <v>44103.0</v>
      </c>
      <c r="F1001" s="77">
        <v>0.020833333333333332</v>
      </c>
      <c r="G1001" s="62" t="b">
        <v>0</v>
      </c>
      <c r="H1001" s="78" t="b">
        <f>IF(VLOOKUP(C1001,Projetos!A:L,12,false)=TRUE,TRUE,FALSE)</f>
        <v>1</v>
      </c>
      <c r="I1001" s="68">
        <v>161.35394427226808</v>
      </c>
      <c r="J1001" s="68">
        <f t="shared" si="1"/>
        <v>0</v>
      </c>
      <c r="K1001" s="68" t="b">
        <v>1</v>
      </c>
    </row>
    <row r="1002" hidden="1">
      <c r="A1002" s="75">
        <v>996.0</v>
      </c>
      <c r="B1002" s="62" t="s">
        <v>591</v>
      </c>
      <c r="C1002" s="62" t="s">
        <v>104</v>
      </c>
      <c r="D1002" s="79" t="s">
        <v>150</v>
      </c>
      <c r="E1002" s="76">
        <v>44103.0</v>
      </c>
      <c r="F1002" s="77">
        <v>0.041666666666666664</v>
      </c>
      <c r="G1002" s="62" t="b">
        <v>0</v>
      </c>
      <c r="H1002" s="78" t="b">
        <f>IF(VLOOKUP(C1002,Projetos!A:L,12,false)=TRUE,TRUE,FALSE)</f>
        <v>1</v>
      </c>
      <c r="I1002" s="68">
        <v>161.35394427226808</v>
      </c>
      <c r="J1002" s="68">
        <f t="shared" si="1"/>
        <v>0</v>
      </c>
      <c r="K1002" s="68" t="b">
        <v>1</v>
      </c>
    </row>
    <row r="1003" hidden="1">
      <c r="A1003" s="75">
        <v>997.0</v>
      </c>
      <c r="B1003" s="62" t="s">
        <v>591</v>
      </c>
      <c r="C1003" s="62" t="s">
        <v>108</v>
      </c>
      <c r="D1003" s="79" t="s">
        <v>150</v>
      </c>
      <c r="E1003" s="76">
        <v>44089.0</v>
      </c>
      <c r="F1003" s="77">
        <v>0.041666666666666664</v>
      </c>
      <c r="G1003" s="62" t="b">
        <v>0</v>
      </c>
      <c r="H1003" s="78" t="b">
        <f>IF(VLOOKUP(C1003,Projetos!A:L,12,false)=TRUE,TRUE,FALSE)</f>
        <v>1</v>
      </c>
      <c r="I1003" s="68">
        <v>161.35394427226808</v>
      </c>
      <c r="J1003" s="68">
        <f t="shared" si="1"/>
        <v>0</v>
      </c>
      <c r="K1003" s="68" t="b">
        <v>1</v>
      </c>
    </row>
    <row r="1004" hidden="1">
      <c r="A1004" s="75">
        <v>998.0</v>
      </c>
      <c r="B1004" s="62" t="s">
        <v>591</v>
      </c>
      <c r="C1004" s="62" t="s">
        <v>108</v>
      </c>
      <c r="D1004" s="79" t="s">
        <v>150</v>
      </c>
      <c r="E1004" s="76">
        <v>44102.0</v>
      </c>
      <c r="F1004" s="77">
        <v>0.041666666666666664</v>
      </c>
      <c r="G1004" s="62" t="b">
        <v>0</v>
      </c>
      <c r="H1004" s="78" t="b">
        <f>IF(VLOOKUP(C1004,Projetos!A:L,12,false)=TRUE,TRUE,FALSE)</f>
        <v>1</v>
      </c>
      <c r="I1004" s="68">
        <v>161.35394427226808</v>
      </c>
      <c r="J1004" s="68">
        <f t="shared" si="1"/>
        <v>0</v>
      </c>
      <c r="K1004" s="68" t="b">
        <v>1</v>
      </c>
    </row>
    <row r="1005" hidden="1">
      <c r="A1005" s="75">
        <v>999.0</v>
      </c>
      <c r="B1005" s="62" t="s">
        <v>591</v>
      </c>
      <c r="C1005" s="62" t="s">
        <v>108</v>
      </c>
      <c r="D1005" s="79" t="s">
        <v>150</v>
      </c>
      <c r="E1005" s="76">
        <v>44104.0</v>
      </c>
      <c r="F1005" s="77">
        <v>0.041666666666666664</v>
      </c>
      <c r="G1005" s="62" t="b">
        <v>0</v>
      </c>
      <c r="H1005" s="78" t="b">
        <f>IF(VLOOKUP(C1005,Projetos!A:L,12,false)=TRUE,TRUE,FALSE)</f>
        <v>1</v>
      </c>
      <c r="I1005" s="68">
        <v>161.35394427226808</v>
      </c>
      <c r="J1005" s="68">
        <f t="shared" si="1"/>
        <v>0</v>
      </c>
      <c r="K1005" s="68" t="b">
        <v>1</v>
      </c>
    </row>
    <row r="1006" hidden="1">
      <c r="A1006" s="75">
        <v>1000.0</v>
      </c>
      <c r="B1006" s="62" t="s">
        <v>591</v>
      </c>
      <c r="C1006" s="62" t="s">
        <v>109</v>
      </c>
      <c r="D1006" s="79" t="s">
        <v>150</v>
      </c>
      <c r="E1006" s="76">
        <v>44088.0</v>
      </c>
      <c r="F1006" s="77">
        <v>0.020833333333333332</v>
      </c>
      <c r="G1006" s="62" t="b">
        <v>0</v>
      </c>
      <c r="H1006" s="78" t="b">
        <f>IF(VLOOKUP(C1006,Projetos!A:L,12,false)=TRUE,TRUE,FALSE)</f>
        <v>0</v>
      </c>
      <c r="I1006" s="68">
        <v>161.35394427226808</v>
      </c>
      <c r="J1006" s="68">
        <f t="shared" si="1"/>
        <v>0</v>
      </c>
      <c r="K1006" s="68" t="b">
        <v>0</v>
      </c>
    </row>
    <row r="1007" hidden="1">
      <c r="A1007" s="75">
        <v>1001.0</v>
      </c>
      <c r="B1007" s="62" t="s">
        <v>591</v>
      </c>
      <c r="C1007" s="62" t="s">
        <v>110</v>
      </c>
      <c r="D1007" s="79" t="s">
        <v>150</v>
      </c>
      <c r="E1007" s="76">
        <v>44104.0</v>
      </c>
      <c r="F1007" s="77">
        <v>0.041666666666666664</v>
      </c>
      <c r="G1007" s="62" t="b">
        <v>0</v>
      </c>
      <c r="H1007" s="78" t="b">
        <f>IF(VLOOKUP(C1007,Projetos!A:L,12,false)=TRUE,TRUE,FALSE)</f>
        <v>1</v>
      </c>
      <c r="I1007" s="68">
        <v>161.35394427226808</v>
      </c>
      <c r="J1007" s="68">
        <f t="shared" si="1"/>
        <v>0</v>
      </c>
      <c r="K1007" s="68" t="b">
        <v>1</v>
      </c>
    </row>
    <row r="1008" hidden="1">
      <c r="A1008" s="75">
        <v>1002.0</v>
      </c>
      <c r="B1008" s="62" t="s">
        <v>591</v>
      </c>
      <c r="C1008" s="62" t="s">
        <v>115</v>
      </c>
      <c r="D1008" s="79" t="s">
        <v>150</v>
      </c>
      <c r="E1008" s="76">
        <v>44084.0</v>
      </c>
      <c r="F1008" s="77">
        <v>0.020833333333333332</v>
      </c>
      <c r="G1008" s="62" t="b">
        <v>0</v>
      </c>
      <c r="H1008" s="78" t="b">
        <f>IF(VLOOKUP(C1008,Projetos!A:L,12,false)=TRUE,TRUE,FALSE)</f>
        <v>1</v>
      </c>
      <c r="I1008" s="68">
        <v>161.35394427226808</v>
      </c>
      <c r="J1008" s="68">
        <f t="shared" si="1"/>
        <v>0</v>
      </c>
      <c r="K1008" s="68" t="b">
        <v>1</v>
      </c>
    </row>
    <row r="1009" hidden="1">
      <c r="A1009" s="75">
        <v>1003.0</v>
      </c>
      <c r="B1009" s="62" t="s">
        <v>591</v>
      </c>
      <c r="C1009" s="62" t="s">
        <v>83</v>
      </c>
      <c r="D1009" s="62" t="s">
        <v>694</v>
      </c>
      <c r="E1009" s="76">
        <v>44105.0</v>
      </c>
      <c r="F1009" s="77">
        <v>0.041666666666666664</v>
      </c>
      <c r="G1009" s="62" t="b">
        <v>0</v>
      </c>
      <c r="H1009" s="78" t="b">
        <f>IF(VLOOKUP(C1009,Projetos!A:L,12,false)=TRUE,TRUE,FALSE)</f>
        <v>0</v>
      </c>
      <c r="I1009" s="68">
        <v>169.0374654280904</v>
      </c>
      <c r="J1009" s="68">
        <f t="shared" si="1"/>
        <v>0</v>
      </c>
      <c r="K1009" s="68" t="b">
        <v>0</v>
      </c>
    </row>
    <row r="1010" hidden="1">
      <c r="A1010" s="75">
        <v>1004.0</v>
      </c>
      <c r="B1010" s="62" t="s">
        <v>591</v>
      </c>
      <c r="C1010" s="62" t="s">
        <v>83</v>
      </c>
      <c r="D1010" s="62" t="s">
        <v>695</v>
      </c>
      <c r="E1010" s="76">
        <v>44127.0</v>
      </c>
      <c r="F1010" s="77">
        <v>0.041666666666666664</v>
      </c>
      <c r="G1010" s="62" t="b">
        <v>0</v>
      </c>
      <c r="H1010" s="78" t="b">
        <f>IF(VLOOKUP(C1010,Projetos!A:L,12,false)=TRUE,TRUE,FALSE)</f>
        <v>0</v>
      </c>
      <c r="I1010" s="68">
        <v>169.0374654280904</v>
      </c>
      <c r="J1010" s="68">
        <f t="shared" si="1"/>
        <v>0</v>
      </c>
      <c r="K1010" s="68" t="b">
        <v>0</v>
      </c>
    </row>
    <row r="1011" hidden="1">
      <c r="A1011" s="75">
        <v>1005.0</v>
      </c>
      <c r="B1011" s="62" t="s">
        <v>591</v>
      </c>
      <c r="C1011" s="62" t="s">
        <v>83</v>
      </c>
      <c r="D1011" s="62" t="s">
        <v>696</v>
      </c>
      <c r="E1011" s="76">
        <v>44127.0</v>
      </c>
      <c r="F1011" s="77">
        <v>0.08333333333333333</v>
      </c>
      <c r="G1011" s="62" t="b">
        <v>0</v>
      </c>
      <c r="H1011" s="78" t="b">
        <f>IF(VLOOKUP(C1011,Projetos!A:L,12,false)=TRUE,TRUE,FALSE)</f>
        <v>0</v>
      </c>
      <c r="I1011" s="68">
        <v>169.0374654280904</v>
      </c>
      <c r="J1011" s="68">
        <f t="shared" si="1"/>
        <v>0</v>
      </c>
      <c r="K1011" s="68" t="b">
        <v>0</v>
      </c>
    </row>
    <row r="1012" hidden="1">
      <c r="A1012" s="75">
        <v>1006.0</v>
      </c>
      <c r="B1012" s="62" t="s">
        <v>591</v>
      </c>
      <c r="C1012" s="62" t="s">
        <v>83</v>
      </c>
      <c r="D1012" s="62" t="s">
        <v>697</v>
      </c>
      <c r="E1012" s="76">
        <v>44132.0</v>
      </c>
      <c r="F1012" s="77">
        <v>0.0625</v>
      </c>
      <c r="G1012" s="62" t="b">
        <v>0</v>
      </c>
      <c r="H1012" s="78" t="b">
        <f>IF(VLOOKUP(C1012,Projetos!A:L,12,false)=TRUE,TRUE,FALSE)</f>
        <v>0</v>
      </c>
      <c r="I1012" s="68">
        <v>169.0374654280904</v>
      </c>
      <c r="J1012" s="68">
        <f t="shared" si="1"/>
        <v>0</v>
      </c>
      <c r="K1012" s="68" t="b">
        <v>0</v>
      </c>
    </row>
    <row r="1013">
      <c r="A1013" s="75">
        <v>1007.0</v>
      </c>
      <c r="B1013" s="62" t="s">
        <v>591</v>
      </c>
      <c r="C1013" s="62" t="s">
        <v>90</v>
      </c>
      <c r="D1013" s="62" t="s">
        <v>698</v>
      </c>
      <c r="E1013" s="76">
        <v>44118.0</v>
      </c>
      <c r="F1013" s="77">
        <v>0.041666666666666664</v>
      </c>
      <c r="G1013" s="62" t="b">
        <v>1</v>
      </c>
      <c r="H1013" s="78" t="b">
        <f>IF(VLOOKUP(C1013,Projetos!A:L,12,false)=TRUE,TRUE,FALSE)</f>
        <v>1</v>
      </c>
      <c r="I1013" s="68">
        <v>169.0374654280904</v>
      </c>
      <c r="J1013" s="68">
        <f t="shared" si="1"/>
        <v>169.0374654</v>
      </c>
      <c r="K1013" s="68" t="b">
        <v>1</v>
      </c>
    </row>
    <row r="1014">
      <c r="A1014" s="75">
        <v>1008.0</v>
      </c>
      <c r="B1014" s="62" t="s">
        <v>591</v>
      </c>
      <c r="C1014" s="62" t="s">
        <v>97</v>
      </c>
      <c r="D1014" s="62" t="s">
        <v>699</v>
      </c>
      <c r="E1014" s="76">
        <v>44117.0</v>
      </c>
      <c r="F1014" s="77">
        <v>0.020833333333333332</v>
      </c>
      <c r="G1014" s="62" t="b">
        <v>1</v>
      </c>
      <c r="H1014" s="78" t="b">
        <f>IF(VLOOKUP(C1014,Projetos!A:L,12,false)=TRUE,TRUE,FALSE)</f>
        <v>1</v>
      </c>
      <c r="I1014" s="68">
        <v>169.0374654280904</v>
      </c>
      <c r="J1014" s="68">
        <f t="shared" si="1"/>
        <v>84.51873271</v>
      </c>
      <c r="K1014" s="68" t="b">
        <v>1</v>
      </c>
    </row>
    <row r="1015">
      <c r="A1015" s="75">
        <v>1009.0</v>
      </c>
      <c r="B1015" s="62" t="s">
        <v>591</v>
      </c>
      <c r="C1015" s="62" t="s">
        <v>97</v>
      </c>
      <c r="D1015" s="62" t="s">
        <v>700</v>
      </c>
      <c r="E1015" s="76">
        <v>44117.0</v>
      </c>
      <c r="F1015" s="77">
        <v>0.03125</v>
      </c>
      <c r="G1015" s="62" t="b">
        <v>1</v>
      </c>
      <c r="H1015" s="78" t="b">
        <f>IF(VLOOKUP(C1015,Projetos!A:L,12,false)=TRUE,TRUE,FALSE)</f>
        <v>1</v>
      </c>
      <c r="I1015" s="68">
        <v>169.0374654280904</v>
      </c>
      <c r="J1015" s="68">
        <f t="shared" si="1"/>
        <v>126.7780991</v>
      </c>
      <c r="K1015" s="68" t="b">
        <v>1</v>
      </c>
    </row>
    <row r="1016">
      <c r="A1016" s="75">
        <v>1010.0</v>
      </c>
      <c r="B1016" s="62" t="s">
        <v>591</v>
      </c>
      <c r="C1016" s="62" t="s">
        <v>97</v>
      </c>
      <c r="D1016" s="62" t="s">
        <v>701</v>
      </c>
      <c r="E1016" s="76">
        <v>44117.0</v>
      </c>
      <c r="F1016" s="77">
        <v>0.020833333333333332</v>
      </c>
      <c r="G1016" s="62" t="b">
        <v>1</v>
      </c>
      <c r="H1016" s="78" t="b">
        <f>IF(VLOOKUP(C1016,Projetos!A:L,12,false)=TRUE,TRUE,FALSE)</f>
        <v>1</v>
      </c>
      <c r="I1016" s="68">
        <v>169.0374654280904</v>
      </c>
      <c r="J1016" s="68">
        <f t="shared" si="1"/>
        <v>84.51873271</v>
      </c>
      <c r="K1016" s="68" t="b">
        <v>1</v>
      </c>
    </row>
    <row r="1017">
      <c r="A1017" s="75">
        <v>1011.0</v>
      </c>
      <c r="B1017" s="62" t="s">
        <v>591</v>
      </c>
      <c r="C1017" s="62" t="s">
        <v>104</v>
      </c>
      <c r="D1017" s="62" t="s">
        <v>702</v>
      </c>
      <c r="E1017" s="76">
        <v>44113.0</v>
      </c>
      <c r="F1017" s="77">
        <v>0.020833333333333332</v>
      </c>
      <c r="G1017" s="62" t="b">
        <v>1</v>
      </c>
      <c r="H1017" s="78" t="b">
        <f>IF(VLOOKUP(C1017,Projetos!A:L,12,false)=TRUE,TRUE,FALSE)</f>
        <v>1</v>
      </c>
      <c r="I1017" s="68">
        <v>169.0374654280904</v>
      </c>
      <c r="J1017" s="68">
        <f t="shared" si="1"/>
        <v>84.51873271</v>
      </c>
      <c r="K1017" s="68" t="b">
        <v>1</v>
      </c>
    </row>
    <row r="1018">
      <c r="A1018" s="75">
        <v>1012.0</v>
      </c>
      <c r="B1018" s="62" t="s">
        <v>591</v>
      </c>
      <c r="C1018" s="62" t="s">
        <v>104</v>
      </c>
      <c r="D1018" s="62" t="s">
        <v>703</v>
      </c>
      <c r="E1018" s="76">
        <v>44125.0</v>
      </c>
      <c r="F1018" s="77">
        <v>0.041666666666666664</v>
      </c>
      <c r="G1018" s="62" t="b">
        <v>1</v>
      </c>
      <c r="H1018" s="78" t="b">
        <f>IF(VLOOKUP(C1018,Projetos!A:L,12,false)=TRUE,TRUE,FALSE)</f>
        <v>1</v>
      </c>
      <c r="I1018" s="68">
        <v>169.0374654280904</v>
      </c>
      <c r="J1018" s="68">
        <f t="shared" si="1"/>
        <v>169.0374654</v>
      </c>
      <c r="K1018" s="68" t="b">
        <v>1</v>
      </c>
    </row>
    <row r="1019" hidden="1">
      <c r="A1019" s="75">
        <v>1013.0</v>
      </c>
      <c r="B1019" s="62" t="s">
        <v>591</v>
      </c>
      <c r="C1019" s="62" t="s">
        <v>108</v>
      </c>
      <c r="D1019" s="62" t="s">
        <v>704</v>
      </c>
      <c r="E1019" s="76">
        <v>44105.0</v>
      </c>
      <c r="F1019" s="77">
        <v>0.03125</v>
      </c>
      <c r="G1019" s="62" t="b">
        <v>1</v>
      </c>
      <c r="H1019" s="78" t="b">
        <f>IF(VLOOKUP(C1019,Projetos!A:L,12,false)=TRUE,TRUE,FALSE)</f>
        <v>1</v>
      </c>
      <c r="I1019" s="68">
        <v>169.0374654280904</v>
      </c>
      <c r="J1019" s="68">
        <f t="shared" si="1"/>
        <v>126.7780991</v>
      </c>
      <c r="K1019" s="68" t="b">
        <v>1</v>
      </c>
    </row>
    <row r="1020" hidden="1">
      <c r="A1020" s="75">
        <v>1014.0</v>
      </c>
      <c r="B1020" s="62" t="s">
        <v>591</v>
      </c>
      <c r="C1020" s="62" t="s">
        <v>108</v>
      </c>
      <c r="D1020" s="62" t="s">
        <v>705</v>
      </c>
      <c r="E1020" s="76">
        <v>44109.0</v>
      </c>
      <c r="F1020" s="77">
        <v>0.020833333333333332</v>
      </c>
      <c r="G1020" s="62" t="b">
        <v>1</v>
      </c>
      <c r="H1020" s="78" t="b">
        <f>IF(VLOOKUP(C1020,Projetos!A:L,12,false)=TRUE,TRUE,FALSE)</f>
        <v>1</v>
      </c>
      <c r="I1020" s="68">
        <v>169.0374654280904</v>
      </c>
      <c r="J1020" s="68">
        <f t="shared" si="1"/>
        <v>84.51873271</v>
      </c>
      <c r="K1020" s="68" t="b">
        <v>1</v>
      </c>
    </row>
    <row r="1021" hidden="1">
      <c r="A1021" s="75">
        <v>1015.0</v>
      </c>
      <c r="B1021" s="62" t="s">
        <v>591</v>
      </c>
      <c r="C1021" s="62" t="s">
        <v>108</v>
      </c>
      <c r="D1021" s="62" t="s">
        <v>706</v>
      </c>
      <c r="E1021" s="76">
        <v>44110.0</v>
      </c>
      <c r="F1021" s="77">
        <v>0.041666666666666664</v>
      </c>
      <c r="G1021" s="62" t="b">
        <v>1</v>
      </c>
      <c r="H1021" s="78" t="b">
        <f>IF(VLOOKUP(C1021,Projetos!A:L,12,false)=TRUE,TRUE,FALSE)</f>
        <v>1</v>
      </c>
      <c r="I1021" s="68">
        <v>169.0374654280904</v>
      </c>
      <c r="J1021" s="68">
        <f t="shared" si="1"/>
        <v>169.0374654</v>
      </c>
      <c r="K1021" s="68" t="b">
        <v>1</v>
      </c>
    </row>
    <row r="1022" hidden="1">
      <c r="A1022" s="75">
        <v>1016.0</v>
      </c>
      <c r="B1022" s="62" t="s">
        <v>591</v>
      </c>
      <c r="C1022" s="62" t="s">
        <v>108</v>
      </c>
      <c r="D1022" s="62" t="s">
        <v>707</v>
      </c>
      <c r="E1022" s="76">
        <v>44111.0</v>
      </c>
      <c r="F1022" s="77">
        <v>0.08333333333333333</v>
      </c>
      <c r="G1022" s="62" t="b">
        <v>0</v>
      </c>
      <c r="H1022" s="78" t="b">
        <f>IF(VLOOKUP(C1022,Projetos!A:L,12,false)=TRUE,TRUE,FALSE)</f>
        <v>1</v>
      </c>
      <c r="I1022" s="68">
        <v>169.0374654280904</v>
      </c>
      <c r="J1022" s="68">
        <f t="shared" si="1"/>
        <v>0</v>
      </c>
      <c r="K1022" s="68" t="b">
        <v>1</v>
      </c>
    </row>
    <row r="1023" hidden="1">
      <c r="A1023" s="75">
        <v>1017.0</v>
      </c>
      <c r="B1023" s="62" t="s">
        <v>591</v>
      </c>
      <c r="C1023" s="62" t="s">
        <v>108</v>
      </c>
      <c r="D1023" s="62" t="s">
        <v>700</v>
      </c>
      <c r="E1023" s="76">
        <v>44117.0</v>
      </c>
      <c r="F1023" s="77">
        <v>0.03125</v>
      </c>
      <c r="G1023" s="62" t="b">
        <v>1</v>
      </c>
      <c r="H1023" s="78" t="b">
        <f>IF(VLOOKUP(C1023,Projetos!A:L,12,false)=TRUE,TRUE,FALSE)</f>
        <v>1</v>
      </c>
      <c r="I1023" s="68">
        <v>169.0374654280904</v>
      </c>
      <c r="J1023" s="68">
        <f t="shared" si="1"/>
        <v>126.7780991</v>
      </c>
      <c r="K1023" s="68" t="b">
        <v>1</v>
      </c>
    </row>
    <row r="1024" hidden="1">
      <c r="A1024" s="75">
        <v>1018.0</v>
      </c>
      <c r="B1024" s="62" t="s">
        <v>591</v>
      </c>
      <c r="C1024" s="62" t="s">
        <v>108</v>
      </c>
      <c r="D1024" s="62" t="s">
        <v>708</v>
      </c>
      <c r="E1024" s="76">
        <v>44120.0</v>
      </c>
      <c r="F1024" s="77">
        <v>0.0625</v>
      </c>
      <c r="G1024" s="62" t="b">
        <v>1</v>
      </c>
      <c r="H1024" s="78" t="b">
        <f>IF(VLOOKUP(C1024,Projetos!A:L,12,false)=TRUE,TRUE,FALSE)</f>
        <v>1</v>
      </c>
      <c r="I1024" s="68">
        <v>169.0374654280904</v>
      </c>
      <c r="J1024" s="68">
        <f t="shared" si="1"/>
        <v>253.5561981</v>
      </c>
      <c r="K1024" s="68" t="b">
        <v>1</v>
      </c>
    </row>
    <row r="1025" hidden="1">
      <c r="A1025" s="75">
        <v>1019.0</v>
      </c>
      <c r="B1025" s="62" t="s">
        <v>591</v>
      </c>
      <c r="C1025" s="62" t="s">
        <v>108</v>
      </c>
      <c r="D1025" s="62" t="s">
        <v>709</v>
      </c>
      <c r="E1025" s="76">
        <v>44126.0</v>
      </c>
      <c r="F1025" s="77">
        <v>0.25</v>
      </c>
      <c r="G1025" s="62" t="b">
        <v>1</v>
      </c>
      <c r="H1025" s="78" t="b">
        <f>IF(VLOOKUP(C1025,Projetos!A:L,12,false)=TRUE,TRUE,FALSE)</f>
        <v>1</v>
      </c>
      <c r="I1025" s="68">
        <v>169.0374654280904</v>
      </c>
      <c r="J1025" s="68">
        <f t="shared" si="1"/>
        <v>1014.224793</v>
      </c>
      <c r="K1025" s="68" t="b">
        <v>1</v>
      </c>
    </row>
    <row r="1026" hidden="1">
      <c r="A1026" s="75">
        <v>1020.0</v>
      </c>
      <c r="B1026" s="62" t="s">
        <v>591</v>
      </c>
      <c r="C1026" s="62" t="s">
        <v>108</v>
      </c>
      <c r="D1026" s="62" t="s">
        <v>710</v>
      </c>
      <c r="E1026" s="76">
        <v>44127.0</v>
      </c>
      <c r="F1026" s="77">
        <v>0.041666666666666664</v>
      </c>
      <c r="G1026" s="62" t="b">
        <v>1</v>
      </c>
      <c r="H1026" s="78" t="b">
        <f>IF(VLOOKUP(C1026,Projetos!A:L,12,false)=TRUE,TRUE,FALSE)</f>
        <v>1</v>
      </c>
      <c r="I1026" s="68">
        <v>169.0374654280904</v>
      </c>
      <c r="J1026" s="68">
        <f t="shared" si="1"/>
        <v>169.0374654</v>
      </c>
      <c r="K1026" s="68" t="b">
        <v>1</v>
      </c>
    </row>
    <row r="1027" hidden="1">
      <c r="A1027" s="75">
        <v>1021.0</v>
      </c>
      <c r="B1027" s="62" t="s">
        <v>591</v>
      </c>
      <c r="C1027" s="62" t="s">
        <v>108</v>
      </c>
      <c r="D1027" s="62" t="s">
        <v>711</v>
      </c>
      <c r="E1027" s="76">
        <v>44131.0</v>
      </c>
      <c r="F1027" s="77">
        <v>0.0625</v>
      </c>
      <c r="G1027" s="62" t="b">
        <v>0</v>
      </c>
      <c r="H1027" s="78" t="b">
        <f>IF(VLOOKUP(C1027,Projetos!A:L,12,false)=TRUE,TRUE,FALSE)</f>
        <v>1</v>
      </c>
      <c r="I1027" s="68">
        <v>169.0374654280904</v>
      </c>
      <c r="J1027" s="68">
        <f t="shared" si="1"/>
        <v>0</v>
      </c>
      <c r="K1027" s="68" t="b">
        <v>1</v>
      </c>
    </row>
    <row r="1028" hidden="1">
      <c r="A1028" s="75">
        <v>1022.0</v>
      </c>
      <c r="B1028" s="62" t="s">
        <v>591</v>
      </c>
      <c r="C1028" s="62" t="s">
        <v>108</v>
      </c>
      <c r="D1028" s="62" t="s">
        <v>712</v>
      </c>
      <c r="E1028" s="76">
        <v>44131.0</v>
      </c>
      <c r="F1028" s="77">
        <v>0.0625</v>
      </c>
      <c r="G1028" s="62" t="b">
        <v>1</v>
      </c>
      <c r="H1028" s="78" t="b">
        <f>IF(VLOOKUP(C1028,Projetos!A:L,12,false)=TRUE,TRUE,FALSE)</f>
        <v>1</v>
      </c>
      <c r="I1028" s="68">
        <v>169.0374654280904</v>
      </c>
      <c r="J1028" s="68">
        <f t="shared" si="1"/>
        <v>253.5561981</v>
      </c>
      <c r="K1028" s="68" t="b">
        <v>1</v>
      </c>
    </row>
    <row r="1029" hidden="1">
      <c r="A1029" s="75">
        <v>1023.0</v>
      </c>
      <c r="B1029" s="62" t="s">
        <v>591</v>
      </c>
      <c r="C1029" s="62" t="s">
        <v>108</v>
      </c>
      <c r="D1029" s="62" t="s">
        <v>713</v>
      </c>
      <c r="E1029" s="76">
        <v>44134.0</v>
      </c>
      <c r="F1029" s="77">
        <v>0.0625</v>
      </c>
      <c r="G1029" s="62" t="b">
        <v>1</v>
      </c>
      <c r="H1029" s="78" t="b">
        <f>IF(VLOOKUP(C1029,Projetos!A:L,12,false)=TRUE,TRUE,FALSE)</f>
        <v>1</v>
      </c>
      <c r="I1029" s="68">
        <v>169.0374654280904</v>
      </c>
      <c r="J1029" s="68">
        <f t="shared" si="1"/>
        <v>253.5561981</v>
      </c>
      <c r="K1029" s="68" t="b">
        <v>1</v>
      </c>
    </row>
    <row r="1030">
      <c r="A1030" s="75">
        <v>1024.0</v>
      </c>
      <c r="B1030" s="62" t="s">
        <v>591</v>
      </c>
      <c r="C1030" s="62" t="s">
        <v>100</v>
      </c>
      <c r="D1030" s="62" t="s">
        <v>714</v>
      </c>
      <c r="E1030" s="76">
        <v>44139.0</v>
      </c>
      <c r="F1030" s="77">
        <v>0.020833333333333332</v>
      </c>
      <c r="G1030" s="62" t="b">
        <v>1</v>
      </c>
      <c r="H1030" s="78" t="b">
        <f>IF(VLOOKUP(C1030,Projetos!A:L,12,false)=TRUE,TRUE,FALSE)</f>
        <v>1</v>
      </c>
      <c r="I1030" s="68">
        <v>161.35394427226808</v>
      </c>
      <c r="J1030" s="68">
        <f t="shared" si="1"/>
        <v>80.67697214</v>
      </c>
      <c r="K1030" s="68" t="b">
        <v>1</v>
      </c>
    </row>
    <row r="1031" hidden="1">
      <c r="A1031" s="75">
        <v>1025.0</v>
      </c>
      <c r="B1031" s="62" t="s">
        <v>591</v>
      </c>
      <c r="C1031" s="62" t="s">
        <v>83</v>
      </c>
      <c r="D1031" s="62" t="s">
        <v>715</v>
      </c>
      <c r="E1031" s="76">
        <v>44144.0</v>
      </c>
      <c r="F1031" s="77">
        <v>0.041666666666666664</v>
      </c>
      <c r="G1031" s="62" t="b">
        <v>0</v>
      </c>
      <c r="H1031" s="78" t="b">
        <f>IF(VLOOKUP(C1031,Projetos!A:L,12,false)=TRUE,TRUE,FALSE)</f>
        <v>0</v>
      </c>
      <c r="I1031" s="68">
        <v>161.35394427226808</v>
      </c>
      <c r="J1031" s="68">
        <f t="shared" si="1"/>
        <v>0</v>
      </c>
      <c r="K1031" s="68" t="b">
        <v>0</v>
      </c>
    </row>
    <row r="1032" hidden="1">
      <c r="A1032" s="75">
        <v>1026.0</v>
      </c>
      <c r="B1032" s="62" t="s">
        <v>591</v>
      </c>
      <c r="C1032" s="62" t="s">
        <v>108</v>
      </c>
      <c r="D1032" s="62" t="s">
        <v>716</v>
      </c>
      <c r="E1032" s="76">
        <v>44154.0</v>
      </c>
      <c r="F1032" s="77">
        <v>0.0625</v>
      </c>
      <c r="G1032" s="62" t="b">
        <v>0</v>
      </c>
      <c r="H1032" s="78" t="b">
        <f>IF(VLOOKUP(C1032,Projetos!A:L,12,false)=TRUE,TRUE,FALSE)</f>
        <v>1</v>
      </c>
      <c r="I1032" s="68">
        <v>161.35394427226808</v>
      </c>
      <c r="J1032" s="68">
        <f t="shared" si="1"/>
        <v>0</v>
      </c>
      <c r="K1032" s="68" t="b">
        <v>1</v>
      </c>
    </row>
    <row r="1033">
      <c r="A1033" s="75">
        <v>1027.0</v>
      </c>
      <c r="B1033" s="62" t="s">
        <v>591</v>
      </c>
      <c r="C1033" s="62" t="s">
        <v>116</v>
      </c>
      <c r="D1033" s="62" t="s">
        <v>717</v>
      </c>
      <c r="E1033" s="76">
        <v>44158.0</v>
      </c>
      <c r="F1033" s="77">
        <v>0.020833333333333332</v>
      </c>
      <c r="G1033" s="62" t="b">
        <v>1</v>
      </c>
      <c r="H1033" s="78" t="b">
        <f>IF(VLOOKUP(C1033,Projetos!A:L,12,false)=TRUE,TRUE,FALSE)</f>
        <v>1</v>
      </c>
      <c r="I1033" s="68">
        <v>161.35394427226808</v>
      </c>
      <c r="J1033" s="68">
        <f t="shared" si="1"/>
        <v>80.67697214</v>
      </c>
      <c r="K1033" s="68" t="b">
        <v>1</v>
      </c>
    </row>
    <row r="1034" hidden="1">
      <c r="A1034" s="75">
        <v>1028.0</v>
      </c>
      <c r="B1034" s="62" t="s">
        <v>591</v>
      </c>
      <c r="C1034" s="62" t="s">
        <v>108</v>
      </c>
      <c r="D1034" s="62" t="s">
        <v>718</v>
      </c>
      <c r="E1034" s="76">
        <v>44158.0</v>
      </c>
      <c r="F1034" s="77">
        <v>0.041666666666666664</v>
      </c>
      <c r="G1034" s="62" t="b">
        <v>0</v>
      </c>
      <c r="H1034" s="78" t="b">
        <f>IF(VLOOKUP(C1034,Projetos!A:L,12,false)=TRUE,TRUE,FALSE)</f>
        <v>1</v>
      </c>
      <c r="I1034" s="68">
        <v>161.35394427226808</v>
      </c>
      <c r="J1034" s="68">
        <f t="shared" si="1"/>
        <v>0</v>
      </c>
      <c r="K1034" s="68" t="b">
        <v>1</v>
      </c>
    </row>
    <row r="1035">
      <c r="A1035" s="75">
        <v>1029.0</v>
      </c>
      <c r="B1035" s="62" t="s">
        <v>591</v>
      </c>
      <c r="C1035" s="62" t="s">
        <v>90</v>
      </c>
      <c r="D1035" s="62" t="s">
        <v>719</v>
      </c>
      <c r="E1035" s="76">
        <v>44159.0</v>
      </c>
      <c r="F1035" s="77">
        <v>0.041666666666666664</v>
      </c>
      <c r="G1035" s="62" t="b">
        <v>1</v>
      </c>
      <c r="H1035" s="78" t="b">
        <f>IF(VLOOKUP(C1035,Projetos!A:L,12,false)=TRUE,TRUE,FALSE)</f>
        <v>1</v>
      </c>
      <c r="I1035" s="68">
        <v>161.35394427226808</v>
      </c>
      <c r="J1035" s="68">
        <f t="shared" si="1"/>
        <v>161.3539443</v>
      </c>
      <c r="K1035" s="68" t="b">
        <v>1</v>
      </c>
    </row>
    <row r="1036">
      <c r="A1036" s="75">
        <v>1030.0</v>
      </c>
      <c r="B1036" s="62" t="s">
        <v>591</v>
      </c>
      <c r="C1036" s="62" t="s">
        <v>116</v>
      </c>
      <c r="D1036" s="62" t="s">
        <v>720</v>
      </c>
      <c r="E1036" s="76">
        <v>44160.0</v>
      </c>
      <c r="F1036" s="77">
        <v>0.020833333333333332</v>
      </c>
      <c r="G1036" s="62" t="b">
        <v>1</v>
      </c>
      <c r="H1036" s="78" t="b">
        <f>IF(VLOOKUP(C1036,Projetos!A:L,12,false)=TRUE,TRUE,FALSE)</f>
        <v>1</v>
      </c>
      <c r="I1036" s="68">
        <v>161.35394427226808</v>
      </c>
      <c r="J1036" s="68">
        <f t="shared" si="1"/>
        <v>80.67697214</v>
      </c>
      <c r="K1036" s="68" t="b">
        <v>1</v>
      </c>
    </row>
    <row r="1037">
      <c r="A1037" s="75">
        <v>1031.0</v>
      </c>
      <c r="B1037" s="62" t="s">
        <v>591</v>
      </c>
      <c r="C1037" s="62" t="s">
        <v>138</v>
      </c>
      <c r="D1037" s="62" t="s">
        <v>721</v>
      </c>
      <c r="E1037" s="76">
        <v>44160.0</v>
      </c>
      <c r="F1037" s="77">
        <v>0.0625</v>
      </c>
      <c r="G1037" s="62" t="b">
        <v>1</v>
      </c>
      <c r="H1037" s="78" t="b">
        <f>IF(VLOOKUP(C1037,Projetos!A:L,12,false)=TRUE,TRUE,FALSE)</f>
        <v>1</v>
      </c>
      <c r="I1037" s="68">
        <v>161.35394427226808</v>
      </c>
      <c r="J1037" s="68">
        <f t="shared" si="1"/>
        <v>242.0309164</v>
      </c>
      <c r="K1037" s="68" t="b">
        <v>1</v>
      </c>
    </row>
    <row r="1038">
      <c r="A1038" s="75">
        <v>1032.0</v>
      </c>
      <c r="B1038" s="62" t="s">
        <v>591</v>
      </c>
      <c r="C1038" s="62" t="s">
        <v>98</v>
      </c>
      <c r="D1038" s="62" t="s">
        <v>722</v>
      </c>
      <c r="E1038" s="76">
        <v>44161.0</v>
      </c>
      <c r="F1038" s="77">
        <v>0.041666666666666664</v>
      </c>
      <c r="G1038" s="62" t="b">
        <v>1</v>
      </c>
      <c r="H1038" s="78" t="b">
        <f>IF(VLOOKUP(C1038,Projetos!A:L,12,false)=TRUE,TRUE,FALSE)</f>
        <v>1</v>
      </c>
      <c r="I1038" s="68">
        <v>161.35394427226808</v>
      </c>
      <c r="J1038" s="68">
        <f t="shared" si="1"/>
        <v>161.3539443</v>
      </c>
      <c r="K1038" s="68" t="b">
        <v>1</v>
      </c>
    </row>
    <row r="1039" hidden="1">
      <c r="A1039" s="75">
        <v>1033.0</v>
      </c>
      <c r="B1039" s="62" t="s">
        <v>591</v>
      </c>
      <c r="C1039" s="62" t="s">
        <v>108</v>
      </c>
      <c r="D1039" s="62" t="s">
        <v>723</v>
      </c>
      <c r="E1039" s="76">
        <v>44151.0</v>
      </c>
      <c r="F1039" s="77">
        <v>0.020833333333333332</v>
      </c>
      <c r="G1039" s="62" t="b">
        <v>0</v>
      </c>
      <c r="H1039" s="78" t="b">
        <f>IF(VLOOKUP(C1039,Projetos!A:L,12,false)=TRUE,TRUE,FALSE)</f>
        <v>1</v>
      </c>
      <c r="I1039" s="68">
        <v>161.35394427226808</v>
      </c>
      <c r="J1039" s="68">
        <f t="shared" si="1"/>
        <v>0</v>
      </c>
      <c r="K1039" s="68" t="b">
        <v>1</v>
      </c>
    </row>
    <row r="1040">
      <c r="A1040" s="75">
        <v>1034.0</v>
      </c>
      <c r="B1040" s="62" t="s">
        <v>591</v>
      </c>
      <c r="C1040" s="62" t="s">
        <v>104</v>
      </c>
      <c r="D1040" s="62" t="s">
        <v>724</v>
      </c>
      <c r="E1040" s="76">
        <v>44166.0</v>
      </c>
      <c r="F1040" s="77">
        <v>0.041666666666666664</v>
      </c>
      <c r="G1040" s="62" t="b">
        <v>1</v>
      </c>
      <c r="H1040" s="78" t="b">
        <f>IF(VLOOKUP(C1040,Projetos!A:L,12,false)=TRUE,TRUE,FALSE)</f>
        <v>1</v>
      </c>
      <c r="I1040" s="68">
        <v>169.0374654280904</v>
      </c>
      <c r="J1040" s="68">
        <f t="shared" si="1"/>
        <v>169.0374654</v>
      </c>
      <c r="K1040" s="68" t="b">
        <v>1</v>
      </c>
    </row>
    <row r="1041" hidden="1">
      <c r="A1041" s="75">
        <v>1035.0</v>
      </c>
      <c r="B1041" s="62" t="s">
        <v>591</v>
      </c>
      <c r="C1041" s="62" t="s">
        <v>108</v>
      </c>
      <c r="D1041" s="62" t="s">
        <v>725</v>
      </c>
      <c r="E1041" s="76">
        <v>44169.0</v>
      </c>
      <c r="F1041" s="77">
        <v>0.020833333333333332</v>
      </c>
      <c r="G1041" s="62" t="b">
        <v>1</v>
      </c>
      <c r="H1041" s="78" t="b">
        <f>IF(VLOOKUP(C1041,Projetos!A:L,12,false)=TRUE,TRUE,FALSE)</f>
        <v>1</v>
      </c>
      <c r="I1041" s="68">
        <v>169.0374654280904</v>
      </c>
      <c r="J1041" s="68">
        <f t="shared" si="1"/>
        <v>84.51873271</v>
      </c>
      <c r="K1041" s="68" t="b">
        <v>1</v>
      </c>
    </row>
    <row r="1042">
      <c r="A1042" s="75">
        <v>1036.0</v>
      </c>
      <c r="B1042" s="62" t="s">
        <v>591</v>
      </c>
      <c r="C1042" s="62" t="s">
        <v>90</v>
      </c>
      <c r="D1042" s="62" t="s">
        <v>726</v>
      </c>
      <c r="E1042" s="76">
        <v>44169.0</v>
      </c>
      <c r="F1042" s="77">
        <v>0.08333333333333333</v>
      </c>
      <c r="G1042" s="62" t="b">
        <v>1</v>
      </c>
      <c r="H1042" s="78" t="b">
        <f>IF(VLOOKUP(C1042,Projetos!A:L,12,false)=TRUE,TRUE,FALSE)</f>
        <v>1</v>
      </c>
      <c r="I1042" s="68">
        <v>169.0374654280904</v>
      </c>
      <c r="J1042" s="68">
        <f t="shared" si="1"/>
        <v>338.0749309</v>
      </c>
      <c r="K1042" s="68" t="b">
        <v>1</v>
      </c>
    </row>
    <row r="1043">
      <c r="A1043" s="75">
        <v>1037.0</v>
      </c>
      <c r="B1043" s="62" t="s">
        <v>591</v>
      </c>
      <c r="C1043" s="62" t="s">
        <v>90</v>
      </c>
      <c r="D1043" s="62" t="s">
        <v>727</v>
      </c>
      <c r="E1043" s="76">
        <v>44172.0</v>
      </c>
      <c r="F1043" s="77">
        <v>0.020833333333333332</v>
      </c>
      <c r="G1043" s="62" t="b">
        <v>1</v>
      </c>
      <c r="H1043" s="78" t="b">
        <f>IF(VLOOKUP(C1043,Projetos!A:L,12,false)=TRUE,TRUE,FALSE)</f>
        <v>1</v>
      </c>
      <c r="I1043" s="68">
        <v>169.0374654280904</v>
      </c>
      <c r="J1043" s="68">
        <f t="shared" si="1"/>
        <v>84.51873271</v>
      </c>
      <c r="K1043" s="68" t="b">
        <v>1</v>
      </c>
    </row>
    <row r="1044">
      <c r="A1044" s="75">
        <v>1038.0</v>
      </c>
      <c r="B1044" s="62" t="s">
        <v>591</v>
      </c>
      <c r="C1044" s="62" t="s">
        <v>100</v>
      </c>
      <c r="D1044" s="62" t="s">
        <v>728</v>
      </c>
      <c r="E1044" s="76">
        <v>44172.0</v>
      </c>
      <c r="F1044" s="77">
        <v>0.0625</v>
      </c>
      <c r="G1044" s="62" t="b">
        <v>1</v>
      </c>
      <c r="H1044" s="78" t="b">
        <f>IF(VLOOKUP(C1044,Projetos!A:L,12,false)=TRUE,TRUE,FALSE)</f>
        <v>1</v>
      </c>
      <c r="I1044" s="68">
        <v>169.0374654280904</v>
      </c>
      <c r="J1044" s="68">
        <f t="shared" si="1"/>
        <v>253.5561981</v>
      </c>
      <c r="K1044" s="68" t="b">
        <v>1</v>
      </c>
    </row>
    <row r="1045">
      <c r="A1045" s="75">
        <v>1039.0</v>
      </c>
      <c r="B1045" s="62" t="s">
        <v>591</v>
      </c>
      <c r="C1045" s="62" t="s">
        <v>101</v>
      </c>
      <c r="D1045" s="62" t="s">
        <v>729</v>
      </c>
      <c r="E1045" s="76">
        <v>44172.0</v>
      </c>
      <c r="F1045" s="77">
        <v>0.041666666666666664</v>
      </c>
      <c r="G1045" s="62" t="b">
        <v>1</v>
      </c>
      <c r="H1045" s="78" t="b">
        <f>IF(VLOOKUP(C1045,Projetos!A:L,12,false)=TRUE,TRUE,FALSE)</f>
        <v>1</v>
      </c>
      <c r="I1045" s="68">
        <v>169.0374654280904</v>
      </c>
      <c r="J1045" s="68">
        <f t="shared" si="1"/>
        <v>169.0374654</v>
      </c>
      <c r="K1045" s="68" t="b">
        <v>1</v>
      </c>
    </row>
    <row r="1046">
      <c r="A1046" s="75">
        <v>1040.0</v>
      </c>
      <c r="B1046" s="62" t="s">
        <v>591</v>
      </c>
      <c r="C1046" s="62" t="s">
        <v>89</v>
      </c>
      <c r="D1046" s="62" t="s">
        <v>730</v>
      </c>
      <c r="E1046" s="76">
        <v>44172.0</v>
      </c>
      <c r="F1046" s="77">
        <v>0.041666666666666664</v>
      </c>
      <c r="G1046" s="62" t="b">
        <v>1</v>
      </c>
      <c r="H1046" s="78" t="b">
        <f>IF(VLOOKUP(C1046,Projetos!A:L,12,false)=TRUE,TRUE,FALSE)</f>
        <v>1</v>
      </c>
      <c r="I1046" s="68">
        <v>169.0374654280904</v>
      </c>
      <c r="J1046" s="68">
        <f t="shared" si="1"/>
        <v>169.0374654</v>
      </c>
      <c r="K1046" s="68" t="b">
        <v>1</v>
      </c>
    </row>
    <row r="1047" hidden="1">
      <c r="A1047" s="75">
        <v>1041.0</v>
      </c>
      <c r="B1047" s="62" t="s">
        <v>591</v>
      </c>
      <c r="C1047" s="62" t="s">
        <v>83</v>
      </c>
      <c r="D1047" s="62" t="s">
        <v>731</v>
      </c>
      <c r="E1047" s="76">
        <v>44173.0</v>
      </c>
      <c r="F1047" s="77">
        <v>0.020833333333333332</v>
      </c>
      <c r="G1047" s="62" t="b">
        <v>0</v>
      </c>
      <c r="H1047" s="78" t="b">
        <f>IF(VLOOKUP(C1047,Projetos!A:L,12,false)=TRUE,TRUE,FALSE)</f>
        <v>0</v>
      </c>
      <c r="I1047" s="68">
        <v>169.0374654280904</v>
      </c>
      <c r="J1047" s="68">
        <f t="shared" si="1"/>
        <v>0</v>
      </c>
      <c r="K1047" s="68" t="b">
        <v>0</v>
      </c>
    </row>
    <row r="1048">
      <c r="A1048" s="75">
        <v>1042.0</v>
      </c>
      <c r="B1048" s="62" t="s">
        <v>591</v>
      </c>
      <c r="C1048" s="62" t="s">
        <v>104</v>
      </c>
      <c r="D1048" s="62" t="s">
        <v>732</v>
      </c>
      <c r="E1048" s="76">
        <v>44174.0</v>
      </c>
      <c r="F1048" s="77">
        <v>0.0625</v>
      </c>
      <c r="G1048" s="62" t="b">
        <v>1</v>
      </c>
      <c r="H1048" s="78" t="b">
        <f>IF(VLOOKUP(C1048,Projetos!A:L,12,false)=TRUE,TRUE,FALSE)</f>
        <v>1</v>
      </c>
      <c r="I1048" s="68">
        <v>169.0374654280904</v>
      </c>
      <c r="J1048" s="68">
        <f t="shared" si="1"/>
        <v>253.5561981</v>
      </c>
      <c r="K1048" s="68" t="b">
        <v>1</v>
      </c>
    </row>
    <row r="1049">
      <c r="A1049" s="75">
        <v>1043.0</v>
      </c>
      <c r="B1049" s="62" t="s">
        <v>591</v>
      </c>
      <c r="C1049" s="62" t="s">
        <v>101</v>
      </c>
      <c r="D1049" s="62" t="s">
        <v>733</v>
      </c>
      <c r="E1049" s="76">
        <v>44174.0</v>
      </c>
      <c r="F1049" s="77">
        <v>0.041666666666666664</v>
      </c>
      <c r="G1049" s="62" t="b">
        <v>1</v>
      </c>
      <c r="H1049" s="78" t="b">
        <f>IF(VLOOKUP(C1049,Projetos!A:L,12,false)=TRUE,TRUE,FALSE)</f>
        <v>1</v>
      </c>
      <c r="I1049" s="68">
        <v>169.0374654280904</v>
      </c>
      <c r="J1049" s="68">
        <f t="shared" si="1"/>
        <v>169.0374654</v>
      </c>
      <c r="K1049" s="68" t="b">
        <v>1</v>
      </c>
    </row>
    <row r="1050">
      <c r="A1050" s="75">
        <v>1044.0</v>
      </c>
      <c r="B1050" s="62" t="s">
        <v>591</v>
      </c>
      <c r="C1050" s="62" t="s">
        <v>138</v>
      </c>
      <c r="D1050" s="62" t="s">
        <v>734</v>
      </c>
      <c r="E1050" s="76">
        <v>44175.0</v>
      </c>
      <c r="F1050" s="77">
        <v>0.041666666666666664</v>
      </c>
      <c r="G1050" s="62" t="b">
        <v>1</v>
      </c>
      <c r="H1050" s="78" t="b">
        <f>IF(VLOOKUP(C1050,Projetos!A:L,12,false)=TRUE,TRUE,FALSE)</f>
        <v>1</v>
      </c>
      <c r="I1050" s="68">
        <v>169.0374654280904</v>
      </c>
      <c r="J1050" s="68">
        <f t="shared" si="1"/>
        <v>169.0374654</v>
      </c>
      <c r="K1050" s="68" t="b">
        <v>1</v>
      </c>
    </row>
    <row r="1051">
      <c r="A1051" s="75">
        <v>1045.0</v>
      </c>
      <c r="B1051" s="62" t="s">
        <v>591</v>
      </c>
      <c r="C1051" s="62" t="s">
        <v>97</v>
      </c>
      <c r="D1051" s="62" t="s">
        <v>735</v>
      </c>
      <c r="E1051" s="76">
        <v>44179.0</v>
      </c>
      <c r="F1051" s="77">
        <v>0.041666666666666664</v>
      </c>
      <c r="G1051" s="62" t="b">
        <v>1</v>
      </c>
      <c r="H1051" s="78" t="b">
        <f>IF(VLOOKUP(C1051,Projetos!A:L,12,false)=TRUE,TRUE,FALSE)</f>
        <v>1</v>
      </c>
      <c r="I1051" s="68">
        <v>169.0374654280904</v>
      </c>
      <c r="J1051" s="68">
        <f t="shared" si="1"/>
        <v>169.0374654</v>
      </c>
      <c r="K1051" s="68" t="b">
        <v>1</v>
      </c>
    </row>
    <row r="1052" hidden="1">
      <c r="A1052" s="75">
        <v>1046.0</v>
      </c>
      <c r="B1052" s="62" t="s">
        <v>591</v>
      </c>
      <c r="C1052" s="62" t="s">
        <v>83</v>
      </c>
      <c r="D1052" s="62" t="s">
        <v>736</v>
      </c>
      <c r="E1052" s="76">
        <v>44179.0</v>
      </c>
      <c r="F1052" s="77">
        <v>0.020833333333333332</v>
      </c>
      <c r="G1052" s="62" t="b">
        <v>0</v>
      </c>
      <c r="H1052" s="78" t="b">
        <f>IF(VLOOKUP(C1052,Projetos!A:L,12,false)=TRUE,TRUE,FALSE)</f>
        <v>0</v>
      </c>
      <c r="I1052" s="68">
        <v>169.0374654280904</v>
      </c>
      <c r="J1052" s="68">
        <f t="shared" si="1"/>
        <v>0</v>
      </c>
      <c r="K1052" s="68" t="b">
        <v>0</v>
      </c>
    </row>
    <row r="1053" hidden="1">
      <c r="A1053" s="75">
        <v>1047.0</v>
      </c>
      <c r="B1053" s="62" t="s">
        <v>591</v>
      </c>
      <c r="C1053" s="62" t="s">
        <v>83</v>
      </c>
      <c r="D1053" s="62" t="s">
        <v>737</v>
      </c>
      <c r="E1053" s="76">
        <v>44180.0</v>
      </c>
      <c r="F1053" s="77">
        <v>0.041666666666666664</v>
      </c>
      <c r="G1053" s="62" t="b">
        <v>0</v>
      </c>
      <c r="H1053" s="78" t="b">
        <f>IF(VLOOKUP(C1053,Projetos!A:L,12,false)=TRUE,TRUE,FALSE)</f>
        <v>0</v>
      </c>
      <c r="I1053" s="68">
        <v>169.0374654280904</v>
      </c>
      <c r="J1053" s="68">
        <f t="shared" si="1"/>
        <v>0</v>
      </c>
      <c r="K1053" s="68" t="b">
        <v>0</v>
      </c>
    </row>
    <row r="1054" hidden="1">
      <c r="A1054" s="75">
        <v>1048.0</v>
      </c>
      <c r="B1054" s="62" t="s">
        <v>591</v>
      </c>
      <c r="C1054" s="62" t="s">
        <v>108</v>
      </c>
      <c r="D1054" s="62" t="s">
        <v>738</v>
      </c>
      <c r="E1054" s="76">
        <v>44180.0</v>
      </c>
      <c r="F1054" s="77">
        <v>0.041666666666666664</v>
      </c>
      <c r="G1054" s="62" t="b">
        <v>1</v>
      </c>
      <c r="H1054" s="78" t="b">
        <f>IF(VLOOKUP(C1054,Projetos!A:L,12,false)=TRUE,TRUE,FALSE)</f>
        <v>1</v>
      </c>
      <c r="I1054" s="68">
        <v>169.0374654280904</v>
      </c>
      <c r="J1054" s="68">
        <f t="shared" si="1"/>
        <v>169.0374654</v>
      </c>
      <c r="K1054" s="68" t="b">
        <v>1</v>
      </c>
    </row>
    <row r="1055">
      <c r="A1055" s="75">
        <v>1049.0</v>
      </c>
      <c r="B1055" s="62" t="s">
        <v>591</v>
      </c>
      <c r="C1055" s="62" t="s">
        <v>101</v>
      </c>
      <c r="D1055" s="62" t="s">
        <v>739</v>
      </c>
      <c r="E1055" s="76">
        <v>44182.0</v>
      </c>
      <c r="F1055" s="77">
        <v>0.041666666666666664</v>
      </c>
      <c r="G1055" s="62" t="b">
        <v>1</v>
      </c>
      <c r="H1055" s="78" t="b">
        <f>IF(VLOOKUP(C1055,Projetos!A:L,12,false)=TRUE,TRUE,FALSE)</f>
        <v>1</v>
      </c>
      <c r="I1055" s="68">
        <v>169.0374654280904</v>
      </c>
      <c r="J1055" s="68">
        <f t="shared" si="1"/>
        <v>169.0374654</v>
      </c>
      <c r="K1055" s="68" t="b">
        <v>1</v>
      </c>
    </row>
    <row r="1056" hidden="1">
      <c r="A1056" s="75">
        <v>1050.0</v>
      </c>
      <c r="B1056" s="62" t="s">
        <v>591</v>
      </c>
      <c r="C1056" s="62" t="s">
        <v>83</v>
      </c>
      <c r="D1056" s="62" t="s">
        <v>740</v>
      </c>
      <c r="E1056" s="76">
        <v>44182.0</v>
      </c>
      <c r="F1056" s="77">
        <v>0.0625</v>
      </c>
      <c r="G1056" s="62" t="b">
        <v>0</v>
      </c>
      <c r="H1056" s="78" t="b">
        <f>IF(VLOOKUP(C1056,Projetos!A:L,12,false)=TRUE,TRUE,FALSE)</f>
        <v>0</v>
      </c>
      <c r="I1056" s="68">
        <v>169.0374654280904</v>
      </c>
      <c r="J1056" s="68">
        <f t="shared" si="1"/>
        <v>0</v>
      </c>
      <c r="K1056" s="68" t="b">
        <v>0</v>
      </c>
    </row>
    <row r="1057" hidden="1">
      <c r="A1057" s="75">
        <v>1051.0</v>
      </c>
      <c r="B1057" s="62" t="s">
        <v>591</v>
      </c>
      <c r="C1057" s="62" t="s">
        <v>83</v>
      </c>
      <c r="D1057" s="62" t="s">
        <v>741</v>
      </c>
      <c r="E1057" s="76">
        <v>44186.0</v>
      </c>
      <c r="F1057" s="77">
        <v>0.0625</v>
      </c>
      <c r="G1057" s="62" t="b">
        <v>0</v>
      </c>
      <c r="H1057" s="78" t="b">
        <f>IF(VLOOKUP(C1057,Projetos!A:L,12,false)=TRUE,TRUE,FALSE)</f>
        <v>0</v>
      </c>
      <c r="I1057" s="68">
        <v>169.0374654280904</v>
      </c>
      <c r="J1057" s="68">
        <f t="shared" si="1"/>
        <v>0</v>
      </c>
      <c r="K1057" s="68" t="b">
        <v>0</v>
      </c>
    </row>
    <row r="1058" hidden="1">
      <c r="A1058" s="75">
        <v>1052.0</v>
      </c>
      <c r="B1058" s="62" t="s">
        <v>591</v>
      </c>
      <c r="C1058" s="62" t="s">
        <v>117</v>
      </c>
      <c r="D1058" s="62" t="s">
        <v>742</v>
      </c>
      <c r="E1058" s="76">
        <v>44194.0</v>
      </c>
      <c r="F1058" s="77">
        <v>0.08333333333333333</v>
      </c>
      <c r="G1058" s="62" t="b">
        <v>0</v>
      </c>
      <c r="H1058" s="78" t="b">
        <f>IF(VLOOKUP(C1058,Projetos!A:L,12,false)=TRUE,TRUE,FALSE)</f>
        <v>0</v>
      </c>
      <c r="I1058" s="68">
        <v>169.0374654280904</v>
      </c>
      <c r="J1058" s="68">
        <f t="shared" si="1"/>
        <v>0</v>
      </c>
      <c r="K1058" s="68" t="b">
        <v>0</v>
      </c>
    </row>
    <row r="1059" hidden="1">
      <c r="A1059" s="75">
        <v>1053.0</v>
      </c>
      <c r="B1059" s="62" t="s">
        <v>591</v>
      </c>
      <c r="C1059" s="62" t="s">
        <v>83</v>
      </c>
      <c r="D1059" s="62" t="s">
        <v>743</v>
      </c>
      <c r="E1059" s="76"/>
      <c r="F1059" s="77">
        <v>0.0625</v>
      </c>
      <c r="G1059" s="62" t="b">
        <v>0</v>
      </c>
      <c r="H1059" s="78" t="b">
        <f>IF(VLOOKUP(C1059,Projetos!A:L,12,false)=TRUE,TRUE,FALSE)</f>
        <v>0</v>
      </c>
      <c r="I1059" s="68">
        <v>169.0374654280904</v>
      </c>
      <c r="J1059" s="68">
        <f t="shared" si="1"/>
        <v>0</v>
      </c>
      <c r="K1059" s="68" t="b">
        <v>0</v>
      </c>
    </row>
    <row r="1060">
      <c r="A1060" s="75">
        <v>1054.0</v>
      </c>
      <c r="B1060" s="62" t="s">
        <v>744</v>
      </c>
      <c r="C1060" s="62" t="s">
        <v>110</v>
      </c>
      <c r="D1060" s="62" t="s">
        <v>745</v>
      </c>
      <c r="E1060" s="76">
        <v>43895.0</v>
      </c>
      <c r="F1060" s="77">
        <v>0.1875</v>
      </c>
      <c r="G1060" s="62" t="b">
        <v>1</v>
      </c>
      <c r="H1060" s="78" t="b">
        <f>IF(VLOOKUP(C1060,Projetos!A:L,12,false)=TRUE,TRUE,FALSE)</f>
        <v>1</v>
      </c>
      <c r="I1060" s="68">
        <v>29.312396449615196</v>
      </c>
      <c r="J1060" s="68">
        <f t="shared" si="1"/>
        <v>131.905784</v>
      </c>
      <c r="K1060" s="68" t="b">
        <v>1</v>
      </c>
    </row>
    <row r="1061">
      <c r="A1061" s="75">
        <v>1055.0</v>
      </c>
      <c r="B1061" s="62" t="s">
        <v>744</v>
      </c>
      <c r="C1061" s="62" t="s">
        <v>110</v>
      </c>
      <c r="D1061" s="62" t="s">
        <v>745</v>
      </c>
      <c r="E1061" s="76">
        <v>43896.0</v>
      </c>
      <c r="F1061" s="77">
        <v>0.16666666666666666</v>
      </c>
      <c r="G1061" s="62" t="b">
        <v>1</v>
      </c>
      <c r="H1061" s="78" t="b">
        <f>IF(VLOOKUP(C1061,Projetos!A:L,12,false)=TRUE,TRUE,FALSE)</f>
        <v>1</v>
      </c>
      <c r="I1061" s="68">
        <v>29.312396449615196</v>
      </c>
      <c r="J1061" s="68">
        <f t="shared" si="1"/>
        <v>117.2495858</v>
      </c>
      <c r="K1061" s="68" t="b">
        <v>1</v>
      </c>
    </row>
    <row r="1062">
      <c r="A1062" s="75">
        <v>1056.0</v>
      </c>
      <c r="B1062" s="62" t="s">
        <v>744</v>
      </c>
      <c r="C1062" s="62" t="s">
        <v>110</v>
      </c>
      <c r="D1062" s="62" t="s">
        <v>745</v>
      </c>
      <c r="E1062" s="76">
        <v>43901.0</v>
      </c>
      <c r="F1062" s="77">
        <v>0.1875</v>
      </c>
      <c r="G1062" s="62" t="b">
        <v>1</v>
      </c>
      <c r="H1062" s="78" t="b">
        <f>IF(VLOOKUP(C1062,Projetos!A:L,12,false)=TRUE,TRUE,FALSE)</f>
        <v>1</v>
      </c>
      <c r="I1062" s="68">
        <v>29.312396449615196</v>
      </c>
      <c r="J1062" s="68">
        <f t="shared" si="1"/>
        <v>131.905784</v>
      </c>
      <c r="K1062" s="68" t="b">
        <v>1</v>
      </c>
    </row>
    <row r="1063">
      <c r="A1063" s="75">
        <v>1057.0</v>
      </c>
      <c r="B1063" s="62" t="s">
        <v>744</v>
      </c>
      <c r="C1063" s="62" t="s">
        <v>110</v>
      </c>
      <c r="D1063" s="62" t="s">
        <v>745</v>
      </c>
      <c r="E1063" s="76">
        <v>43903.0</v>
      </c>
      <c r="F1063" s="77">
        <v>0.10416666666666667</v>
      </c>
      <c r="G1063" s="62" t="b">
        <v>1</v>
      </c>
      <c r="H1063" s="78" t="b">
        <f>IF(VLOOKUP(C1063,Projetos!A:L,12,false)=TRUE,TRUE,FALSE)</f>
        <v>1</v>
      </c>
      <c r="I1063" s="68">
        <v>29.312396449615196</v>
      </c>
      <c r="J1063" s="68">
        <f t="shared" si="1"/>
        <v>73.28099112</v>
      </c>
      <c r="K1063" s="68" t="b">
        <v>1</v>
      </c>
    </row>
    <row r="1064">
      <c r="A1064" s="75">
        <v>1058.0</v>
      </c>
      <c r="B1064" s="62" t="s">
        <v>744</v>
      </c>
      <c r="C1064" s="62" t="s">
        <v>110</v>
      </c>
      <c r="D1064" s="62" t="s">
        <v>745</v>
      </c>
      <c r="E1064" s="76">
        <v>43903.0</v>
      </c>
      <c r="F1064" s="77">
        <v>0.08333333333333333</v>
      </c>
      <c r="G1064" s="62" t="b">
        <v>1</v>
      </c>
      <c r="H1064" s="78" t="b">
        <f>IF(VLOOKUP(C1064,Projetos!A:L,12,false)=TRUE,TRUE,FALSE)</f>
        <v>1</v>
      </c>
      <c r="I1064" s="68">
        <v>29.312396449615196</v>
      </c>
      <c r="J1064" s="68">
        <f t="shared" si="1"/>
        <v>58.6247929</v>
      </c>
      <c r="K1064" s="68" t="b">
        <v>1</v>
      </c>
    </row>
    <row r="1065">
      <c r="A1065" s="75">
        <v>1059.0</v>
      </c>
      <c r="B1065" s="62" t="s">
        <v>744</v>
      </c>
      <c r="C1065" s="62" t="s">
        <v>104</v>
      </c>
      <c r="D1065" s="62" t="s">
        <v>746</v>
      </c>
      <c r="E1065" s="76">
        <v>43907.0</v>
      </c>
      <c r="F1065" s="77">
        <v>0.041666666666666664</v>
      </c>
      <c r="G1065" s="62" t="b">
        <v>1</v>
      </c>
      <c r="H1065" s="78" t="b">
        <f>IF(VLOOKUP(C1065,Projetos!A:L,12,false)=TRUE,TRUE,FALSE)</f>
        <v>1</v>
      </c>
      <c r="I1065" s="68">
        <v>29.312396449615196</v>
      </c>
      <c r="J1065" s="68">
        <f t="shared" si="1"/>
        <v>29.31239645</v>
      </c>
      <c r="K1065" s="68" t="b">
        <v>1</v>
      </c>
    </row>
    <row r="1066">
      <c r="A1066" s="75">
        <v>1060.0</v>
      </c>
      <c r="B1066" s="62" t="s">
        <v>744</v>
      </c>
      <c r="C1066" s="62" t="s">
        <v>104</v>
      </c>
      <c r="D1066" s="62" t="s">
        <v>746</v>
      </c>
      <c r="E1066" s="76">
        <v>43908.0</v>
      </c>
      <c r="F1066" s="77">
        <v>0.041666666666666664</v>
      </c>
      <c r="G1066" s="62" t="b">
        <v>1</v>
      </c>
      <c r="H1066" s="78" t="b">
        <f>IF(VLOOKUP(C1066,Projetos!A:L,12,false)=TRUE,TRUE,FALSE)</f>
        <v>1</v>
      </c>
      <c r="I1066" s="68">
        <v>29.312396449615196</v>
      </c>
      <c r="J1066" s="68">
        <f t="shared" si="1"/>
        <v>29.31239645</v>
      </c>
      <c r="K1066" s="68" t="b">
        <v>1</v>
      </c>
    </row>
    <row r="1067">
      <c r="A1067" s="75">
        <v>1061.0</v>
      </c>
      <c r="B1067" s="62" t="s">
        <v>744</v>
      </c>
      <c r="C1067" s="62" t="s">
        <v>104</v>
      </c>
      <c r="D1067" s="62" t="s">
        <v>746</v>
      </c>
      <c r="E1067" s="76">
        <v>43916.0</v>
      </c>
      <c r="F1067" s="77">
        <v>0.041666666666666664</v>
      </c>
      <c r="G1067" s="62" t="b">
        <v>1</v>
      </c>
      <c r="H1067" s="78" t="b">
        <f>IF(VLOOKUP(C1067,Projetos!A:L,12,false)=TRUE,TRUE,FALSE)</f>
        <v>1</v>
      </c>
      <c r="I1067" s="68">
        <v>29.312396449615196</v>
      </c>
      <c r="J1067" s="68">
        <f t="shared" si="1"/>
        <v>29.31239645</v>
      </c>
      <c r="K1067" s="68" t="b">
        <v>1</v>
      </c>
    </row>
    <row r="1068">
      <c r="A1068" s="75">
        <v>1062.0</v>
      </c>
      <c r="B1068" s="62" t="s">
        <v>744</v>
      </c>
      <c r="C1068" s="62" t="s">
        <v>104</v>
      </c>
      <c r="D1068" s="62" t="s">
        <v>746</v>
      </c>
      <c r="E1068" s="76">
        <v>43917.0</v>
      </c>
      <c r="F1068" s="77">
        <v>0.03125</v>
      </c>
      <c r="G1068" s="62" t="b">
        <v>1</v>
      </c>
      <c r="H1068" s="78" t="b">
        <f>IF(VLOOKUP(C1068,Projetos!A:L,12,false)=TRUE,TRUE,FALSE)</f>
        <v>1</v>
      </c>
      <c r="I1068" s="68">
        <v>29.312396449615196</v>
      </c>
      <c r="J1068" s="68">
        <f t="shared" si="1"/>
        <v>21.98429734</v>
      </c>
      <c r="K1068" s="68" t="b">
        <v>1</v>
      </c>
    </row>
    <row r="1069">
      <c r="A1069" s="75">
        <v>1063.0</v>
      </c>
      <c r="B1069" s="62" t="s">
        <v>744</v>
      </c>
      <c r="C1069" s="62" t="s">
        <v>105</v>
      </c>
      <c r="D1069" s="62" t="s">
        <v>747</v>
      </c>
      <c r="E1069" s="76">
        <v>43910.0</v>
      </c>
      <c r="F1069" s="77">
        <v>0.1875</v>
      </c>
      <c r="G1069" s="62" t="b">
        <v>1</v>
      </c>
      <c r="H1069" s="78" t="b">
        <f>IF(VLOOKUP(C1069,Projetos!A:L,12,false)=TRUE,TRUE,FALSE)</f>
        <v>1</v>
      </c>
      <c r="I1069" s="68">
        <v>29.312396449615196</v>
      </c>
      <c r="J1069" s="68">
        <f t="shared" si="1"/>
        <v>131.905784</v>
      </c>
      <c r="K1069" s="68" t="b">
        <v>1</v>
      </c>
    </row>
    <row r="1070">
      <c r="A1070" s="75">
        <v>1064.0</v>
      </c>
      <c r="B1070" s="62" t="s">
        <v>744</v>
      </c>
      <c r="C1070" s="62" t="s">
        <v>105</v>
      </c>
      <c r="D1070" s="62" t="s">
        <v>747</v>
      </c>
      <c r="E1070" s="76">
        <v>43914.0</v>
      </c>
      <c r="F1070" s="77">
        <v>0.20833333333333334</v>
      </c>
      <c r="G1070" s="62" t="b">
        <v>1</v>
      </c>
      <c r="H1070" s="78" t="b">
        <f>IF(VLOOKUP(C1070,Projetos!A:L,12,false)=TRUE,TRUE,FALSE)</f>
        <v>1</v>
      </c>
      <c r="I1070" s="68">
        <v>29.312396449615196</v>
      </c>
      <c r="J1070" s="68">
        <f t="shared" si="1"/>
        <v>146.5619822</v>
      </c>
      <c r="K1070" s="68" t="b">
        <v>1</v>
      </c>
    </row>
    <row r="1071">
      <c r="A1071" s="75">
        <v>1065.0</v>
      </c>
      <c r="B1071" s="62" t="s">
        <v>744</v>
      </c>
      <c r="C1071" s="62" t="s">
        <v>105</v>
      </c>
      <c r="D1071" s="62" t="s">
        <v>747</v>
      </c>
      <c r="E1071" s="76">
        <v>43916.0</v>
      </c>
      <c r="F1071" s="77">
        <v>0.125</v>
      </c>
      <c r="G1071" s="62" t="b">
        <v>1</v>
      </c>
      <c r="H1071" s="78" t="b">
        <f>IF(VLOOKUP(C1071,Projetos!A:L,12,false)=TRUE,TRUE,FALSE)</f>
        <v>1</v>
      </c>
      <c r="I1071" s="68">
        <v>29.312396449615196</v>
      </c>
      <c r="J1071" s="68">
        <f t="shared" si="1"/>
        <v>87.93718935</v>
      </c>
      <c r="K1071" s="68" t="b">
        <v>1</v>
      </c>
    </row>
    <row r="1072">
      <c r="A1072" s="75">
        <v>1066.0</v>
      </c>
      <c r="B1072" s="62" t="s">
        <v>744</v>
      </c>
      <c r="C1072" s="62" t="s">
        <v>105</v>
      </c>
      <c r="D1072" s="62" t="s">
        <v>747</v>
      </c>
      <c r="E1072" s="76">
        <v>43917.0</v>
      </c>
      <c r="F1072" s="77">
        <v>0.19791666666666666</v>
      </c>
      <c r="G1072" s="62" t="b">
        <v>1</v>
      </c>
      <c r="H1072" s="78" t="b">
        <f>IF(VLOOKUP(C1072,Projetos!A:L,12,false)=TRUE,TRUE,FALSE)</f>
        <v>1</v>
      </c>
      <c r="I1072" s="68">
        <v>29.312396449615196</v>
      </c>
      <c r="J1072" s="68">
        <f t="shared" si="1"/>
        <v>139.2338831</v>
      </c>
      <c r="K1072" s="68" t="b">
        <v>1</v>
      </c>
    </row>
    <row r="1073">
      <c r="A1073" s="75">
        <v>1067.0</v>
      </c>
      <c r="B1073" s="62" t="s">
        <v>744</v>
      </c>
      <c r="C1073" s="62" t="s">
        <v>105</v>
      </c>
      <c r="D1073" s="62" t="s">
        <v>747</v>
      </c>
      <c r="E1073" s="76">
        <v>43920.0</v>
      </c>
      <c r="F1073" s="77">
        <v>0.20833333333333334</v>
      </c>
      <c r="G1073" s="62" t="b">
        <v>1</v>
      </c>
      <c r="H1073" s="78" t="b">
        <f>IF(VLOOKUP(C1073,Projetos!A:L,12,false)=TRUE,TRUE,FALSE)</f>
        <v>1</v>
      </c>
      <c r="I1073" s="68">
        <v>29.312396449615196</v>
      </c>
      <c r="J1073" s="68">
        <f t="shared" si="1"/>
        <v>146.5619822</v>
      </c>
      <c r="K1073" s="68" t="b">
        <v>1</v>
      </c>
    </row>
    <row r="1074">
      <c r="A1074" s="75">
        <v>1068.0</v>
      </c>
      <c r="B1074" s="62" t="s">
        <v>744</v>
      </c>
      <c r="C1074" s="62" t="s">
        <v>105</v>
      </c>
      <c r="D1074" s="62" t="s">
        <v>747</v>
      </c>
      <c r="E1074" s="76">
        <v>43921.0</v>
      </c>
      <c r="F1074" s="77">
        <v>0.15625</v>
      </c>
      <c r="G1074" s="62" t="b">
        <v>1</v>
      </c>
      <c r="H1074" s="78" t="b">
        <f>IF(VLOOKUP(C1074,Projetos!A:L,12,false)=TRUE,TRUE,FALSE)</f>
        <v>1</v>
      </c>
      <c r="I1074" s="68">
        <v>29.312396449615196</v>
      </c>
      <c r="J1074" s="68">
        <f t="shared" si="1"/>
        <v>109.9214867</v>
      </c>
      <c r="K1074" s="68" t="b">
        <v>1</v>
      </c>
    </row>
    <row r="1075">
      <c r="A1075" s="75">
        <v>1069.0</v>
      </c>
      <c r="B1075" s="62" t="s">
        <v>744</v>
      </c>
      <c r="C1075" s="62" t="s">
        <v>105</v>
      </c>
      <c r="D1075" s="62" t="s">
        <v>747</v>
      </c>
      <c r="E1075" s="76">
        <v>43921.0</v>
      </c>
      <c r="F1075" s="77">
        <v>0.20833333333333334</v>
      </c>
      <c r="G1075" s="62" t="b">
        <v>1</v>
      </c>
      <c r="H1075" s="78" t="b">
        <f>IF(VLOOKUP(C1075,Projetos!A:L,12,false)=TRUE,TRUE,FALSE)</f>
        <v>1</v>
      </c>
      <c r="I1075" s="68">
        <v>29.312396449615196</v>
      </c>
      <c r="J1075" s="68">
        <f t="shared" si="1"/>
        <v>146.5619822</v>
      </c>
      <c r="K1075" s="68" t="b">
        <v>1</v>
      </c>
    </row>
    <row r="1076">
      <c r="A1076" s="75">
        <v>1070.0</v>
      </c>
      <c r="B1076" s="62" t="s">
        <v>744</v>
      </c>
      <c r="C1076" s="62" t="s">
        <v>105</v>
      </c>
      <c r="D1076" s="62" t="s">
        <v>747</v>
      </c>
      <c r="E1076" s="76">
        <v>43922.0</v>
      </c>
      <c r="F1076" s="77">
        <v>0.19791666666666666</v>
      </c>
      <c r="G1076" s="62" t="b">
        <v>1</v>
      </c>
      <c r="H1076" s="78" t="b">
        <f>IF(VLOOKUP(C1076,Projetos!A:L,12,false)=TRUE,TRUE,FALSE)</f>
        <v>1</v>
      </c>
      <c r="I1076" s="68">
        <v>27.980014792814504</v>
      </c>
      <c r="J1076" s="68">
        <f t="shared" si="1"/>
        <v>132.9050703</v>
      </c>
      <c r="K1076" s="68" t="b">
        <v>1</v>
      </c>
    </row>
    <row r="1077">
      <c r="A1077" s="75">
        <v>1071.0</v>
      </c>
      <c r="B1077" s="62" t="s">
        <v>744</v>
      </c>
      <c r="C1077" s="62" t="s">
        <v>105</v>
      </c>
      <c r="D1077" s="62" t="s">
        <v>747</v>
      </c>
      <c r="E1077" s="76">
        <v>43923.0</v>
      </c>
      <c r="F1077" s="77">
        <v>0.20833333333333334</v>
      </c>
      <c r="G1077" s="62" t="b">
        <v>1</v>
      </c>
      <c r="H1077" s="78" t="b">
        <f>IF(VLOOKUP(C1077,Projetos!A:L,12,false)=TRUE,TRUE,FALSE)</f>
        <v>1</v>
      </c>
      <c r="I1077" s="68">
        <v>27.980014792814504</v>
      </c>
      <c r="J1077" s="68">
        <f t="shared" si="1"/>
        <v>139.900074</v>
      </c>
      <c r="K1077" s="68" t="b">
        <v>1</v>
      </c>
    </row>
    <row r="1078">
      <c r="A1078" s="75">
        <v>1072.0</v>
      </c>
      <c r="B1078" s="62" t="s">
        <v>744</v>
      </c>
      <c r="C1078" s="62" t="s">
        <v>104</v>
      </c>
      <c r="D1078" s="62" t="s">
        <v>748</v>
      </c>
      <c r="E1078" s="76">
        <v>43928.0</v>
      </c>
      <c r="F1078" s="77">
        <v>0.125</v>
      </c>
      <c r="G1078" s="62" t="b">
        <v>1</v>
      </c>
      <c r="H1078" s="78" t="b">
        <f>IF(VLOOKUP(C1078,Projetos!A:L,12,false)=TRUE,TRUE,FALSE)</f>
        <v>1</v>
      </c>
      <c r="I1078" s="68">
        <v>27.980014792814504</v>
      </c>
      <c r="J1078" s="68">
        <f t="shared" si="1"/>
        <v>83.94004438</v>
      </c>
      <c r="K1078" s="68" t="b">
        <v>1</v>
      </c>
    </row>
    <row r="1079">
      <c r="A1079" s="75">
        <v>1073.0</v>
      </c>
      <c r="B1079" s="62" t="s">
        <v>744</v>
      </c>
      <c r="C1079" s="62" t="s">
        <v>104</v>
      </c>
      <c r="D1079" s="62" t="s">
        <v>748</v>
      </c>
      <c r="E1079" s="76">
        <v>43929.0</v>
      </c>
      <c r="F1079" s="77">
        <v>0.07291666666666667</v>
      </c>
      <c r="G1079" s="62" t="b">
        <v>1</v>
      </c>
      <c r="H1079" s="78" t="b">
        <f>IF(VLOOKUP(C1079,Projetos!A:L,12,false)=TRUE,TRUE,FALSE)</f>
        <v>1</v>
      </c>
      <c r="I1079" s="68">
        <v>27.980014792814504</v>
      </c>
      <c r="J1079" s="68">
        <f t="shared" si="1"/>
        <v>48.96502589</v>
      </c>
      <c r="K1079" s="68" t="b">
        <v>1</v>
      </c>
    </row>
    <row r="1080">
      <c r="A1080" s="75">
        <v>1074.0</v>
      </c>
      <c r="B1080" s="62" t="s">
        <v>744</v>
      </c>
      <c r="C1080" s="62" t="s">
        <v>104</v>
      </c>
      <c r="D1080" s="62" t="s">
        <v>748</v>
      </c>
      <c r="E1080" s="76">
        <v>43930.0</v>
      </c>
      <c r="F1080" s="77">
        <v>0.125</v>
      </c>
      <c r="G1080" s="62" t="b">
        <v>1</v>
      </c>
      <c r="H1080" s="78" t="b">
        <f>IF(VLOOKUP(C1080,Projetos!A:L,12,false)=TRUE,TRUE,FALSE)</f>
        <v>1</v>
      </c>
      <c r="I1080" s="68">
        <v>27.980014792814504</v>
      </c>
      <c r="J1080" s="68">
        <f t="shared" si="1"/>
        <v>83.94004438</v>
      </c>
      <c r="K1080" s="68" t="b">
        <v>1</v>
      </c>
    </row>
    <row r="1081">
      <c r="A1081" s="75">
        <v>1075.0</v>
      </c>
      <c r="B1081" s="62" t="s">
        <v>744</v>
      </c>
      <c r="C1081" s="62" t="s">
        <v>105</v>
      </c>
      <c r="D1081" s="62" t="s">
        <v>747</v>
      </c>
      <c r="E1081" s="76">
        <v>43930.0</v>
      </c>
      <c r="F1081" s="77">
        <v>0.20833333333333334</v>
      </c>
      <c r="G1081" s="62" t="b">
        <v>1</v>
      </c>
      <c r="H1081" s="78" t="b">
        <f>IF(VLOOKUP(C1081,Projetos!A:L,12,false)=TRUE,TRUE,FALSE)</f>
        <v>1</v>
      </c>
      <c r="I1081" s="68">
        <v>27.980014792814504</v>
      </c>
      <c r="J1081" s="68">
        <f t="shared" si="1"/>
        <v>139.900074</v>
      </c>
      <c r="K1081" s="68" t="b">
        <v>1</v>
      </c>
    </row>
    <row r="1082">
      <c r="A1082" s="75">
        <v>1076.0</v>
      </c>
      <c r="B1082" s="62" t="s">
        <v>744</v>
      </c>
      <c r="C1082" s="62" t="s">
        <v>104</v>
      </c>
      <c r="D1082" s="62" t="s">
        <v>748</v>
      </c>
      <c r="E1082" s="76">
        <v>43934.0</v>
      </c>
      <c r="F1082" s="77">
        <v>0.07291666666666667</v>
      </c>
      <c r="G1082" s="62" t="b">
        <v>1</v>
      </c>
      <c r="H1082" s="78" t="b">
        <f>IF(VLOOKUP(C1082,Projetos!A:L,12,false)=TRUE,TRUE,FALSE)</f>
        <v>1</v>
      </c>
      <c r="I1082" s="68">
        <v>27.980014792814504</v>
      </c>
      <c r="J1082" s="68">
        <f t="shared" si="1"/>
        <v>48.96502589</v>
      </c>
      <c r="K1082" s="68" t="b">
        <v>1</v>
      </c>
    </row>
    <row r="1083">
      <c r="A1083" s="75">
        <v>1077.0</v>
      </c>
      <c r="B1083" s="62" t="s">
        <v>744</v>
      </c>
      <c r="C1083" s="62" t="s">
        <v>104</v>
      </c>
      <c r="D1083" s="62" t="s">
        <v>748</v>
      </c>
      <c r="E1083" s="76">
        <v>43935.0</v>
      </c>
      <c r="F1083" s="77">
        <v>0.041666666666666664</v>
      </c>
      <c r="G1083" s="62" t="b">
        <v>1</v>
      </c>
      <c r="H1083" s="78" t="b">
        <f>IF(VLOOKUP(C1083,Projetos!A:L,12,false)=TRUE,TRUE,FALSE)</f>
        <v>1</v>
      </c>
      <c r="I1083" s="68">
        <v>27.980014792814504</v>
      </c>
      <c r="J1083" s="68">
        <f t="shared" si="1"/>
        <v>27.98001479</v>
      </c>
      <c r="K1083" s="68" t="b">
        <v>1</v>
      </c>
    </row>
    <row r="1084">
      <c r="A1084" s="75">
        <v>1078.0</v>
      </c>
      <c r="B1084" s="62" t="s">
        <v>744</v>
      </c>
      <c r="C1084" s="62" t="s">
        <v>104</v>
      </c>
      <c r="D1084" s="62" t="s">
        <v>748</v>
      </c>
      <c r="E1084" s="76">
        <v>43936.0</v>
      </c>
      <c r="F1084" s="77">
        <v>0.125</v>
      </c>
      <c r="G1084" s="62" t="b">
        <v>1</v>
      </c>
      <c r="H1084" s="78" t="b">
        <f>IF(VLOOKUP(C1084,Projetos!A:L,12,false)=TRUE,TRUE,FALSE)</f>
        <v>1</v>
      </c>
      <c r="I1084" s="68">
        <v>27.980014792814504</v>
      </c>
      <c r="J1084" s="68">
        <f t="shared" si="1"/>
        <v>83.94004438</v>
      </c>
      <c r="K1084" s="68" t="b">
        <v>1</v>
      </c>
    </row>
    <row r="1085">
      <c r="A1085" s="75">
        <v>1079.0</v>
      </c>
      <c r="B1085" s="62" t="s">
        <v>744</v>
      </c>
      <c r="C1085" s="62" t="s">
        <v>110</v>
      </c>
      <c r="D1085" s="62" t="s">
        <v>745</v>
      </c>
      <c r="E1085" s="76">
        <v>43936.0</v>
      </c>
      <c r="F1085" s="77">
        <v>0.08333333333333333</v>
      </c>
      <c r="G1085" s="62" t="b">
        <v>1</v>
      </c>
      <c r="H1085" s="78" t="b">
        <f>IF(VLOOKUP(C1085,Projetos!A:L,12,false)=TRUE,TRUE,FALSE)</f>
        <v>1</v>
      </c>
      <c r="I1085" s="68">
        <v>27.980014792814504</v>
      </c>
      <c r="J1085" s="68">
        <f t="shared" si="1"/>
        <v>55.96002959</v>
      </c>
      <c r="K1085" s="68" t="b">
        <v>1</v>
      </c>
    </row>
    <row r="1086">
      <c r="A1086" s="75">
        <v>1080.0</v>
      </c>
      <c r="B1086" s="62" t="s">
        <v>744</v>
      </c>
      <c r="C1086" s="62" t="s">
        <v>110</v>
      </c>
      <c r="D1086" s="62" t="s">
        <v>745</v>
      </c>
      <c r="E1086" s="76">
        <v>43937.0</v>
      </c>
      <c r="F1086" s="77">
        <v>0.08333333333333333</v>
      </c>
      <c r="G1086" s="62" t="b">
        <v>1</v>
      </c>
      <c r="H1086" s="78" t="b">
        <f>IF(VLOOKUP(C1086,Projetos!A:L,12,false)=TRUE,TRUE,FALSE)</f>
        <v>1</v>
      </c>
      <c r="I1086" s="68">
        <v>27.980014792814504</v>
      </c>
      <c r="J1086" s="68">
        <f t="shared" si="1"/>
        <v>55.96002959</v>
      </c>
      <c r="K1086" s="68" t="b">
        <v>1</v>
      </c>
    </row>
    <row r="1087">
      <c r="A1087" s="75">
        <v>1081.0</v>
      </c>
      <c r="B1087" s="62" t="s">
        <v>744</v>
      </c>
      <c r="C1087" s="62" t="s">
        <v>110</v>
      </c>
      <c r="D1087" s="62" t="s">
        <v>745</v>
      </c>
      <c r="E1087" s="76">
        <v>43938.0</v>
      </c>
      <c r="F1087" s="77">
        <v>0.125</v>
      </c>
      <c r="G1087" s="62" t="b">
        <v>1</v>
      </c>
      <c r="H1087" s="78" t="b">
        <f>IF(VLOOKUP(C1087,Projetos!A:L,12,false)=TRUE,TRUE,FALSE)</f>
        <v>1</v>
      </c>
      <c r="I1087" s="68">
        <v>27.980014792814504</v>
      </c>
      <c r="J1087" s="68">
        <f t="shared" si="1"/>
        <v>83.94004438</v>
      </c>
      <c r="K1087" s="68" t="b">
        <v>1</v>
      </c>
    </row>
    <row r="1088">
      <c r="A1088" s="75">
        <v>1082.0</v>
      </c>
      <c r="B1088" s="62" t="s">
        <v>744</v>
      </c>
      <c r="C1088" s="62" t="s">
        <v>105</v>
      </c>
      <c r="D1088" s="62" t="s">
        <v>747</v>
      </c>
      <c r="E1088" s="76">
        <v>43941.0</v>
      </c>
      <c r="F1088" s="77">
        <v>0.125</v>
      </c>
      <c r="G1088" s="62" t="b">
        <v>1</v>
      </c>
      <c r="H1088" s="78" t="b">
        <f>IF(VLOOKUP(C1088,Projetos!A:L,12,false)=TRUE,TRUE,FALSE)</f>
        <v>1</v>
      </c>
      <c r="I1088" s="68">
        <v>27.980014792814504</v>
      </c>
      <c r="J1088" s="68">
        <f t="shared" si="1"/>
        <v>83.94004438</v>
      </c>
      <c r="K1088" s="68" t="b">
        <v>1</v>
      </c>
    </row>
    <row r="1089">
      <c r="A1089" s="75">
        <v>1083.0</v>
      </c>
      <c r="B1089" s="62" t="s">
        <v>744</v>
      </c>
      <c r="C1089" s="62" t="s">
        <v>105</v>
      </c>
      <c r="D1089" s="62" t="s">
        <v>747</v>
      </c>
      <c r="E1089" s="76">
        <v>43943.0</v>
      </c>
      <c r="F1089" s="77">
        <v>0.125</v>
      </c>
      <c r="G1089" s="62" t="b">
        <v>1</v>
      </c>
      <c r="H1089" s="78" t="b">
        <f>IF(VLOOKUP(C1089,Projetos!A:L,12,false)=TRUE,TRUE,FALSE)</f>
        <v>1</v>
      </c>
      <c r="I1089" s="68">
        <v>27.980014792814504</v>
      </c>
      <c r="J1089" s="68">
        <f t="shared" si="1"/>
        <v>83.94004438</v>
      </c>
      <c r="K1089" s="68" t="b">
        <v>1</v>
      </c>
    </row>
    <row r="1090">
      <c r="A1090" s="75">
        <v>1084.0</v>
      </c>
      <c r="B1090" s="62" t="s">
        <v>744</v>
      </c>
      <c r="C1090" s="62" t="s">
        <v>105</v>
      </c>
      <c r="D1090" s="62" t="s">
        <v>747</v>
      </c>
      <c r="E1090" s="76">
        <v>43944.0</v>
      </c>
      <c r="F1090" s="77">
        <v>0.125</v>
      </c>
      <c r="G1090" s="62" t="b">
        <v>1</v>
      </c>
      <c r="H1090" s="78" t="b">
        <f>IF(VLOOKUP(C1090,Projetos!A:L,12,false)=TRUE,TRUE,FALSE)</f>
        <v>1</v>
      </c>
      <c r="I1090" s="68">
        <v>27.980014792814504</v>
      </c>
      <c r="J1090" s="68">
        <f t="shared" si="1"/>
        <v>83.94004438</v>
      </c>
      <c r="K1090" s="68" t="b">
        <v>1</v>
      </c>
    </row>
    <row r="1091">
      <c r="A1091" s="75">
        <v>1085.0</v>
      </c>
      <c r="B1091" s="62" t="s">
        <v>744</v>
      </c>
      <c r="C1091" s="62" t="s">
        <v>104</v>
      </c>
      <c r="D1091" s="62" t="s">
        <v>748</v>
      </c>
      <c r="E1091" s="76">
        <v>43945.0</v>
      </c>
      <c r="F1091" s="77">
        <v>0.041666666666666664</v>
      </c>
      <c r="G1091" s="62" t="b">
        <v>1</v>
      </c>
      <c r="H1091" s="78" t="b">
        <f>IF(VLOOKUP(C1091,Projetos!A:L,12,false)=TRUE,TRUE,FALSE)</f>
        <v>1</v>
      </c>
      <c r="I1091" s="68">
        <v>27.980014792814504</v>
      </c>
      <c r="J1091" s="68">
        <f t="shared" si="1"/>
        <v>27.98001479</v>
      </c>
      <c r="K1091" s="68" t="b">
        <v>1</v>
      </c>
    </row>
    <row r="1092">
      <c r="A1092" s="75">
        <v>1086.0</v>
      </c>
      <c r="B1092" s="62" t="s">
        <v>744</v>
      </c>
      <c r="C1092" s="62" t="s">
        <v>105</v>
      </c>
      <c r="D1092" s="62" t="s">
        <v>748</v>
      </c>
      <c r="E1092" s="76">
        <v>43945.0</v>
      </c>
      <c r="F1092" s="77">
        <v>0.20833333333333334</v>
      </c>
      <c r="G1092" s="62" t="b">
        <v>1</v>
      </c>
      <c r="H1092" s="78" t="b">
        <f>IF(VLOOKUP(C1092,Projetos!A:L,12,false)=TRUE,TRUE,FALSE)</f>
        <v>1</v>
      </c>
      <c r="I1092" s="68">
        <v>27.980014792814504</v>
      </c>
      <c r="J1092" s="68">
        <f t="shared" si="1"/>
        <v>139.900074</v>
      </c>
      <c r="K1092" s="68" t="b">
        <v>1</v>
      </c>
    </row>
    <row r="1093">
      <c r="A1093" s="75">
        <v>1087.0</v>
      </c>
      <c r="B1093" s="62" t="s">
        <v>744</v>
      </c>
      <c r="C1093" s="62" t="s">
        <v>105</v>
      </c>
      <c r="D1093" s="62" t="s">
        <v>748</v>
      </c>
      <c r="E1093" s="76">
        <v>43948.0</v>
      </c>
      <c r="F1093" s="77">
        <v>0.19791666666666666</v>
      </c>
      <c r="G1093" s="62" t="b">
        <v>1</v>
      </c>
      <c r="H1093" s="78" t="b">
        <f>IF(VLOOKUP(C1093,Projetos!A:L,12,false)=TRUE,TRUE,FALSE)</f>
        <v>1</v>
      </c>
      <c r="I1093" s="68">
        <v>27.980014792814504</v>
      </c>
      <c r="J1093" s="68">
        <f t="shared" si="1"/>
        <v>132.9050703</v>
      </c>
      <c r="K1093" s="68" t="b">
        <v>1</v>
      </c>
    </row>
    <row r="1094">
      <c r="A1094" s="75">
        <v>1088.0</v>
      </c>
      <c r="B1094" s="62" t="s">
        <v>744</v>
      </c>
      <c r="C1094" s="62" t="s">
        <v>104</v>
      </c>
      <c r="D1094" s="62" t="s">
        <v>749</v>
      </c>
      <c r="E1094" s="76">
        <v>43949.0</v>
      </c>
      <c r="F1094" s="77">
        <v>0.16666666666666666</v>
      </c>
      <c r="G1094" s="62" t="b">
        <v>1</v>
      </c>
      <c r="H1094" s="78" t="b">
        <f>IF(VLOOKUP(C1094,Projetos!A:L,12,false)=TRUE,TRUE,FALSE)</f>
        <v>1</v>
      </c>
      <c r="I1094" s="68">
        <v>27.980014792814504</v>
      </c>
      <c r="J1094" s="68">
        <f t="shared" si="1"/>
        <v>111.9200592</v>
      </c>
      <c r="K1094" s="68" t="b">
        <v>1</v>
      </c>
    </row>
    <row r="1095">
      <c r="A1095" s="75">
        <v>1089.0</v>
      </c>
      <c r="B1095" s="62" t="s">
        <v>744</v>
      </c>
      <c r="C1095" s="62" t="s">
        <v>105</v>
      </c>
      <c r="D1095" s="62" t="s">
        <v>747</v>
      </c>
      <c r="E1095" s="76">
        <v>43949.0</v>
      </c>
      <c r="F1095" s="77">
        <v>0.1875</v>
      </c>
      <c r="G1095" s="62" t="b">
        <v>1</v>
      </c>
      <c r="H1095" s="78" t="b">
        <f>IF(VLOOKUP(C1095,Projetos!A:L,12,false)=TRUE,TRUE,FALSE)</f>
        <v>1</v>
      </c>
      <c r="I1095" s="68">
        <v>27.980014792814504</v>
      </c>
      <c r="J1095" s="68">
        <f t="shared" si="1"/>
        <v>125.9100666</v>
      </c>
      <c r="K1095" s="68" t="b">
        <v>1</v>
      </c>
    </row>
    <row r="1096">
      <c r="A1096" s="75">
        <v>1090.0</v>
      </c>
      <c r="B1096" s="62" t="s">
        <v>744</v>
      </c>
      <c r="C1096" s="62" t="s">
        <v>104</v>
      </c>
      <c r="D1096" s="62" t="s">
        <v>749</v>
      </c>
      <c r="E1096" s="76">
        <v>43950.0</v>
      </c>
      <c r="F1096" s="77">
        <v>0.20833333333333334</v>
      </c>
      <c r="G1096" s="62" t="b">
        <v>1</v>
      </c>
      <c r="H1096" s="78" t="b">
        <f>IF(VLOOKUP(C1096,Projetos!A:L,12,false)=TRUE,TRUE,FALSE)</f>
        <v>1</v>
      </c>
      <c r="I1096" s="68">
        <v>27.980014792814504</v>
      </c>
      <c r="J1096" s="68">
        <f t="shared" si="1"/>
        <v>139.900074</v>
      </c>
      <c r="K1096" s="68" t="b">
        <v>1</v>
      </c>
    </row>
    <row r="1097">
      <c r="A1097" s="75">
        <v>1091.0</v>
      </c>
      <c r="B1097" s="62" t="s">
        <v>744</v>
      </c>
      <c r="C1097" s="62" t="s">
        <v>104</v>
      </c>
      <c r="D1097" s="62" t="s">
        <v>749</v>
      </c>
      <c r="E1097" s="76">
        <v>43951.0</v>
      </c>
      <c r="F1097" s="77">
        <v>0.16666666666666666</v>
      </c>
      <c r="G1097" s="62" t="b">
        <v>1</v>
      </c>
      <c r="H1097" s="78" t="b">
        <f>IF(VLOOKUP(C1097,Projetos!A:L,12,false)=TRUE,TRUE,FALSE)</f>
        <v>1</v>
      </c>
      <c r="I1097" s="68">
        <v>27.980014792814504</v>
      </c>
      <c r="J1097" s="68">
        <f t="shared" si="1"/>
        <v>111.9200592</v>
      </c>
      <c r="K1097" s="68" t="b">
        <v>1</v>
      </c>
    </row>
    <row r="1098">
      <c r="A1098" s="75">
        <v>1092.0</v>
      </c>
      <c r="B1098" s="62" t="s">
        <v>744</v>
      </c>
      <c r="C1098" s="62" t="s">
        <v>105</v>
      </c>
      <c r="D1098" s="62" t="s">
        <v>747</v>
      </c>
      <c r="E1098" s="76">
        <v>43956.0</v>
      </c>
      <c r="F1098" s="77">
        <v>0.20833333333333334</v>
      </c>
      <c r="G1098" s="62" t="b">
        <v>1</v>
      </c>
      <c r="H1098" s="78" t="b">
        <f>IF(VLOOKUP(C1098,Projetos!A:L,12,false)=TRUE,TRUE,FALSE)</f>
        <v>1</v>
      </c>
      <c r="I1098" s="68">
        <v>29.312396449615196</v>
      </c>
      <c r="J1098" s="68">
        <f t="shared" si="1"/>
        <v>146.5619822</v>
      </c>
      <c r="K1098" s="68" t="b">
        <v>1</v>
      </c>
    </row>
    <row r="1099">
      <c r="A1099" s="75">
        <v>1093.0</v>
      </c>
      <c r="B1099" s="62" t="s">
        <v>744</v>
      </c>
      <c r="C1099" s="62" t="s">
        <v>105</v>
      </c>
      <c r="D1099" s="62" t="s">
        <v>747</v>
      </c>
      <c r="E1099" s="76">
        <v>43957.0</v>
      </c>
      <c r="F1099" s="77">
        <v>0.15625</v>
      </c>
      <c r="G1099" s="62" t="b">
        <v>1</v>
      </c>
      <c r="H1099" s="78" t="b">
        <f>IF(VLOOKUP(C1099,Projetos!A:L,12,false)=TRUE,TRUE,FALSE)</f>
        <v>1</v>
      </c>
      <c r="I1099" s="68">
        <v>29.312396449615196</v>
      </c>
      <c r="J1099" s="68">
        <f t="shared" si="1"/>
        <v>109.9214867</v>
      </c>
      <c r="K1099" s="68" t="b">
        <v>1</v>
      </c>
    </row>
    <row r="1100">
      <c r="A1100" s="75">
        <v>1094.0</v>
      </c>
      <c r="B1100" s="62" t="s">
        <v>744</v>
      </c>
      <c r="C1100" s="62" t="s">
        <v>104</v>
      </c>
      <c r="D1100" s="62" t="s">
        <v>748</v>
      </c>
      <c r="E1100" s="76">
        <v>43957.0</v>
      </c>
      <c r="F1100" s="77">
        <v>0.041666666666666664</v>
      </c>
      <c r="G1100" s="62" t="b">
        <v>1</v>
      </c>
      <c r="H1100" s="78" t="b">
        <f>IF(VLOOKUP(C1100,Projetos!A:L,12,false)=TRUE,TRUE,FALSE)</f>
        <v>1</v>
      </c>
      <c r="I1100" s="68">
        <v>29.312396449615196</v>
      </c>
      <c r="J1100" s="68">
        <f t="shared" si="1"/>
        <v>29.31239645</v>
      </c>
      <c r="K1100" s="68" t="b">
        <v>1</v>
      </c>
    </row>
    <row r="1101">
      <c r="A1101" s="75">
        <v>1095.0</v>
      </c>
      <c r="B1101" s="62" t="s">
        <v>744</v>
      </c>
      <c r="C1101" s="62" t="s">
        <v>105</v>
      </c>
      <c r="D1101" s="62" t="s">
        <v>747</v>
      </c>
      <c r="E1101" s="76">
        <v>43957.0</v>
      </c>
      <c r="F1101" s="77">
        <v>0.16666666666666666</v>
      </c>
      <c r="G1101" s="62" t="b">
        <v>1</v>
      </c>
      <c r="H1101" s="78" t="b">
        <f>IF(VLOOKUP(C1101,Projetos!A:L,12,false)=TRUE,TRUE,FALSE)</f>
        <v>1</v>
      </c>
      <c r="I1101" s="68">
        <v>29.312396449615196</v>
      </c>
      <c r="J1101" s="68">
        <f t="shared" si="1"/>
        <v>117.2495858</v>
      </c>
      <c r="K1101" s="68" t="b">
        <v>1</v>
      </c>
    </row>
    <row r="1102">
      <c r="A1102" s="75">
        <v>1096.0</v>
      </c>
      <c r="B1102" s="62" t="s">
        <v>744</v>
      </c>
      <c r="C1102" s="62" t="s">
        <v>105</v>
      </c>
      <c r="D1102" s="62" t="s">
        <v>747</v>
      </c>
      <c r="E1102" s="76">
        <v>43958.0</v>
      </c>
      <c r="F1102" s="77">
        <v>0.25</v>
      </c>
      <c r="G1102" s="62" t="b">
        <v>1</v>
      </c>
      <c r="H1102" s="78" t="b">
        <f>IF(VLOOKUP(C1102,Projetos!A:L,12,false)=TRUE,TRUE,FALSE)</f>
        <v>1</v>
      </c>
      <c r="I1102" s="68">
        <v>29.312396449615196</v>
      </c>
      <c r="J1102" s="68">
        <f t="shared" si="1"/>
        <v>175.8743787</v>
      </c>
      <c r="K1102" s="68" t="b">
        <v>1</v>
      </c>
    </row>
    <row r="1103">
      <c r="A1103" s="75">
        <v>1097.0</v>
      </c>
      <c r="B1103" s="62" t="s">
        <v>744</v>
      </c>
      <c r="C1103" s="62" t="s">
        <v>105</v>
      </c>
      <c r="D1103" s="62" t="s">
        <v>747</v>
      </c>
      <c r="E1103" s="76">
        <v>43959.0</v>
      </c>
      <c r="F1103" s="77">
        <v>0.20833333333333334</v>
      </c>
      <c r="G1103" s="62" t="b">
        <v>1</v>
      </c>
      <c r="H1103" s="78" t="b">
        <f>IF(VLOOKUP(C1103,Projetos!A:L,12,false)=TRUE,TRUE,FALSE)</f>
        <v>1</v>
      </c>
      <c r="I1103" s="68">
        <v>29.312396449615196</v>
      </c>
      <c r="J1103" s="68">
        <f t="shared" si="1"/>
        <v>146.5619822</v>
      </c>
      <c r="K1103" s="68" t="b">
        <v>1</v>
      </c>
    </row>
    <row r="1104">
      <c r="A1104" s="75">
        <v>1098.0</v>
      </c>
      <c r="B1104" s="62" t="s">
        <v>744</v>
      </c>
      <c r="C1104" s="62" t="s">
        <v>110</v>
      </c>
      <c r="D1104" s="62" t="s">
        <v>745</v>
      </c>
      <c r="E1104" s="76">
        <v>43959.0</v>
      </c>
      <c r="F1104" s="77">
        <v>0.15625</v>
      </c>
      <c r="G1104" s="62" t="b">
        <v>1</v>
      </c>
      <c r="H1104" s="78" t="b">
        <f>IF(VLOOKUP(C1104,Projetos!A:L,12,false)=TRUE,TRUE,FALSE)</f>
        <v>1</v>
      </c>
      <c r="I1104" s="68">
        <v>29.312396449615196</v>
      </c>
      <c r="J1104" s="68">
        <f t="shared" si="1"/>
        <v>109.9214867</v>
      </c>
      <c r="K1104" s="68" t="b">
        <v>1</v>
      </c>
    </row>
    <row r="1105">
      <c r="A1105" s="75">
        <v>1099.0</v>
      </c>
      <c r="B1105" s="62" t="s">
        <v>744</v>
      </c>
      <c r="C1105" s="62" t="s">
        <v>104</v>
      </c>
      <c r="D1105" s="62" t="s">
        <v>749</v>
      </c>
      <c r="E1105" s="76">
        <v>43962.0</v>
      </c>
      <c r="F1105" s="77">
        <v>0.20833333333333334</v>
      </c>
      <c r="G1105" s="62" t="b">
        <v>1</v>
      </c>
      <c r="H1105" s="78" t="b">
        <f>IF(VLOOKUP(C1105,Projetos!A:L,12,false)=TRUE,TRUE,FALSE)</f>
        <v>1</v>
      </c>
      <c r="I1105" s="68">
        <v>29.312396449615196</v>
      </c>
      <c r="J1105" s="68">
        <f t="shared" si="1"/>
        <v>146.5619822</v>
      </c>
      <c r="K1105" s="68" t="b">
        <v>1</v>
      </c>
    </row>
    <row r="1106">
      <c r="A1106" s="75">
        <v>1100.0</v>
      </c>
      <c r="B1106" s="62" t="s">
        <v>744</v>
      </c>
      <c r="C1106" s="62" t="s">
        <v>105</v>
      </c>
      <c r="D1106" s="62" t="s">
        <v>747</v>
      </c>
      <c r="E1106" s="76">
        <v>43962.0</v>
      </c>
      <c r="F1106" s="77">
        <v>0.14583333333333334</v>
      </c>
      <c r="G1106" s="62" t="b">
        <v>1</v>
      </c>
      <c r="H1106" s="78" t="b">
        <f>IF(VLOOKUP(C1106,Projetos!A:L,12,false)=TRUE,TRUE,FALSE)</f>
        <v>1</v>
      </c>
      <c r="I1106" s="68">
        <v>29.312396449615196</v>
      </c>
      <c r="J1106" s="68">
        <f t="shared" si="1"/>
        <v>102.5933876</v>
      </c>
      <c r="K1106" s="68" t="b">
        <v>1</v>
      </c>
    </row>
    <row r="1107">
      <c r="A1107" s="75">
        <v>1101.0</v>
      </c>
      <c r="B1107" s="62" t="s">
        <v>744</v>
      </c>
      <c r="C1107" s="62" t="s">
        <v>105</v>
      </c>
      <c r="D1107" s="62" t="s">
        <v>747</v>
      </c>
      <c r="E1107" s="76">
        <v>43963.0</v>
      </c>
      <c r="F1107" s="77">
        <v>0.22916666666666666</v>
      </c>
      <c r="G1107" s="62" t="b">
        <v>1</v>
      </c>
      <c r="H1107" s="78" t="b">
        <f>IF(VLOOKUP(C1107,Projetos!A:L,12,false)=TRUE,TRUE,FALSE)</f>
        <v>1</v>
      </c>
      <c r="I1107" s="68">
        <v>29.312396449615196</v>
      </c>
      <c r="J1107" s="68">
        <f t="shared" si="1"/>
        <v>161.2181805</v>
      </c>
      <c r="K1107" s="68" t="b">
        <v>1</v>
      </c>
    </row>
    <row r="1108">
      <c r="A1108" s="75">
        <v>1102.0</v>
      </c>
      <c r="B1108" s="62" t="s">
        <v>744</v>
      </c>
      <c r="C1108" s="62" t="s">
        <v>105</v>
      </c>
      <c r="D1108" s="62" t="s">
        <v>747</v>
      </c>
      <c r="E1108" s="76">
        <v>43964.0</v>
      </c>
      <c r="F1108" s="77">
        <v>0.16666666666666666</v>
      </c>
      <c r="G1108" s="62" t="b">
        <v>1</v>
      </c>
      <c r="H1108" s="78" t="b">
        <f>IF(VLOOKUP(C1108,Projetos!A:L,12,false)=TRUE,TRUE,FALSE)</f>
        <v>1</v>
      </c>
      <c r="I1108" s="68">
        <v>29.312396449615196</v>
      </c>
      <c r="J1108" s="68">
        <f t="shared" si="1"/>
        <v>117.2495858</v>
      </c>
      <c r="K1108" s="68" t="b">
        <v>1</v>
      </c>
    </row>
    <row r="1109">
      <c r="A1109" s="75">
        <v>1103.0</v>
      </c>
      <c r="B1109" s="62" t="s">
        <v>744</v>
      </c>
      <c r="C1109" s="62" t="s">
        <v>105</v>
      </c>
      <c r="D1109" s="62" t="s">
        <v>747</v>
      </c>
      <c r="E1109" s="76">
        <v>43965.0</v>
      </c>
      <c r="F1109" s="77">
        <v>0.21875</v>
      </c>
      <c r="G1109" s="62" t="b">
        <v>1</v>
      </c>
      <c r="H1109" s="78" t="b">
        <f>IF(VLOOKUP(C1109,Projetos!A:L,12,false)=TRUE,TRUE,FALSE)</f>
        <v>1</v>
      </c>
      <c r="I1109" s="68">
        <v>29.312396449615196</v>
      </c>
      <c r="J1109" s="68">
        <f t="shared" si="1"/>
        <v>153.8900814</v>
      </c>
      <c r="K1109" s="68" t="b">
        <v>1</v>
      </c>
    </row>
    <row r="1110">
      <c r="A1110" s="75">
        <v>1104.0</v>
      </c>
      <c r="B1110" s="62" t="s">
        <v>744</v>
      </c>
      <c r="C1110" s="62" t="s">
        <v>105</v>
      </c>
      <c r="D1110" s="62" t="s">
        <v>747</v>
      </c>
      <c r="E1110" s="76">
        <v>43966.0</v>
      </c>
      <c r="F1110" s="77">
        <v>0.20833333333333334</v>
      </c>
      <c r="G1110" s="62" t="b">
        <v>1</v>
      </c>
      <c r="H1110" s="78" t="b">
        <f>IF(VLOOKUP(C1110,Projetos!A:L,12,false)=TRUE,TRUE,FALSE)</f>
        <v>1</v>
      </c>
      <c r="I1110" s="68">
        <v>29.312396449615196</v>
      </c>
      <c r="J1110" s="68">
        <f t="shared" si="1"/>
        <v>146.5619822</v>
      </c>
      <c r="K1110" s="68" t="b">
        <v>1</v>
      </c>
    </row>
    <row r="1111">
      <c r="A1111" s="75">
        <v>1105.0</v>
      </c>
      <c r="B1111" s="62" t="s">
        <v>744</v>
      </c>
      <c r="C1111" s="62" t="s">
        <v>110</v>
      </c>
      <c r="D1111" s="62" t="s">
        <v>745</v>
      </c>
      <c r="E1111" s="76">
        <v>43970.0</v>
      </c>
      <c r="F1111" s="77">
        <v>0.22916666666666666</v>
      </c>
      <c r="G1111" s="62" t="b">
        <v>1</v>
      </c>
      <c r="H1111" s="78" t="b">
        <f>IF(VLOOKUP(C1111,Projetos!A:L,12,false)=TRUE,TRUE,FALSE)</f>
        <v>1</v>
      </c>
      <c r="I1111" s="68">
        <v>29.312396449615196</v>
      </c>
      <c r="J1111" s="68">
        <f t="shared" si="1"/>
        <v>161.2181805</v>
      </c>
      <c r="K1111" s="68" t="b">
        <v>1</v>
      </c>
    </row>
    <row r="1112">
      <c r="A1112" s="75">
        <v>1106.0</v>
      </c>
      <c r="B1112" s="62" t="s">
        <v>744</v>
      </c>
      <c r="C1112" s="62" t="s">
        <v>110</v>
      </c>
      <c r="D1112" s="62" t="s">
        <v>745</v>
      </c>
      <c r="E1112" s="76">
        <v>43971.0</v>
      </c>
      <c r="F1112" s="77">
        <v>0.25</v>
      </c>
      <c r="G1112" s="62" t="b">
        <v>1</v>
      </c>
      <c r="H1112" s="78" t="b">
        <f>IF(VLOOKUP(C1112,Projetos!A:L,12,false)=TRUE,TRUE,FALSE)</f>
        <v>1</v>
      </c>
      <c r="I1112" s="68">
        <v>29.312396449615196</v>
      </c>
      <c r="J1112" s="68">
        <f t="shared" si="1"/>
        <v>175.8743787</v>
      </c>
      <c r="K1112" s="68" t="b">
        <v>1</v>
      </c>
    </row>
    <row r="1113">
      <c r="A1113" s="75">
        <v>1107.0</v>
      </c>
      <c r="B1113" s="62" t="s">
        <v>744</v>
      </c>
      <c r="C1113" s="62" t="s">
        <v>110</v>
      </c>
      <c r="D1113" s="62" t="s">
        <v>745</v>
      </c>
      <c r="E1113" s="76">
        <v>43972.0</v>
      </c>
      <c r="F1113" s="77">
        <v>0.21875</v>
      </c>
      <c r="G1113" s="62" t="b">
        <v>1</v>
      </c>
      <c r="H1113" s="78" t="b">
        <f>IF(VLOOKUP(C1113,Projetos!A:L,12,false)=TRUE,TRUE,FALSE)</f>
        <v>1</v>
      </c>
      <c r="I1113" s="68">
        <v>29.312396449615196</v>
      </c>
      <c r="J1113" s="68">
        <f t="shared" si="1"/>
        <v>153.8900814</v>
      </c>
      <c r="K1113" s="68" t="b">
        <v>1</v>
      </c>
    </row>
    <row r="1114">
      <c r="A1114" s="75">
        <v>1108.0</v>
      </c>
      <c r="B1114" s="62" t="s">
        <v>744</v>
      </c>
      <c r="C1114" s="62" t="s">
        <v>105</v>
      </c>
      <c r="D1114" s="62" t="s">
        <v>747</v>
      </c>
      <c r="E1114" s="76">
        <v>43972.0</v>
      </c>
      <c r="F1114" s="77">
        <v>0.14583333333333334</v>
      </c>
      <c r="G1114" s="62" t="b">
        <v>1</v>
      </c>
      <c r="H1114" s="78" t="b">
        <f>IF(VLOOKUP(C1114,Projetos!A:L,12,false)=TRUE,TRUE,FALSE)</f>
        <v>1</v>
      </c>
      <c r="I1114" s="68">
        <v>29.312396449615196</v>
      </c>
      <c r="J1114" s="68">
        <f t="shared" si="1"/>
        <v>102.5933876</v>
      </c>
      <c r="K1114" s="68" t="b">
        <v>1</v>
      </c>
    </row>
    <row r="1115">
      <c r="A1115" s="75">
        <v>1109.0</v>
      </c>
      <c r="B1115" s="62" t="s">
        <v>744</v>
      </c>
      <c r="C1115" s="62" t="s">
        <v>110</v>
      </c>
      <c r="D1115" s="62" t="s">
        <v>745</v>
      </c>
      <c r="E1115" s="76">
        <v>43973.0</v>
      </c>
      <c r="F1115" s="77">
        <v>0.20833333333333334</v>
      </c>
      <c r="G1115" s="62" t="b">
        <v>1</v>
      </c>
      <c r="H1115" s="78" t="b">
        <f>IF(VLOOKUP(C1115,Projetos!A:L,12,false)=TRUE,TRUE,FALSE)</f>
        <v>1</v>
      </c>
      <c r="I1115" s="68">
        <v>29.312396449615196</v>
      </c>
      <c r="J1115" s="68">
        <f t="shared" si="1"/>
        <v>146.5619822</v>
      </c>
      <c r="K1115" s="68" t="b">
        <v>1</v>
      </c>
    </row>
    <row r="1116">
      <c r="A1116" s="75">
        <v>1110.0</v>
      </c>
      <c r="B1116" s="62" t="s">
        <v>744</v>
      </c>
      <c r="C1116" s="62" t="s">
        <v>104</v>
      </c>
      <c r="D1116" s="62" t="s">
        <v>749</v>
      </c>
      <c r="E1116" s="76">
        <v>43973.0</v>
      </c>
      <c r="F1116" s="77">
        <v>0.125</v>
      </c>
      <c r="G1116" s="62" t="b">
        <v>1</v>
      </c>
      <c r="H1116" s="78" t="b">
        <f>IF(VLOOKUP(C1116,Projetos!A:L,12,false)=TRUE,TRUE,FALSE)</f>
        <v>1</v>
      </c>
      <c r="I1116" s="68">
        <v>29.312396449615196</v>
      </c>
      <c r="J1116" s="68">
        <f t="shared" si="1"/>
        <v>87.93718935</v>
      </c>
      <c r="K1116" s="68" t="b">
        <v>1</v>
      </c>
    </row>
    <row r="1117">
      <c r="A1117" s="75">
        <v>1111.0</v>
      </c>
      <c r="B1117" s="62" t="s">
        <v>744</v>
      </c>
      <c r="C1117" s="62" t="s">
        <v>104</v>
      </c>
      <c r="D1117" s="62" t="s">
        <v>749</v>
      </c>
      <c r="E1117" s="76">
        <v>43976.0</v>
      </c>
      <c r="F1117" s="77">
        <v>0.16666666666666666</v>
      </c>
      <c r="G1117" s="62" t="b">
        <v>1</v>
      </c>
      <c r="H1117" s="78" t="b">
        <f>IF(VLOOKUP(C1117,Projetos!A:L,12,false)=TRUE,TRUE,FALSE)</f>
        <v>1</v>
      </c>
      <c r="I1117" s="68">
        <v>29.312396449615196</v>
      </c>
      <c r="J1117" s="68">
        <f t="shared" si="1"/>
        <v>117.2495858</v>
      </c>
      <c r="K1117" s="68" t="b">
        <v>1</v>
      </c>
    </row>
    <row r="1118">
      <c r="A1118" s="75">
        <v>1112.0</v>
      </c>
      <c r="B1118" s="62" t="s">
        <v>744</v>
      </c>
      <c r="C1118" s="62" t="s">
        <v>110</v>
      </c>
      <c r="D1118" s="62" t="s">
        <v>745</v>
      </c>
      <c r="E1118" s="76">
        <v>43979.0</v>
      </c>
      <c r="F1118" s="77">
        <v>0.19791666666666666</v>
      </c>
      <c r="G1118" s="62" t="b">
        <v>1</v>
      </c>
      <c r="H1118" s="78" t="b">
        <f>IF(VLOOKUP(C1118,Projetos!A:L,12,false)=TRUE,TRUE,FALSE)</f>
        <v>1</v>
      </c>
      <c r="I1118" s="68">
        <v>29.312396449615196</v>
      </c>
      <c r="J1118" s="68">
        <f t="shared" si="1"/>
        <v>139.2338831</v>
      </c>
      <c r="K1118" s="68" t="b">
        <v>1</v>
      </c>
    </row>
    <row r="1119">
      <c r="A1119" s="75">
        <v>1113.0</v>
      </c>
      <c r="B1119" s="62" t="s">
        <v>744</v>
      </c>
      <c r="C1119" s="62" t="s">
        <v>104</v>
      </c>
      <c r="D1119" s="62" t="s">
        <v>749</v>
      </c>
      <c r="E1119" s="76">
        <v>43979.0</v>
      </c>
      <c r="F1119" s="77">
        <v>0.16666666666666666</v>
      </c>
      <c r="G1119" s="62" t="b">
        <v>1</v>
      </c>
      <c r="H1119" s="78" t="b">
        <f>IF(VLOOKUP(C1119,Projetos!A:L,12,false)=TRUE,TRUE,FALSE)</f>
        <v>1</v>
      </c>
      <c r="I1119" s="68">
        <v>29.312396449615196</v>
      </c>
      <c r="J1119" s="68">
        <f t="shared" si="1"/>
        <v>117.2495858</v>
      </c>
      <c r="K1119" s="68" t="b">
        <v>1</v>
      </c>
    </row>
    <row r="1120">
      <c r="A1120" s="75">
        <v>1114.0</v>
      </c>
      <c r="B1120" s="62" t="s">
        <v>744</v>
      </c>
      <c r="C1120" s="62" t="s">
        <v>104</v>
      </c>
      <c r="D1120" s="62" t="s">
        <v>749</v>
      </c>
      <c r="E1120" s="76">
        <v>43980.0</v>
      </c>
      <c r="F1120" s="77">
        <v>0.125</v>
      </c>
      <c r="G1120" s="62" t="b">
        <v>1</v>
      </c>
      <c r="H1120" s="78" t="b">
        <f>IF(VLOOKUP(C1120,Projetos!A:L,12,false)=TRUE,TRUE,FALSE)</f>
        <v>1</v>
      </c>
      <c r="I1120" s="68">
        <v>29.312396449615196</v>
      </c>
      <c r="J1120" s="68">
        <f t="shared" si="1"/>
        <v>87.93718935</v>
      </c>
      <c r="K1120" s="68" t="b">
        <v>1</v>
      </c>
    </row>
    <row r="1121">
      <c r="A1121" s="75">
        <v>1115.0</v>
      </c>
      <c r="B1121" s="62" t="s">
        <v>744</v>
      </c>
      <c r="C1121" s="62" t="s">
        <v>110</v>
      </c>
      <c r="D1121" s="62" t="s">
        <v>745</v>
      </c>
      <c r="E1121" s="76">
        <v>43980.0</v>
      </c>
      <c r="F1121" s="77">
        <v>0.125</v>
      </c>
      <c r="G1121" s="62" t="b">
        <v>1</v>
      </c>
      <c r="H1121" s="78" t="b">
        <f>IF(VLOOKUP(C1121,Projetos!A:L,12,false)=TRUE,TRUE,FALSE)</f>
        <v>1</v>
      </c>
      <c r="I1121" s="68">
        <v>29.312396449615196</v>
      </c>
      <c r="J1121" s="68">
        <f t="shared" si="1"/>
        <v>87.93718935</v>
      </c>
      <c r="K1121" s="68" t="b">
        <v>1</v>
      </c>
    </row>
    <row r="1122">
      <c r="A1122" s="75">
        <v>1116.0</v>
      </c>
      <c r="B1122" s="62" t="s">
        <v>744</v>
      </c>
      <c r="C1122" s="62" t="s">
        <v>104</v>
      </c>
      <c r="D1122" s="62" t="s">
        <v>749</v>
      </c>
      <c r="E1122" s="76">
        <v>43983.0</v>
      </c>
      <c r="F1122" s="77">
        <v>0.20833333333333334</v>
      </c>
      <c r="G1122" s="62" t="b">
        <v>1</v>
      </c>
      <c r="H1122" s="78" t="b">
        <f>IF(VLOOKUP(C1122,Projetos!A:L,12,false)=TRUE,TRUE,FALSE)</f>
        <v>1</v>
      </c>
      <c r="I1122" s="68">
        <v>27.980014792814504</v>
      </c>
      <c r="J1122" s="68">
        <f t="shared" si="1"/>
        <v>139.900074</v>
      </c>
      <c r="K1122" s="68" t="b">
        <v>1</v>
      </c>
    </row>
    <row r="1123">
      <c r="A1123" s="75">
        <v>1117.0</v>
      </c>
      <c r="B1123" s="62" t="s">
        <v>744</v>
      </c>
      <c r="C1123" s="62" t="s">
        <v>110</v>
      </c>
      <c r="D1123" s="62" t="s">
        <v>745</v>
      </c>
      <c r="E1123" s="76">
        <v>43983.0</v>
      </c>
      <c r="F1123" s="77">
        <v>0.125</v>
      </c>
      <c r="G1123" s="62" t="b">
        <v>1</v>
      </c>
      <c r="H1123" s="78" t="b">
        <f>IF(VLOOKUP(C1123,Projetos!A:L,12,false)=TRUE,TRUE,FALSE)</f>
        <v>1</v>
      </c>
      <c r="I1123" s="68">
        <v>27.980014792814504</v>
      </c>
      <c r="J1123" s="68">
        <f t="shared" si="1"/>
        <v>83.94004438</v>
      </c>
      <c r="K1123" s="68" t="b">
        <v>1</v>
      </c>
    </row>
    <row r="1124">
      <c r="A1124" s="75">
        <v>1118.0</v>
      </c>
      <c r="B1124" s="62" t="s">
        <v>744</v>
      </c>
      <c r="C1124" s="62" t="s">
        <v>110</v>
      </c>
      <c r="D1124" s="62" t="s">
        <v>745</v>
      </c>
      <c r="E1124" s="76">
        <v>43984.0</v>
      </c>
      <c r="F1124" s="77">
        <v>0.125</v>
      </c>
      <c r="G1124" s="62" t="b">
        <v>1</v>
      </c>
      <c r="H1124" s="78" t="b">
        <f>IF(VLOOKUP(C1124,Projetos!A:L,12,false)=TRUE,TRUE,FALSE)</f>
        <v>1</v>
      </c>
      <c r="I1124" s="68">
        <v>27.980014792814504</v>
      </c>
      <c r="J1124" s="68">
        <f t="shared" si="1"/>
        <v>83.94004438</v>
      </c>
      <c r="K1124" s="68" t="b">
        <v>1</v>
      </c>
    </row>
    <row r="1125">
      <c r="A1125" s="75">
        <v>1119.0</v>
      </c>
      <c r="B1125" s="62" t="s">
        <v>744</v>
      </c>
      <c r="C1125" s="62" t="s">
        <v>104</v>
      </c>
      <c r="D1125" s="62" t="s">
        <v>749</v>
      </c>
      <c r="E1125" s="76">
        <v>43984.0</v>
      </c>
      <c r="F1125" s="77">
        <v>0.16666666666666666</v>
      </c>
      <c r="G1125" s="62" t="b">
        <v>1</v>
      </c>
      <c r="H1125" s="78" t="b">
        <f>IF(VLOOKUP(C1125,Projetos!A:L,12,false)=TRUE,TRUE,FALSE)</f>
        <v>1</v>
      </c>
      <c r="I1125" s="68">
        <v>27.980014792814504</v>
      </c>
      <c r="J1125" s="68">
        <f t="shared" si="1"/>
        <v>111.9200592</v>
      </c>
      <c r="K1125" s="68" t="b">
        <v>1</v>
      </c>
    </row>
    <row r="1126">
      <c r="A1126" s="75">
        <v>1120.0</v>
      </c>
      <c r="B1126" s="62" t="s">
        <v>744</v>
      </c>
      <c r="C1126" s="62" t="s">
        <v>110</v>
      </c>
      <c r="D1126" s="62" t="s">
        <v>745</v>
      </c>
      <c r="E1126" s="76">
        <v>43985.0</v>
      </c>
      <c r="F1126" s="77">
        <v>0.125</v>
      </c>
      <c r="G1126" s="62" t="b">
        <v>1</v>
      </c>
      <c r="H1126" s="78" t="b">
        <f>IF(VLOOKUP(C1126,Projetos!A:L,12,false)=TRUE,TRUE,FALSE)</f>
        <v>1</v>
      </c>
      <c r="I1126" s="68">
        <v>27.980014792814504</v>
      </c>
      <c r="J1126" s="68">
        <f t="shared" si="1"/>
        <v>83.94004438</v>
      </c>
      <c r="K1126" s="68" t="b">
        <v>1</v>
      </c>
    </row>
    <row r="1127">
      <c r="A1127" s="75">
        <v>1121.0</v>
      </c>
      <c r="B1127" s="62" t="s">
        <v>744</v>
      </c>
      <c r="C1127" s="62" t="s">
        <v>110</v>
      </c>
      <c r="D1127" s="62" t="s">
        <v>745</v>
      </c>
      <c r="E1127" s="76">
        <v>43986.0</v>
      </c>
      <c r="F1127" s="77">
        <v>0.20833333333333334</v>
      </c>
      <c r="G1127" s="62" t="b">
        <v>1</v>
      </c>
      <c r="H1127" s="78" t="b">
        <f>IF(VLOOKUP(C1127,Projetos!A:L,12,false)=TRUE,TRUE,FALSE)</f>
        <v>1</v>
      </c>
      <c r="I1127" s="68">
        <v>27.980014792814504</v>
      </c>
      <c r="J1127" s="68">
        <f t="shared" si="1"/>
        <v>139.900074</v>
      </c>
      <c r="K1127" s="68" t="b">
        <v>1</v>
      </c>
    </row>
    <row r="1128">
      <c r="A1128" s="75">
        <v>1122.0</v>
      </c>
      <c r="B1128" s="62" t="s">
        <v>744</v>
      </c>
      <c r="C1128" s="62" t="s">
        <v>110</v>
      </c>
      <c r="D1128" s="62" t="s">
        <v>745</v>
      </c>
      <c r="E1128" s="76">
        <v>43987.0</v>
      </c>
      <c r="F1128" s="77">
        <v>0.16666666666666666</v>
      </c>
      <c r="G1128" s="62" t="b">
        <v>1</v>
      </c>
      <c r="H1128" s="78" t="b">
        <f>IF(VLOOKUP(C1128,Projetos!A:L,12,false)=TRUE,TRUE,FALSE)</f>
        <v>1</v>
      </c>
      <c r="I1128" s="68">
        <v>27.980014792814504</v>
      </c>
      <c r="J1128" s="68">
        <f t="shared" si="1"/>
        <v>111.9200592</v>
      </c>
      <c r="K1128" s="68" t="b">
        <v>1</v>
      </c>
    </row>
    <row r="1129">
      <c r="A1129" s="75">
        <v>1123.0</v>
      </c>
      <c r="B1129" s="62" t="s">
        <v>744</v>
      </c>
      <c r="C1129" s="62" t="s">
        <v>104</v>
      </c>
      <c r="D1129" s="62" t="s">
        <v>749</v>
      </c>
      <c r="E1129" s="76">
        <v>43987.0</v>
      </c>
      <c r="F1129" s="77">
        <v>0.125</v>
      </c>
      <c r="G1129" s="62" t="b">
        <v>1</v>
      </c>
      <c r="H1129" s="78" t="b">
        <f>IF(VLOOKUP(C1129,Projetos!A:L,12,false)=TRUE,TRUE,FALSE)</f>
        <v>1</v>
      </c>
      <c r="I1129" s="68">
        <v>27.980014792814504</v>
      </c>
      <c r="J1129" s="68">
        <f t="shared" si="1"/>
        <v>83.94004438</v>
      </c>
      <c r="K1129" s="68" t="b">
        <v>1</v>
      </c>
    </row>
    <row r="1130">
      <c r="A1130" s="75">
        <v>1124.0</v>
      </c>
      <c r="B1130" s="62" t="s">
        <v>744</v>
      </c>
      <c r="C1130" s="62" t="s">
        <v>104</v>
      </c>
      <c r="D1130" s="62" t="s">
        <v>749</v>
      </c>
      <c r="E1130" s="76">
        <v>43990.0</v>
      </c>
      <c r="F1130" s="77">
        <v>0.20833333333333334</v>
      </c>
      <c r="G1130" s="62" t="b">
        <v>1</v>
      </c>
      <c r="H1130" s="78" t="b">
        <f>IF(VLOOKUP(C1130,Projetos!A:L,12,false)=TRUE,TRUE,FALSE)</f>
        <v>1</v>
      </c>
      <c r="I1130" s="68">
        <v>27.980014792814504</v>
      </c>
      <c r="J1130" s="68">
        <f t="shared" si="1"/>
        <v>139.900074</v>
      </c>
      <c r="K1130" s="68" t="b">
        <v>1</v>
      </c>
    </row>
    <row r="1131">
      <c r="A1131" s="75">
        <v>1125.0</v>
      </c>
      <c r="B1131" s="62" t="s">
        <v>744</v>
      </c>
      <c r="C1131" s="62" t="s">
        <v>104</v>
      </c>
      <c r="D1131" s="62" t="s">
        <v>749</v>
      </c>
      <c r="E1131" s="76">
        <v>43991.0</v>
      </c>
      <c r="F1131" s="77">
        <v>0.20833333333333334</v>
      </c>
      <c r="G1131" s="62" t="b">
        <v>1</v>
      </c>
      <c r="H1131" s="78" t="b">
        <f>IF(VLOOKUP(C1131,Projetos!A:L,12,false)=TRUE,TRUE,FALSE)</f>
        <v>1</v>
      </c>
      <c r="I1131" s="68">
        <v>27.980014792814504</v>
      </c>
      <c r="J1131" s="68">
        <f t="shared" si="1"/>
        <v>139.900074</v>
      </c>
      <c r="K1131" s="68" t="b">
        <v>1</v>
      </c>
    </row>
    <row r="1132">
      <c r="A1132" s="75">
        <v>1126.0</v>
      </c>
      <c r="B1132" s="62" t="s">
        <v>744</v>
      </c>
      <c r="C1132" s="62" t="s">
        <v>110</v>
      </c>
      <c r="D1132" s="62" t="s">
        <v>745</v>
      </c>
      <c r="E1132" s="76">
        <v>43992.0</v>
      </c>
      <c r="F1132" s="77">
        <v>0.20833333333333334</v>
      </c>
      <c r="G1132" s="62" t="b">
        <v>1</v>
      </c>
      <c r="H1132" s="78" t="b">
        <f>IF(VLOOKUP(C1132,Projetos!A:L,12,false)=TRUE,TRUE,FALSE)</f>
        <v>1</v>
      </c>
      <c r="I1132" s="68">
        <v>27.980014792814504</v>
      </c>
      <c r="J1132" s="68">
        <f t="shared" si="1"/>
        <v>139.900074</v>
      </c>
      <c r="K1132" s="68" t="b">
        <v>1</v>
      </c>
    </row>
    <row r="1133">
      <c r="A1133" s="75">
        <v>1127.0</v>
      </c>
      <c r="B1133" s="62" t="s">
        <v>744</v>
      </c>
      <c r="C1133" s="62" t="s">
        <v>104</v>
      </c>
      <c r="D1133" s="62" t="s">
        <v>749</v>
      </c>
      <c r="E1133" s="76">
        <v>43992.0</v>
      </c>
      <c r="F1133" s="77">
        <v>0.14583333333333334</v>
      </c>
      <c r="G1133" s="62" t="b">
        <v>1</v>
      </c>
      <c r="H1133" s="78" t="b">
        <f>IF(VLOOKUP(C1133,Projetos!A:L,12,false)=TRUE,TRUE,FALSE)</f>
        <v>1</v>
      </c>
      <c r="I1133" s="68">
        <v>27.980014792814504</v>
      </c>
      <c r="J1133" s="68">
        <f t="shared" si="1"/>
        <v>97.93005177</v>
      </c>
      <c r="K1133" s="68" t="b">
        <v>1</v>
      </c>
    </row>
    <row r="1134">
      <c r="A1134" s="75">
        <v>1128.0</v>
      </c>
      <c r="B1134" s="62" t="s">
        <v>744</v>
      </c>
      <c r="C1134" s="62" t="s">
        <v>104</v>
      </c>
      <c r="D1134" s="62" t="s">
        <v>749</v>
      </c>
      <c r="E1134" s="76">
        <v>43994.0</v>
      </c>
      <c r="F1134" s="77">
        <v>0.25</v>
      </c>
      <c r="G1134" s="62" t="b">
        <v>1</v>
      </c>
      <c r="H1134" s="78" t="b">
        <f>IF(VLOOKUP(C1134,Projetos!A:L,12,false)=TRUE,TRUE,FALSE)</f>
        <v>1</v>
      </c>
      <c r="I1134" s="68">
        <v>27.980014792814504</v>
      </c>
      <c r="J1134" s="68">
        <f t="shared" si="1"/>
        <v>167.8800888</v>
      </c>
      <c r="K1134" s="68" t="b">
        <v>1</v>
      </c>
    </row>
    <row r="1135">
      <c r="A1135" s="75">
        <v>1129.0</v>
      </c>
      <c r="B1135" s="62" t="s">
        <v>744</v>
      </c>
      <c r="C1135" s="62" t="s">
        <v>115</v>
      </c>
      <c r="D1135" s="62" t="s">
        <v>750</v>
      </c>
      <c r="E1135" s="76">
        <v>43998.0</v>
      </c>
      <c r="F1135" s="77">
        <v>0.14583333333333334</v>
      </c>
      <c r="G1135" s="62" t="b">
        <v>1</v>
      </c>
      <c r="H1135" s="78" t="b">
        <f>IF(VLOOKUP(C1135,Projetos!A:L,12,false)=TRUE,TRUE,FALSE)</f>
        <v>1</v>
      </c>
      <c r="I1135" s="68">
        <v>27.980014792814504</v>
      </c>
      <c r="J1135" s="68">
        <f t="shared" si="1"/>
        <v>97.93005177</v>
      </c>
      <c r="K1135" s="68" t="b">
        <v>1</v>
      </c>
    </row>
    <row r="1136">
      <c r="A1136" s="75">
        <v>1130.0</v>
      </c>
      <c r="B1136" s="62" t="s">
        <v>744</v>
      </c>
      <c r="C1136" s="62" t="s">
        <v>115</v>
      </c>
      <c r="D1136" s="62" t="s">
        <v>750</v>
      </c>
      <c r="E1136" s="76">
        <v>43999.0</v>
      </c>
      <c r="F1136" s="77">
        <v>0.16666666666666666</v>
      </c>
      <c r="G1136" s="62" t="b">
        <v>1</v>
      </c>
      <c r="H1136" s="78" t="b">
        <f>IF(VLOOKUP(C1136,Projetos!A:L,12,false)=TRUE,TRUE,FALSE)</f>
        <v>1</v>
      </c>
      <c r="I1136" s="68">
        <v>27.980014792814504</v>
      </c>
      <c r="J1136" s="68">
        <f t="shared" si="1"/>
        <v>111.9200592</v>
      </c>
      <c r="K1136" s="68" t="b">
        <v>1</v>
      </c>
    </row>
    <row r="1137">
      <c r="A1137" s="75">
        <v>1131.0</v>
      </c>
      <c r="B1137" s="62" t="s">
        <v>744</v>
      </c>
      <c r="C1137" s="62" t="s">
        <v>115</v>
      </c>
      <c r="D1137" s="62" t="s">
        <v>750</v>
      </c>
      <c r="E1137" s="76">
        <v>43999.0</v>
      </c>
      <c r="F1137" s="77">
        <v>0.14583333333333334</v>
      </c>
      <c r="G1137" s="62" t="b">
        <v>1</v>
      </c>
      <c r="H1137" s="78" t="b">
        <f>IF(VLOOKUP(C1137,Projetos!A:L,12,false)=TRUE,TRUE,FALSE)</f>
        <v>1</v>
      </c>
      <c r="I1137" s="68">
        <v>27.980014792814504</v>
      </c>
      <c r="J1137" s="68">
        <f t="shared" si="1"/>
        <v>97.93005177</v>
      </c>
      <c r="K1137" s="68" t="b">
        <v>1</v>
      </c>
    </row>
    <row r="1138">
      <c r="A1138" s="75">
        <v>1132.0</v>
      </c>
      <c r="B1138" s="62" t="s">
        <v>744</v>
      </c>
      <c r="C1138" s="62" t="s">
        <v>115</v>
      </c>
      <c r="D1138" s="62" t="s">
        <v>750</v>
      </c>
      <c r="E1138" s="76">
        <v>44000.0</v>
      </c>
      <c r="F1138" s="77">
        <v>0.20833333333333334</v>
      </c>
      <c r="G1138" s="62" t="b">
        <v>1</v>
      </c>
      <c r="H1138" s="78" t="b">
        <f>IF(VLOOKUP(C1138,Projetos!A:L,12,false)=TRUE,TRUE,FALSE)</f>
        <v>1</v>
      </c>
      <c r="I1138" s="68">
        <v>27.980014792814504</v>
      </c>
      <c r="J1138" s="68">
        <f t="shared" si="1"/>
        <v>139.900074</v>
      </c>
      <c r="K1138" s="68" t="b">
        <v>1</v>
      </c>
    </row>
    <row r="1139">
      <c r="A1139" s="75">
        <v>1133.0</v>
      </c>
      <c r="B1139" s="62" t="s">
        <v>744</v>
      </c>
      <c r="C1139" s="62" t="s">
        <v>110</v>
      </c>
      <c r="D1139" s="62" t="s">
        <v>745</v>
      </c>
      <c r="E1139" s="76">
        <v>44000.0</v>
      </c>
      <c r="F1139" s="77">
        <v>0.08333333333333333</v>
      </c>
      <c r="G1139" s="62" t="b">
        <v>1</v>
      </c>
      <c r="H1139" s="78" t="b">
        <f>IF(VLOOKUP(C1139,Projetos!A:L,12,false)=TRUE,TRUE,FALSE)</f>
        <v>1</v>
      </c>
      <c r="I1139" s="68">
        <v>27.980014792814504</v>
      </c>
      <c r="J1139" s="68">
        <f t="shared" si="1"/>
        <v>55.96002959</v>
      </c>
      <c r="K1139" s="68" t="b">
        <v>1</v>
      </c>
    </row>
    <row r="1140">
      <c r="A1140" s="75">
        <v>1134.0</v>
      </c>
      <c r="B1140" s="62" t="s">
        <v>744</v>
      </c>
      <c r="C1140" s="62" t="s">
        <v>115</v>
      </c>
      <c r="D1140" s="62" t="s">
        <v>750</v>
      </c>
      <c r="E1140" s="76">
        <v>44001.0</v>
      </c>
      <c r="F1140" s="77">
        <v>0.25</v>
      </c>
      <c r="G1140" s="62" t="b">
        <v>1</v>
      </c>
      <c r="H1140" s="78" t="b">
        <f>IF(VLOOKUP(C1140,Projetos!A:L,12,false)=TRUE,TRUE,FALSE)</f>
        <v>1</v>
      </c>
      <c r="I1140" s="68">
        <v>27.980014792814504</v>
      </c>
      <c r="J1140" s="68">
        <f t="shared" si="1"/>
        <v>167.8800888</v>
      </c>
      <c r="K1140" s="68" t="b">
        <v>1</v>
      </c>
    </row>
    <row r="1141">
      <c r="A1141" s="75">
        <v>1135.0</v>
      </c>
      <c r="B1141" s="62" t="s">
        <v>744</v>
      </c>
      <c r="C1141" s="62" t="s">
        <v>115</v>
      </c>
      <c r="D1141" s="62" t="s">
        <v>750</v>
      </c>
      <c r="E1141" s="76">
        <v>44004.0</v>
      </c>
      <c r="F1141" s="77">
        <v>0.25</v>
      </c>
      <c r="G1141" s="62" t="b">
        <v>1</v>
      </c>
      <c r="H1141" s="78" t="b">
        <f>IF(VLOOKUP(C1141,Projetos!A:L,12,false)=TRUE,TRUE,FALSE)</f>
        <v>1</v>
      </c>
      <c r="I1141" s="68">
        <v>27.980014792814504</v>
      </c>
      <c r="J1141" s="68">
        <f t="shared" si="1"/>
        <v>167.8800888</v>
      </c>
      <c r="K1141" s="68" t="b">
        <v>1</v>
      </c>
    </row>
    <row r="1142" hidden="1">
      <c r="A1142" s="75">
        <v>1136.0</v>
      </c>
      <c r="B1142" s="62" t="s">
        <v>744</v>
      </c>
      <c r="C1142" s="62" t="s">
        <v>109</v>
      </c>
      <c r="D1142" s="62" t="s">
        <v>750</v>
      </c>
      <c r="E1142" s="76">
        <v>44005.0</v>
      </c>
      <c r="F1142" s="77">
        <v>0.16666666666666666</v>
      </c>
      <c r="G1142" s="62" t="b">
        <v>0</v>
      </c>
      <c r="H1142" s="78" t="b">
        <f>IF(VLOOKUP(C1142,Projetos!A:L,12,false)=TRUE,TRUE,FALSE)</f>
        <v>0</v>
      </c>
      <c r="I1142" s="68">
        <v>27.980014792814504</v>
      </c>
      <c r="J1142" s="68">
        <f t="shared" si="1"/>
        <v>0</v>
      </c>
      <c r="K1142" s="68" t="b">
        <v>0</v>
      </c>
    </row>
    <row r="1143">
      <c r="A1143" s="75">
        <v>1137.0</v>
      </c>
      <c r="B1143" s="62" t="s">
        <v>744</v>
      </c>
      <c r="C1143" s="62" t="s">
        <v>104</v>
      </c>
      <c r="D1143" s="62" t="s">
        <v>749</v>
      </c>
      <c r="E1143" s="76">
        <v>44005.0</v>
      </c>
      <c r="F1143" s="77">
        <v>0.14583333333333334</v>
      </c>
      <c r="G1143" s="62" t="b">
        <v>1</v>
      </c>
      <c r="H1143" s="78" t="b">
        <f>IF(VLOOKUP(C1143,Projetos!A:L,12,false)=TRUE,TRUE,FALSE)</f>
        <v>1</v>
      </c>
      <c r="I1143" s="68">
        <v>27.980014792814504</v>
      </c>
      <c r="J1143" s="68">
        <f t="shared" si="1"/>
        <v>97.93005177</v>
      </c>
      <c r="K1143" s="68" t="b">
        <v>1</v>
      </c>
    </row>
    <row r="1144">
      <c r="A1144" s="75">
        <v>1138.0</v>
      </c>
      <c r="B1144" s="62" t="s">
        <v>744</v>
      </c>
      <c r="C1144" s="62" t="s">
        <v>104</v>
      </c>
      <c r="D1144" s="62" t="s">
        <v>749</v>
      </c>
      <c r="E1144" s="76">
        <v>44006.0</v>
      </c>
      <c r="F1144" s="77">
        <v>0.20833333333333334</v>
      </c>
      <c r="G1144" s="62" t="b">
        <v>1</v>
      </c>
      <c r="H1144" s="78" t="b">
        <f>IF(VLOOKUP(C1144,Projetos!A:L,12,false)=TRUE,TRUE,FALSE)</f>
        <v>1</v>
      </c>
      <c r="I1144" s="68">
        <v>27.980014792814504</v>
      </c>
      <c r="J1144" s="68">
        <f t="shared" si="1"/>
        <v>139.900074</v>
      </c>
      <c r="K1144" s="68" t="b">
        <v>1</v>
      </c>
    </row>
    <row r="1145" hidden="1">
      <c r="A1145" s="75">
        <v>1139.0</v>
      </c>
      <c r="B1145" s="62" t="s">
        <v>744</v>
      </c>
      <c r="C1145" s="62" t="s">
        <v>109</v>
      </c>
      <c r="D1145" s="62" t="s">
        <v>750</v>
      </c>
      <c r="E1145" s="76">
        <v>44006.0</v>
      </c>
      <c r="F1145" s="77">
        <v>0.14583333333333334</v>
      </c>
      <c r="G1145" s="62" t="b">
        <v>0</v>
      </c>
      <c r="H1145" s="78" t="b">
        <f>IF(VLOOKUP(C1145,Projetos!A:L,12,false)=TRUE,TRUE,FALSE)</f>
        <v>0</v>
      </c>
      <c r="I1145" s="68">
        <v>27.980014792814504</v>
      </c>
      <c r="J1145" s="68">
        <f t="shared" si="1"/>
        <v>0</v>
      </c>
      <c r="K1145" s="68" t="b">
        <v>0</v>
      </c>
    </row>
    <row r="1146">
      <c r="A1146" s="75">
        <v>1140.0</v>
      </c>
      <c r="B1146" s="62" t="s">
        <v>744</v>
      </c>
      <c r="C1146" s="62" t="s">
        <v>104</v>
      </c>
      <c r="D1146" s="62" t="s">
        <v>749</v>
      </c>
      <c r="E1146" s="76">
        <v>44007.0</v>
      </c>
      <c r="F1146" s="77">
        <v>0.20833333333333334</v>
      </c>
      <c r="G1146" s="62" t="b">
        <v>1</v>
      </c>
      <c r="H1146" s="78" t="b">
        <f>IF(VLOOKUP(C1146,Projetos!A:L,12,false)=TRUE,TRUE,FALSE)</f>
        <v>1</v>
      </c>
      <c r="I1146" s="68">
        <v>27.980014792814504</v>
      </c>
      <c r="J1146" s="68">
        <f t="shared" si="1"/>
        <v>139.900074</v>
      </c>
      <c r="K1146" s="68" t="b">
        <v>1</v>
      </c>
    </row>
    <row r="1147" hidden="1">
      <c r="A1147" s="75">
        <v>1141.0</v>
      </c>
      <c r="B1147" s="62" t="s">
        <v>744</v>
      </c>
      <c r="C1147" s="62" t="s">
        <v>109</v>
      </c>
      <c r="D1147" s="62" t="s">
        <v>750</v>
      </c>
      <c r="E1147" s="76">
        <v>44007.0</v>
      </c>
      <c r="F1147" s="77">
        <v>0.14583333333333334</v>
      </c>
      <c r="G1147" s="62" t="b">
        <v>0</v>
      </c>
      <c r="H1147" s="78" t="b">
        <f>IF(VLOOKUP(C1147,Projetos!A:L,12,false)=TRUE,TRUE,FALSE)</f>
        <v>0</v>
      </c>
      <c r="I1147" s="68">
        <v>27.980014792814504</v>
      </c>
      <c r="J1147" s="68">
        <f t="shared" si="1"/>
        <v>0</v>
      </c>
      <c r="K1147" s="68" t="b">
        <v>0</v>
      </c>
    </row>
    <row r="1148" hidden="1">
      <c r="A1148" s="75">
        <v>1142.0</v>
      </c>
      <c r="B1148" s="62" t="s">
        <v>744</v>
      </c>
      <c r="C1148" s="62" t="s">
        <v>109</v>
      </c>
      <c r="D1148" s="62" t="s">
        <v>750</v>
      </c>
      <c r="E1148" s="76">
        <v>44008.0</v>
      </c>
      <c r="F1148" s="77">
        <v>0.17708333333333334</v>
      </c>
      <c r="G1148" s="62" t="b">
        <v>0</v>
      </c>
      <c r="H1148" s="78" t="b">
        <f>IF(VLOOKUP(C1148,Projetos!A:L,12,false)=TRUE,TRUE,FALSE)</f>
        <v>0</v>
      </c>
      <c r="I1148" s="68">
        <v>27.980014792814504</v>
      </c>
      <c r="J1148" s="68">
        <f t="shared" si="1"/>
        <v>0</v>
      </c>
      <c r="K1148" s="68" t="b">
        <v>0</v>
      </c>
    </row>
    <row r="1149">
      <c r="A1149" s="75">
        <v>1143.0</v>
      </c>
      <c r="B1149" s="62" t="s">
        <v>744</v>
      </c>
      <c r="C1149" s="62" t="s">
        <v>104</v>
      </c>
      <c r="D1149" s="62" t="s">
        <v>749</v>
      </c>
      <c r="E1149" s="76">
        <v>44008.0</v>
      </c>
      <c r="F1149" s="77">
        <v>0.1875</v>
      </c>
      <c r="G1149" s="62" t="b">
        <v>1</v>
      </c>
      <c r="H1149" s="78" t="b">
        <f>IF(VLOOKUP(C1149,Projetos!A:L,12,false)=TRUE,TRUE,FALSE)</f>
        <v>1</v>
      </c>
      <c r="I1149" s="68">
        <v>27.980014792814504</v>
      </c>
      <c r="J1149" s="68">
        <f t="shared" si="1"/>
        <v>125.9100666</v>
      </c>
      <c r="K1149" s="68" t="b">
        <v>1</v>
      </c>
    </row>
    <row r="1150">
      <c r="A1150" s="75">
        <v>1144.0</v>
      </c>
      <c r="B1150" s="62" t="s">
        <v>744</v>
      </c>
      <c r="C1150" s="62" t="s">
        <v>104</v>
      </c>
      <c r="D1150" s="62" t="s">
        <v>749</v>
      </c>
      <c r="E1150" s="76">
        <v>44011.0</v>
      </c>
      <c r="F1150" s="77">
        <v>0.20833333333333334</v>
      </c>
      <c r="G1150" s="62" t="b">
        <v>1</v>
      </c>
      <c r="H1150" s="78" t="b">
        <f>IF(VLOOKUP(C1150,Projetos!A:L,12,false)=TRUE,TRUE,FALSE)</f>
        <v>1</v>
      </c>
      <c r="I1150" s="68">
        <v>27.980014792814504</v>
      </c>
      <c r="J1150" s="68">
        <f t="shared" si="1"/>
        <v>139.900074</v>
      </c>
      <c r="K1150" s="68" t="b">
        <v>1</v>
      </c>
    </row>
    <row r="1151">
      <c r="A1151" s="75">
        <v>1145.0</v>
      </c>
      <c r="B1151" s="62" t="s">
        <v>744</v>
      </c>
      <c r="C1151" s="62" t="s">
        <v>104</v>
      </c>
      <c r="D1151" s="62" t="s">
        <v>749</v>
      </c>
      <c r="E1151" s="76">
        <v>44011.0</v>
      </c>
      <c r="F1151" s="77">
        <v>0.125</v>
      </c>
      <c r="G1151" s="62" t="b">
        <v>1</v>
      </c>
      <c r="H1151" s="78" t="b">
        <f>IF(VLOOKUP(C1151,Projetos!A:L,12,false)=TRUE,TRUE,FALSE)</f>
        <v>1</v>
      </c>
      <c r="I1151" s="68">
        <v>27.980014792814504</v>
      </c>
      <c r="J1151" s="68">
        <f t="shared" si="1"/>
        <v>83.94004438</v>
      </c>
      <c r="K1151" s="68" t="b">
        <v>1</v>
      </c>
    </row>
    <row r="1152">
      <c r="A1152" s="75">
        <v>1146.0</v>
      </c>
      <c r="B1152" s="62" t="s">
        <v>744</v>
      </c>
      <c r="C1152" s="62" t="s">
        <v>104</v>
      </c>
      <c r="D1152" s="62" t="s">
        <v>749</v>
      </c>
      <c r="E1152" s="76">
        <v>44012.0</v>
      </c>
      <c r="F1152" s="77">
        <v>0.2604166666666667</v>
      </c>
      <c r="G1152" s="62" t="b">
        <v>1</v>
      </c>
      <c r="H1152" s="78" t="b">
        <f>IF(VLOOKUP(C1152,Projetos!A:L,12,false)=TRUE,TRUE,FALSE)</f>
        <v>1</v>
      </c>
      <c r="I1152" s="68">
        <v>27.980014792814504</v>
      </c>
      <c r="J1152" s="68">
        <f t="shared" si="1"/>
        <v>174.8750925</v>
      </c>
      <c r="K1152" s="68" t="b">
        <v>1</v>
      </c>
    </row>
    <row r="1153">
      <c r="A1153" s="75">
        <v>1147.0</v>
      </c>
      <c r="B1153" s="62" t="s">
        <v>744</v>
      </c>
      <c r="C1153" s="62" t="s">
        <v>104</v>
      </c>
      <c r="D1153" s="62" t="s">
        <v>749</v>
      </c>
      <c r="E1153" s="76">
        <v>44013.0</v>
      </c>
      <c r="F1153" s="77">
        <v>0.19791666666666666</v>
      </c>
      <c r="G1153" s="62" t="b">
        <v>1</v>
      </c>
      <c r="H1153" s="78" t="b">
        <f>IF(VLOOKUP(C1153,Projetos!A:L,12,false)=TRUE,TRUE,FALSE)</f>
        <v>1</v>
      </c>
      <c r="I1153" s="68">
        <v>29.312396449615196</v>
      </c>
      <c r="J1153" s="68">
        <f t="shared" si="1"/>
        <v>139.2338831</v>
      </c>
      <c r="K1153" s="68" t="b">
        <v>1</v>
      </c>
    </row>
    <row r="1154">
      <c r="A1154" s="75">
        <v>1148.0</v>
      </c>
      <c r="B1154" s="62" t="s">
        <v>744</v>
      </c>
      <c r="C1154" s="62" t="s">
        <v>84</v>
      </c>
      <c r="D1154" s="62" t="s">
        <v>750</v>
      </c>
      <c r="E1154" s="76">
        <v>44013.0</v>
      </c>
      <c r="F1154" s="77">
        <v>0.041666666666666664</v>
      </c>
      <c r="G1154" s="62" t="b">
        <v>1</v>
      </c>
      <c r="H1154" s="78" t="b">
        <f>IF(VLOOKUP(C1154,Projetos!A:L,12,false)=TRUE,TRUE,FALSE)</f>
        <v>1</v>
      </c>
      <c r="I1154" s="68">
        <v>29.312396449615196</v>
      </c>
      <c r="J1154" s="68">
        <f t="shared" si="1"/>
        <v>29.31239645</v>
      </c>
      <c r="K1154" s="68" t="b">
        <v>1</v>
      </c>
    </row>
    <row r="1155" hidden="1">
      <c r="A1155" s="75">
        <v>1149.0</v>
      </c>
      <c r="B1155" s="62" t="s">
        <v>744</v>
      </c>
      <c r="C1155" s="62" t="s">
        <v>109</v>
      </c>
      <c r="D1155" s="62" t="s">
        <v>750</v>
      </c>
      <c r="E1155" s="76">
        <v>44013.0</v>
      </c>
      <c r="F1155" s="77">
        <v>0.08333333333333333</v>
      </c>
      <c r="G1155" s="62" t="b">
        <v>0</v>
      </c>
      <c r="H1155" s="78" t="b">
        <f>IF(VLOOKUP(C1155,Projetos!A:L,12,false)=TRUE,TRUE,FALSE)</f>
        <v>0</v>
      </c>
      <c r="I1155" s="68">
        <v>29.312396449615196</v>
      </c>
      <c r="J1155" s="68">
        <f t="shared" si="1"/>
        <v>0</v>
      </c>
      <c r="K1155" s="68" t="b">
        <v>0</v>
      </c>
    </row>
    <row r="1156">
      <c r="A1156" s="75">
        <v>1150.0</v>
      </c>
      <c r="B1156" s="62" t="s">
        <v>744</v>
      </c>
      <c r="C1156" s="62" t="s">
        <v>110</v>
      </c>
      <c r="D1156" s="62" t="s">
        <v>745</v>
      </c>
      <c r="E1156" s="76">
        <v>44014.0</v>
      </c>
      <c r="F1156" s="77">
        <v>0.21875</v>
      </c>
      <c r="G1156" s="62" t="b">
        <v>1</v>
      </c>
      <c r="H1156" s="78" t="b">
        <f>IF(VLOOKUP(C1156,Projetos!A:L,12,false)=TRUE,TRUE,FALSE)</f>
        <v>1</v>
      </c>
      <c r="I1156" s="68">
        <v>29.312396449615196</v>
      </c>
      <c r="J1156" s="68">
        <f t="shared" si="1"/>
        <v>153.8900814</v>
      </c>
      <c r="K1156" s="68" t="b">
        <v>1</v>
      </c>
    </row>
    <row r="1157">
      <c r="A1157" s="75">
        <v>1151.0</v>
      </c>
      <c r="B1157" s="62" t="s">
        <v>744</v>
      </c>
      <c r="C1157" s="62" t="s">
        <v>110</v>
      </c>
      <c r="D1157" s="62" t="s">
        <v>745</v>
      </c>
      <c r="E1157" s="76">
        <v>44015.0</v>
      </c>
      <c r="F1157" s="77">
        <v>0.20833333333333334</v>
      </c>
      <c r="G1157" s="62" t="b">
        <v>1</v>
      </c>
      <c r="H1157" s="78" t="b">
        <f>IF(VLOOKUP(C1157,Projetos!A:L,12,false)=TRUE,TRUE,FALSE)</f>
        <v>1</v>
      </c>
      <c r="I1157" s="68">
        <v>29.312396449615196</v>
      </c>
      <c r="J1157" s="68">
        <f t="shared" si="1"/>
        <v>146.5619822</v>
      </c>
      <c r="K1157" s="68" t="b">
        <v>1</v>
      </c>
    </row>
    <row r="1158">
      <c r="A1158" s="75">
        <v>1152.0</v>
      </c>
      <c r="B1158" s="62" t="s">
        <v>744</v>
      </c>
      <c r="C1158" s="62" t="s">
        <v>110</v>
      </c>
      <c r="D1158" s="62" t="s">
        <v>745</v>
      </c>
      <c r="E1158" s="76">
        <v>44018.0</v>
      </c>
      <c r="F1158" s="77">
        <v>0.19791666666666666</v>
      </c>
      <c r="G1158" s="62" t="b">
        <v>1</v>
      </c>
      <c r="H1158" s="78" t="b">
        <f>IF(VLOOKUP(C1158,Projetos!A:L,12,false)=TRUE,TRUE,FALSE)</f>
        <v>1</v>
      </c>
      <c r="I1158" s="68">
        <v>29.312396449615196</v>
      </c>
      <c r="J1158" s="68">
        <f t="shared" si="1"/>
        <v>139.2338831</v>
      </c>
      <c r="K1158" s="68" t="b">
        <v>1</v>
      </c>
    </row>
    <row r="1159">
      <c r="A1159" s="75">
        <v>1153.0</v>
      </c>
      <c r="B1159" s="62" t="s">
        <v>744</v>
      </c>
      <c r="C1159" s="62" t="s">
        <v>104</v>
      </c>
      <c r="D1159" s="62" t="s">
        <v>749</v>
      </c>
      <c r="E1159" s="76">
        <v>44018.0</v>
      </c>
      <c r="F1159" s="77">
        <v>0.08333333333333333</v>
      </c>
      <c r="G1159" s="62" t="b">
        <v>1</v>
      </c>
      <c r="H1159" s="78" t="b">
        <f>IF(VLOOKUP(C1159,Projetos!A:L,12,false)=TRUE,TRUE,FALSE)</f>
        <v>1</v>
      </c>
      <c r="I1159" s="68">
        <v>29.312396449615196</v>
      </c>
      <c r="J1159" s="68">
        <f t="shared" si="1"/>
        <v>58.6247929</v>
      </c>
      <c r="K1159" s="68" t="b">
        <v>1</v>
      </c>
    </row>
    <row r="1160">
      <c r="A1160" s="75">
        <v>1154.0</v>
      </c>
      <c r="B1160" s="62" t="s">
        <v>744</v>
      </c>
      <c r="C1160" s="62" t="s">
        <v>104</v>
      </c>
      <c r="D1160" s="62" t="s">
        <v>749</v>
      </c>
      <c r="E1160" s="76">
        <v>44019.0</v>
      </c>
      <c r="F1160" s="77">
        <v>0.20833333333333334</v>
      </c>
      <c r="G1160" s="62" t="b">
        <v>1</v>
      </c>
      <c r="H1160" s="78" t="b">
        <f>IF(VLOOKUP(C1160,Projetos!A:L,12,false)=TRUE,TRUE,FALSE)</f>
        <v>1</v>
      </c>
      <c r="I1160" s="68">
        <v>29.312396449615196</v>
      </c>
      <c r="J1160" s="68">
        <f t="shared" si="1"/>
        <v>146.5619822</v>
      </c>
      <c r="K1160" s="68" t="b">
        <v>1</v>
      </c>
    </row>
    <row r="1161">
      <c r="A1161" s="75">
        <v>1155.0</v>
      </c>
      <c r="B1161" s="62" t="s">
        <v>744</v>
      </c>
      <c r="C1161" s="62" t="s">
        <v>110</v>
      </c>
      <c r="D1161" s="62" t="s">
        <v>745</v>
      </c>
      <c r="E1161" s="76">
        <v>44019.0</v>
      </c>
      <c r="F1161" s="77">
        <v>0.08333333333333333</v>
      </c>
      <c r="G1161" s="62" t="b">
        <v>1</v>
      </c>
      <c r="H1161" s="78" t="b">
        <f>IF(VLOOKUP(C1161,Projetos!A:L,12,false)=TRUE,TRUE,FALSE)</f>
        <v>1</v>
      </c>
      <c r="I1161" s="68">
        <v>29.312396449615196</v>
      </c>
      <c r="J1161" s="68">
        <f t="shared" si="1"/>
        <v>58.6247929</v>
      </c>
      <c r="K1161" s="68" t="b">
        <v>1</v>
      </c>
    </row>
    <row r="1162">
      <c r="A1162" s="75">
        <v>1156.0</v>
      </c>
      <c r="B1162" s="62" t="s">
        <v>744</v>
      </c>
      <c r="C1162" s="62" t="s">
        <v>138</v>
      </c>
      <c r="D1162" s="62" t="s">
        <v>749</v>
      </c>
      <c r="E1162" s="76">
        <v>44020.0</v>
      </c>
      <c r="F1162" s="77">
        <v>0.20833333333333334</v>
      </c>
      <c r="G1162" s="62" t="b">
        <v>1</v>
      </c>
      <c r="H1162" s="78" t="b">
        <f>IF(VLOOKUP(C1162,Projetos!A:L,12,false)=TRUE,TRUE,FALSE)</f>
        <v>1</v>
      </c>
      <c r="I1162" s="68">
        <v>29.312396449615196</v>
      </c>
      <c r="J1162" s="68">
        <f t="shared" si="1"/>
        <v>146.5619822</v>
      </c>
      <c r="K1162" s="68" t="b">
        <v>1</v>
      </c>
    </row>
    <row r="1163">
      <c r="A1163" s="75">
        <v>1157.0</v>
      </c>
      <c r="B1163" s="62" t="s">
        <v>744</v>
      </c>
      <c r="C1163" s="62" t="s">
        <v>138</v>
      </c>
      <c r="D1163" s="62" t="s">
        <v>749</v>
      </c>
      <c r="E1163" s="76">
        <v>44021.0</v>
      </c>
      <c r="F1163" s="77">
        <v>0.20833333333333334</v>
      </c>
      <c r="G1163" s="62" t="b">
        <v>1</v>
      </c>
      <c r="H1163" s="78" t="b">
        <f>IF(VLOOKUP(C1163,Projetos!A:L,12,false)=TRUE,TRUE,FALSE)</f>
        <v>1</v>
      </c>
      <c r="I1163" s="68">
        <v>29.312396449615196</v>
      </c>
      <c r="J1163" s="68">
        <f t="shared" si="1"/>
        <v>146.5619822</v>
      </c>
      <c r="K1163" s="68" t="b">
        <v>1</v>
      </c>
    </row>
    <row r="1164">
      <c r="A1164" s="75">
        <v>1158.0</v>
      </c>
      <c r="B1164" s="62" t="s">
        <v>744</v>
      </c>
      <c r="C1164" s="62" t="s">
        <v>104</v>
      </c>
      <c r="D1164" s="62" t="s">
        <v>749</v>
      </c>
      <c r="E1164" s="76">
        <v>44022.0</v>
      </c>
      <c r="F1164" s="77">
        <v>0.16666666666666666</v>
      </c>
      <c r="G1164" s="62" t="b">
        <v>1</v>
      </c>
      <c r="H1164" s="78" t="b">
        <f>IF(VLOOKUP(C1164,Projetos!A:L,12,false)=TRUE,TRUE,FALSE)</f>
        <v>1</v>
      </c>
      <c r="I1164" s="68">
        <v>29.312396449615196</v>
      </c>
      <c r="J1164" s="68">
        <f t="shared" si="1"/>
        <v>117.2495858</v>
      </c>
      <c r="K1164" s="68" t="b">
        <v>1</v>
      </c>
    </row>
    <row r="1165">
      <c r="A1165" s="75">
        <v>1159.0</v>
      </c>
      <c r="B1165" s="62" t="s">
        <v>744</v>
      </c>
      <c r="C1165" s="62" t="s">
        <v>138</v>
      </c>
      <c r="D1165" s="62" t="s">
        <v>749</v>
      </c>
      <c r="E1165" s="76">
        <v>44022.0</v>
      </c>
      <c r="F1165" s="77">
        <v>0.14583333333333334</v>
      </c>
      <c r="G1165" s="62" t="b">
        <v>1</v>
      </c>
      <c r="H1165" s="78" t="b">
        <f>IF(VLOOKUP(C1165,Projetos!A:L,12,false)=TRUE,TRUE,FALSE)</f>
        <v>1</v>
      </c>
      <c r="I1165" s="68">
        <v>29.312396449615196</v>
      </c>
      <c r="J1165" s="68">
        <f t="shared" si="1"/>
        <v>102.5933876</v>
      </c>
      <c r="K1165" s="68" t="b">
        <v>1</v>
      </c>
    </row>
    <row r="1166">
      <c r="A1166" s="75">
        <v>1160.0</v>
      </c>
      <c r="B1166" s="62" t="s">
        <v>744</v>
      </c>
      <c r="C1166" s="62" t="s">
        <v>138</v>
      </c>
      <c r="D1166" s="62" t="s">
        <v>749</v>
      </c>
      <c r="E1166" s="76">
        <v>44025.0</v>
      </c>
      <c r="F1166" s="77">
        <v>0.16666666666666666</v>
      </c>
      <c r="G1166" s="62" t="b">
        <v>1</v>
      </c>
      <c r="H1166" s="78" t="b">
        <f>IF(VLOOKUP(C1166,Projetos!A:L,12,false)=TRUE,TRUE,FALSE)</f>
        <v>1</v>
      </c>
      <c r="I1166" s="68">
        <v>29.312396449615196</v>
      </c>
      <c r="J1166" s="68">
        <f t="shared" si="1"/>
        <v>117.2495858</v>
      </c>
      <c r="K1166" s="68" t="b">
        <v>1</v>
      </c>
    </row>
    <row r="1167">
      <c r="A1167" s="75">
        <v>1161.0</v>
      </c>
      <c r="B1167" s="62" t="s">
        <v>744</v>
      </c>
      <c r="C1167" s="62" t="s">
        <v>112</v>
      </c>
      <c r="D1167" s="62" t="s">
        <v>750</v>
      </c>
      <c r="E1167" s="76">
        <v>44025.0</v>
      </c>
      <c r="F1167" s="77">
        <v>0.14583333333333334</v>
      </c>
      <c r="G1167" s="62" t="b">
        <v>1</v>
      </c>
      <c r="H1167" s="78" t="b">
        <f>IF(VLOOKUP(C1167,Projetos!A:L,12,false)=TRUE,TRUE,FALSE)</f>
        <v>1</v>
      </c>
      <c r="I1167" s="68">
        <v>29.312396449615196</v>
      </c>
      <c r="J1167" s="68">
        <f t="shared" si="1"/>
        <v>102.5933876</v>
      </c>
      <c r="K1167" s="68" t="b">
        <v>1</v>
      </c>
    </row>
    <row r="1168">
      <c r="A1168" s="75">
        <v>1162.0</v>
      </c>
      <c r="B1168" s="62" t="s">
        <v>744</v>
      </c>
      <c r="C1168" s="62" t="s">
        <v>112</v>
      </c>
      <c r="D1168" s="62" t="s">
        <v>750</v>
      </c>
      <c r="E1168" s="76">
        <v>44026.0</v>
      </c>
      <c r="F1168" s="77">
        <v>0.1875</v>
      </c>
      <c r="G1168" s="62" t="b">
        <v>1</v>
      </c>
      <c r="H1168" s="78" t="b">
        <f>IF(VLOOKUP(C1168,Projetos!A:L,12,false)=TRUE,TRUE,FALSE)</f>
        <v>1</v>
      </c>
      <c r="I1168" s="68">
        <v>29.312396449615196</v>
      </c>
      <c r="J1168" s="68">
        <f t="shared" si="1"/>
        <v>131.905784</v>
      </c>
      <c r="K1168" s="68" t="b">
        <v>1</v>
      </c>
    </row>
    <row r="1169">
      <c r="A1169" s="75">
        <v>1163.0</v>
      </c>
      <c r="B1169" s="62" t="s">
        <v>744</v>
      </c>
      <c r="C1169" s="62" t="s">
        <v>138</v>
      </c>
      <c r="D1169" s="62" t="s">
        <v>749</v>
      </c>
      <c r="E1169" s="76">
        <v>44027.0</v>
      </c>
      <c r="F1169" s="77">
        <v>0.14583333333333334</v>
      </c>
      <c r="G1169" s="62" t="b">
        <v>1</v>
      </c>
      <c r="H1169" s="78" t="b">
        <f>IF(VLOOKUP(C1169,Projetos!A:L,12,false)=TRUE,TRUE,FALSE)</f>
        <v>1</v>
      </c>
      <c r="I1169" s="68">
        <v>29.312396449615196</v>
      </c>
      <c r="J1169" s="68">
        <f t="shared" si="1"/>
        <v>102.5933876</v>
      </c>
      <c r="K1169" s="68" t="b">
        <v>1</v>
      </c>
    </row>
    <row r="1170">
      <c r="A1170" s="75">
        <v>1164.0</v>
      </c>
      <c r="B1170" s="62" t="s">
        <v>744</v>
      </c>
      <c r="C1170" s="62" t="s">
        <v>110</v>
      </c>
      <c r="D1170" s="62" t="s">
        <v>745</v>
      </c>
      <c r="E1170" s="76">
        <v>44027.0</v>
      </c>
      <c r="F1170" s="77">
        <v>0.20833333333333334</v>
      </c>
      <c r="G1170" s="62" t="b">
        <v>1</v>
      </c>
      <c r="H1170" s="78" t="b">
        <f>IF(VLOOKUP(C1170,Projetos!A:L,12,false)=TRUE,TRUE,FALSE)</f>
        <v>1</v>
      </c>
      <c r="I1170" s="68">
        <v>29.312396449615196</v>
      </c>
      <c r="J1170" s="68">
        <f t="shared" si="1"/>
        <v>146.5619822</v>
      </c>
      <c r="K1170" s="68" t="b">
        <v>1</v>
      </c>
    </row>
    <row r="1171" hidden="1">
      <c r="A1171" s="75">
        <v>1165.0</v>
      </c>
      <c r="B1171" s="62" t="s">
        <v>744</v>
      </c>
      <c r="C1171" s="62" t="s">
        <v>109</v>
      </c>
      <c r="D1171" s="62" t="s">
        <v>750</v>
      </c>
      <c r="E1171" s="76">
        <v>44028.0</v>
      </c>
      <c r="F1171" s="77">
        <v>0.20833333333333334</v>
      </c>
      <c r="G1171" s="62" t="b">
        <v>0</v>
      </c>
      <c r="H1171" s="78" t="b">
        <f>IF(VLOOKUP(C1171,Projetos!A:L,12,false)=TRUE,TRUE,FALSE)</f>
        <v>0</v>
      </c>
      <c r="I1171" s="68">
        <v>29.312396449615196</v>
      </c>
      <c r="J1171" s="68">
        <f t="shared" si="1"/>
        <v>0</v>
      </c>
      <c r="K1171" s="68" t="b">
        <v>0</v>
      </c>
    </row>
    <row r="1172">
      <c r="A1172" s="75">
        <v>1166.0</v>
      </c>
      <c r="B1172" s="62" t="s">
        <v>744</v>
      </c>
      <c r="C1172" s="62" t="s">
        <v>84</v>
      </c>
      <c r="D1172" s="62" t="s">
        <v>750</v>
      </c>
      <c r="E1172" s="76">
        <v>44028.0</v>
      </c>
      <c r="F1172" s="77">
        <v>0.041666666666666664</v>
      </c>
      <c r="G1172" s="62" t="b">
        <v>1</v>
      </c>
      <c r="H1172" s="78" t="b">
        <f>IF(VLOOKUP(C1172,Projetos!A:L,12,false)=TRUE,TRUE,FALSE)</f>
        <v>1</v>
      </c>
      <c r="I1172" s="68">
        <v>29.312396449615196</v>
      </c>
      <c r="J1172" s="68">
        <f t="shared" si="1"/>
        <v>29.31239645</v>
      </c>
      <c r="K1172" s="68" t="b">
        <v>1</v>
      </c>
    </row>
    <row r="1173">
      <c r="A1173" s="75">
        <v>1167.0</v>
      </c>
      <c r="B1173" s="62" t="s">
        <v>744</v>
      </c>
      <c r="C1173" s="62" t="s">
        <v>138</v>
      </c>
      <c r="D1173" s="62" t="s">
        <v>749</v>
      </c>
      <c r="E1173" s="76">
        <v>44028.0</v>
      </c>
      <c r="F1173" s="77">
        <v>0.08333333333333333</v>
      </c>
      <c r="G1173" s="62" t="b">
        <v>1</v>
      </c>
      <c r="H1173" s="78" t="b">
        <f>IF(VLOOKUP(C1173,Projetos!A:L,12,false)=TRUE,TRUE,FALSE)</f>
        <v>1</v>
      </c>
      <c r="I1173" s="68">
        <v>29.312396449615196</v>
      </c>
      <c r="J1173" s="68">
        <f t="shared" si="1"/>
        <v>58.6247929</v>
      </c>
      <c r="K1173" s="68" t="b">
        <v>1</v>
      </c>
    </row>
    <row r="1174" hidden="1">
      <c r="A1174" s="75">
        <v>1168.0</v>
      </c>
      <c r="B1174" s="62" t="s">
        <v>744</v>
      </c>
      <c r="C1174" s="62" t="s">
        <v>109</v>
      </c>
      <c r="D1174" s="62" t="s">
        <v>750</v>
      </c>
      <c r="E1174" s="76">
        <v>44029.0</v>
      </c>
      <c r="F1174" s="77">
        <v>0.08333333333333333</v>
      </c>
      <c r="G1174" s="62" t="b">
        <v>0</v>
      </c>
      <c r="H1174" s="78" t="b">
        <f>IF(VLOOKUP(C1174,Projetos!A:L,12,false)=TRUE,TRUE,FALSE)</f>
        <v>0</v>
      </c>
      <c r="I1174" s="68">
        <v>29.312396449615196</v>
      </c>
      <c r="J1174" s="68">
        <f t="shared" si="1"/>
        <v>0</v>
      </c>
      <c r="K1174" s="68" t="b">
        <v>0</v>
      </c>
    </row>
    <row r="1175">
      <c r="A1175" s="75">
        <v>1169.0</v>
      </c>
      <c r="B1175" s="62" t="s">
        <v>744</v>
      </c>
      <c r="C1175" s="62" t="s">
        <v>138</v>
      </c>
      <c r="D1175" s="62" t="s">
        <v>749</v>
      </c>
      <c r="E1175" s="76">
        <v>44029.0</v>
      </c>
      <c r="F1175" s="77">
        <v>0.20833333333333334</v>
      </c>
      <c r="G1175" s="62" t="b">
        <v>1</v>
      </c>
      <c r="H1175" s="78" t="b">
        <f>IF(VLOOKUP(C1175,Projetos!A:L,12,false)=TRUE,TRUE,FALSE)</f>
        <v>1</v>
      </c>
      <c r="I1175" s="68">
        <v>29.312396449615196</v>
      </c>
      <c r="J1175" s="68">
        <f t="shared" si="1"/>
        <v>146.5619822</v>
      </c>
      <c r="K1175" s="68" t="b">
        <v>1</v>
      </c>
    </row>
    <row r="1176">
      <c r="A1176" s="75">
        <v>1170.0</v>
      </c>
      <c r="B1176" s="62" t="s">
        <v>744</v>
      </c>
      <c r="C1176" s="62" t="s">
        <v>115</v>
      </c>
      <c r="D1176" s="62" t="s">
        <v>750</v>
      </c>
      <c r="E1176" s="76">
        <v>44032.0</v>
      </c>
      <c r="F1176" s="77">
        <v>0.20833333333333334</v>
      </c>
      <c r="G1176" s="62" t="b">
        <v>1</v>
      </c>
      <c r="H1176" s="78" t="b">
        <f>IF(VLOOKUP(C1176,Projetos!A:L,12,false)=TRUE,TRUE,FALSE)</f>
        <v>1</v>
      </c>
      <c r="I1176" s="68">
        <v>29.312396449615196</v>
      </c>
      <c r="J1176" s="68">
        <f t="shared" si="1"/>
        <v>146.5619822</v>
      </c>
      <c r="K1176" s="68" t="b">
        <v>1</v>
      </c>
    </row>
    <row r="1177">
      <c r="A1177" s="75">
        <v>1171.0</v>
      </c>
      <c r="B1177" s="62" t="s">
        <v>744</v>
      </c>
      <c r="C1177" s="62" t="s">
        <v>138</v>
      </c>
      <c r="D1177" s="62" t="s">
        <v>749</v>
      </c>
      <c r="E1177" s="76">
        <v>44033.0</v>
      </c>
      <c r="F1177" s="77">
        <v>0.16666666666666666</v>
      </c>
      <c r="G1177" s="62" t="b">
        <v>1</v>
      </c>
      <c r="H1177" s="78" t="b">
        <f>IF(VLOOKUP(C1177,Projetos!A:L,12,false)=TRUE,TRUE,FALSE)</f>
        <v>1</v>
      </c>
      <c r="I1177" s="68">
        <v>29.312396449615196</v>
      </c>
      <c r="J1177" s="68">
        <f t="shared" si="1"/>
        <v>117.2495858</v>
      </c>
      <c r="K1177" s="68" t="b">
        <v>1</v>
      </c>
    </row>
    <row r="1178">
      <c r="A1178" s="75">
        <v>1172.0</v>
      </c>
      <c r="B1178" s="62" t="s">
        <v>744</v>
      </c>
      <c r="C1178" s="62" t="s">
        <v>112</v>
      </c>
      <c r="D1178" s="62" t="s">
        <v>750</v>
      </c>
      <c r="E1178" s="76">
        <v>44033.0</v>
      </c>
      <c r="F1178" s="77">
        <v>0.1875</v>
      </c>
      <c r="G1178" s="62" t="b">
        <v>1</v>
      </c>
      <c r="H1178" s="78" t="b">
        <f>IF(VLOOKUP(C1178,Projetos!A:L,12,false)=TRUE,TRUE,FALSE)</f>
        <v>1</v>
      </c>
      <c r="I1178" s="68">
        <v>29.312396449615196</v>
      </c>
      <c r="J1178" s="68">
        <f t="shared" si="1"/>
        <v>131.905784</v>
      </c>
      <c r="K1178" s="68" t="b">
        <v>1</v>
      </c>
    </row>
    <row r="1179">
      <c r="A1179" s="75">
        <v>1173.0</v>
      </c>
      <c r="B1179" s="62" t="s">
        <v>744</v>
      </c>
      <c r="C1179" s="62" t="s">
        <v>112</v>
      </c>
      <c r="D1179" s="62" t="s">
        <v>750</v>
      </c>
      <c r="E1179" s="76">
        <v>44034.0</v>
      </c>
      <c r="F1179" s="77">
        <v>0.20833333333333334</v>
      </c>
      <c r="G1179" s="62" t="b">
        <v>1</v>
      </c>
      <c r="H1179" s="78" t="b">
        <f>IF(VLOOKUP(C1179,Projetos!A:L,12,false)=TRUE,TRUE,FALSE)</f>
        <v>1</v>
      </c>
      <c r="I1179" s="68">
        <v>29.312396449615196</v>
      </c>
      <c r="J1179" s="68">
        <f t="shared" si="1"/>
        <v>146.5619822</v>
      </c>
      <c r="K1179" s="68" t="b">
        <v>1</v>
      </c>
    </row>
    <row r="1180">
      <c r="A1180" s="75">
        <v>1174.0</v>
      </c>
      <c r="B1180" s="62" t="s">
        <v>744</v>
      </c>
      <c r="C1180" s="62" t="s">
        <v>112</v>
      </c>
      <c r="D1180" s="62" t="s">
        <v>750</v>
      </c>
      <c r="E1180" s="76">
        <v>44035.0</v>
      </c>
      <c r="F1180" s="77">
        <v>0.20833333333333334</v>
      </c>
      <c r="G1180" s="62" t="b">
        <v>1</v>
      </c>
      <c r="H1180" s="78" t="b">
        <f>IF(VLOOKUP(C1180,Projetos!A:L,12,false)=TRUE,TRUE,FALSE)</f>
        <v>1</v>
      </c>
      <c r="I1180" s="68">
        <v>29.312396449615196</v>
      </c>
      <c r="J1180" s="68">
        <f t="shared" si="1"/>
        <v>146.5619822</v>
      </c>
      <c r="K1180" s="68" t="b">
        <v>1</v>
      </c>
    </row>
    <row r="1181">
      <c r="A1181" s="75">
        <v>1175.0</v>
      </c>
      <c r="B1181" s="62" t="s">
        <v>744</v>
      </c>
      <c r="C1181" s="62" t="s">
        <v>112</v>
      </c>
      <c r="D1181" s="62" t="s">
        <v>750</v>
      </c>
      <c r="E1181" s="76">
        <v>44036.0</v>
      </c>
      <c r="F1181" s="77">
        <v>0.20833333333333334</v>
      </c>
      <c r="G1181" s="62" t="b">
        <v>1</v>
      </c>
      <c r="H1181" s="78" t="b">
        <f>IF(VLOOKUP(C1181,Projetos!A:L,12,false)=TRUE,TRUE,FALSE)</f>
        <v>1</v>
      </c>
      <c r="I1181" s="68">
        <v>29.312396449615196</v>
      </c>
      <c r="J1181" s="68">
        <f t="shared" si="1"/>
        <v>146.5619822</v>
      </c>
      <c r="K1181" s="68" t="b">
        <v>1</v>
      </c>
    </row>
    <row r="1182" hidden="1">
      <c r="A1182" s="75">
        <v>1176.0</v>
      </c>
      <c r="B1182" s="62" t="s">
        <v>744</v>
      </c>
      <c r="C1182" s="62" t="s">
        <v>109</v>
      </c>
      <c r="D1182" s="62" t="s">
        <v>750</v>
      </c>
      <c r="E1182" s="76">
        <v>44039.0</v>
      </c>
      <c r="F1182" s="77">
        <v>0.15625</v>
      </c>
      <c r="G1182" s="62" t="b">
        <v>0</v>
      </c>
      <c r="H1182" s="78" t="b">
        <f>IF(VLOOKUP(C1182,Projetos!A:L,12,false)=TRUE,TRUE,FALSE)</f>
        <v>0</v>
      </c>
      <c r="I1182" s="68">
        <v>29.312396449615196</v>
      </c>
      <c r="J1182" s="68">
        <f t="shared" si="1"/>
        <v>0</v>
      </c>
      <c r="K1182" s="68" t="b">
        <v>0</v>
      </c>
    </row>
    <row r="1183">
      <c r="A1183" s="75">
        <v>1177.0</v>
      </c>
      <c r="B1183" s="62" t="s">
        <v>744</v>
      </c>
      <c r="C1183" s="62" t="s">
        <v>112</v>
      </c>
      <c r="D1183" s="62" t="s">
        <v>750</v>
      </c>
      <c r="E1183" s="76">
        <v>44039.0</v>
      </c>
      <c r="F1183" s="77">
        <v>0.20833333333333334</v>
      </c>
      <c r="G1183" s="62" t="b">
        <v>1</v>
      </c>
      <c r="H1183" s="78" t="b">
        <f>IF(VLOOKUP(C1183,Projetos!A:L,12,false)=TRUE,TRUE,FALSE)</f>
        <v>1</v>
      </c>
      <c r="I1183" s="68">
        <v>29.312396449615196</v>
      </c>
      <c r="J1183" s="68">
        <f t="shared" si="1"/>
        <v>146.5619822</v>
      </c>
      <c r="K1183" s="68" t="b">
        <v>1</v>
      </c>
    </row>
    <row r="1184">
      <c r="A1184" s="75">
        <v>1178.0</v>
      </c>
      <c r="B1184" s="62" t="s">
        <v>744</v>
      </c>
      <c r="C1184" s="62" t="s">
        <v>112</v>
      </c>
      <c r="D1184" s="62" t="s">
        <v>750</v>
      </c>
      <c r="E1184" s="76">
        <v>44040.0</v>
      </c>
      <c r="F1184" s="77">
        <v>0.20833333333333334</v>
      </c>
      <c r="G1184" s="62" t="b">
        <v>1</v>
      </c>
      <c r="H1184" s="78" t="b">
        <f>IF(VLOOKUP(C1184,Projetos!A:L,12,false)=TRUE,TRUE,FALSE)</f>
        <v>1</v>
      </c>
      <c r="I1184" s="68">
        <v>29.312396449615196</v>
      </c>
      <c r="J1184" s="68">
        <f t="shared" si="1"/>
        <v>146.5619822</v>
      </c>
      <c r="K1184" s="68" t="b">
        <v>1</v>
      </c>
    </row>
    <row r="1185">
      <c r="A1185" s="75">
        <v>1179.0</v>
      </c>
      <c r="B1185" s="62" t="s">
        <v>744</v>
      </c>
      <c r="C1185" s="62" t="s">
        <v>105</v>
      </c>
      <c r="D1185" s="62" t="s">
        <v>750</v>
      </c>
      <c r="E1185" s="76">
        <v>44040.0</v>
      </c>
      <c r="F1185" s="77">
        <v>0.15625</v>
      </c>
      <c r="G1185" s="62" t="b">
        <v>1</v>
      </c>
      <c r="H1185" s="78" t="b">
        <f>IF(VLOOKUP(C1185,Projetos!A:L,12,false)=TRUE,TRUE,FALSE)</f>
        <v>1</v>
      </c>
      <c r="I1185" s="68">
        <v>29.312396449615196</v>
      </c>
      <c r="J1185" s="68">
        <f t="shared" si="1"/>
        <v>109.9214867</v>
      </c>
      <c r="K1185" s="68" t="b">
        <v>1</v>
      </c>
    </row>
    <row r="1186">
      <c r="A1186" s="75">
        <v>1180.0</v>
      </c>
      <c r="B1186" s="62" t="s">
        <v>744</v>
      </c>
      <c r="C1186" s="62" t="s">
        <v>112</v>
      </c>
      <c r="D1186" s="62" t="s">
        <v>750</v>
      </c>
      <c r="E1186" s="76">
        <v>44041.0</v>
      </c>
      <c r="F1186" s="77">
        <v>0.21875</v>
      </c>
      <c r="G1186" s="62" t="b">
        <v>1</v>
      </c>
      <c r="H1186" s="78" t="b">
        <f>IF(VLOOKUP(C1186,Projetos!A:L,12,false)=TRUE,TRUE,FALSE)</f>
        <v>1</v>
      </c>
      <c r="I1186" s="68">
        <v>29.312396449615196</v>
      </c>
      <c r="J1186" s="68">
        <f t="shared" si="1"/>
        <v>153.8900814</v>
      </c>
      <c r="K1186" s="68" t="b">
        <v>1</v>
      </c>
    </row>
    <row r="1187">
      <c r="A1187" s="75">
        <v>1181.0</v>
      </c>
      <c r="B1187" s="62" t="s">
        <v>744</v>
      </c>
      <c r="C1187" s="62" t="s">
        <v>112</v>
      </c>
      <c r="D1187" s="62" t="s">
        <v>750</v>
      </c>
      <c r="E1187" s="76">
        <v>44042.0</v>
      </c>
      <c r="F1187" s="77">
        <v>0.21875</v>
      </c>
      <c r="G1187" s="62" t="b">
        <v>1</v>
      </c>
      <c r="H1187" s="78" t="b">
        <f>IF(VLOOKUP(C1187,Projetos!A:L,12,false)=TRUE,TRUE,FALSE)</f>
        <v>1</v>
      </c>
      <c r="I1187" s="68">
        <v>29.312396449615196</v>
      </c>
      <c r="J1187" s="68">
        <f t="shared" si="1"/>
        <v>153.8900814</v>
      </c>
      <c r="K1187" s="68" t="b">
        <v>1</v>
      </c>
    </row>
    <row r="1188">
      <c r="A1188" s="75">
        <v>1182.0</v>
      </c>
      <c r="B1188" s="62" t="s">
        <v>744</v>
      </c>
      <c r="C1188" s="62" t="s">
        <v>105</v>
      </c>
      <c r="D1188" s="62" t="s">
        <v>750</v>
      </c>
      <c r="E1188" s="76">
        <v>44042.0</v>
      </c>
      <c r="F1188" s="77">
        <v>0.0625</v>
      </c>
      <c r="G1188" s="62" t="b">
        <v>1</v>
      </c>
      <c r="H1188" s="78" t="b">
        <f>IF(VLOOKUP(C1188,Projetos!A:L,12,false)=TRUE,TRUE,FALSE)</f>
        <v>1</v>
      </c>
      <c r="I1188" s="68">
        <v>29.312396449615196</v>
      </c>
      <c r="J1188" s="68">
        <f t="shared" si="1"/>
        <v>43.96859467</v>
      </c>
      <c r="K1188" s="68" t="b">
        <v>1</v>
      </c>
    </row>
    <row r="1189">
      <c r="A1189" s="75">
        <v>1183.0</v>
      </c>
      <c r="B1189" s="62" t="s">
        <v>744</v>
      </c>
      <c r="C1189" s="62" t="s">
        <v>84</v>
      </c>
      <c r="D1189" s="62" t="s">
        <v>750</v>
      </c>
      <c r="E1189" s="76">
        <v>44042.0</v>
      </c>
      <c r="F1189" s="77">
        <v>0.041666666666666664</v>
      </c>
      <c r="G1189" s="62" t="b">
        <v>1</v>
      </c>
      <c r="H1189" s="78" t="b">
        <f>IF(VLOOKUP(C1189,Projetos!A:L,12,false)=TRUE,TRUE,FALSE)</f>
        <v>1</v>
      </c>
      <c r="I1189" s="68">
        <v>29.312396449615196</v>
      </c>
      <c r="J1189" s="68">
        <f t="shared" si="1"/>
        <v>29.31239645</v>
      </c>
      <c r="K1189" s="68" t="b">
        <v>1</v>
      </c>
    </row>
    <row r="1190">
      <c r="A1190" s="75">
        <v>1184.0</v>
      </c>
      <c r="B1190" s="62" t="s">
        <v>744</v>
      </c>
      <c r="C1190" s="62" t="s">
        <v>105</v>
      </c>
      <c r="D1190" s="62" t="s">
        <v>750</v>
      </c>
      <c r="E1190" s="76">
        <v>44043.0</v>
      </c>
      <c r="F1190" s="77">
        <v>0.20833333333333334</v>
      </c>
      <c r="G1190" s="62" t="b">
        <v>1</v>
      </c>
      <c r="H1190" s="78" t="b">
        <f>IF(VLOOKUP(C1190,Projetos!A:L,12,false)=TRUE,TRUE,FALSE)</f>
        <v>1</v>
      </c>
      <c r="I1190" s="68">
        <v>29.312396449615196</v>
      </c>
      <c r="J1190" s="68">
        <f t="shared" si="1"/>
        <v>146.5619822</v>
      </c>
      <c r="K1190" s="68" t="b">
        <v>1</v>
      </c>
    </row>
    <row r="1191">
      <c r="A1191" s="75">
        <v>1185.0</v>
      </c>
      <c r="B1191" s="62" t="s">
        <v>744</v>
      </c>
      <c r="C1191" s="62" t="s">
        <v>138</v>
      </c>
      <c r="D1191" s="62" t="s">
        <v>749</v>
      </c>
      <c r="E1191" s="76">
        <v>44046.0</v>
      </c>
      <c r="F1191" s="77">
        <v>0.25</v>
      </c>
      <c r="G1191" s="62" t="b">
        <v>1</v>
      </c>
      <c r="H1191" s="78" t="b">
        <f>IF(VLOOKUP(C1191,Projetos!A:L,12,false)=TRUE,TRUE,FALSE)</f>
        <v>1</v>
      </c>
      <c r="I1191" s="68">
        <v>29.312396449615196</v>
      </c>
      <c r="J1191" s="68">
        <f t="shared" si="1"/>
        <v>175.8743787</v>
      </c>
      <c r="K1191" s="68" t="b">
        <v>1</v>
      </c>
    </row>
    <row r="1192">
      <c r="A1192" s="75">
        <v>1186.0</v>
      </c>
      <c r="B1192" s="62" t="s">
        <v>744</v>
      </c>
      <c r="C1192" s="62" t="s">
        <v>112</v>
      </c>
      <c r="D1192" s="62" t="s">
        <v>750</v>
      </c>
      <c r="E1192" s="76">
        <v>44047.0</v>
      </c>
      <c r="F1192" s="77">
        <v>0.20833333333333334</v>
      </c>
      <c r="G1192" s="62" t="b">
        <v>1</v>
      </c>
      <c r="H1192" s="78" t="b">
        <f>IF(VLOOKUP(C1192,Projetos!A:L,12,false)=TRUE,TRUE,FALSE)</f>
        <v>1</v>
      </c>
      <c r="I1192" s="68">
        <v>29.312396449615196</v>
      </c>
      <c r="J1192" s="68">
        <f t="shared" si="1"/>
        <v>146.5619822</v>
      </c>
      <c r="K1192" s="68" t="b">
        <v>1</v>
      </c>
    </row>
    <row r="1193">
      <c r="A1193" s="75">
        <v>1187.0</v>
      </c>
      <c r="B1193" s="62" t="s">
        <v>744</v>
      </c>
      <c r="C1193" s="62" t="s">
        <v>112</v>
      </c>
      <c r="D1193" s="62" t="s">
        <v>750</v>
      </c>
      <c r="E1193" s="76">
        <v>44047.0</v>
      </c>
      <c r="F1193" s="77">
        <v>0.15625</v>
      </c>
      <c r="G1193" s="62" t="b">
        <v>1</v>
      </c>
      <c r="H1193" s="78" t="b">
        <f>IF(VLOOKUP(C1193,Projetos!A:L,12,false)=TRUE,TRUE,FALSE)</f>
        <v>1</v>
      </c>
      <c r="I1193" s="68">
        <v>29.312396449615196</v>
      </c>
      <c r="J1193" s="68">
        <f t="shared" si="1"/>
        <v>109.9214867</v>
      </c>
      <c r="K1193" s="68" t="b">
        <v>1</v>
      </c>
    </row>
    <row r="1194">
      <c r="A1194" s="75">
        <v>1188.0</v>
      </c>
      <c r="B1194" s="62" t="s">
        <v>744</v>
      </c>
      <c r="C1194" s="62" t="s">
        <v>112</v>
      </c>
      <c r="D1194" s="62" t="s">
        <v>750</v>
      </c>
      <c r="E1194" s="76">
        <v>44048.0</v>
      </c>
      <c r="F1194" s="77">
        <v>0.23958333333333334</v>
      </c>
      <c r="G1194" s="62" t="b">
        <v>1</v>
      </c>
      <c r="H1194" s="78" t="b">
        <f>IF(VLOOKUP(C1194,Projetos!A:L,12,false)=TRUE,TRUE,FALSE)</f>
        <v>1</v>
      </c>
      <c r="I1194" s="68">
        <v>29.312396449615196</v>
      </c>
      <c r="J1194" s="68">
        <f t="shared" si="1"/>
        <v>168.5462796</v>
      </c>
      <c r="K1194" s="68" t="b">
        <v>1</v>
      </c>
    </row>
    <row r="1195">
      <c r="A1195" s="75">
        <v>1189.0</v>
      </c>
      <c r="B1195" s="62" t="s">
        <v>744</v>
      </c>
      <c r="C1195" s="62" t="s">
        <v>138</v>
      </c>
      <c r="D1195" s="62" t="s">
        <v>749</v>
      </c>
      <c r="E1195" s="76">
        <v>44049.0</v>
      </c>
      <c r="F1195" s="77">
        <v>0.23958333333333334</v>
      </c>
      <c r="G1195" s="62" t="b">
        <v>1</v>
      </c>
      <c r="H1195" s="78" t="b">
        <f>IF(VLOOKUP(C1195,Projetos!A:L,12,false)=TRUE,TRUE,FALSE)</f>
        <v>1</v>
      </c>
      <c r="I1195" s="68">
        <v>29.312396449615196</v>
      </c>
      <c r="J1195" s="68">
        <f t="shared" si="1"/>
        <v>168.5462796</v>
      </c>
      <c r="K1195" s="68" t="b">
        <v>1</v>
      </c>
    </row>
    <row r="1196">
      <c r="A1196" s="75">
        <v>1190.0</v>
      </c>
      <c r="B1196" s="62" t="s">
        <v>744</v>
      </c>
      <c r="C1196" s="62" t="s">
        <v>104</v>
      </c>
      <c r="D1196" s="62" t="s">
        <v>749</v>
      </c>
      <c r="E1196" s="76">
        <v>44050.0</v>
      </c>
      <c r="F1196" s="77">
        <v>0.16666666666666666</v>
      </c>
      <c r="G1196" s="62" t="b">
        <v>1</v>
      </c>
      <c r="H1196" s="78" t="b">
        <f>IF(VLOOKUP(C1196,Projetos!A:L,12,false)=TRUE,TRUE,FALSE)</f>
        <v>1</v>
      </c>
      <c r="I1196" s="68">
        <v>29.312396449615196</v>
      </c>
      <c r="J1196" s="68">
        <f t="shared" si="1"/>
        <v>117.2495858</v>
      </c>
      <c r="K1196" s="68" t="b">
        <v>1</v>
      </c>
    </row>
    <row r="1197">
      <c r="A1197" s="75">
        <v>1191.0</v>
      </c>
      <c r="B1197" s="62" t="s">
        <v>744</v>
      </c>
      <c r="C1197" s="62" t="s">
        <v>110</v>
      </c>
      <c r="D1197" s="62" t="s">
        <v>745</v>
      </c>
      <c r="E1197" s="76">
        <v>44050.0</v>
      </c>
      <c r="F1197" s="77">
        <v>0.15625</v>
      </c>
      <c r="G1197" s="62" t="b">
        <v>1</v>
      </c>
      <c r="H1197" s="78" t="b">
        <f>IF(VLOOKUP(C1197,Projetos!A:L,12,false)=TRUE,TRUE,FALSE)</f>
        <v>1</v>
      </c>
      <c r="I1197" s="68">
        <v>29.312396449615196</v>
      </c>
      <c r="J1197" s="68">
        <f t="shared" si="1"/>
        <v>109.9214867</v>
      </c>
      <c r="K1197" s="68" t="b">
        <v>1</v>
      </c>
    </row>
    <row r="1198">
      <c r="A1198" s="75">
        <v>1192.0</v>
      </c>
      <c r="B1198" s="62" t="s">
        <v>744</v>
      </c>
      <c r="C1198" s="62" t="s">
        <v>104</v>
      </c>
      <c r="D1198" s="62" t="s">
        <v>749</v>
      </c>
      <c r="E1198" s="76">
        <v>44053.0</v>
      </c>
      <c r="F1198" s="77">
        <v>0.20833333333333334</v>
      </c>
      <c r="G1198" s="62" t="b">
        <v>1</v>
      </c>
      <c r="H1198" s="78" t="b">
        <f>IF(VLOOKUP(C1198,Projetos!A:L,12,false)=TRUE,TRUE,FALSE)</f>
        <v>1</v>
      </c>
      <c r="I1198" s="68">
        <v>29.312396449615196</v>
      </c>
      <c r="J1198" s="68">
        <f t="shared" si="1"/>
        <v>146.5619822</v>
      </c>
      <c r="K1198" s="68" t="b">
        <v>1</v>
      </c>
    </row>
    <row r="1199">
      <c r="A1199" s="75">
        <v>1193.0</v>
      </c>
      <c r="B1199" s="62" t="s">
        <v>744</v>
      </c>
      <c r="C1199" s="62" t="s">
        <v>112</v>
      </c>
      <c r="D1199" s="62" t="s">
        <v>750</v>
      </c>
      <c r="E1199" s="76">
        <v>44053.0</v>
      </c>
      <c r="F1199" s="77">
        <v>0.13541666666666666</v>
      </c>
      <c r="G1199" s="62" t="b">
        <v>1</v>
      </c>
      <c r="H1199" s="78" t="b">
        <f>IF(VLOOKUP(C1199,Projetos!A:L,12,false)=TRUE,TRUE,FALSE)</f>
        <v>1</v>
      </c>
      <c r="I1199" s="68">
        <v>29.312396449615196</v>
      </c>
      <c r="J1199" s="68">
        <f t="shared" si="1"/>
        <v>95.26528846</v>
      </c>
      <c r="K1199" s="68" t="b">
        <v>1</v>
      </c>
    </row>
    <row r="1200">
      <c r="A1200" s="75">
        <v>1194.0</v>
      </c>
      <c r="B1200" s="62" t="s">
        <v>744</v>
      </c>
      <c r="C1200" s="62" t="s">
        <v>104</v>
      </c>
      <c r="D1200" s="62" t="s">
        <v>749</v>
      </c>
      <c r="E1200" s="76">
        <v>44054.0</v>
      </c>
      <c r="F1200" s="77">
        <v>0.15625</v>
      </c>
      <c r="G1200" s="62" t="b">
        <v>1</v>
      </c>
      <c r="H1200" s="78" t="b">
        <f>IF(VLOOKUP(C1200,Projetos!A:L,12,false)=TRUE,TRUE,FALSE)</f>
        <v>1</v>
      </c>
      <c r="I1200" s="68">
        <v>29.312396449615196</v>
      </c>
      <c r="J1200" s="68">
        <f t="shared" si="1"/>
        <v>109.9214867</v>
      </c>
      <c r="K1200" s="68" t="b">
        <v>1</v>
      </c>
    </row>
    <row r="1201">
      <c r="A1201" s="75">
        <v>1195.0</v>
      </c>
      <c r="B1201" s="62" t="s">
        <v>744</v>
      </c>
      <c r="C1201" s="62" t="s">
        <v>138</v>
      </c>
      <c r="D1201" s="62" t="s">
        <v>749</v>
      </c>
      <c r="E1201" s="76">
        <v>44054.0</v>
      </c>
      <c r="F1201" s="77">
        <v>0.08333333333333333</v>
      </c>
      <c r="G1201" s="62" t="b">
        <v>1</v>
      </c>
      <c r="H1201" s="78" t="b">
        <f>IF(VLOOKUP(C1201,Projetos!A:L,12,false)=TRUE,TRUE,FALSE)</f>
        <v>1</v>
      </c>
      <c r="I1201" s="68">
        <v>29.312396449615196</v>
      </c>
      <c r="J1201" s="68">
        <f t="shared" si="1"/>
        <v>58.6247929</v>
      </c>
      <c r="K1201" s="68" t="b">
        <v>1</v>
      </c>
    </row>
    <row r="1202">
      <c r="A1202" s="75">
        <v>1196.0</v>
      </c>
      <c r="B1202" s="62" t="s">
        <v>744</v>
      </c>
      <c r="C1202" s="62" t="s">
        <v>112</v>
      </c>
      <c r="D1202" s="62" t="s">
        <v>750</v>
      </c>
      <c r="E1202" s="76">
        <v>44054.0</v>
      </c>
      <c r="F1202" s="77">
        <v>0.125</v>
      </c>
      <c r="G1202" s="62" t="b">
        <v>1</v>
      </c>
      <c r="H1202" s="78" t="b">
        <f>IF(VLOOKUP(C1202,Projetos!A:L,12,false)=TRUE,TRUE,FALSE)</f>
        <v>1</v>
      </c>
      <c r="I1202" s="68">
        <v>29.312396449615196</v>
      </c>
      <c r="J1202" s="68">
        <f t="shared" si="1"/>
        <v>87.93718935</v>
      </c>
      <c r="K1202" s="68" t="b">
        <v>1</v>
      </c>
    </row>
    <row r="1203">
      <c r="A1203" s="75">
        <v>1197.0</v>
      </c>
      <c r="B1203" s="62" t="s">
        <v>744</v>
      </c>
      <c r="C1203" s="62" t="s">
        <v>104</v>
      </c>
      <c r="D1203" s="62" t="s">
        <v>749</v>
      </c>
      <c r="E1203" s="76">
        <v>44055.0</v>
      </c>
      <c r="F1203" s="77">
        <v>0.23958333333333334</v>
      </c>
      <c r="G1203" s="62" t="b">
        <v>1</v>
      </c>
      <c r="H1203" s="78" t="b">
        <f>IF(VLOOKUP(C1203,Projetos!A:L,12,false)=TRUE,TRUE,FALSE)</f>
        <v>1</v>
      </c>
      <c r="I1203" s="68">
        <v>29.312396449615196</v>
      </c>
      <c r="J1203" s="68">
        <f t="shared" si="1"/>
        <v>168.5462796</v>
      </c>
      <c r="K1203" s="68" t="b">
        <v>1</v>
      </c>
    </row>
    <row r="1204">
      <c r="A1204" s="75">
        <v>1198.0</v>
      </c>
      <c r="B1204" s="62" t="s">
        <v>744</v>
      </c>
      <c r="C1204" s="62" t="s">
        <v>112</v>
      </c>
      <c r="D1204" s="62" t="s">
        <v>750</v>
      </c>
      <c r="E1204" s="76">
        <v>44056.0</v>
      </c>
      <c r="F1204" s="77">
        <v>0.20833333333333334</v>
      </c>
      <c r="G1204" s="62" t="b">
        <v>1</v>
      </c>
      <c r="H1204" s="78" t="b">
        <f>IF(VLOOKUP(C1204,Projetos!A:L,12,false)=TRUE,TRUE,FALSE)</f>
        <v>1</v>
      </c>
      <c r="I1204" s="68">
        <v>29.312396449615196</v>
      </c>
      <c r="J1204" s="68">
        <f t="shared" si="1"/>
        <v>146.5619822</v>
      </c>
      <c r="K1204" s="68" t="b">
        <v>1</v>
      </c>
    </row>
    <row r="1205">
      <c r="A1205" s="75">
        <v>1199.0</v>
      </c>
      <c r="B1205" s="62" t="s">
        <v>744</v>
      </c>
      <c r="C1205" s="62" t="s">
        <v>138</v>
      </c>
      <c r="D1205" s="62" t="s">
        <v>749</v>
      </c>
      <c r="E1205" s="76">
        <v>44056.0</v>
      </c>
      <c r="F1205" s="77">
        <v>0.14583333333333334</v>
      </c>
      <c r="G1205" s="62" t="b">
        <v>1</v>
      </c>
      <c r="H1205" s="78" t="b">
        <f>IF(VLOOKUP(C1205,Projetos!A:L,12,false)=TRUE,TRUE,FALSE)</f>
        <v>1</v>
      </c>
      <c r="I1205" s="68">
        <v>29.312396449615196</v>
      </c>
      <c r="J1205" s="68">
        <f t="shared" si="1"/>
        <v>102.5933876</v>
      </c>
      <c r="K1205" s="68" t="b">
        <v>1</v>
      </c>
    </row>
    <row r="1206">
      <c r="A1206" s="75">
        <v>1200.0</v>
      </c>
      <c r="B1206" s="62" t="s">
        <v>744</v>
      </c>
      <c r="C1206" s="62" t="s">
        <v>112</v>
      </c>
      <c r="D1206" s="62" t="s">
        <v>750</v>
      </c>
      <c r="E1206" s="76">
        <v>44057.0</v>
      </c>
      <c r="F1206" s="77">
        <v>0.23958333333333334</v>
      </c>
      <c r="G1206" s="62" t="b">
        <v>1</v>
      </c>
      <c r="H1206" s="78" t="b">
        <f>IF(VLOOKUP(C1206,Projetos!A:L,12,false)=TRUE,TRUE,FALSE)</f>
        <v>1</v>
      </c>
      <c r="I1206" s="68">
        <v>29.312396449615196</v>
      </c>
      <c r="J1206" s="68">
        <f t="shared" si="1"/>
        <v>168.5462796</v>
      </c>
      <c r="K1206" s="68" t="b">
        <v>1</v>
      </c>
    </row>
    <row r="1207">
      <c r="A1207" s="75">
        <v>1201.0</v>
      </c>
      <c r="B1207" s="62" t="s">
        <v>744</v>
      </c>
      <c r="C1207" s="62" t="s">
        <v>112</v>
      </c>
      <c r="D1207" s="62" t="s">
        <v>750</v>
      </c>
      <c r="E1207" s="76">
        <v>44060.0</v>
      </c>
      <c r="F1207" s="77">
        <v>0.25</v>
      </c>
      <c r="G1207" s="62" t="b">
        <v>1</v>
      </c>
      <c r="H1207" s="78" t="b">
        <f>IF(VLOOKUP(C1207,Projetos!A:L,12,false)=TRUE,TRUE,FALSE)</f>
        <v>1</v>
      </c>
      <c r="I1207" s="68">
        <v>29.312396449615196</v>
      </c>
      <c r="J1207" s="68">
        <f t="shared" si="1"/>
        <v>175.8743787</v>
      </c>
      <c r="K1207" s="68" t="b">
        <v>1</v>
      </c>
    </row>
    <row r="1208">
      <c r="A1208" s="75">
        <v>1202.0</v>
      </c>
      <c r="B1208" s="62" t="s">
        <v>744</v>
      </c>
      <c r="C1208" s="62" t="s">
        <v>112</v>
      </c>
      <c r="D1208" s="62" t="s">
        <v>750</v>
      </c>
      <c r="E1208" s="76">
        <v>44061.0</v>
      </c>
      <c r="F1208" s="77">
        <v>0.23958333333333334</v>
      </c>
      <c r="G1208" s="62" t="b">
        <v>1</v>
      </c>
      <c r="H1208" s="78" t="b">
        <f>IF(VLOOKUP(C1208,Projetos!A:L,12,false)=TRUE,TRUE,FALSE)</f>
        <v>1</v>
      </c>
      <c r="I1208" s="68">
        <v>29.312396449615196</v>
      </c>
      <c r="J1208" s="68">
        <f t="shared" si="1"/>
        <v>168.5462796</v>
      </c>
      <c r="K1208" s="68" t="b">
        <v>1</v>
      </c>
    </row>
    <row r="1209">
      <c r="A1209" s="75">
        <v>1203.0</v>
      </c>
      <c r="B1209" s="62" t="s">
        <v>744</v>
      </c>
      <c r="C1209" s="62" t="s">
        <v>138</v>
      </c>
      <c r="D1209" s="62" t="s">
        <v>749</v>
      </c>
      <c r="E1209" s="76">
        <v>44062.0</v>
      </c>
      <c r="F1209" s="77">
        <v>0.16666666666666666</v>
      </c>
      <c r="G1209" s="62" t="b">
        <v>1</v>
      </c>
      <c r="H1209" s="78" t="b">
        <f>IF(VLOOKUP(C1209,Projetos!A:L,12,false)=TRUE,TRUE,FALSE)</f>
        <v>1</v>
      </c>
      <c r="I1209" s="68">
        <v>29.312396449615196</v>
      </c>
      <c r="J1209" s="68">
        <f t="shared" si="1"/>
        <v>117.2495858</v>
      </c>
      <c r="K1209" s="68" t="b">
        <v>1</v>
      </c>
    </row>
    <row r="1210">
      <c r="A1210" s="75">
        <v>1204.0</v>
      </c>
      <c r="B1210" s="62" t="s">
        <v>744</v>
      </c>
      <c r="C1210" s="62" t="s">
        <v>110</v>
      </c>
      <c r="D1210" s="62" t="s">
        <v>745</v>
      </c>
      <c r="E1210" s="76">
        <v>44067.0</v>
      </c>
      <c r="F1210" s="77">
        <v>0.19791666666666666</v>
      </c>
      <c r="G1210" s="62" t="b">
        <v>1</v>
      </c>
      <c r="H1210" s="78" t="b">
        <f>IF(VLOOKUP(C1210,Projetos!A:L,12,false)=TRUE,TRUE,FALSE)</f>
        <v>1</v>
      </c>
      <c r="I1210" s="68">
        <v>29.312396449615196</v>
      </c>
      <c r="J1210" s="68">
        <f t="shared" si="1"/>
        <v>139.2338831</v>
      </c>
      <c r="K1210" s="68" t="b">
        <v>1</v>
      </c>
    </row>
    <row r="1211">
      <c r="A1211" s="75">
        <v>1205.0</v>
      </c>
      <c r="B1211" s="62" t="s">
        <v>744</v>
      </c>
      <c r="C1211" s="62" t="s">
        <v>112</v>
      </c>
      <c r="D1211" s="62" t="s">
        <v>750</v>
      </c>
      <c r="E1211" s="76">
        <v>44067.0</v>
      </c>
      <c r="F1211" s="77">
        <v>0.16666666666666666</v>
      </c>
      <c r="G1211" s="62" t="b">
        <v>1</v>
      </c>
      <c r="H1211" s="78" t="b">
        <f>IF(VLOOKUP(C1211,Projetos!A:L,12,false)=TRUE,TRUE,FALSE)</f>
        <v>1</v>
      </c>
      <c r="I1211" s="68">
        <v>29.312396449615196</v>
      </c>
      <c r="J1211" s="68">
        <f t="shared" si="1"/>
        <v>117.2495858</v>
      </c>
      <c r="K1211" s="68" t="b">
        <v>1</v>
      </c>
    </row>
    <row r="1212">
      <c r="A1212" s="75">
        <v>1206.0</v>
      </c>
      <c r="B1212" s="62" t="s">
        <v>744</v>
      </c>
      <c r="C1212" s="62" t="s">
        <v>112</v>
      </c>
      <c r="D1212" s="62" t="s">
        <v>750</v>
      </c>
      <c r="E1212" s="76">
        <v>44068.0</v>
      </c>
      <c r="F1212" s="77">
        <v>0.08333333333333333</v>
      </c>
      <c r="G1212" s="62" t="b">
        <v>1</v>
      </c>
      <c r="H1212" s="78" t="b">
        <f>IF(VLOOKUP(C1212,Projetos!A:L,12,false)=TRUE,TRUE,FALSE)</f>
        <v>1</v>
      </c>
      <c r="I1212" s="68">
        <v>29.312396449615196</v>
      </c>
      <c r="J1212" s="68">
        <f t="shared" si="1"/>
        <v>58.6247929</v>
      </c>
      <c r="K1212" s="68" t="b">
        <v>1</v>
      </c>
    </row>
    <row r="1213">
      <c r="A1213" s="75">
        <v>1207.0</v>
      </c>
      <c r="B1213" s="62" t="s">
        <v>744</v>
      </c>
      <c r="C1213" s="62" t="s">
        <v>110</v>
      </c>
      <c r="D1213" s="62" t="s">
        <v>745</v>
      </c>
      <c r="E1213" s="76">
        <v>44069.0</v>
      </c>
      <c r="F1213" s="77">
        <v>0.19791666666666666</v>
      </c>
      <c r="G1213" s="62" t="b">
        <v>1</v>
      </c>
      <c r="H1213" s="78" t="b">
        <f>IF(VLOOKUP(C1213,Projetos!A:L,12,false)=TRUE,TRUE,FALSE)</f>
        <v>1</v>
      </c>
      <c r="I1213" s="68">
        <v>29.312396449615196</v>
      </c>
      <c r="J1213" s="68">
        <f t="shared" si="1"/>
        <v>139.2338831</v>
      </c>
      <c r="K1213" s="68" t="b">
        <v>1</v>
      </c>
    </row>
    <row r="1214">
      <c r="A1214" s="75">
        <v>1208.0</v>
      </c>
      <c r="B1214" s="62" t="s">
        <v>744</v>
      </c>
      <c r="C1214" s="62" t="s">
        <v>138</v>
      </c>
      <c r="D1214" s="62" t="s">
        <v>749</v>
      </c>
      <c r="E1214" s="76">
        <v>44069.0</v>
      </c>
      <c r="F1214" s="77">
        <v>0.125</v>
      </c>
      <c r="G1214" s="62" t="b">
        <v>1</v>
      </c>
      <c r="H1214" s="78" t="b">
        <f>IF(VLOOKUP(C1214,Projetos!A:L,12,false)=TRUE,TRUE,FALSE)</f>
        <v>1</v>
      </c>
      <c r="I1214" s="68">
        <v>29.312396449615196</v>
      </c>
      <c r="J1214" s="68">
        <f t="shared" si="1"/>
        <v>87.93718935</v>
      </c>
      <c r="K1214" s="68" t="b">
        <v>1</v>
      </c>
    </row>
    <row r="1215">
      <c r="A1215" s="75">
        <v>1209.0</v>
      </c>
      <c r="B1215" s="62" t="s">
        <v>744</v>
      </c>
      <c r="C1215" s="62" t="s">
        <v>138</v>
      </c>
      <c r="D1215" s="62" t="s">
        <v>749</v>
      </c>
      <c r="E1215" s="76">
        <v>44070.0</v>
      </c>
      <c r="F1215" s="77">
        <v>0.07291666666666667</v>
      </c>
      <c r="G1215" s="62" t="b">
        <v>1</v>
      </c>
      <c r="H1215" s="78" t="b">
        <f>IF(VLOOKUP(C1215,Projetos!A:L,12,false)=TRUE,TRUE,FALSE)</f>
        <v>1</v>
      </c>
      <c r="I1215" s="68">
        <v>29.312396449615196</v>
      </c>
      <c r="J1215" s="68">
        <f t="shared" si="1"/>
        <v>51.29669379</v>
      </c>
      <c r="K1215" s="68" t="b">
        <v>1</v>
      </c>
    </row>
    <row r="1216">
      <c r="A1216" s="75">
        <v>1210.0</v>
      </c>
      <c r="B1216" s="62" t="s">
        <v>744</v>
      </c>
      <c r="C1216" s="62" t="s">
        <v>110</v>
      </c>
      <c r="D1216" s="62" t="s">
        <v>745</v>
      </c>
      <c r="E1216" s="76">
        <v>44070.0</v>
      </c>
      <c r="F1216" s="77">
        <v>0.20833333333333334</v>
      </c>
      <c r="G1216" s="62" t="b">
        <v>1</v>
      </c>
      <c r="H1216" s="78" t="b">
        <f>IF(VLOOKUP(C1216,Projetos!A:L,12,false)=TRUE,TRUE,FALSE)</f>
        <v>1</v>
      </c>
      <c r="I1216" s="68">
        <v>29.312396449615196</v>
      </c>
      <c r="J1216" s="68">
        <f t="shared" si="1"/>
        <v>146.5619822</v>
      </c>
      <c r="K1216" s="68" t="b">
        <v>1</v>
      </c>
    </row>
    <row r="1217">
      <c r="A1217" s="75">
        <v>1211.0</v>
      </c>
      <c r="B1217" s="62" t="s">
        <v>744</v>
      </c>
      <c r="C1217" s="62" t="s">
        <v>86</v>
      </c>
      <c r="D1217" s="62" t="s">
        <v>751</v>
      </c>
      <c r="E1217" s="76">
        <v>44074.0</v>
      </c>
      <c r="F1217" s="77">
        <v>0.40625</v>
      </c>
      <c r="G1217" s="62" t="b">
        <v>1</v>
      </c>
      <c r="H1217" s="78" t="b">
        <f>IF(VLOOKUP(C1217,Projetos!A:L,12,false)=TRUE,TRUE,FALSE)</f>
        <v>1</v>
      </c>
      <c r="I1217" s="68">
        <v>29.312396449615196</v>
      </c>
      <c r="J1217" s="68">
        <f t="shared" si="1"/>
        <v>285.7958654</v>
      </c>
      <c r="K1217" s="68" t="b">
        <v>1</v>
      </c>
    </row>
    <row r="1218">
      <c r="A1218" s="75">
        <v>1212.0</v>
      </c>
      <c r="B1218" s="62" t="s">
        <v>744</v>
      </c>
      <c r="C1218" s="62" t="s">
        <v>110</v>
      </c>
      <c r="D1218" s="62" t="s">
        <v>745</v>
      </c>
      <c r="E1218" s="76">
        <v>44083.0</v>
      </c>
      <c r="F1218" s="77">
        <v>0.20833333333333334</v>
      </c>
      <c r="G1218" s="62" t="b">
        <v>1</v>
      </c>
      <c r="H1218" s="78" t="b">
        <f>IF(VLOOKUP(C1218,Projetos!A:L,12,false)=TRUE,TRUE,FALSE)</f>
        <v>1</v>
      </c>
      <c r="I1218" s="68">
        <v>27.980014792814504</v>
      </c>
      <c r="J1218" s="68">
        <f t="shared" si="1"/>
        <v>139.900074</v>
      </c>
      <c r="K1218" s="68" t="b">
        <v>1</v>
      </c>
    </row>
    <row r="1219">
      <c r="A1219" s="75">
        <v>1213.0</v>
      </c>
      <c r="B1219" s="62" t="s">
        <v>744</v>
      </c>
      <c r="C1219" s="62" t="s">
        <v>110</v>
      </c>
      <c r="D1219" s="62" t="s">
        <v>745</v>
      </c>
      <c r="E1219" s="76">
        <v>44084.0</v>
      </c>
      <c r="F1219" s="77">
        <v>0.19791666666666666</v>
      </c>
      <c r="G1219" s="62" t="b">
        <v>1</v>
      </c>
      <c r="H1219" s="78" t="b">
        <f>IF(VLOOKUP(C1219,Projetos!A:L,12,false)=TRUE,TRUE,FALSE)</f>
        <v>1</v>
      </c>
      <c r="I1219" s="68">
        <v>27.980014792814504</v>
      </c>
      <c r="J1219" s="68">
        <f t="shared" si="1"/>
        <v>132.9050703</v>
      </c>
      <c r="K1219" s="68" t="b">
        <v>1</v>
      </c>
    </row>
    <row r="1220">
      <c r="A1220" s="75">
        <v>1214.0</v>
      </c>
      <c r="B1220" s="62" t="s">
        <v>744</v>
      </c>
      <c r="C1220" s="62" t="s">
        <v>110</v>
      </c>
      <c r="D1220" s="62" t="s">
        <v>745</v>
      </c>
      <c r="E1220" s="76">
        <v>44085.0</v>
      </c>
      <c r="F1220" s="77">
        <v>0.20833333333333334</v>
      </c>
      <c r="G1220" s="62" t="b">
        <v>1</v>
      </c>
      <c r="H1220" s="78" t="b">
        <f>IF(VLOOKUP(C1220,Projetos!A:L,12,false)=TRUE,TRUE,FALSE)</f>
        <v>1</v>
      </c>
      <c r="I1220" s="68">
        <v>27.980014792814504</v>
      </c>
      <c r="J1220" s="68">
        <f t="shared" si="1"/>
        <v>139.900074</v>
      </c>
      <c r="K1220" s="68" t="b">
        <v>1</v>
      </c>
    </row>
    <row r="1221">
      <c r="A1221" s="75">
        <v>1215.0</v>
      </c>
      <c r="B1221" s="62" t="s">
        <v>744</v>
      </c>
      <c r="C1221" s="62" t="s">
        <v>110</v>
      </c>
      <c r="D1221" s="62" t="s">
        <v>745</v>
      </c>
      <c r="E1221" s="76">
        <v>44088.0</v>
      </c>
      <c r="F1221" s="77">
        <v>0.19791666666666666</v>
      </c>
      <c r="G1221" s="62" t="b">
        <v>1</v>
      </c>
      <c r="H1221" s="78" t="b">
        <f>IF(VLOOKUP(C1221,Projetos!A:L,12,false)=TRUE,TRUE,FALSE)</f>
        <v>1</v>
      </c>
      <c r="I1221" s="68">
        <v>27.980014792814504</v>
      </c>
      <c r="J1221" s="68">
        <f t="shared" si="1"/>
        <v>132.9050703</v>
      </c>
      <c r="K1221" s="68" t="b">
        <v>1</v>
      </c>
    </row>
    <row r="1222">
      <c r="A1222" s="75">
        <v>1216.0</v>
      </c>
      <c r="B1222" s="62" t="s">
        <v>744</v>
      </c>
      <c r="C1222" s="62" t="s">
        <v>105</v>
      </c>
      <c r="D1222" s="62" t="s">
        <v>750</v>
      </c>
      <c r="E1222" s="76">
        <v>44090.0</v>
      </c>
      <c r="F1222" s="77">
        <v>0.19791666666666666</v>
      </c>
      <c r="G1222" s="62" t="b">
        <v>1</v>
      </c>
      <c r="H1222" s="78" t="b">
        <f>IF(VLOOKUP(C1222,Projetos!A:L,12,false)=TRUE,TRUE,FALSE)</f>
        <v>1</v>
      </c>
      <c r="I1222" s="68">
        <v>27.980014792814504</v>
      </c>
      <c r="J1222" s="68">
        <f t="shared" si="1"/>
        <v>132.9050703</v>
      </c>
      <c r="K1222" s="68" t="b">
        <v>1</v>
      </c>
    </row>
    <row r="1223">
      <c r="A1223" s="75">
        <v>1217.0</v>
      </c>
      <c r="B1223" s="62" t="s">
        <v>744</v>
      </c>
      <c r="C1223" s="62" t="s">
        <v>110</v>
      </c>
      <c r="D1223" s="62" t="s">
        <v>745</v>
      </c>
      <c r="E1223" s="76">
        <v>44095.0</v>
      </c>
      <c r="F1223" s="77">
        <v>0.19791666666666666</v>
      </c>
      <c r="G1223" s="62" t="b">
        <v>1</v>
      </c>
      <c r="H1223" s="78" t="b">
        <f>IF(VLOOKUP(C1223,Projetos!A:L,12,false)=TRUE,TRUE,FALSE)</f>
        <v>1</v>
      </c>
      <c r="I1223" s="68">
        <v>27.980014792814504</v>
      </c>
      <c r="J1223" s="68">
        <f t="shared" si="1"/>
        <v>132.9050703</v>
      </c>
      <c r="K1223" s="68" t="b">
        <v>1</v>
      </c>
    </row>
    <row r="1224">
      <c r="A1224" s="75">
        <v>1218.0</v>
      </c>
      <c r="B1224" s="62" t="s">
        <v>744</v>
      </c>
      <c r="C1224" s="62" t="s">
        <v>104</v>
      </c>
      <c r="D1224" s="62" t="s">
        <v>749</v>
      </c>
      <c r="E1224" s="76">
        <v>44097.0</v>
      </c>
      <c r="F1224" s="77">
        <v>0.20833333333333334</v>
      </c>
      <c r="G1224" s="62" t="b">
        <v>1</v>
      </c>
      <c r="H1224" s="78" t="b">
        <f>IF(VLOOKUP(C1224,Projetos!A:L,12,false)=TRUE,TRUE,FALSE)</f>
        <v>1</v>
      </c>
      <c r="I1224" s="68">
        <v>27.980014792814504</v>
      </c>
      <c r="J1224" s="68">
        <f t="shared" si="1"/>
        <v>139.900074</v>
      </c>
      <c r="K1224" s="68" t="b">
        <v>1</v>
      </c>
    </row>
    <row r="1225">
      <c r="A1225" s="75">
        <v>1219.0</v>
      </c>
      <c r="B1225" s="62" t="s">
        <v>744</v>
      </c>
      <c r="C1225" s="62" t="s">
        <v>110</v>
      </c>
      <c r="D1225" s="62" t="s">
        <v>745</v>
      </c>
      <c r="E1225" s="76">
        <v>44102.0</v>
      </c>
      <c r="F1225" s="77">
        <v>0.19791666666666666</v>
      </c>
      <c r="G1225" s="62" t="b">
        <v>1</v>
      </c>
      <c r="H1225" s="78" t="b">
        <f>IF(VLOOKUP(C1225,Projetos!A:L,12,false)=TRUE,TRUE,FALSE)</f>
        <v>1</v>
      </c>
      <c r="I1225" s="68">
        <v>27.980014792814504</v>
      </c>
      <c r="J1225" s="68">
        <f t="shared" si="1"/>
        <v>132.9050703</v>
      </c>
      <c r="K1225" s="68" t="b">
        <v>1</v>
      </c>
    </row>
    <row r="1226">
      <c r="A1226" s="75">
        <v>1220.0</v>
      </c>
      <c r="B1226" s="62" t="s">
        <v>744</v>
      </c>
      <c r="C1226" s="62" t="s">
        <v>110</v>
      </c>
      <c r="D1226" s="62" t="s">
        <v>745</v>
      </c>
      <c r="E1226" s="76">
        <v>44104.0</v>
      </c>
      <c r="F1226" s="77">
        <v>0.19791666666666666</v>
      </c>
      <c r="G1226" s="62" t="b">
        <v>1</v>
      </c>
      <c r="H1226" s="78" t="b">
        <f>IF(VLOOKUP(C1226,Projetos!A:L,12,false)=TRUE,TRUE,FALSE)</f>
        <v>1</v>
      </c>
      <c r="I1226" s="68">
        <v>27.980014792814504</v>
      </c>
      <c r="J1226" s="68">
        <f t="shared" si="1"/>
        <v>132.9050703</v>
      </c>
      <c r="K1226" s="68" t="b">
        <v>1</v>
      </c>
    </row>
    <row r="1227">
      <c r="A1227" s="75">
        <v>1221.0</v>
      </c>
      <c r="B1227" s="62" t="s">
        <v>744</v>
      </c>
      <c r="C1227" s="62" t="s">
        <v>86</v>
      </c>
      <c r="D1227" s="62" t="s">
        <v>751</v>
      </c>
      <c r="E1227" s="76">
        <v>44075.0</v>
      </c>
      <c r="F1227" s="77">
        <v>0.40625</v>
      </c>
      <c r="G1227" s="62" t="b">
        <v>1</v>
      </c>
      <c r="H1227" s="78" t="b">
        <f>IF(VLOOKUP(C1227,Projetos!A:L,12,false)=TRUE,TRUE,FALSE)</f>
        <v>1</v>
      </c>
      <c r="I1227" s="68">
        <v>27.980014792814504</v>
      </c>
      <c r="J1227" s="68">
        <f t="shared" si="1"/>
        <v>272.8051442</v>
      </c>
      <c r="K1227" s="68" t="b">
        <v>1</v>
      </c>
    </row>
    <row r="1228">
      <c r="A1228" s="75">
        <v>1222.0</v>
      </c>
      <c r="B1228" s="62" t="s">
        <v>744</v>
      </c>
      <c r="C1228" s="62" t="s">
        <v>86</v>
      </c>
      <c r="D1228" s="62" t="s">
        <v>751</v>
      </c>
      <c r="E1228" s="76">
        <v>44076.0</v>
      </c>
      <c r="F1228" s="77">
        <v>0.40625</v>
      </c>
      <c r="G1228" s="62" t="b">
        <v>1</v>
      </c>
      <c r="H1228" s="78" t="b">
        <f>IF(VLOOKUP(C1228,Projetos!A:L,12,false)=TRUE,TRUE,FALSE)</f>
        <v>1</v>
      </c>
      <c r="I1228" s="68">
        <v>27.980014792814504</v>
      </c>
      <c r="J1228" s="68">
        <f t="shared" si="1"/>
        <v>272.8051442</v>
      </c>
      <c r="K1228" s="68" t="b">
        <v>1</v>
      </c>
    </row>
    <row r="1229">
      <c r="A1229" s="75">
        <v>1223.0</v>
      </c>
      <c r="B1229" s="62" t="s">
        <v>744</v>
      </c>
      <c r="C1229" s="62" t="s">
        <v>86</v>
      </c>
      <c r="D1229" s="62" t="s">
        <v>751</v>
      </c>
      <c r="E1229" s="76">
        <v>44077.0</v>
      </c>
      <c r="F1229" s="77">
        <v>0.40625</v>
      </c>
      <c r="G1229" s="62" t="b">
        <v>1</v>
      </c>
      <c r="H1229" s="78" t="b">
        <f>IF(VLOOKUP(C1229,Projetos!A:L,12,false)=TRUE,TRUE,FALSE)</f>
        <v>1</v>
      </c>
      <c r="I1229" s="68">
        <v>27.980014792814504</v>
      </c>
      <c r="J1229" s="68">
        <f t="shared" si="1"/>
        <v>272.8051442</v>
      </c>
      <c r="K1229" s="68" t="b">
        <v>1</v>
      </c>
    </row>
    <row r="1230">
      <c r="A1230" s="75">
        <v>1224.0</v>
      </c>
      <c r="B1230" s="62" t="s">
        <v>744</v>
      </c>
      <c r="C1230" s="62" t="s">
        <v>86</v>
      </c>
      <c r="D1230" s="62" t="s">
        <v>751</v>
      </c>
      <c r="E1230" s="76">
        <v>44078.0</v>
      </c>
      <c r="F1230" s="77">
        <v>0.40625</v>
      </c>
      <c r="G1230" s="62" t="b">
        <v>1</v>
      </c>
      <c r="H1230" s="78" t="b">
        <f>IF(VLOOKUP(C1230,Projetos!A:L,12,false)=TRUE,TRUE,FALSE)</f>
        <v>1</v>
      </c>
      <c r="I1230" s="68">
        <v>27.980014792814504</v>
      </c>
      <c r="J1230" s="68">
        <f t="shared" si="1"/>
        <v>272.8051442</v>
      </c>
      <c r="K1230" s="68" t="b">
        <v>1</v>
      </c>
    </row>
    <row r="1231" hidden="1">
      <c r="A1231" s="75">
        <v>1225.0</v>
      </c>
      <c r="B1231" s="62" t="s">
        <v>744</v>
      </c>
      <c r="C1231" s="62" t="s">
        <v>109</v>
      </c>
      <c r="D1231" s="62" t="s">
        <v>752</v>
      </c>
      <c r="E1231" s="76">
        <v>44085.0</v>
      </c>
      <c r="F1231" s="77">
        <v>0.19791666666666666</v>
      </c>
      <c r="G1231" s="62" t="b">
        <v>0</v>
      </c>
      <c r="H1231" s="78" t="b">
        <f>IF(VLOOKUP(C1231,Projetos!A:L,12,false)=TRUE,TRUE,FALSE)</f>
        <v>0</v>
      </c>
      <c r="I1231" s="68">
        <v>27.980014792814504</v>
      </c>
      <c r="J1231" s="68">
        <f t="shared" si="1"/>
        <v>0</v>
      </c>
      <c r="K1231" s="68" t="b">
        <v>0</v>
      </c>
    </row>
    <row r="1232">
      <c r="A1232" s="75">
        <v>1226.0</v>
      </c>
      <c r="B1232" s="62" t="s">
        <v>744</v>
      </c>
      <c r="C1232" s="62" t="s">
        <v>110</v>
      </c>
      <c r="D1232" s="62" t="s">
        <v>753</v>
      </c>
      <c r="E1232" s="76">
        <v>44089.0</v>
      </c>
      <c r="F1232" s="77">
        <v>0.20833333333333334</v>
      </c>
      <c r="G1232" s="62" t="b">
        <v>1</v>
      </c>
      <c r="H1232" s="78" t="b">
        <f>IF(VLOOKUP(C1232,Projetos!A:L,12,false)=TRUE,TRUE,FALSE)</f>
        <v>1</v>
      </c>
      <c r="I1232" s="68">
        <v>27.980014792814504</v>
      </c>
      <c r="J1232" s="68">
        <f t="shared" si="1"/>
        <v>139.900074</v>
      </c>
      <c r="K1232" s="68" t="b">
        <v>1</v>
      </c>
    </row>
    <row r="1233">
      <c r="A1233" s="75">
        <v>1227.0</v>
      </c>
      <c r="B1233" s="62" t="s">
        <v>744</v>
      </c>
      <c r="C1233" s="62" t="s">
        <v>110</v>
      </c>
      <c r="D1233" s="62" t="s">
        <v>753</v>
      </c>
      <c r="E1233" s="76">
        <v>44091.0</v>
      </c>
      <c r="F1233" s="77">
        <v>0.19791666666666666</v>
      </c>
      <c r="G1233" s="62" t="b">
        <v>1</v>
      </c>
      <c r="H1233" s="78" t="b">
        <f>IF(VLOOKUP(C1233,Projetos!A:L,12,false)=TRUE,TRUE,FALSE)</f>
        <v>1</v>
      </c>
      <c r="I1233" s="68">
        <v>27.980014792814504</v>
      </c>
      <c r="J1233" s="68">
        <f t="shared" si="1"/>
        <v>132.9050703</v>
      </c>
      <c r="K1233" s="68" t="b">
        <v>1</v>
      </c>
    </row>
    <row r="1234">
      <c r="A1234" s="75">
        <v>1228.0</v>
      </c>
      <c r="B1234" s="62" t="s">
        <v>744</v>
      </c>
      <c r="C1234" s="62" t="s">
        <v>84</v>
      </c>
      <c r="D1234" s="62" t="s">
        <v>749</v>
      </c>
      <c r="E1234" s="76">
        <v>44092.0</v>
      </c>
      <c r="F1234" s="77">
        <v>0.15625</v>
      </c>
      <c r="G1234" s="62" t="b">
        <v>1</v>
      </c>
      <c r="H1234" s="78" t="b">
        <f>IF(VLOOKUP(C1234,Projetos!A:L,12,false)=TRUE,TRUE,FALSE)</f>
        <v>1</v>
      </c>
      <c r="I1234" s="68">
        <v>27.980014792814504</v>
      </c>
      <c r="J1234" s="68">
        <f t="shared" si="1"/>
        <v>104.9250555</v>
      </c>
      <c r="K1234" s="68" t="b">
        <v>1</v>
      </c>
    </row>
    <row r="1235">
      <c r="A1235" s="75">
        <v>1229.0</v>
      </c>
      <c r="B1235" s="62" t="s">
        <v>744</v>
      </c>
      <c r="C1235" s="62" t="s">
        <v>101</v>
      </c>
      <c r="D1235" s="62" t="s">
        <v>749</v>
      </c>
      <c r="E1235" s="76">
        <v>44097.0</v>
      </c>
      <c r="F1235" s="77">
        <v>0.16666666666666666</v>
      </c>
      <c r="G1235" s="62" t="b">
        <v>1</v>
      </c>
      <c r="H1235" s="78" t="b">
        <f>IF(VLOOKUP(C1235,Projetos!A:L,12,false)=TRUE,TRUE,FALSE)</f>
        <v>1</v>
      </c>
      <c r="I1235" s="68">
        <v>27.980014792814504</v>
      </c>
      <c r="J1235" s="68">
        <f t="shared" si="1"/>
        <v>111.9200592</v>
      </c>
      <c r="K1235" s="68" t="b">
        <v>1</v>
      </c>
    </row>
    <row r="1236">
      <c r="A1236" s="75">
        <v>1230.0</v>
      </c>
      <c r="B1236" s="62" t="s">
        <v>744</v>
      </c>
      <c r="C1236" s="62" t="s">
        <v>112</v>
      </c>
      <c r="D1236" s="62" t="s">
        <v>752</v>
      </c>
      <c r="E1236" s="76">
        <v>44098.0</v>
      </c>
      <c r="F1236" s="77">
        <v>0.20833333333333334</v>
      </c>
      <c r="G1236" s="62" t="b">
        <v>1</v>
      </c>
      <c r="H1236" s="78" t="b">
        <f>IF(VLOOKUP(C1236,Projetos!A:L,12,false)=TRUE,TRUE,FALSE)</f>
        <v>1</v>
      </c>
      <c r="I1236" s="68">
        <v>27.980014792814504</v>
      </c>
      <c r="J1236" s="68">
        <f t="shared" si="1"/>
        <v>139.900074</v>
      </c>
      <c r="K1236" s="68" t="b">
        <v>1</v>
      </c>
    </row>
    <row r="1237">
      <c r="A1237" s="75">
        <v>1231.0</v>
      </c>
      <c r="B1237" s="62" t="s">
        <v>744</v>
      </c>
      <c r="C1237" s="62" t="s">
        <v>101</v>
      </c>
      <c r="D1237" s="62" t="s">
        <v>749</v>
      </c>
      <c r="E1237" s="76">
        <v>44099.0</v>
      </c>
      <c r="F1237" s="77">
        <v>0.15625</v>
      </c>
      <c r="G1237" s="62" t="b">
        <v>1</v>
      </c>
      <c r="H1237" s="78" t="b">
        <f>IF(VLOOKUP(C1237,Projetos!A:L,12,false)=TRUE,TRUE,FALSE)</f>
        <v>1</v>
      </c>
      <c r="I1237" s="68">
        <v>27.980014792814504</v>
      </c>
      <c r="J1237" s="68">
        <f t="shared" si="1"/>
        <v>104.9250555</v>
      </c>
      <c r="K1237" s="68" t="b">
        <v>1</v>
      </c>
    </row>
    <row r="1238">
      <c r="A1238" s="75">
        <v>1232.0</v>
      </c>
      <c r="B1238" s="62" t="s">
        <v>744</v>
      </c>
      <c r="C1238" s="62" t="s">
        <v>110</v>
      </c>
      <c r="D1238" s="62" t="s">
        <v>753</v>
      </c>
      <c r="E1238" s="76">
        <v>44102.0</v>
      </c>
      <c r="F1238" s="77">
        <v>0.16666666666666666</v>
      </c>
      <c r="G1238" s="62" t="b">
        <v>1</v>
      </c>
      <c r="H1238" s="78" t="b">
        <f>IF(VLOOKUP(C1238,Projetos!A:L,12,false)=TRUE,TRUE,FALSE)</f>
        <v>1</v>
      </c>
      <c r="I1238" s="68">
        <v>27.980014792814504</v>
      </c>
      <c r="J1238" s="68">
        <f t="shared" si="1"/>
        <v>111.9200592</v>
      </c>
      <c r="K1238" s="68" t="b">
        <v>1</v>
      </c>
    </row>
    <row r="1239">
      <c r="A1239" s="75">
        <v>1233.0</v>
      </c>
      <c r="B1239" s="62" t="s">
        <v>744</v>
      </c>
      <c r="C1239" s="62" t="s">
        <v>88</v>
      </c>
      <c r="D1239" s="62" t="s">
        <v>749</v>
      </c>
      <c r="E1239" s="76">
        <v>44103.0</v>
      </c>
      <c r="F1239" s="77">
        <v>0.125</v>
      </c>
      <c r="G1239" s="62" t="b">
        <v>1</v>
      </c>
      <c r="H1239" s="78" t="b">
        <f>IF(VLOOKUP(C1239,Projetos!A:L,12,false)=TRUE,TRUE,FALSE)</f>
        <v>1</v>
      </c>
      <c r="I1239" s="68">
        <v>27.980014792814504</v>
      </c>
      <c r="J1239" s="68">
        <f t="shared" si="1"/>
        <v>83.94004438</v>
      </c>
      <c r="K1239" s="68" t="b">
        <v>1</v>
      </c>
    </row>
    <row r="1240">
      <c r="A1240" s="75">
        <v>1234.0</v>
      </c>
      <c r="B1240" s="62" t="s">
        <v>744</v>
      </c>
      <c r="C1240" s="62" t="s">
        <v>101</v>
      </c>
      <c r="D1240" s="62" t="s">
        <v>749</v>
      </c>
      <c r="E1240" s="76">
        <v>44103.0</v>
      </c>
      <c r="F1240" s="77">
        <v>0.08333333333333333</v>
      </c>
      <c r="G1240" s="62" t="b">
        <v>1</v>
      </c>
      <c r="H1240" s="78" t="b">
        <f>IF(VLOOKUP(C1240,Projetos!A:L,12,false)=TRUE,TRUE,FALSE)</f>
        <v>1</v>
      </c>
      <c r="I1240" s="68">
        <v>27.980014792814504</v>
      </c>
      <c r="J1240" s="68">
        <f t="shared" si="1"/>
        <v>55.96002959</v>
      </c>
      <c r="K1240" s="68" t="b">
        <v>1</v>
      </c>
    </row>
    <row r="1241">
      <c r="A1241" s="75">
        <v>1235.0</v>
      </c>
      <c r="B1241" s="62" t="s">
        <v>744</v>
      </c>
      <c r="C1241" s="62" t="s">
        <v>110</v>
      </c>
      <c r="D1241" s="62" t="s">
        <v>745</v>
      </c>
      <c r="E1241" s="76">
        <v>44104.0</v>
      </c>
      <c r="F1241" s="77">
        <v>0.19791666666666666</v>
      </c>
      <c r="G1241" s="62" t="b">
        <v>1</v>
      </c>
      <c r="H1241" s="78" t="b">
        <f>IF(VLOOKUP(C1241,Projetos!A:L,12,false)=TRUE,TRUE,FALSE)</f>
        <v>1</v>
      </c>
      <c r="I1241" s="68">
        <v>27.980014792814504</v>
      </c>
      <c r="J1241" s="68">
        <f t="shared" si="1"/>
        <v>132.9050703</v>
      </c>
      <c r="K1241" s="68" t="b">
        <v>1</v>
      </c>
    </row>
    <row r="1242">
      <c r="A1242" s="75">
        <v>1236.0</v>
      </c>
      <c r="B1242" s="62" t="s">
        <v>744</v>
      </c>
      <c r="C1242" s="62" t="s">
        <v>110</v>
      </c>
      <c r="D1242" s="62" t="s">
        <v>745</v>
      </c>
      <c r="E1242" s="76">
        <v>44105.0</v>
      </c>
      <c r="F1242" s="77">
        <v>0.23958333333333334</v>
      </c>
      <c r="G1242" s="62" t="b">
        <v>1</v>
      </c>
      <c r="H1242" s="78" t="b">
        <f>IF(VLOOKUP(C1242,Projetos!A:L,12,false)=TRUE,TRUE,FALSE)</f>
        <v>1</v>
      </c>
      <c r="I1242" s="68">
        <v>29.312396449615196</v>
      </c>
      <c r="J1242" s="68">
        <f t="shared" si="1"/>
        <v>168.5462796</v>
      </c>
      <c r="K1242" s="68" t="b">
        <v>1</v>
      </c>
    </row>
    <row r="1243">
      <c r="A1243" s="75">
        <v>1237.0</v>
      </c>
      <c r="B1243" s="62" t="s">
        <v>744</v>
      </c>
      <c r="C1243" s="62" t="s">
        <v>101</v>
      </c>
      <c r="D1243" s="62" t="s">
        <v>749</v>
      </c>
      <c r="E1243" s="76">
        <v>44106.0</v>
      </c>
      <c r="F1243" s="77">
        <v>0.20833333333333334</v>
      </c>
      <c r="G1243" s="62" t="b">
        <v>1</v>
      </c>
      <c r="H1243" s="78" t="b">
        <f>IF(VLOOKUP(C1243,Projetos!A:L,12,false)=TRUE,TRUE,FALSE)</f>
        <v>1</v>
      </c>
      <c r="I1243" s="68">
        <v>29.312396449615196</v>
      </c>
      <c r="J1243" s="68">
        <f t="shared" si="1"/>
        <v>146.5619822</v>
      </c>
      <c r="K1243" s="68" t="b">
        <v>1</v>
      </c>
    </row>
    <row r="1244">
      <c r="A1244" s="75">
        <v>1238.0</v>
      </c>
      <c r="B1244" s="62" t="s">
        <v>744</v>
      </c>
      <c r="C1244" s="62" t="s">
        <v>110</v>
      </c>
      <c r="D1244" s="62" t="s">
        <v>745</v>
      </c>
      <c r="E1244" s="76">
        <v>44109.0</v>
      </c>
      <c r="F1244" s="77">
        <v>0.16666666666666666</v>
      </c>
      <c r="G1244" s="62" t="b">
        <v>1</v>
      </c>
      <c r="H1244" s="78" t="b">
        <f>IF(VLOOKUP(C1244,Projetos!A:L,12,false)=TRUE,TRUE,FALSE)</f>
        <v>1</v>
      </c>
      <c r="I1244" s="68">
        <v>29.312396449615196</v>
      </c>
      <c r="J1244" s="68">
        <f t="shared" si="1"/>
        <v>117.2495858</v>
      </c>
      <c r="K1244" s="68" t="b">
        <v>1</v>
      </c>
    </row>
    <row r="1245">
      <c r="A1245" s="75">
        <v>1239.0</v>
      </c>
      <c r="B1245" s="62" t="s">
        <v>744</v>
      </c>
      <c r="C1245" s="62" t="s">
        <v>110</v>
      </c>
      <c r="D1245" s="62" t="s">
        <v>745</v>
      </c>
      <c r="E1245" s="76">
        <v>44110.0</v>
      </c>
      <c r="F1245" s="77">
        <v>0.20833333333333334</v>
      </c>
      <c r="G1245" s="62" t="b">
        <v>1</v>
      </c>
      <c r="H1245" s="78" t="b">
        <f>IF(VLOOKUP(C1245,Projetos!A:L,12,false)=TRUE,TRUE,FALSE)</f>
        <v>1</v>
      </c>
      <c r="I1245" s="68">
        <v>29.312396449615196</v>
      </c>
      <c r="J1245" s="68">
        <f t="shared" si="1"/>
        <v>146.5619822</v>
      </c>
      <c r="K1245" s="68" t="b">
        <v>1</v>
      </c>
    </row>
    <row r="1246">
      <c r="A1246" s="75">
        <v>1240.0</v>
      </c>
      <c r="B1246" s="62" t="s">
        <v>744</v>
      </c>
      <c r="C1246" s="62" t="s">
        <v>110</v>
      </c>
      <c r="D1246" s="62" t="s">
        <v>753</v>
      </c>
      <c r="E1246" s="76">
        <v>44111.0</v>
      </c>
      <c r="F1246" s="77">
        <v>0.23958333333333334</v>
      </c>
      <c r="G1246" s="62" t="b">
        <v>1</v>
      </c>
      <c r="H1246" s="78" t="b">
        <f>IF(VLOOKUP(C1246,Projetos!A:L,12,false)=TRUE,TRUE,FALSE)</f>
        <v>1</v>
      </c>
      <c r="I1246" s="68">
        <v>29.312396449615196</v>
      </c>
      <c r="J1246" s="68">
        <f t="shared" si="1"/>
        <v>168.5462796</v>
      </c>
      <c r="K1246" s="68" t="b">
        <v>1</v>
      </c>
    </row>
    <row r="1247">
      <c r="A1247" s="75">
        <v>1241.0</v>
      </c>
      <c r="B1247" s="62" t="s">
        <v>744</v>
      </c>
      <c r="C1247" s="62" t="s">
        <v>110</v>
      </c>
      <c r="D1247" s="62" t="s">
        <v>753</v>
      </c>
      <c r="E1247" s="76">
        <v>44112.0</v>
      </c>
      <c r="F1247" s="77">
        <v>0.22916666666666666</v>
      </c>
      <c r="G1247" s="62" t="b">
        <v>1</v>
      </c>
      <c r="H1247" s="78" t="b">
        <f>IF(VLOOKUP(C1247,Projetos!A:L,12,false)=TRUE,TRUE,FALSE)</f>
        <v>1</v>
      </c>
      <c r="I1247" s="68">
        <v>29.312396449615196</v>
      </c>
      <c r="J1247" s="68">
        <f t="shared" si="1"/>
        <v>161.2181805</v>
      </c>
      <c r="K1247" s="68" t="b">
        <v>1</v>
      </c>
    </row>
    <row r="1248">
      <c r="A1248" s="75">
        <v>1242.0</v>
      </c>
      <c r="B1248" s="62" t="s">
        <v>744</v>
      </c>
      <c r="C1248" s="62" t="s">
        <v>110</v>
      </c>
      <c r="D1248" s="62" t="s">
        <v>753</v>
      </c>
      <c r="E1248" s="76">
        <v>44113.0</v>
      </c>
      <c r="F1248" s="77">
        <v>0.40625</v>
      </c>
      <c r="G1248" s="62" t="b">
        <v>1</v>
      </c>
      <c r="H1248" s="78" t="b">
        <f>IF(VLOOKUP(C1248,Projetos!A:L,12,false)=TRUE,TRUE,FALSE)</f>
        <v>1</v>
      </c>
      <c r="I1248" s="68">
        <v>29.312396449615196</v>
      </c>
      <c r="J1248" s="68">
        <f t="shared" si="1"/>
        <v>285.7958654</v>
      </c>
      <c r="K1248" s="68" t="b">
        <v>1</v>
      </c>
    </row>
    <row r="1249">
      <c r="A1249" s="75">
        <v>1243.0</v>
      </c>
      <c r="B1249" s="62" t="s">
        <v>744</v>
      </c>
      <c r="C1249" s="62" t="s">
        <v>110</v>
      </c>
      <c r="D1249" s="62" t="s">
        <v>753</v>
      </c>
      <c r="E1249" s="76">
        <v>44120.0</v>
      </c>
      <c r="F1249" s="77">
        <v>0.041666666666666664</v>
      </c>
      <c r="G1249" s="62" t="b">
        <v>1</v>
      </c>
      <c r="H1249" s="78" t="b">
        <f>IF(VLOOKUP(C1249,Projetos!A:L,12,false)=TRUE,TRUE,FALSE)</f>
        <v>1</v>
      </c>
      <c r="I1249" s="68">
        <v>29.312396449615196</v>
      </c>
      <c r="J1249" s="68">
        <f t="shared" si="1"/>
        <v>29.31239645</v>
      </c>
      <c r="K1249" s="68" t="b">
        <v>1</v>
      </c>
    </row>
    <row r="1250">
      <c r="A1250" s="75">
        <v>1244.0</v>
      </c>
      <c r="B1250" s="62" t="s">
        <v>744</v>
      </c>
      <c r="C1250" s="62" t="s">
        <v>110</v>
      </c>
      <c r="D1250" s="62" t="s">
        <v>753</v>
      </c>
      <c r="E1250" s="76">
        <v>44124.0</v>
      </c>
      <c r="F1250" s="77">
        <v>0.08333333333333333</v>
      </c>
      <c r="G1250" s="62" t="b">
        <v>1</v>
      </c>
      <c r="H1250" s="78" t="b">
        <f>IF(VLOOKUP(C1250,Projetos!A:L,12,false)=TRUE,TRUE,FALSE)</f>
        <v>1</v>
      </c>
      <c r="I1250" s="68">
        <v>29.312396449615196</v>
      </c>
      <c r="J1250" s="68">
        <f t="shared" si="1"/>
        <v>58.6247929</v>
      </c>
      <c r="K1250" s="68" t="b">
        <v>1</v>
      </c>
    </row>
    <row r="1251">
      <c r="A1251" s="75">
        <v>1245.0</v>
      </c>
      <c r="B1251" s="62" t="s">
        <v>744</v>
      </c>
      <c r="C1251" s="62" t="s">
        <v>112</v>
      </c>
      <c r="D1251" s="62" t="s">
        <v>752</v>
      </c>
      <c r="E1251" s="76">
        <v>44124.0</v>
      </c>
      <c r="F1251" s="77">
        <v>0.20833333333333334</v>
      </c>
      <c r="G1251" s="62" t="b">
        <v>1</v>
      </c>
      <c r="H1251" s="78" t="b">
        <f>IF(VLOOKUP(C1251,Projetos!A:L,12,false)=TRUE,TRUE,FALSE)</f>
        <v>1</v>
      </c>
      <c r="I1251" s="68">
        <v>29.312396449615196</v>
      </c>
      <c r="J1251" s="68">
        <f t="shared" si="1"/>
        <v>146.5619822</v>
      </c>
      <c r="K1251" s="68" t="b">
        <v>1</v>
      </c>
    </row>
    <row r="1252">
      <c r="A1252" s="75">
        <v>1246.0</v>
      </c>
      <c r="B1252" s="62" t="s">
        <v>744</v>
      </c>
      <c r="C1252" s="62" t="s">
        <v>104</v>
      </c>
      <c r="D1252" s="62" t="s">
        <v>749</v>
      </c>
      <c r="E1252" s="76">
        <v>44125.0</v>
      </c>
      <c r="F1252" s="77">
        <v>0.125</v>
      </c>
      <c r="G1252" s="62" t="b">
        <v>1</v>
      </c>
      <c r="H1252" s="78" t="b">
        <f>IF(VLOOKUP(C1252,Projetos!A:L,12,false)=TRUE,TRUE,FALSE)</f>
        <v>1</v>
      </c>
      <c r="I1252" s="68">
        <v>29.312396449615196</v>
      </c>
      <c r="J1252" s="68">
        <f t="shared" si="1"/>
        <v>87.93718935</v>
      </c>
      <c r="K1252" s="68" t="b">
        <v>1</v>
      </c>
    </row>
    <row r="1253">
      <c r="A1253" s="75">
        <v>1247.0</v>
      </c>
      <c r="B1253" s="62" t="s">
        <v>744</v>
      </c>
      <c r="C1253" s="62" t="s">
        <v>110</v>
      </c>
      <c r="D1253" s="62" t="s">
        <v>753</v>
      </c>
      <c r="E1253" s="76">
        <v>44127.0</v>
      </c>
      <c r="F1253" s="77">
        <v>0.19791666666666666</v>
      </c>
      <c r="G1253" s="62" t="b">
        <v>1</v>
      </c>
      <c r="H1253" s="78" t="b">
        <f>IF(VLOOKUP(C1253,Projetos!A:L,12,false)=TRUE,TRUE,FALSE)</f>
        <v>1</v>
      </c>
      <c r="I1253" s="68">
        <v>29.312396449615196</v>
      </c>
      <c r="J1253" s="68">
        <f t="shared" si="1"/>
        <v>139.2338831</v>
      </c>
      <c r="K1253" s="68" t="b">
        <v>1</v>
      </c>
    </row>
    <row r="1254">
      <c r="A1254" s="75">
        <v>1248.0</v>
      </c>
      <c r="B1254" s="62" t="s">
        <v>744</v>
      </c>
      <c r="C1254" s="62" t="s">
        <v>110</v>
      </c>
      <c r="D1254" s="62" t="s">
        <v>753</v>
      </c>
      <c r="E1254" s="76">
        <v>44130.0</v>
      </c>
      <c r="F1254" s="77">
        <v>0.20833333333333334</v>
      </c>
      <c r="G1254" s="62" t="b">
        <v>1</v>
      </c>
      <c r="H1254" s="78" t="b">
        <f>IF(VLOOKUP(C1254,Projetos!A:L,12,false)=TRUE,TRUE,FALSE)</f>
        <v>1</v>
      </c>
      <c r="I1254" s="68">
        <v>29.312396449615196</v>
      </c>
      <c r="J1254" s="68">
        <f t="shared" si="1"/>
        <v>146.5619822</v>
      </c>
      <c r="K1254" s="68" t="b">
        <v>1</v>
      </c>
    </row>
    <row r="1255">
      <c r="A1255" s="75">
        <v>1249.0</v>
      </c>
      <c r="B1255" s="62" t="s">
        <v>744</v>
      </c>
      <c r="C1255" s="62" t="s">
        <v>110</v>
      </c>
      <c r="D1255" s="62" t="s">
        <v>753</v>
      </c>
      <c r="E1255" s="76">
        <v>44131.0</v>
      </c>
      <c r="F1255" s="77">
        <v>0.16666666666666666</v>
      </c>
      <c r="G1255" s="62" t="b">
        <v>1</v>
      </c>
      <c r="H1255" s="78" t="b">
        <f>IF(VLOOKUP(C1255,Projetos!A:L,12,false)=TRUE,TRUE,FALSE)</f>
        <v>1</v>
      </c>
      <c r="I1255" s="68">
        <v>29.312396449615196</v>
      </c>
      <c r="J1255" s="68">
        <f t="shared" si="1"/>
        <v>117.2495858</v>
      </c>
      <c r="K1255" s="68" t="b">
        <v>1</v>
      </c>
    </row>
    <row r="1256">
      <c r="A1256" s="75">
        <v>1250.0</v>
      </c>
      <c r="B1256" s="62" t="s">
        <v>744</v>
      </c>
      <c r="C1256" s="62" t="s">
        <v>110</v>
      </c>
      <c r="D1256" s="62" t="s">
        <v>753</v>
      </c>
      <c r="E1256" s="76">
        <v>44132.0</v>
      </c>
      <c r="F1256" s="77">
        <v>0.20833333333333334</v>
      </c>
      <c r="G1256" s="62" t="b">
        <v>1</v>
      </c>
      <c r="H1256" s="78" t="b">
        <f>IF(VLOOKUP(C1256,Projetos!A:L,12,false)=TRUE,TRUE,FALSE)</f>
        <v>1</v>
      </c>
      <c r="I1256" s="68">
        <v>29.312396449615196</v>
      </c>
      <c r="J1256" s="68">
        <f t="shared" si="1"/>
        <v>146.5619822</v>
      </c>
      <c r="K1256" s="68" t="b">
        <v>1</v>
      </c>
    </row>
    <row r="1257">
      <c r="A1257" s="75">
        <v>1251.0</v>
      </c>
      <c r="B1257" s="62" t="s">
        <v>744</v>
      </c>
      <c r="C1257" s="62" t="s">
        <v>110</v>
      </c>
      <c r="D1257" s="62" t="s">
        <v>753</v>
      </c>
      <c r="E1257" s="76">
        <v>44133.0</v>
      </c>
      <c r="F1257" s="77">
        <v>0.23958333333333334</v>
      </c>
      <c r="G1257" s="62" t="b">
        <v>1</v>
      </c>
      <c r="H1257" s="78" t="b">
        <f>IF(VLOOKUP(C1257,Projetos!A:L,12,false)=TRUE,TRUE,FALSE)</f>
        <v>1</v>
      </c>
      <c r="I1257" s="68">
        <v>29.312396449615196</v>
      </c>
      <c r="J1257" s="68">
        <f t="shared" si="1"/>
        <v>168.5462796</v>
      </c>
      <c r="K1257" s="68" t="b">
        <v>1</v>
      </c>
    </row>
    <row r="1258">
      <c r="A1258" s="75">
        <v>1252.0</v>
      </c>
      <c r="B1258" s="62" t="s">
        <v>744</v>
      </c>
      <c r="C1258" s="62" t="s">
        <v>110</v>
      </c>
      <c r="D1258" s="62" t="s">
        <v>753</v>
      </c>
      <c r="E1258" s="76">
        <v>44134.0</v>
      </c>
      <c r="F1258" s="77">
        <v>0.125</v>
      </c>
      <c r="G1258" s="62" t="b">
        <v>1</v>
      </c>
      <c r="H1258" s="78" t="b">
        <f>IF(VLOOKUP(C1258,Projetos!A:L,12,false)=TRUE,TRUE,FALSE)</f>
        <v>1</v>
      </c>
      <c r="I1258" s="68">
        <v>29.312396449615196</v>
      </c>
      <c r="J1258" s="68">
        <f t="shared" si="1"/>
        <v>87.93718935</v>
      </c>
      <c r="K1258" s="68" t="b">
        <v>1</v>
      </c>
    </row>
    <row r="1259">
      <c r="A1259" s="75">
        <v>1253.0</v>
      </c>
      <c r="B1259" s="62" t="s">
        <v>744</v>
      </c>
      <c r="C1259" s="62" t="s">
        <v>110</v>
      </c>
      <c r="D1259" s="62" t="s">
        <v>753</v>
      </c>
      <c r="E1259" s="76">
        <v>44138.0</v>
      </c>
      <c r="F1259" s="77">
        <v>0.16666666666666666</v>
      </c>
      <c r="G1259" s="62" t="b">
        <v>1</v>
      </c>
      <c r="H1259" s="78" t="b">
        <f>IF(VLOOKUP(C1259,Projetos!A:L,12,false)=TRUE,TRUE,FALSE)</f>
        <v>1</v>
      </c>
      <c r="I1259" s="68">
        <v>29.860836639118453</v>
      </c>
      <c r="J1259" s="68">
        <f t="shared" si="1"/>
        <v>119.4433466</v>
      </c>
      <c r="K1259" s="68" t="b">
        <v>1</v>
      </c>
    </row>
    <row r="1260">
      <c r="A1260" s="75">
        <v>1254.0</v>
      </c>
      <c r="B1260" s="62" t="s">
        <v>744</v>
      </c>
      <c r="C1260" s="62" t="s">
        <v>110</v>
      </c>
      <c r="D1260" s="62" t="s">
        <v>749</v>
      </c>
      <c r="E1260" s="76">
        <v>44138.0</v>
      </c>
      <c r="F1260" s="77">
        <v>0.16666666666666666</v>
      </c>
      <c r="G1260" s="62" t="b">
        <v>1</v>
      </c>
      <c r="H1260" s="78" t="b">
        <f>IF(VLOOKUP(C1260,Projetos!A:L,12,false)=TRUE,TRUE,FALSE)</f>
        <v>1</v>
      </c>
      <c r="I1260" s="68">
        <v>29.860836639118453</v>
      </c>
      <c r="J1260" s="68">
        <f t="shared" si="1"/>
        <v>119.4433466</v>
      </c>
      <c r="K1260" s="68" t="b">
        <v>1</v>
      </c>
    </row>
    <row r="1261">
      <c r="A1261" s="75">
        <v>1255.0</v>
      </c>
      <c r="B1261" s="62" t="s">
        <v>744</v>
      </c>
      <c r="C1261" s="62" t="s">
        <v>110</v>
      </c>
      <c r="D1261" s="62" t="s">
        <v>753</v>
      </c>
      <c r="E1261" s="76">
        <v>44139.0</v>
      </c>
      <c r="F1261" s="77">
        <v>0.16666666666666666</v>
      </c>
      <c r="G1261" s="62" t="b">
        <v>1</v>
      </c>
      <c r="H1261" s="78" t="b">
        <f>IF(VLOOKUP(C1261,Projetos!A:L,12,false)=TRUE,TRUE,FALSE)</f>
        <v>1</v>
      </c>
      <c r="I1261" s="68">
        <v>29.860836639118453</v>
      </c>
      <c r="J1261" s="68">
        <f t="shared" si="1"/>
        <v>119.4433466</v>
      </c>
      <c r="K1261" s="68" t="b">
        <v>1</v>
      </c>
    </row>
    <row r="1262">
      <c r="A1262" s="75">
        <v>1256.0</v>
      </c>
      <c r="B1262" s="62" t="s">
        <v>744</v>
      </c>
      <c r="C1262" s="62" t="s">
        <v>110</v>
      </c>
      <c r="D1262" s="62" t="s">
        <v>749</v>
      </c>
      <c r="E1262" s="76">
        <v>44139.0</v>
      </c>
      <c r="F1262" s="77">
        <v>0.16666666666666666</v>
      </c>
      <c r="G1262" s="62" t="b">
        <v>1</v>
      </c>
      <c r="H1262" s="78" t="b">
        <f>IF(VLOOKUP(C1262,Projetos!A:L,12,false)=TRUE,TRUE,FALSE)</f>
        <v>1</v>
      </c>
      <c r="I1262" s="68">
        <v>29.860836639118453</v>
      </c>
      <c r="J1262" s="68">
        <f t="shared" si="1"/>
        <v>119.4433466</v>
      </c>
      <c r="K1262" s="68" t="b">
        <v>1</v>
      </c>
    </row>
    <row r="1263">
      <c r="A1263" s="75">
        <v>1257.0</v>
      </c>
      <c r="B1263" s="62" t="s">
        <v>744</v>
      </c>
      <c r="C1263" s="62" t="s">
        <v>110</v>
      </c>
      <c r="D1263" s="62" t="s">
        <v>753</v>
      </c>
      <c r="E1263" s="76">
        <v>44140.0</v>
      </c>
      <c r="F1263" s="77">
        <v>0.20833333333333334</v>
      </c>
      <c r="G1263" s="62" t="b">
        <v>1</v>
      </c>
      <c r="H1263" s="78" t="b">
        <f>IF(VLOOKUP(C1263,Projetos!A:L,12,false)=TRUE,TRUE,FALSE)</f>
        <v>1</v>
      </c>
      <c r="I1263" s="68">
        <v>29.860836639118453</v>
      </c>
      <c r="J1263" s="68">
        <f t="shared" si="1"/>
        <v>149.3041832</v>
      </c>
      <c r="K1263" s="68" t="b">
        <v>1</v>
      </c>
    </row>
    <row r="1264">
      <c r="A1264" s="75">
        <v>1258.0</v>
      </c>
      <c r="B1264" s="62" t="s">
        <v>744</v>
      </c>
      <c r="C1264" s="62" t="s">
        <v>110</v>
      </c>
      <c r="D1264" s="62" t="s">
        <v>753</v>
      </c>
      <c r="E1264" s="76">
        <v>44141.0</v>
      </c>
      <c r="F1264" s="77">
        <v>0.16666666666666666</v>
      </c>
      <c r="G1264" s="62" t="b">
        <v>1</v>
      </c>
      <c r="H1264" s="78" t="b">
        <f>IF(VLOOKUP(C1264,Projetos!A:L,12,false)=TRUE,TRUE,FALSE)</f>
        <v>1</v>
      </c>
      <c r="I1264" s="68">
        <v>29.860836639118453</v>
      </c>
      <c r="J1264" s="68">
        <f t="shared" si="1"/>
        <v>119.4433466</v>
      </c>
      <c r="K1264" s="68" t="b">
        <v>1</v>
      </c>
    </row>
    <row r="1265">
      <c r="A1265" s="75">
        <v>1259.0</v>
      </c>
      <c r="B1265" s="62" t="s">
        <v>744</v>
      </c>
      <c r="C1265" s="62" t="s">
        <v>110</v>
      </c>
      <c r="D1265" s="62" t="s">
        <v>749</v>
      </c>
      <c r="E1265" s="76">
        <v>44141.0</v>
      </c>
      <c r="F1265" s="77">
        <v>0.16666666666666666</v>
      </c>
      <c r="G1265" s="62" t="b">
        <v>1</v>
      </c>
      <c r="H1265" s="78" t="b">
        <f>IF(VLOOKUP(C1265,Projetos!A:L,12,false)=TRUE,TRUE,FALSE)</f>
        <v>1</v>
      </c>
      <c r="I1265" s="68">
        <v>29.860836639118453</v>
      </c>
      <c r="J1265" s="68">
        <f t="shared" si="1"/>
        <v>119.4433466</v>
      </c>
      <c r="K1265" s="68" t="b">
        <v>1</v>
      </c>
    </row>
    <row r="1266">
      <c r="A1266" s="75">
        <v>1260.0</v>
      </c>
      <c r="B1266" s="62" t="s">
        <v>744</v>
      </c>
      <c r="C1266" s="62" t="s">
        <v>112</v>
      </c>
      <c r="D1266" s="62" t="s">
        <v>752</v>
      </c>
      <c r="E1266" s="76">
        <v>44145.0</v>
      </c>
      <c r="F1266" s="77">
        <v>0.16666666666666666</v>
      </c>
      <c r="G1266" s="62" t="b">
        <v>1</v>
      </c>
      <c r="H1266" s="78" t="b">
        <f>IF(VLOOKUP(C1266,Projetos!A:L,12,false)=TRUE,TRUE,FALSE)</f>
        <v>1</v>
      </c>
      <c r="I1266" s="68">
        <v>29.860836639118453</v>
      </c>
      <c r="J1266" s="68">
        <f t="shared" si="1"/>
        <v>119.4433466</v>
      </c>
      <c r="K1266" s="68" t="b">
        <v>1</v>
      </c>
    </row>
    <row r="1267">
      <c r="A1267" s="75">
        <v>1261.0</v>
      </c>
      <c r="B1267" s="62" t="s">
        <v>744</v>
      </c>
      <c r="C1267" s="62" t="s">
        <v>110</v>
      </c>
      <c r="D1267" s="62" t="s">
        <v>749</v>
      </c>
      <c r="E1267" s="76">
        <v>44146.0</v>
      </c>
      <c r="F1267" s="77">
        <v>0.16666666666666666</v>
      </c>
      <c r="G1267" s="62" t="b">
        <v>1</v>
      </c>
      <c r="H1267" s="78" t="b">
        <f>IF(VLOOKUP(C1267,Projetos!A:L,12,false)=TRUE,TRUE,FALSE)</f>
        <v>1</v>
      </c>
      <c r="I1267" s="68">
        <v>29.860836639118453</v>
      </c>
      <c r="J1267" s="68">
        <f t="shared" si="1"/>
        <v>119.4433466</v>
      </c>
      <c r="K1267" s="68" t="b">
        <v>1</v>
      </c>
    </row>
    <row r="1268">
      <c r="A1268" s="75">
        <v>1262.0</v>
      </c>
      <c r="B1268" s="62" t="s">
        <v>744</v>
      </c>
      <c r="C1268" s="62" t="s">
        <v>110</v>
      </c>
      <c r="D1268" s="62" t="s">
        <v>749</v>
      </c>
      <c r="E1268" s="76">
        <v>44147.0</v>
      </c>
      <c r="F1268" s="77">
        <v>0.125</v>
      </c>
      <c r="G1268" s="62" t="b">
        <v>1</v>
      </c>
      <c r="H1268" s="78" t="b">
        <f>IF(VLOOKUP(C1268,Projetos!A:L,12,false)=TRUE,TRUE,FALSE)</f>
        <v>1</v>
      </c>
      <c r="I1268" s="68">
        <v>29.860836639118453</v>
      </c>
      <c r="J1268" s="68">
        <f t="shared" si="1"/>
        <v>89.58250992</v>
      </c>
      <c r="K1268" s="68" t="b">
        <v>1</v>
      </c>
    </row>
    <row r="1269">
      <c r="A1269" s="75">
        <v>1263.0</v>
      </c>
      <c r="B1269" s="62" t="s">
        <v>744</v>
      </c>
      <c r="C1269" s="62" t="s">
        <v>110</v>
      </c>
      <c r="D1269" s="62" t="s">
        <v>749</v>
      </c>
      <c r="E1269" s="76">
        <v>44151.0</v>
      </c>
      <c r="F1269" s="77">
        <v>0.125</v>
      </c>
      <c r="G1269" s="62" t="b">
        <v>1</v>
      </c>
      <c r="H1269" s="78" t="b">
        <f>IF(VLOOKUP(C1269,Projetos!A:L,12,false)=TRUE,TRUE,FALSE)</f>
        <v>1</v>
      </c>
      <c r="I1269" s="68">
        <v>29.860836639118453</v>
      </c>
      <c r="J1269" s="68">
        <f t="shared" si="1"/>
        <v>89.58250992</v>
      </c>
      <c r="K1269" s="68" t="b">
        <v>1</v>
      </c>
    </row>
    <row r="1270">
      <c r="A1270" s="75">
        <v>1264.0</v>
      </c>
      <c r="B1270" s="62" t="s">
        <v>744</v>
      </c>
      <c r="C1270" s="62" t="s">
        <v>110</v>
      </c>
      <c r="D1270" s="62" t="s">
        <v>753</v>
      </c>
      <c r="E1270" s="76">
        <v>44154.0</v>
      </c>
      <c r="F1270" s="77">
        <v>0.041666666666666664</v>
      </c>
      <c r="G1270" s="62" t="b">
        <v>1</v>
      </c>
      <c r="H1270" s="78" t="b">
        <f>IF(VLOOKUP(C1270,Projetos!A:L,12,false)=TRUE,TRUE,FALSE)</f>
        <v>1</v>
      </c>
      <c r="I1270" s="68">
        <v>29.860836639118453</v>
      </c>
      <c r="J1270" s="68">
        <f t="shared" si="1"/>
        <v>29.86083664</v>
      </c>
      <c r="K1270" s="68" t="b">
        <v>1</v>
      </c>
    </row>
    <row r="1271">
      <c r="A1271" s="75">
        <v>1265.0</v>
      </c>
      <c r="B1271" s="62" t="s">
        <v>744</v>
      </c>
      <c r="C1271" s="62" t="s">
        <v>112</v>
      </c>
      <c r="D1271" s="62" t="s">
        <v>752</v>
      </c>
      <c r="E1271" s="76">
        <v>44158.0</v>
      </c>
      <c r="F1271" s="77">
        <v>0.20833333333333334</v>
      </c>
      <c r="G1271" s="62" t="b">
        <v>1</v>
      </c>
      <c r="H1271" s="78" t="b">
        <f>IF(VLOOKUP(C1271,Projetos!A:L,12,false)=TRUE,TRUE,FALSE)</f>
        <v>1</v>
      </c>
      <c r="I1271" s="68">
        <v>29.860836639118453</v>
      </c>
      <c r="J1271" s="68">
        <f t="shared" si="1"/>
        <v>149.3041832</v>
      </c>
      <c r="K1271" s="68" t="b">
        <v>1</v>
      </c>
    </row>
    <row r="1272">
      <c r="A1272" s="75">
        <v>1266.0</v>
      </c>
      <c r="B1272" s="62" t="s">
        <v>744</v>
      </c>
      <c r="C1272" s="62" t="s">
        <v>112</v>
      </c>
      <c r="D1272" s="62" t="s">
        <v>752</v>
      </c>
      <c r="E1272" s="76">
        <v>44159.0</v>
      </c>
      <c r="F1272" s="77">
        <v>0.16666666666666666</v>
      </c>
      <c r="G1272" s="62" t="b">
        <v>1</v>
      </c>
      <c r="H1272" s="78" t="b">
        <f>IF(VLOOKUP(C1272,Projetos!A:L,12,false)=TRUE,TRUE,FALSE)</f>
        <v>1</v>
      </c>
      <c r="I1272" s="68">
        <v>29.860836639118453</v>
      </c>
      <c r="J1272" s="68">
        <f t="shared" si="1"/>
        <v>119.4433466</v>
      </c>
      <c r="K1272" s="68" t="b">
        <v>1</v>
      </c>
    </row>
    <row r="1273">
      <c r="A1273" s="75">
        <v>1267.0</v>
      </c>
      <c r="B1273" s="62" t="s">
        <v>744</v>
      </c>
      <c r="C1273" s="62" t="s">
        <v>110</v>
      </c>
      <c r="D1273" s="62" t="s">
        <v>753</v>
      </c>
      <c r="E1273" s="76">
        <v>44161.0</v>
      </c>
      <c r="F1273" s="77">
        <v>0.08333333333333333</v>
      </c>
      <c r="G1273" s="62" t="b">
        <v>1</v>
      </c>
      <c r="H1273" s="78" t="b">
        <f>IF(VLOOKUP(C1273,Projetos!A:L,12,false)=TRUE,TRUE,FALSE)</f>
        <v>1</v>
      </c>
      <c r="I1273" s="68">
        <v>29.860836639118453</v>
      </c>
      <c r="J1273" s="68">
        <f t="shared" si="1"/>
        <v>59.72167328</v>
      </c>
      <c r="K1273" s="68" t="b">
        <v>1</v>
      </c>
    </row>
    <row r="1274">
      <c r="A1274" s="75">
        <v>1268.0</v>
      </c>
      <c r="B1274" s="62" t="s">
        <v>744</v>
      </c>
      <c r="C1274" s="62" t="s">
        <v>112</v>
      </c>
      <c r="D1274" s="62" t="s">
        <v>752</v>
      </c>
      <c r="E1274" s="76">
        <v>44161.0</v>
      </c>
      <c r="F1274" s="77">
        <v>0.16666666666666666</v>
      </c>
      <c r="G1274" s="62" t="b">
        <v>1</v>
      </c>
      <c r="H1274" s="78" t="b">
        <f>IF(VLOOKUP(C1274,Projetos!A:L,12,false)=TRUE,TRUE,FALSE)</f>
        <v>1</v>
      </c>
      <c r="I1274" s="68">
        <v>29.860836639118453</v>
      </c>
      <c r="J1274" s="68">
        <f t="shared" si="1"/>
        <v>119.4433466</v>
      </c>
      <c r="K1274" s="68" t="b">
        <v>1</v>
      </c>
    </row>
    <row r="1275">
      <c r="A1275" s="75">
        <v>1269.0</v>
      </c>
      <c r="B1275" s="62" t="s">
        <v>744</v>
      </c>
      <c r="C1275" s="62" t="s">
        <v>88</v>
      </c>
      <c r="D1275" s="62" t="s">
        <v>749</v>
      </c>
      <c r="E1275" s="76">
        <v>44165.0</v>
      </c>
      <c r="F1275" s="77">
        <v>0.16666666666666666</v>
      </c>
      <c r="G1275" s="62" t="b">
        <v>1</v>
      </c>
      <c r="H1275" s="78" t="b">
        <f>IF(VLOOKUP(C1275,Projetos!A:L,12,false)=TRUE,TRUE,FALSE)</f>
        <v>1</v>
      </c>
      <c r="I1275" s="68">
        <v>29.860836639118453</v>
      </c>
      <c r="J1275" s="68">
        <f t="shared" si="1"/>
        <v>119.4433466</v>
      </c>
      <c r="K1275" s="68" t="b">
        <v>1</v>
      </c>
    </row>
    <row r="1276">
      <c r="A1276" s="75">
        <v>1270.0</v>
      </c>
      <c r="B1276" s="62" t="s">
        <v>744</v>
      </c>
      <c r="C1276" s="62" t="s">
        <v>112</v>
      </c>
      <c r="D1276" s="62" t="s">
        <v>752</v>
      </c>
      <c r="E1276" s="76">
        <v>44165.0</v>
      </c>
      <c r="F1276" s="77">
        <v>0.16666666666666666</v>
      </c>
      <c r="G1276" s="62" t="b">
        <v>1</v>
      </c>
      <c r="H1276" s="78" t="b">
        <f>IF(VLOOKUP(C1276,Projetos!A:L,12,false)=TRUE,TRUE,FALSE)</f>
        <v>1</v>
      </c>
      <c r="I1276" s="68">
        <v>29.860836639118453</v>
      </c>
      <c r="J1276" s="68">
        <f t="shared" si="1"/>
        <v>119.4433466</v>
      </c>
      <c r="K1276" s="68" t="b">
        <v>1</v>
      </c>
    </row>
    <row r="1277">
      <c r="A1277" s="75">
        <v>1271.0</v>
      </c>
      <c r="B1277" s="62" t="s">
        <v>744</v>
      </c>
      <c r="C1277" s="62" t="s">
        <v>110</v>
      </c>
      <c r="D1277" s="62" t="s">
        <v>753</v>
      </c>
      <c r="E1277" s="76">
        <v>44168.0</v>
      </c>
      <c r="F1277" s="77">
        <v>0.08333333333333333</v>
      </c>
      <c r="G1277" s="62" t="b">
        <v>1</v>
      </c>
      <c r="H1277" s="78" t="b">
        <f>IF(VLOOKUP(C1277,Projetos!A:L,12,false)=TRUE,TRUE,FALSE)</f>
        <v>1</v>
      </c>
      <c r="I1277" s="68">
        <v>31.28278124098124</v>
      </c>
      <c r="J1277" s="68">
        <f t="shared" si="1"/>
        <v>62.56556248</v>
      </c>
      <c r="K1277" s="68" t="b">
        <v>1</v>
      </c>
    </row>
    <row r="1278">
      <c r="A1278" s="75">
        <v>1272.0</v>
      </c>
      <c r="B1278" s="62" t="s">
        <v>744</v>
      </c>
      <c r="C1278" s="62" t="s">
        <v>101</v>
      </c>
      <c r="D1278" s="62" t="s">
        <v>749</v>
      </c>
      <c r="E1278" s="76">
        <v>44172.0</v>
      </c>
      <c r="F1278" s="77">
        <v>0.16666666666666666</v>
      </c>
      <c r="G1278" s="62" t="b">
        <v>1</v>
      </c>
      <c r="H1278" s="78" t="b">
        <f>IF(VLOOKUP(C1278,Projetos!A:L,12,false)=TRUE,TRUE,FALSE)</f>
        <v>1</v>
      </c>
      <c r="I1278" s="68">
        <v>31.28278124098124</v>
      </c>
      <c r="J1278" s="68">
        <f t="shared" si="1"/>
        <v>125.131125</v>
      </c>
      <c r="K1278" s="68" t="b">
        <v>1</v>
      </c>
    </row>
    <row r="1279">
      <c r="A1279" s="75">
        <v>1273.0</v>
      </c>
      <c r="B1279" s="62" t="s">
        <v>744</v>
      </c>
      <c r="C1279" s="62" t="s">
        <v>101</v>
      </c>
      <c r="D1279" s="62" t="s">
        <v>749</v>
      </c>
      <c r="E1279" s="76">
        <v>44173.0</v>
      </c>
      <c r="F1279" s="77">
        <v>0.1875</v>
      </c>
      <c r="G1279" s="62" t="b">
        <v>1</v>
      </c>
      <c r="H1279" s="78" t="b">
        <f>IF(VLOOKUP(C1279,Projetos!A:L,12,false)=TRUE,TRUE,FALSE)</f>
        <v>1</v>
      </c>
      <c r="I1279" s="68">
        <v>31.28278124098124</v>
      </c>
      <c r="J1279" s="68">
        <f t="shared" si="1"/>
        <v>140.7725156</v>
      </c>
      <c r="K1279" s="68" t="b">
        <v>1</v>
      </c>
    </row>
    <row r="1280">
      <c r="A1280" s="75">
        <v>1274.0</v>
      </c>
      <c r="B1280" s="62" t="s">
        <v>744</v>
      </c>
      <c r="C1280" s="62" t="s">
        <v>101</v>
      </c>
      <c r="D1280" s="62" t="s">
        <v>749</v>
      </c>
      <c r="E1280" s="76">
        <v>44174.0</v>
      </c>
      <c r="F1280" s="77">
        <v>0.20833333333333334</v>
      </c>
      <c r="G1280" s="62" t="b">
        <v>1</v>
      </c>
      <c r="H1280" s="78" t="b">
        <f>IF(VLOOKUP(C1280,Projetos!A:L,12,false)=TRUE,TRUE,FALSE)</f>
        <v>1</v>
      </c>
      <c r="I1280" s="68">
        <v>31.28278124098124</v>
      </c>
      <c r="J1280" s="68">
        <f t="shared" si="1"/>
        <v>156.4139062</v>
      </c>
      <c r="K1280" s="68" t="b">
        <v>1</v>
      </c>
    </row>
    <row r="1281">
      <c r="A1281" s="75">
        <v>1275.0</v>
      </c>
      <c r="B1281" s="62" t="s">
        <v>744</v>
      </c>
      <c r="C1281" s="62" t="s">
        <v>101</v>
      </c>
      <c r="D1281" s="62" t="s">
        <v>749</v>
      </c>
      <c r="E1281" s="76">
        <v>44175.0</v>
      </c>
      <c r="F1281" s="77">
        <v>0.20833333333333334</v>
      </c>
      <c r="G1281" s="62" t="b">
        <v>1</v>
      </c>
      <c r="H1281" s="78" t="b">
        <f>IF(VLOOKUP(C1281,Projetos!A:L,12,false)=TRUE,TRUE,FALSE)</f>
        <v>1</v>
      </c>
      <c r="I1281" s="68">
        <v>31.28278124098124</v>
      </c>
      <c r="J1281" s="68">
        <f t="shared" si="1"/>
        <v>156.4139062</v>
      </c>
      <c r="K1281" s="68" t="b">
        <v>1</v>
      </c>
    </row>
    <row r="1282">
      <c r="A1282" s="75">
        <v>1276.0</v>
      </c>
      <c r="B1282" s="62" t="s">
        <v>744</v>
      </c>
      <c r="C1282" s="62" t="s">
        <v>101</v>
      </c>
      <c r="D1282" s="62" t="s">
        <v>749</v>
      </c>
      <c r="E1282" s="76">
        <v>44179.0</v>
      </c>
      <c r="F1282" s="77">
        <v>0.20833333333333334</v>
      </c>
      <c r="G1282" s="62" t="b">
        <v>1</v>
      </c>
      <c r="H1282" s="78" t="b">
        <f>IF(VLOOKUP(C1282,Projetos!A:L,12,false)=TRUE,TRUE,FALSE)</f>
        <v>1</v>
      </c>
      <c r="I1282" s="68">
        <v>31.28278124098124</v>
      </c>
      <c r="J1282" s="68">
        <f t="shared" si="1"/>
        <v>156.4139062</v>
      </c>
      <c r="K1282" s="68" t="b">
        <v>1</v>
      </c>
    </row>
    <row r="1283" hidden="1">
      <c r="A1283" s="75">
        <v>1277.0</v>
      </c>
      <c r="B1283" s="62" t="s">
        <v>744</v>
      </c>
      <c r="C1283" s="62" t="s">
        <v>109</v>
      </c>
      <c r="D1283" s="62" t="s">
        <v>749</v>
      </c>
      <c r="E1283" s="76">
        <v>44179.0</v>
      </c>
      <c r="F1283" s="77">
        <v>0.1875</v>
      </c>
      <c r="G1283" s="62" t="b">
        <v>0</v>
      </c>
      <c r="H1283" s="78" t="b">
        <f>IF(VLOOKUP(C1283,Projetos!A:L,12,false)=TRUE,TRUE,FALSE)</f>
        <v>0</v>
      </c>
      <c r="I1283" s="68">
        <v>31.28278124098124</v>
      </c>
      <c r="J1283" s="68">
        <f t="shared" si="1"/>
        <v>0</v>
      </c>
      <c r="K1283" s="68" t="b">
        <v>0</v>
      </c>
    </row>
    <row r="1284">
      <c r="A1284" s="75">
        <v>1278.0</v>
      </c>
      <c r="B1284" s="62" t="s">
        <v>744</v>
      </c>
      <c r="C1284" s="62" t="s">
        <v>101</v>
      </c>
      <c r="D1284" s="62" t="s">
        <v>749</v>
      </c>
      <c r="E1284" s="76">
        <v>44180.0</v>
      </c>
      <c r="F1284" s="77">
        <v>0.1875</v>
      </c>
      <c r="G1284" s="62" t="b">
        <v>1</v>
      </c>
      <c r="H1284" s="78" t="b">
        <f>IF(VLOOKUP(C1284,Projetos!A:L,12,false)=TRUE,TRUE,FALSE)</f>
        <v>1</v>
      </c>
      <c r="I1284" s="68">
        <v>31.28278124098124</v>
      </c>
      <c r="J1284" s="68">
        <f t="shared" si="1"/>
        <v>140.7725156</v>
      </c>
      <c r="K1284" s="68" t="b">
        <v>1</v>
      </c>
    </row>
    <row r="1285" hidden="1">
      <c r="A1285" s="75">
        <v>1279.0</v>
      </c>
      <c r="B1285" s="62" t="s">
        <v>744</v>
      </c>
      <c r="C1285" s="62" t="s">
        <v>104</v>
      </c>
      <c r="D1285" s="62" t="s">
        <v>754</v>
      </c>
      <c r="E1285" s="76">
        <v>44180.0</v>
      </c>
      <c r="F1285" s="77">
        <v>0.041666666666666664</v>
      </c>
      <c r="G1285" s="62" t="b">
        <v>0</v>
      </c>
      <c r="H1285" s="78" t="b">
        <f>IF(VLOOKUP(C1285,Projetos!A:L,12,false)=TRUE,TRUE,FALSE)</f>
        <v>1</v>
      </c>
      <c r="I1285" s="68">
        <v>31.28278124098124</v>
      </c>
      <c r="J1285" s="68">
        <f t="shared" si="1"/>
        <v>0</v>
      </c>
      <c r="K1285" s="68" t="b">
        <v>1</v>
      </c>
    </row>
    <row r="1286" hidden="1">
      <c r="A1286" s="75">
        <v>1280.0</v>
      </c>
      <c r="B1286" s="62" t="s">
        <v>744</v>
      </c>
      <c r="C1286" s="62" t="s">
        <v>104</v>
      </c>
      <c r="D1286" s="62" t="s">
        <v>754</v>
      </c>
      <c r="E1286" s="76">
        <v>44181.0</v>
      </c>
      <c r="F1286" s="77">
        <v>0.041666666666666664</v>
      </c>
      <c r="G1286" s="62" t="b">
        <v>0</v>
      </c>
      <c r="H1286" s="78" t="b">
        <f>IF(VLOOKUP(C1286,Projetos!A:L,12,false)=TRUE,TRUE,FALSE)</f>
        <v>1</v>
      </c>
      <c r="I1286" s="68">
        <v>31.28278124098124</v>
      </c>
      <c r="J1286" s="68">
        <f t="shared" si="1"/>
        <v>0</v>
      </c>
      <c r="K1286" s="68" t="b">
        <v>1</v>
      </c>
    </row>
    <row r="1287">
      <c r="A1287" s="75">
        <v>1281.0</v>
      </c>
      <c r="B1287" s="62" t="s">
        <v>744</v>
      </c>
      <c r="C1287" s="62" t="s">
        <v>101</v>
      </c>
      <c r="D1287" s="62" t="s">
        <v>749</v>
      </c>
      <c r="E1287" s="76">
        <v>44181.0</v>
      </c>
      <c r="F1287" s="77">
        <v>0.20833333333333334</v>
      </c>
      <c r="G1287" s="62" t="b">
        <v>1</v>
      </c>
      <c r="H1287" s="78" t="b">
        <f>IF(VLOOKUP(C1287,Projetos!A:L,12,false)=TRUE,TRUE,FALSE)</f>
        <v>1</v>
      </c>
      <c r="I1287" s="68">
        <v>31.28278124098124</v>
      </c>
      <c r="J1287" s="68">
        <f t="shared" si="1"/>
        <v>156.4139062</v>
      </c>
      <c r="K1287" s="68" t="b">
        <v>1</v>
      </c>
    </row>
    <row r="1288">
      <c r="A1288" s="75">
        <v>1282.0</v>
      </c>
      <c r="B1288" s="62" t="s">
        <v>744</v>
      </c>
      <c r="C1288" s="62" t="s">
        <v>101</v>
      </c>
      <c r="D1288" s="62" t="s">
        <v>749</v>
      </c>
      <c r="E1288" s="76">
        <v>44182.0</v>
      </c>
      <c r="F1288" s="77">
        <v>0.1875</v>
      </c>
      <c r="G1288" s="62" t="b">
        <v>1</v>
      </c>
      <c r="H1288" s="78" t="b">
        <f>IF(VLOOKUP(C1288,Projetos!A:L,12,false)=TRUE,TRUE,FALSE)</f>
        <v>1</v>
      </c>
      <c r="I1288" s="68">
        <v>31.28278124098124</v>
      </c>
      <c r="J1288" s="68">
        <f t="shared" si="1"/>
        <v>140.7725156</v>
      </c>
      <c r="K1288" s="68" t="b">
        <v>1</v>
      </c>
    </row>
    <row r="1289" hidden="1">
      <c r="A1289" s="75">
        <v>1283.0</v>
      </c>
      <c r="B1289" s="62" t="s">
        <v>744</v>
      </c>
      <c r="C1289" s="62" t="s">
        <v>109</v>
      </c>
      <c r="D1289" s="62" t="s">
        <v>749</v>
      </c>
      <c r="E1289" s="76">
        <v>44182.0</v>
      </c>
      <c r="F1289" s="77">
        <v>0.16666666666666666</v>
      </c>
      <c r="G1289" s="62" t="b">
        <v>0</v>
      </c>
      <c r="H1289" s="78" t="b">
        <f>IF(VLOOKUP(C1289,Projetos!A:L,12,false)=TRUE,TRUE,FALSE)</f>
        <v>0</v>
      </c>
      <c r="I1289" s="68">
        <v>31.28278124098124</v>
      </c>
      <c r="J1289" s="68">
        <f t="shared" si="1"/>
        <v>0</v>
      </c>
      <c r="K1289" s="68" t="b">
        <v>0</v>
      </c>
    </row>
    <row r="1290" hidden="1">
      <c r="A1290" s="75">
        <v>1284.0</v>
      </c>
      <c r="B1290" s="62" t="s">
        <v>744</v>
      </c>
      <c r="C1290" s="62" t="s">
        <v>109</v>
      </c>
      <c r="D1290" s="62" t="s">
        <v>749</v>
      </c>
      <c r="E1290" s="76">
        <v>44183.0</v>
      </c>
      <c r="F1290" s="77">
        <v>0.1875</v>
      </c>
      <c r="G1290" s="62" t="b">
        <v>0</v>
      </c>
      <c r="H1290" s="78" t="b">
        <f>IF(VLOOKUP(C1290,Projetos!A:L,12,false)=TRUE,TRUE,FALSE)</f>
        <v>0</v>
      </c>
      <c r="I1290" s="68">
        <v>31.28278124098124</v>
      </c>
      <c r="J1290" s="68">
        <f t="shared" si="1"/>
        <v>0</v>
      </c>
      <c r="K1290" s="68" t="b">
        <v>0</v>
      </c>
    </row>
    <row r="1291" hidden="1">
      <c r="A1291" s="75">
        <v>1285.0</v>
      </c>
      <c r="B1291" s="62" t="s">
        <v>744</v>
      </c>
      <c r="C1291" s="62" t="s">
        <v>109</v>
      </c>
      <c r="D1291" s="62" t="s">
        <v>749</v>
      </c>
      <c r="E1291" s="76">
        <v>44186.0</v>
      </c>
      <c r="F1291" s="77">
        <v>0.20833333333333334</v>
      </c>
      <c r="G1291" s="62" t="b">
        <v>0</v>
      </c>
      <c r="H1291" s="78" t="b">
        <f>IF(VLOOKUP(C1291,Projetos!A:L,12,false)=TRUE,TRUE,FALSE)</f>
        <v>0</v>
      </c>
      <c r="I1291" s="68">
        <v>31.28278124098124</v>
      </c>
      <c r="J1291" s="68">
        <f t="shared" si="1"/>
        <v>0</v>
      </c>
      <c r="K1291" s="68" t="b">
        <v>0</v>
      </c>
    </row>
    <row r="1292">
      <c r="A1292" s="75">
        <v>1286.0</v>
      </c>
      <c r="B1292" s="62" t="s">
        <v>744</v>
      </c>
      <c r="C1292" s="62" t="s">
        <v>101</v>
      </c>
      <c r="D1292" s="62" t="s">
        <v>749</v>
      </c>
      <c r="E1292" s="76">
        <v>44187.0</v>
      </c>
      <c r="F1292" s="77">
        <v>0.16666666666666666</v>
      </c>
      <c r="G1292" s="62" t="b">
        <v>1</v>
      </c>
      <c r="H1292" s="78" t="b">
        <f>IF(VLOOKUP(C1292,Projetos!A:L,12,false)=TRUE,TRUE,FALSE)</f>
        <v>1</v>
      </c>
      <c r="I1292" s="68">
        <v>31.28278124098124</v>
      </c>
      <c r="J1292" s="68">
        <f t="shared" si="1"/>
        <v>125.131125</v>
      </c>
      <c r="K1292" s="68" t="b">
        <v>1</v>
      </c>
    </row>
    <row r="1293">
      <c r="A1293" s="75">
        <v>1287.0</v>
      </c>
      <c r="B1293" s="62" t="s">
        <v>744</v>
      </c>
      <c r="C1293" s="62" t="s">
        <v>104</v>
      </c>
      <c r="D1293" s="62" t="s">
        <v>749</v>
      </c>
      <c r="E1293" s="76">
        <v>44188.0</v>
      </c>
      <c r="F1293" s="77">
        <v>0.16666666666666666</v>
      </c>
      <c r="G1293" s="62" t="b">
        <v>1</v>
      </c>
      <c r="H1293" s="78" t="b">
        <f>IF(VLOOKUP(C1293,Projetos!A:L,12,false)=TRUE,TRUE,FALSE)</f>
        <v>1</v>
      </c>
      <c r="I1293" s="68">
        <v>31.28278124098124</v>
      </c>
      <c r="J1293" s="68">
        <f t="shared" si="1"/>
        <v>125.131125</v>
      </c>
      <c r="K1293" s="68" t="b">
        <v>1</v>
      </c>
    </row>
    <row r="1294">
      <c r="A1294" s="75">
        <v>1288.0</v>
      </c>
      <c r="B1294" s="62" t="s">
        <v>755</v>
      </c>
      <c r="C1294" s="62" t="s">
        <v>95</v>
      </c>
      <c r="D1294" s="62" t="s">
        <v>756</v>
      </c>
      <c r="E1294" s="76">
        <v>43832.0</v>
      </c>
      <c r="F1294" s="77">
        <v>0.16666666666666666</v>
      </c>
      <c r="G1294" s="62" t="b">
        <v>1</v>
      </c>
      <c r="H1294" s="78" t="b">
        <f>IF(VLOOKUP(C1294,Projetos!A:L,12,false)=TRUE,TRUE,FALSE)</f>
        <v>1</v>
      </c>
      <c r="I1294" s="68">
        <v>21.669365196608947</v>
      </c>
      <c r="J1294" s="68">
        <f t="shared" si="1"/>
        <v>86.67746079</v>
      </c>
      <c r="K1294" s="68" t="b">
        <v>1</v>
      </c>
    </row>
    <row r="1295">
      <c r="A1295" s="75">
        <v>1289.0</v>
      </c>
      <c r="B1295" s="62" t="s">
        <v>755</v>
      </c>
      <c r="C1295" s="62" t="s">
        <v>95</v>
      </c>
      <c r="D1295" s="62" t="s">
        <v>357</v>
      </c>
      <c r="E1295" s="76">
        <v>43836.0</v>
      </c>
      <c r="F1295" s="77">
        <v>0.0625</v>
      </c>
      <c r="G1295" s="62" t="b">
        <v>1</v>
      </c>
      <c r="H1295" s="78" t="b">
        <f>IF(VLOOKUP(C1295,Projetos!A:L,12,false)=TRUE,TRUE,FALSE)</f>
        <v>1</v>
      </c>
      <c r="I1295" s="68">
        <v>21.669365196608947</v>
      </c>
      <c r="J1295" s="68">
        <f t="shared" si="1"/>
        <v>32.50404779</v>
      </c>
      <c r="K1295" s="68" t="b">
        <v>1</v>
      </c>
    </row>
    <row r="1296">
      <c r="A1296" s="75">
        <v>1290.0</v>
      </c>
      <c r="B1296" s="62" t="s">
        <v>755</v>
      </c>
      <c r="C1296" s="62" t="s">
        <v>98</v>
      </c>
      <c r="D1296" s="62" t="s">
        <v>757</v>
      </c>
      <c r="E1296" s="76">
        <v>43836.0</v>
      </c>
      <c r="F1296" s="77">
        <v>0.16666666666666666</v>
      </c>
      <c r="G1296" s="62" t="b">
        <v>1</v>
      </c>
      <c r="H1296" s="78" t="b">
        <f>IF(VLOOKUP(C1296,Projetos!A:L,12,false)=TRUE,TRUE,FALSE)</f>
        <v>1</v>
      </c>
      <c r="I1296" s="68">
        <v>21.669365196608947</v>
      </c>
      <c r="J1296" s="68">
        <f t="shared" si="1"/>
        <v>86.67746079</v>
      </c>
      <c r="K1296" s="68" t="b">
        <v>1</v>
      </c>
    </row>
    <row r="1297">
      <c r="A1297" s="75">
        <v>1291.0</v>
      </c>
      <c r="B1297" s="62" t="s">
        <v>755</v>
      </c>
      <c r="C1297" s="62" t="s">
        <v>98</v>
      </c>
      <c r="D1297" s="62" t="s">
        <v>757</v>
      </c>
      <c r="E1297" s="76">
        <v>43837.0</v>
      </c>
      <c r="F1297" s="77">
        <v>0.14583333333333334</v>
      </c>
      <c r="G1297" s="62" t="b">
        <v>1</v>
      </c>
      <c r="H1297" s="78" t="b">
        <f>IF(VLOOKUP(C1297,Projetos!A:L,12,false)=TRUE,TRUE,FALSE)</f>
        <v>1</v>
      </c>
      <c r="I1297" s="68">
        <v>21.669365196608947</v>
      </c>
      <c r="J1297" s="68">
        <f t="shared" si="1"/>
        <v>75.84277819</v>
      </c>
      <c r="K1297" s="68" t="b">
        <v>1</v>
      </c>
    </row>
    <row r="1298">
      <c r="A1298" s="75">
        <v>1292.0</v>
      </c>
      <c r="B1298" s="62" t="s">
        <v>755</v>
      </c>
      <c r="C1298" s="62" t="s">
        <v>95</v>
      </c>
      <c r="D1298" s="62" t="s">
        <v>758</v>
      </c>
      <c r="E1298" s="76">
        <v>43837.0</v>
      </c>
      <c r="F1298" s="77">
        <v>0.041666666666666664</v>
      </c>
      <c r="G1298" s="62" t="b">
        <v>1</v>
      </c>
      <c r="H1298" s="78" t="b">
        <f>IF(VLOOKUP(C1298,Projetos!A:L,12,false)=TRUE,TRUE,FALSE)</f>
        <v>1</v>
      </c>
      <c r="I1298" s="68">
        <v>21.669365196608947</v>
      </c>
      <c r="J1298" s="68">
        <f t="shared" si="1"/>
        <v>21.6693652</v>
      </c>
      <c r="K1298" s="68" t="b">
        <v>1</v>
      </c>
    </row>
    <row r="1299">
      <c r="A1299" s="75">
        <v>1293.0</v>
      </c>
      <c r="B1299" s="62" t="s">
        <v>755</v>
      </c>
      <c r="C1299" s="62" t="s">
        <v>95</v>
      </c>
      <c r="D1299" s="62" t="s">
        <v>759</v>
      </c>
      <c r="E1299" s="76">
        <v>43838.0</v>
      </c>
      <c r="F1299" s="77">
        <v>0.041666666666666664</v>
      </c>
      <c r="G1299" s="62" t="b">
        <v>1</v>
      </c>
      <c r="H1299" s="78" t="b">
        <f>IF(VLOOKUP(C1299,Projetos!A:L,12,false)=TRUE,TRUE,FALSE)</f>
        <v>1</v>
      </c>
      <c r="I1299" s="68">
        <v>21.669365196608947</v>
      </c>
      <c r="J1299" s="68">
        <f t="shared" si="1"/>
        <v>21.6693652</v>
      </c>
      <c r="K1299" s="68" t="b">
        <v>1</v>
      </c>
    </row>
    <row r="1300" hidden="1">
      <c r="A1300" s="75">
        <v>1294.0</v>
      </c>
      <c r="B1300" s="62" t="s">
        <v>755</v>
      </c>
      <c r="C1300" s="62" t="s">
        <v>108</v>
      </c>
      <c r="D1300" s="62" t="s">
        <v>760</v>
      </c>
      <c r="E1300" s="76">
        <v>43838.0</v>
      </c>
      <c r="F1300" s="77">
        <v>0.08333333333333333</v>
      </c>
      <c r="G1300" s="62" t="b">
        <v>1</v>
      </c>
      <c r="H1300" s="78" t="b">
        <f>IF(VLOOKUP(C1300,Projetos!A:L,12,false)=TRUE,TRUE,FALSE)</f>
        <v>1</v>
      </c>
      <c r="I1300" s="68">
        <v>21.669365196608947</v>
      </c>
      <c r="J1300" s="68">
        <f t="shared" si="1"/>
        <v>43.33873039</v>
      </c>
      <c r="K1300" s="68" t="b">
        <v>1</v>
      </c>
    </row>
    <row r="1301">
      <c r="A1301" s="75">
        <v>1295.0</v>
      </c>
      <c r="B1301" s="62" t="s">
        <v>755</v>
      </c>
      <c r="C1301" s="62" t="s">
        <v>100</v>
      </c>
      <c r="D1301" s="62" t="s">
        <v>214</v>
      </c>
      <c r="E1301" s="76">
        <v>43839.0</v>
      </c>
      <c r="F1301" s="77">
        <v>0.40625</v>
      </c>
      <c r="G1301" s="62" t="b">
        <v>1</v>
      </c>
      <c r="H1301" s="78" t="b">
        <f>IF(VLOOKUP(C1301,Projetos!A:L,12,false)=TRUE,TRUE,FALSE)</f>
        <v>1</v>
      </c>
      <c r="I1301" s="68">
        <v>21.669365196608947</v>
      </c>
      <c r="J1301" s="68">
        <f t="shared" si="1"/>
        <v>211.2763107</v>
      </c>
      <c r="K1301" s="68" t="b">
        <v>1</v>
      </c>
    </row>
    <row r="1302">
      <c r="A1302" s="75">
        <v>1296.0</v>
      </c>
      <c r="B1302" s="62" t="s">
        <v>755</v>
      </c>
      <c r="C1302" s="62" t="s">
        <v>95</v>
      </c>
      <c r="D1302" s="62" t="s">
        <v>761</v>
      </c>
      <c r="E1302" s="76">
        <v>43838.0</v>
      </c>
      <c r="F1302" s="77">
        <v>0.041666666666666664</v>
      </c>
      <c r="G1302" s="62" t="b">
        <v>1</v>
      </c>
      <c r="H1302" s="78" t="b">
        <f>IF(VLOOKUP(C1302,Projetos!A:L,12,false)=TRUE,TRUE,FALSE)</f>
        <v>1</v>
      </c>
      <c r="I1302" s="68">
        <v>21.669365196608947</v>
      </c>
      <c r="J1302" s="68">
        <f t="shared" si="1"/>
        <v>21.6693652</v>
      </c>
      <c r="K1302" s="68" t="b">
        <v>1</v>
      </c>
    </row>
    <row r="1303">
      <c r="A1303" s="75">
        <v>1297.0</v>
      </c>
      <c r="B1303" s="62" t="s">
        <v>755</v>
      </c>
      <c r="C1303" s="62" t="s">
        <v>95</v>
      </c>
      <c r="D1303" s="62" t="s">
        <v>357</v>
      </c>
      <c r="E1303" s="76">
        <v>43843.0</v>
      </c>
      <c r="F1303" s="77">
        <v>0.0625</v>
      </c>
      <c r="G1303" s="62" t="b">
        <v>1</v>
      </c>
      <c r="H1303" s="78" t="b">
        <f>IF(VLOOKUP(C1303,Projetos!A:L,12,false)=TRUE,TRUE,FALSE)</f>
        <v>1</v>
      </c>
      <c r="I1303" s="68">
        <v>21.669365196608947</v>
      </c>
      <c r="J1303" s="68">
        <f t="shared" si="1"/>
        <v>32.50404779</v>
      </c>
      <c r="K1303" s="68" t="b">
        <v>1</v>
      </c>
    </row>
    <row r="1304">
      <c r="A1304" s="75">
        <v>1298.0</v>
      </c>
      <c r="B1304" s="62" t="s">
        <v>755</v>
      </c>
      <c r="C1304" s="62" t="s">
        <v>104</v>
      </c>
      <c r="D1304" s="62" t="s">
        <v>367</v>
      </c>
      <c r="E1304" s="76">
        <v>43843.0</v>
      </c>
      <c r="F1304" s="77">
        <v>0.020833333333333332</v>
      </c>
      <c r="G1304" s="62" t="b">
        <v>1</v>
      </c>
      <c r="H1304" s="78" t="b">
        <f>IF(VLOOKUP(C1304,Projetos!A:L,12,false)=TRUE,TRUE,FALSE)</f>
        <v>1</v>
      </c>
      <c r="I1304" s="68">
        <v>21.669365196608947</v>
      </c>
      <c r="J1304" s="68">
        <f t="shared" si="1"/>
        <v>10.8346826</v>
      </c>
      <c r="K1304" s="68" t="b">
        <v>1</v>
      </c>
    </row>
    <row r="1305">
      <c r="A1305" s="75">
        <v>1299.0</v>
      </c>
      <c r="B1305" s="62" t="s">
        <v>755</v>
      </c>
      <c r="C1305" s="62" t="s">
        <v>104</v>
      </c>
      <c r="D1305" s="62" t="s">
        <v>762</v>
      </c>
      <c r="E1305" s="76">
        <v>43843.0</v>
      </c>
      <c r="F1305" s="77">
        <v>0.0625</v>
      </c>
      <c r="G1305" s="62" t="b">
        <v>1</v>
      </c>
      <c r="H1305" s="78" t="b">
        <f>IF(VLOOKUP(C1305,Projetos!A:L,12,false)=TRUE,TRUE,FALSE)</f>
        <v>1</v>
      </c>
      <c r="I1305" s="68">
        <v>21.669365196608947</v>
      </c>
      <c r="J1305" s="68">
        <f t="shared" si="1"/>
        <v>32.50404779</v>
      </c>
      <c r="K1305" s="68" t="b">
        <v>1</v>
      </c>
    </row>
    <row r="1306">
      <c r="A1306" s="75">
        <v>1300.0</v>
      </c>
      <c r="B1306" s="62" t="s">
        <v>755</v>
      </c>
      <c r="C1306" s="62" t="s">
        <v>98</v>
      </c>
      <c r="D1306" s="62" t="s">
        <v>359</v>
      </c>
      <c r="E1306" s="76">
        <v>43844.0</v>
      </c>
      <c r="F1306" s="77">
        <v>0.16666666666666666</v>
      </c>
      <c r="G1306" s="62" t="b">
        <v>1</v>
      </c>
      <c r="H1306" s="78" t="b">
        <f>IF(VLOOKUP(C1306,Projetos!A:L,12,false)=TRUE,TRUE,FALSE)</f>
        <v>1</v>
      </c>
      <c r="I1306" s="68">
        <v>21.669365196608947</v>
      </c>
      <c r="J1306" s="68">
        <f t="shared" si="1"/>
        <v>86.67746079</v>
      </c>
      <c r="K1306" s="68" t="b">
        <v>1</v>
      </c>
    </row>
    <row r="1307">
      <c r="A1307" s="75">
        <v>1301.0</v>
      </c>
      <c r="B1307" s="62" t="s">
        <v>755</v>
      </c>
      <c r="C1307" s="62" t="s">
        <v>104</v>
      </c>
      <c r="D1307" s="62" t="s">
        <v>763</v>
      </c>
      <c r="E1307" s="76">
        <v>43845.0</v>
      </c>
      <c r="F1307" s="77">
        <v>0.041666666666666664</v>
      </c>
      <c r="G1307" s="62" t="b">
        <v>1</v>
      </c>
      <c r="H1307" s="78" t="b">
        <f>IF(VLOOKUP(C1307,Projetos!A:L,12,false)=TRUE,TRUE,FALSE)</f>
        <v>1</v>
      </c>
      <c r="I1307" s="68">
        <v>21.669365196608947</v>
      </c>
      <c r="J1307" s="68">
        <f t="shared" si="1"/>
        <v>21.6693652</v>
      </c>
      <c r="K1307" s="68" t="b">
        <v>1</v>
      </c>
    </row>
    <row r="1308">
      <c r="A1308" s="75">
        <v>1302.0</v>
      </c>
      <c r="B1308" s="62" t="s">
        <v>755</v>
      </c>
      <c r="C1308" s="62" t="s">
        <v>95</v>
      </c>
      <c r="D1308" s="62" t="s">
        <v>764</v>
      </c>
      <c r="E1308" s="76">
        <v>43846.0</v>
      </c>
      <c r="F1308" s="77">
        <v>0.16666666666666666</v>
      </c>
      <c r="G1308" s="62" t="b">
        <v>1</v>
      </c>
      <c r="H1308" s="78" t="b">
        <f>IF(VLOOKUP(C1308,Projetos!A:L,12,false)=TRUE,TRUE,FALSE)</f>
        <v>1</v>
      </c>
      <c r="I1308" s="68">
        <v>21.669365196608947</v>
      </c>
      <c r="J1308" s="68">
        <f t="shared" si="1"/>
        <v>86.67746079</v>
      </c>
      <c r="K1308" s="68" t="b">
        <v>1</v>
      </c>
    </row>
    <row r="1309">
      <c r="A1309" s="75">
        <v>1303.0</v>
      </c>
      <c r="B1309" s="62" t="s">
        <v>755</v>
      </c>
      <c r="C1309" s="62" t="s">
        <v>95</v>
      </c>
      <c r="D1309" s="62" t="s">
        <v>765</v>
      </c>
      <c r="E1309" s="76">
        <v>43847.0</v>
      </c>
      <c r="F1309" s="77">
        <v>0.041666666666666664</v>
      </c>
      <c r="G1309" s="62" t="b">
        <v>1</v>
      </c>
      <c r="H1309" s="78" t="b">
        <f>IF(VLOOKUP(C1309,Projetos!A:L,12,false)=TRUE,TRUE,FALSE)</f>
        <v>1</v>
      </c>
      <c r="I1309" s="68">
        <v>21.669365196608947</v>
      </c>
      <c r="J1309" s="68">
        <f t="shared" si="1"/>
        <v>21.6693652</v>
      </c>
      <c r="K1309" s="68" t="b">
        <v>1</v>
      </c>
    </row>
    <row r="1310">
      <c r="A1310" s="75">
        <v>1304.0</v>
      </c>
      <c r="B1310" s="62" t="s">
        <v>755</v>
      </c>
      <c r="C1310" s="62" t="s">
        <v>95</v>
      </c>
      <c r="D1310" s="62" t="s">
        <v>758</v>
      </c>
      <c r="E1310" s="76">
        <v>43847.0</v>
      </c>
      <c r="F1310" s="77">
        <v>0.125</v>
      </c>
      <c r="G1310" s="62" t="b">
        <v>1</v>
      </c>
      <c r="H1310" s="78" t="b">
        <f>IF(VLOOKUP(C1310,Projetos!A:L,12,false)=TRUE,TRUE,FALSE)</f>
        <v>1</v>
      </c>
      <c r="I1310" s="68">
        <v>21.669365196608947</v>
      </c>
      <c r="J1310" s="68">
        <f t="shared" si="1"/>
        <v>65.00809559</v>
      </c>
      <c r="K1310" s="68" t="b">
        <v>1</v>
      </c>
    </row>
    <row r="1311">
      <c r="A1311" s="75">
        <v>1305.0</v>
      </c>
      <c r="B1311" s="62" t="s">
        <v>755</v>
      </c>
      <c r="C1311" s="62" t="s">
        <v>95</v>
      </c>
      <c r="D1311" s="62" t="s">
        <v>764</v>
      </c>
      <c r="E1311" s="76">
        <v>43847.0</v>
      </c>
      <c r="F1311" s="77">
        <v>0.041666666666666664</v>
      </c>
      <c r="G1311" s="62" t="b">
        <v>1</v>
      </c>
      <c r="H1311" s="78" t="b">
        <f>IF(VLOOKUP(C1311,Projetos!A:L,12,false)=TRUE,TRUE,FALSE)</f>
        <v>1</v>
      </c>
      <c r="I1311" s="68">
        <v>21.669365196608947</v>
      </c>
      <c r="J1311" s="68">
        <f t="shared" si="1"/>
        <v>21.6693652</v>
      </c>
      <c r="K1311" s="68" t="b">
        <v>1</v>
      </c>
    </row>
    <row r="1312">
      <c r="A1312" s="75">
        <v>1306.0</v>
      </c>
      <c r="B1312" s="62" t="s">
        <v>755</v>
      </c>
      <c r="C1312" s="62" t="s">
        <v>95</v>
      </c>
      <c r="D1312" s="62" t="s">
        <v>766</v>
      </c>
      <c r="E1312" s="76">
        <v>43850.0</v>
      </c>
      <c r="F1312" s="77">
        <v>0.041666666666666664</v>
      </c>
      <c r="G1312" s="62" t="b">
        <v>1</v>
      </c>
      <c r="H1312" s="78" t="b">
        <f>IF(VLOOKUP(C1312,Projetos!A:L,12,false)=TRUE,TRUE,FALSE)</f>
        <v>1</v>
      </c>
      <c r="I1312" s="68">
        <v>21.669365196608947</v>
      </c>
      <c r="J1312" s="68">
        <f t="shared" si="1"/>
        <v>21.6693652</v>
      </c>
      <c r="K1312" s="68" t="b">
        <v>1</v>
      </c>
    </row>
    <row r="1313">
      <c r="A1313" s="75">
        <v>1307.0</v>
      </c>
      <c r="B1313" s="62" t="s">
        <v>755</v>
      </c>
      <c r="C1313" s="62" t="s">
        <v>95</v>
      </c>
      <c r="D1313" s="62" t="s">
        <v>767</v>
      </c>
      <c r="E1313" s="76">
        <v>43850.0</v>
      </c>
      <c r="F1313" s="77">
        <v>0.041666666666666664</v>
      </c>
      <c r="G1313" s="62" t="b">
        <v>1</v>
      </c>
      <c r="H1313" s="78" t="b">
        <f>IF(VLOOKUP(C1313,Projetos!A:L,12,false)=TRUE,TRUE,FALSE)</f>
        <v>1</v>
      </c>
      <c r="I1313" s="68">
        <v>21.669365196608947</v>
      </c>
      <c r="J1313" s="68">
        <f t="shared" si="1"/>
        <v>21.6693652</v>
      </c>
      <c r="K1313" s="68" t="b">
        <v>1</v>
      </c>
    </row>
    <row r="1314">
      <c r="A1314" s="75">
        <v>1308.0</v>
      </c>
      <c r="B1314" s="62" t="s">
        <v>755</v>
      </c>
      <c r="C1314" s="62" t="s">
        <v>100</v>
      </c>
      <c r="D1314" s="62" t="s">
        <v>768</v>
      </c>
      <c r="E1314" s="76">
        <v>43852.0</v>
      </c>
      <c r="F1314" s="77">
        <v>0.0625</v>
      </c>
      <c r="G1314" s="62" t="b">
        <v>1</v>
      </c>
      <c r="H1314" s="78" t="b">
        <f>IF(VLOOKUP(C1314,Projetos!A:L,12,false)=TRUE,TRUE,FALSE)</f>
        <v>1</v>
      </c>
      <c r="I1314" s="68">
        <v>21.669365196608947</v>
      </c>
      <c r="J1314" s="68">
        <f t="shared" si="1"/>
        <v>32.50404779</v>
      </c>
      <c r="K1314" s="68" t="b">
        <v>1</v>
      </c>
    </row>
    <row r="1315">
      <c r="A1315" s="75">
        <v>1309.0</v>
      </c>
      <c r="B1315" s="62" t="s">
        <v>755</v>
      </c>
      <c r="C1315" s="62" t="s">
        <v>116</v>
      </c>
      <c r="D1315" s="62" t="s">
        <v>769</v>
      </c>
      <c r="E1315" s="76">
        <v>43853.0</v>
      </c>
      <c r="F1315" s="77">
        <v>0.0625</v>
      </c>
      <c r="G1315" s="62" t="b">
        <v>1</v>
      </c>
      <c r="H1315" s="78" t="b">
        <f>IF(VLOOKUP(C1315,Projetos!A:L,12,false)=TRUE,TRUE,FALSE)</f>
        <v>1</v>
      </c>
      <c r="I1315" s="68">
        <v>21.669365196608947</v>
      </c>
      <c r="J1315" s="68">
        <f t="shared" si="1"/>
        <v>32.50404779</v>
      </c>
      <c r="K1315" s="68" t="b">
        <v>1</v>
      </c>
    </row>
    <row r="1316">
      <c r="A1316" s="75">
        <v>1310.0</v>
      </c>
      <c r="B1316" s="62" t="s">
        <v>755</v>
      </c>
      <c r="C1316" s="62" t="s">
        <v>104</v>
      </c>
      <c r="D1316" s="62" t="s">
        <v>770</v>
      </c>
      <c r="E1316" s="76">
        <v>43853.0</v>
      </c>
      <c r="F1316" s="77">
        <v>0.0625</v>
      </c>
      <c r="G1316" s="62" t="b">
        <v>1</v>
      </c>
      <c r="H1316" s="78" t="b">
        <f>IF(VLOOKUP(C1316,Projetos!A:L,12,false)=TRUE,TRUE,FALSE)</f>
        <v>1</v>
      </c>
      <c r="I1316" s="68">
        <v>21.669365196608947</v>
      </c>
      <c r="J1316" s="68">
        <f t="shared" si="1"/>
        <v>32.50404779</v>
      </c>
      <c r="K1316" s="68" t="b">
        <v>1</v>
      </c>
    </row>
    <row r="1317">
      <c r="A1317" s="75">
        <v>1311.0</v>
      </c>
      <c r="B1317" s="62" t="s">
        <v>755</v>
      </c>
      <c r="C1317" s="62" t="s">
        <v>104</v>
      </c>
      <c r="D1317" s="62" t="s">
        <v>771</v>
      </c>
      <c r="E1317" s="76">
        <v>43854.0</v>
      </c>
      <c r="F1317" s="77">
        <v>0.020833333333333332</v>
      </c>
      <c r="G1317" s="62" t="b">
        <v>1</v>
      </c>
      <c r="H1317" s="78" t="b">
        <f>IF(VLOOKUP(C1317,Projetos!A:L,12,false)=TRUE,TRUE,FALSE)</f>
        <v>1</v>
      </c>
      <c r="I1317" s="68">
        <v>21.669365196608947</v>
      </c>
      <c r="J1317" s="68">
        <f t="shared" si="1"/>
        <v>10.8346826</v>
      </c>
      <c r="K1317" s="68" t="b">
        <v>1</v>
      </c>
    </row>
    <row r="1318">
      <c r="A1318" s="75">
        <v>1312.0</v>
      </c>
      <c r="B1318" s="62" t="s">
        <v>755</v>
      </c>
      <c r="C1318" s="62" t="s">
        <v>95</v>
      </c>
      <c r="D1318" s="62" t="s">
        <v>772</v>
      </c>
      <c r="E1318" s="76">
        <v>43857.0</v>
      </c>
      <c r="F1318" s="77">
        <v>0.08333333333333333</v>
      </c>
      <c r="G1318" s="62" t="b">
        <v>1</v>
      </c>
      <c r="H1318" s="78" t="b">
        <f>IF(VLOOKUP(C1318,Projetos!A:L,12,false)=TRUE,TRUE,FALSE)</f>
        <v>1</v>
      </c>
      <c r="I1318" s="68">
        <v>21.669365196608947</v>
      </c>
      <c r="J1318" s="68">
        <f t="shared" si="1"/>
        <v>43.33873039</v>
      </c>
      <c r="K1318" s="68" t="b">
        <v>1</v>
      </c>
    </row>
    <row r="1319">
      <c r="A1319" s="75">
        <v>1313.0</v>
      </c>
      <c r="B1319" s="62" t="s">
        <v>755</v>
      </c>
      <c r="C1319" s="62" t="s">
        <v>98</v>
      </c>
      <c r="D1319" s="62" t="s">
        <v>358</v>
      </c>
      <c r="E1319" s="76">
        <v>43858.0</v>
      </c>
      <c r="F1319" s="77">
        <v>0.041666666666666664</v>
      </c>
      <c r="G1319" s="62" t="b">
        <v>1</v>
      </c>
      <c r="H1319" s="78" t="b">
        <f>IF(VLOOKUP(C1319,Projetos!A:L,12,false)=TRUE,TRUE,FALSE)</f>
        <v>1</v>
      </c>
      <c r="I1319" s="68">
        <v>21.669365196608947</v>
      </c>
      <c r="J1319" s="68">
        <f t="shared" si="1"/>
        <v>21.6693652</v>
      </c>
      <c r="K1319" s="68" t="b">
        <v>1</v>
      </c>
    </row>
    <row r="1320">
      <c r="A1320" s="75">
        <v>1314.0</v>
      </c>
      <c r="B1320" s="62" t="s">
        <v>755</v>
      </c>
      <c r="C1320" s="62" t="s">
        <v>95</v>
      </c>
      <c r="D1320" s="62" t="s">
        <v>773</v>
      </c>
      <c r="E1320" s="76">
        <v>43858.0</v>
      </c>
      <c r="F1320" s="77">
        <v>0.0625</v>
      </c>
      <c r="G1320" s="62" t="b">
        <v>1</v>
      </c>
      <c r="H1320" s="78" t="b">
        <f>IF(VLOOKUP(C1320,Projetos!A:L,12,false)=TRUE,TRUE,FALSE)</f>
        <v>1</v>
      </c>
      <c r="I1320" s="68">
        <v>21.669365196608947</v>
      </c>
      <c r="J1320" s="68">
        <f t="shared" si="1"/>
        <v>32.50404779</v>
      </c>
      <c r="K1320" s="68" t="b">
        <v>1</v>
      </c>
    </row>
    <row r="1321">
      <c r="A1321" s="75">
        <v>1315.0</v>
      </c>
      <c r="B1321" s="62" t="s">
        <v>755</v>
      </c>
      <c r="C1321" s="62" t="s">
        <v>95</v>
      </c>
      <c r="D1321" s="62" t="s">
        <v>758</v>
      </c>
      <c r="E1321" s="76">
        <v>43858.0</v>
      </c>
      <c r="F1321" s="77">
        <v>0.041666666666666664</v>
      </c>
      <c r="G1321" s="62" t="b">
        <v>1</v>
      </c>
      <c r="H1321" s="78" t="b">
        <f>IF(VLOOKUP(C1321,Projetos!A:L,12,false)=TRUE,TRUE,FALSE)</f>
        <v>1</v>
      </c>
      <c r="I1321" s="68">
        <v>21.669365196608947</v>
      </c>
      <c r="J1321" s="68">
        <f t="shared" si="1"/>
        <v>21.6693652</v>
      </c>
      <c r="K1321" s="68" t="b">
        <v>1</v>
      </c>
    </row>
    <row r="1322">
      <c r="A1322" s="75">
        <v>1316.0</v>
      </c>
      <c r="B1322" s="62" t="s">
        <v>755</v>
      </c>
      <c r="C1322" s="62" t="s">
        <v>95</v>
      </c>
      <c r="D1322" s="62" t="s">
        <v>774</v>
      </c>
      <c r="E1322" s="76">
        <v>43857.0</v>
      </c>
      <c r="F1322" s="77">
        <v>0.0625</v>
      </c>
      <c r="G1322" s="62" t="b">
        <v>1</v>
      </c>
      <c r="H1322" s="78" t="b">
        <f>IF(VLOOKUP(C1322,Projetos!A:L,12,false)=TRUE,TRUE,FALSE)</f>
        <v>1</v>
      </c>
      <c r="I1322" s="68">
        <v>21.669365196608947</v>
      </c>
      <c r="J1322" s="68">
        <f t="shared" si="1"/>
        <v>32.50404779</v>
      </c>
      <c r="K1322" s="68" t="b">
        <v>1</v>
      </c>
    </row>
    <row r="1323">
      <c r="A1323" s="75">
        <v>1317.0</v>
      </c>
      <c r="B1323" s="62" t="s">
        <v>755</v>
      </c>
      <c r="C1323" s="62" t="s">
        <v>95</v>
      </c>
      <c r="D1323" s="62" t="s">
        <v>775</v>
      </c>
      <c r="E1323" s="76">
        <v>43859.0</v>
      </c>
      <c r="F1323" s="77">
        <v>0.08333333333333333</v>
      </c>
      <c r="G1323" s="62" t="b">
        <v>1</v>
      </c>
      <c r="H1323" s="78" t="b">
        <f>IF(VLOOKUP(C1323,Projetos!A:L,12,false)=TRUE,TRUE,FALSE)</f>
        <v>1</v>
      </c>
      <c r="I1323" s="68">
        <v>21.669365196608947</v>
      </c>
      <c r="J1323" s="68">
        <f t="shared" si="1"/>
        <v>43.33873039</v>
      </c>
      <c r="K1323" s="68" t="b">
        <v>1</v>
      </c>
    </row>
    <row r="1324">
      <c r="A1324" s="75">
        <v>1318.0</v>
      </c>
      <c r="B1324" s="62" t="s">
        <v>755</v>
      </c>
      <c r="C1324" s="62" t="s">
        <v>95</v>
      </c>
      <c r="D1324" s="62" t="s">
        <v>776</v>
      </c>
      <c r="E1324" s="76">
        <v>43859.0</v>
      </c>
      <c r="F1324" s="77">
        <v>0.041666666666666664</v>
      </c>
      <c r="G1324" s="62" t="b">
        <v>1</v>
      </c>
      <c r="H1324" s="78" t="b">
        <f>IF(VLOOKUP(C1324,Projetos!A:L,12,false)=TRUE,TRUE,FALSE)</f>
        <v>1</v>
      </c>
      <c r="I1324" s="68">
        <v>21.669365196608947</v>
      </c>
      <c r="J1324" s="68">
        <f t="shared" si="1"/>
        <v>21.6693652</v>
      </c>
      <c r="K1324" s="68" t="b">
        <v>1</v>
      </c>
    </row>
    <row r="1325">
      <c r="A1325" s="75">
        <v>1319.0</v>
      </c>
      <c r="B1325" s="62" t="s">
        <v>755</v>
      </c>
      <c r="C1325" s="62" t="s">
        <v>116</v>
      </c>
      <c r="D1325" s="62" t="s">
        <v>777</v>
      </c>
      <c r="E1325" s="76">
        <v>43861.0</v>
      </c>
      <c r="F1325" s="77">
        <v>0.041666666666666664</v>
      </c>
      <c r="G1325" s="62" t="b">
        <v>1</v>
      </c>
      <c r="H1325" s="78" t="b">
        <f>IF(VLOOKUP(C1325,Projetos!A:L,12,false)=TRUE,TRUE,FALSE)</f>
        <v>1</v>
      </c>
      <c r="I1325" s="68">
        <v>21.669365196608947</v>
      </c>
      <c r="J1325" s="68">
        <f t="shared" si="1"/>
        <v>21.6693652</v>
      </c>
      <c r="K1325" s="68" t="b">
        <v>1</v>
      </c>
    </row>
    <row r="1326">
      <c r="A1326" s="75">
        <v>1320.0</v>
      </c>
      <c r="B1326" s="62" t="s">
        <v>755</v>
      </c>
      <c r="C1326" s="62" t="s">
        <v>95</v>
      </c>
      <c r="D1326" s="62" t="s">
        <v>764</v>
      </c>
      <c r="E1326" s="76">
        <v>43861.0</v>
      </c>
      <c r="F1326" s="77">
        <v>0.0625</v>
      </c>
      <c r="G1326" s="62" t="b">
        <v>1</v>
      </c>
      <c r="H1326" s="78" t="b">
        <f>IF(VLOOKUP(C1326,Projetos!A:L,12,false)=TRUE,TRUE,FALSE)</f>
        <v>1</v>
      </c>
      <c r="I1326" s="68">
        <v>21.669365196608947</v>
      </c>
      <c r="J1326" s="68">
        <f t="shared" si="1"/>
        <v>32.50404779</v>
      </c>
      <c r="K1326" s="68" t="b">
        <v>1</v>
      </c>
    </row>
    <row r="1327">
      <c r="A1327" s="75">
        <v>1321.0</v>
      </c>
      <c r="B1327" s="62" t="s">
        <v>755</v>
      </c>
      <c r="C1327" s="62" t="s">
        <v>100</v>
      </c>
      <c r="D1327" s="62" t="s">
        <v>778</v>
      </c>
      <c r="E1327" s="76">
        <v>43861.0</v>
      </c>
      <c r="F1327" s="77">
        <v>0.16666666666666666</v>
      </c>
      <c r="G1327" s="62" t="b">
        <v>1</v>
      </c>
      <c r="H1327" s="78" t="b">
        <f>IF(VLOOKUP(C1327,Projetos!A:L,12,false)=TRUE,TRUE,FALSE)</f>
        <v>1</v>
      </c>
      <c r="I1327" s="68">
        <v>21.669365196608947</v>
      </c>
      <c r="J1327" s="68">
        <f t="shared" si="1"/>
        <v>86.67746079</v>
      </c>
      <c r="K1327" s="68" t="b">
        <v>1</v>
      </c>
    </row>
    <row r="1328">
      <c r="A1328" s="75">
        <v>1322.0</v>
      </c>
      <c r="B1328" s="62" t="s">
        <v>755</v>
      </c>
      <c r="C1328" s="62" t="s">
        <v>95</v>
      </c>
      <c r="D1328" s="62" t="s">
        <v>779</v>
      </c>
      <c r="E1328" s="76">
        <v>43864.0</v>
      </c>
      <c r="F1328" s="77">
        <v>0.40625</v>
      </c>
      <c r="G1328" s="62" t="b">
        <v>1</v>
      </c>
      <c r="H1328" s="78" t="b">
        <f>IF(VLOOKUP(C1328,Projetos!A:L,12,false)=TRUE,TRUE,FALSE)</f>
        <v>1</v>
      </c>
      <c r="I1328" s="68">
        <v>20.684394051308537</v>
      </c>
      <c r="J1328" s="68">
        <f t="shared" si="1"/>
        <v>201.672842</v>
      </c>
      <c r="K1328" s="68" t="b">
        <v>1</v>
      </c>
    </row>
    <row r="1329">
      <c r="A1329" s="75">
        <v>1323.0</v>
      </c>
      <c r="B1329" s="62" t="s">
        <v>755</v>
      </c>
      <c r="C1329" s="62" t="s">
        <v>110</v>
      </c>
      <c r="D1329" s="62" t="s">
        <v>780</v>
      </c>
      <c r="E1329" s="76">
        <v>43865.0</v>
      </c>
      <c r="F1329" s="77">
        <v>0.041666666666666664</v>
      </c>
      <c r="G1329" s="62" t="b">
        <v>1</v>
      </c>
      <c r="H1329" s="78" t="b">
        <f>IF(VLOOKUP(C1329,Projetos!A:L,12,false)=TRUE,TRUE,FALSE)</f>
        <v>1</v>
      </c>
      <c r="I1329" s="68">
        <v>20.684394051308537</v>
      </c>
      <c r="J1329" s="68">
        <f t="shared" si="1"/>
        <v>20.68439405</v>
      </c>
      <c r="K1329" s="68" t="b">
        <v>1</v>
      </c>
    </row>
    <row r="1330">
      <c r="A1330" s="75">
        <v>1324.0</v>
      </c>
      <c r="B1330" s="62" t="s">
        <v>755</v>
      </c>
      <c r="C1330" s="62" t="s">
        <v>98</v>
      </c>
      <c r="D1330" s="62" t="s">
        <v>781</v>
      </c>
      <c r="E1330" s="76">
        <v>43866.0</v>
      </c>
      <c r="F1330" s="77">
        <v>0.0625</v>
      </c>
      <c r="G1330" s="62" t="b">
        <v>1</v>
      </c>
      <c r="H1330" s="78" t="b">
        <f>IF(VLOOKUP(C1330,Projetos!A:L,12,false)=TRUE,TRUE,FALSE)</f>
        <v>1</v>
      </c>
      <c r="I1330" s="68">
        <v>20.684394051308537</v>
      </c>
      <c r="J1330" s="68">
        <f t="shared" si="1"/>
        <v>31.02659108</v>
      </c>
      <c r="K1330" s="68" t="b">
        <v>1</v>
      </c>
    </row>
    <row r="1331">
      <c r="A1331" s="75">
        <v>1325.0</v>
      </c>
      <c r="B1331" s="62" t="s">
        <v>755</v>
      </c>
      <c r="C1331" s="62" t="s">
        <v>98</v>
      </c>
      <c r="D1331" s="62" t="s">
        <v>782</v>
      </c>
      <c r="E1331" s="76">
        <v>43868.0</v>
      </c>
      <c r="F1331" s="77">
        <v>0.041666666666666664</v>
      </c>
      <c r="G1331" s="62" t="b">
        <v>1</v>
      </c>
      <c r="H1331" s="78" t="b">
        <f>IF(VLOOKUP(C1331,Projetos!A:L,12,false)=TRUE,TRUE,FALSE)</f>
        <v>1</v>
      </c>
      <c r="I1331" s="68">
        <v>20.684394051308537</v>
      </c>
      <c r="J1331" s="68">
        <f t="shared" si="1"/>
        <v>20.68439405</v>
      </c>
      <c r="K1331" s="68" t="b">
        <v>1</v>
      </c>
    </row>
    <row r="1332">
      <c r="A1332" s="75">
        <v>1326.0</v>
      </c>
      <c r="B1332" s="62" t="s">
        <v>755</v>
      </c>
      <c r="C1332" s="62" t="s">
        <v>95</v>
      </c>
      <c r="D1332" s="62" t="s">
        <v>783</v>
      </c>
      <c r="E1332" s="76">
        <v>43867.0</v>
      </c>
      <c r="F1332" s="77">
        <v>0.16666666666666666</v>
      </c>
      <c r="G1332" s="62" t="b">
        <v>1</v>
      </c>
      <c r="H1332" s="78" t="b">
        <f>IF(VLOOKUP(C1332,Projetos!A:L,12,false)=TRUE,TRUE,FALSE)</f>
        <v>1</v>
      </c>
      <c r="I1332" s="68">
        <v>20.684394051308537</v>
      </c>
      <c r="J1332" s="68">
        <f t="shared" si="1"/>
        <v>82.73757621</v>
      </c>
      <c r="K1332" s="68" t="b">
        <v>1</v>
      </c>
    </row>
    <row r="1333" hidden="1">
      <c r="A1333" s="75">
        <v>1327.0</v>
      </c>
      <c r="B1333" s="62" t="s">
        <v>755</v>
      </c>
      <c r="C1333" s="62" t="s">
        <v>102</v>
      </c>
      <c r="D1333" s="62" t="s">
        <v>784</v>
      </c>
      <c r="E1333" s="76">
        <v>43872.0</v>
      </c>
      <c r="F1333" s="77">
        <v>0.20833333333333334</v>
      </c>
      <c r="G1333" s="62" t="b">
        <v>0</v>
      </c>
      <c r="H1333" s="78" t="b">
        <f>IF(VLOOKUP(C1333,Projetos!A:L,12,false)=TRUE,TRUE,FALSE)</f>
        <v>0</v>
      </c>
      <c r="I1333" s="68">
        <v>20.684394051308537</v>
      </c>
      <c r="J1333" s="68">
        <f t="shared" si="1"/>
        <v>0</v>
      </c>
      <c r="K1333" s="68" t="b">
        <v>0</v>
      </c>
    </row>
    <row r="1334">
      <c r="A1334" s="75">
        <v>1328.0</v>
      </c>
      <c r="B1334" s="62" t="s">
        <v>755</v>
      </c>
      <c r="C1334" s="62" t="s">
        <v>98</v>
      </c>
      <c r="D1334" s="62" t="s">
        <v>782</v>
      </c>
      <c r="E1334" s="76">
        <v>43888.0</v>
      </c>
      <c r="F1334" s="77">
        <v>0.041666666666666664</v>
      </c>
      <c r="G1334" s="62" t="b">
        <v>1</v>
      </c>
      <c r="H1334" s="78" t="b">
        <f>IF(VLOOKUP(C1334,Projetos!A:L,12,false)=TRUE,TRUE,FALSE)</f>
        <v>1</v>
      </c>
      <c r="I1334" s="68">
        <v>20.684394051308537</v>
      </c>
      <c r="J1334" s="68">
        <f t="shared" si="1"/>
        <v>20.68439405</v>
      </c>
      <c r="K1334" s="68" t="b">
        <v>1</v>
      </c>
    </row>
    <row r="1335" hidden="1">
      <c r="A1335" s="75">
        <v>1329.0</v>
      </c>
      <c r="B1335" s="62" t="s">
        <v>755</v>
      </c>
      <c r="C1335" s="62" t="s">
        <v>108</v>
      </c>
      <c r="D1335" s="62" t="s">
        <v>785</v>
      </c>
      <c r="E1335" s="76">
        <v>43888.0</v>
      </c>
      <c r="F1335" s="77">
        <v>0.2916666666666667</v>
      </c>
      <c r="G1335" s="62" t="b">
        <v>1</v>
      </c>
      <c r="H1335" s="78" t="b">
        <f>IF(VLOOKUP(C1335,Projetos!A:L,12,false)=TRUE,TRUE,FALSE)</f>
        <v>1</v>
      </c>
      <c r="I1335" s="68">
        <v>20.684394051308537</v>
      </c>
      <c r="J1335" s="68">
        <f t="shared" si="1"/>
        <v>144.7907584</v>
      </c>
      <c r="K1335" s="68" t="b">
        <v>1</v>
      </c>
    </row>
    <row r="1336" hidden="1">
      <c r="A1336" s="75">
        <v>1330.0</v>
      </c>
      <c r="B1336" s="62" t="s">
        <v>755</v>
      </c>
      <c r="C1336" s="62" t="s">
        <v>108</v>
      </c>
      <c r="D1336" s="62" t="s">
        <v>785</v>
      </c>
      <c r="E1336" s="76">
        <v>43889.0</v>
      </c>
      <c r="F1336" s="77">
        <v>0.14583333333333334</v>
      </c>
      <c r="G1336" s="62" t="b">
        <v>1</v>
      </c>
      <c r="H1336" s="78" t="b">
        <f>IF(VLOOKUP(C1336,Projetos!A:L,12,false)=TRUE,TRUE,FALSE)</f>
        <v>1</v>
      </c>
      <c r="I1336" s="68">
        <v>20.684394051308537</v>
      </c>
      <c r="J1336" s="68">
        <f t="shared" si="1"/>
        <v>72.39537918</v>
      </c>
      <c r="K1336" s="68" t="b">
        <v>1</v>
      </c>
    </row>
    <row r="1337" hidden="1">
      <c r="A1337" s="75">
        <v>1331.0</v>
      </c>
      <c r="B1337" s="62" t="s">
        <v>755</v>
      </c>
      <c r="C1337" s="62" t="s">
        <v>108</v>
      </c>
      <c r="D1337" s="62" t="s">
        <v>786</v>
      </c>
      <c r="E1337" s="76">
        <v>43889.0</v>
      </c>
      <c r="F1337" s="77">
        <v>0.20833333333333334</v>
      </c>
      <c r="G1337" s="62" t="b">
        <v>1</v>
      </c>
      <c r="H1337" s="78" t="b">
        <f>IF(VLOOKUP(C1337,Projetos!A:L,12,false)=TRUE,TRUE,FALSE)</f>
        <v>1</v>
      </c>
      <c r="I1337" s="68">
        <v>20.684394051308537</v>
      </c>
      <c r="J1337" s="68">
        <f t="shared" si="1"/>
        <v>103.4219703</v>
      </c>
      <c r="K1337" s="68" t="b">
        <v>1</v>
      </c>
    </row>
    <row r="1338" hidden="1">
      <c r="A1338" s="75">
        <v>1332.0</v>
      </c>
      <c r="B1338" s="62" t="s">
        <v>755</v>
      </c>
      <c r="C1338" s="62" t="s">
        <v>108</v>
      </c>
      <c r="D1338" s="62" t="s">
        <v>787</v>
      </c>
      <c r="E1338" s="76">
        <v>43892.0</v>
      </c>
      <c r="F1338" s="77">
        <v>0.16666666666666666</v>
      </c>
      <c r="G1338" s="62" t="b">
        <v>1</v>
      </c>
      <c r="H1338" s="78" t="b">
        <f>IF(VLOOKUP(C1338,Projetos!A:L,12,false)=TRUE,TRUE,FALSE)</f>
        <v>1</v>
      </c>
      <c r="I1338" s="68">
        <v>21.669365196608947</v>
      </c>
      <c r="J1338" s="68">
        <f t="shared" si="1"/>
        <v>86.67746079</v>
      </c>
      <c r="K1338" s="68" t="b">
        <v>1</v>
      </c>
    </row>
    <row r="1339">
      <c r="A1339" s="75">
        <v>1333.0</v>
      </c>
      <c r="B1339" s="62" t="s">
        <v>755</v>
      </c>
      <c r="C1339" s="62" t="s">
        <v>98</v>
      </c>
      <c r="D1339" s="62" t="s">
        <v>788</v>
      </c>
      <c r="E1339" s="76">
        <v>43894.0</v>
      </c>
      <c r="F1339" s="77">
        <v>0.041666666666666664</v>
      </c>
      <c r="G1339" s="62" t="b">
        <v>1</v>
      </c>
      <c r="H1339" s="78" t="b">
        <f>IF(VLOOKUP(C1339,Projetos!A:L,12,false)=TRUE,TRUE,FALSE)</f>
        <v>1</v>
      </c>
      <c r="I1339" s="68">
        <v>21.669365196608947</v>
      </c>
      <c r="J1339" s="68">
        <f t="shared" si="1"/>
        <v>21.6693652</v>
      </c>
      <c r="K1339" s="68" t="b">
        <v>1</v>
      </c>
    </row>
    <row r="1340">
      <c r="A1340" s="75">
        <v>1334.0</v>
      </c>
      <c r="B1340" s="62" t="s">
        <v>755</v>
      </c>
      <c r="C1340" s="62" t="s">
        <v>98</v>
      </c>
      <c r="D1340" s="62" t="s">
        <v>788</v>
      </c>
      <c r="E1340" s="76">
        <v>43895.0</v>
      </c>
      <c r="F1340" s="77">
        <v>0.0625</v>
      </c>
      <c r="G1340" s="62" t="b">
        <v>1</v>
      </c>
      <c r="H1340" s="78" t="b">
        <f>IF(VLOOKUP(C1340,Projetos!A:L,12,false)=TRUE,TRUE,FALSE)</f>
        <v>1</v>
      </c>
      <c r="I1340" s="68">
        <v>21.669365196608947</v>
      </c>
      <c r="J1340" s="68">
        <f t="shared" si="1"/>
        <v>32.50404779</v>
      </c>
      <c r="K1340" s="68" t="b">
        <v>1</v>
      </c>
    </row>
    <row r="1341" hidden="1">
      <c r="A1341" s="75">
        <v>1335.0</v>
      </c>
      <c r="B1341" s="62" t="s">
        <v>755</v>
      </c>
      <c r="C1341" s="62" t="s">
        <v>108</v>
      </c>
      <c r="D1341" s="62" t="s">
        <v>773</v>
      </c>
      <c r="E1341" s="76">
        <v>43896.0</v>
      </c>
      <c r="F1341" s="77">
        <v>0.041666666666666664</v>
      </c>
      <c r="G1341" s="62" t="b">
        <v>1</v>
      </c>
      <c r="H1341" s="78" t="b">
        <f>IF(VLOOKUP(C1341,Projetos!A:L,12,false)=TRUE,TRUE,FALSE)</f>
        <v>1</v>
      </c>
      <c r="I1341" s="68">
        <v>21.669365196608947</v>
      </c>
      <c r="J1341" s="68">
        <f t="shared" si="1"/>
        <v>21.6693652</v>
      </c>
      <c r="K1341" s="68" t="b">
        <v>1</v>
      </c>
    </row>
    <row r="1342">
      <c r="A1342" s="75">
        <v>1336.0</v>
      </c>
      <c r="B1342" s="62" t="s">
        <v>755</v>
      </c>
      <c r="C1342" s="62" t="s">
        <v>138</v>
      </c>
      <c r="D1342" s="62" t="s">
        <v>773</v>
      </c>
      <c r="E1342" s="76">
        <v>43896.0</v>
      </c>
      <c r="F1342" s="77">
        <v>0.10416666666666667</v>
      </c>
      <c r="G1342" s="62" t="b">
        <v>1</v>
      </c>
      <c r="H1342" s="78" t="b">
        <f>IF(VLOOKUP(C1342,Projetos!A:L,12,false)=TRUE,TRUE,FALSE)</f>
        <v>1</v>
      </c>
      <c r="I1342" s="68">
        <v>21.669365196608947</v>
      </c>
      <c r="J1342" s="68">
        <f t="shared" si="1"/>
        <v>54.17341299</v>
      </c>
      <c r="K1342" s="68" t="b">
        <v>1</v>
      </c>
    </row>
    <row r="1343" hidden="1">
      <c r="A1343" s="75">
        <v>1337.0</v>
      </c>
      <c r="B1343" s="62" t="s">
        <v>755</v>
      </c>
      <c r="C1343" s="62" t="s">
        <v>104</v>
      </c>
      <c r="D1343" s="62" t="s">
        <v>789</v>
      </c>
      <c r="E1343" s="76">
        <v>43900.0</v>
      </c>
      <c r="F1343" s="77">
        <v>0.0625</v>
      </c>
      <c r="G1343" s="62" t="b">
        <v>0</v>
      </c>
      <c r="H1343" s="78" t="b">
        <f>IF(VLOOKUP(C1343,Projetos!A:L,12,false)=TRUE,TRUE,FALSE)</f>
        <v>1</v>
      </c>
      <c r="I1343" s="68">
        <v>21.669365196608947</v>
      </c>
      <c r="J1343" s="68">
        <f t="shared" si="1"/>
        <v>0</v>
      </c>
      <c r="K1343" s="68" t="b">
        <v>1</v>
      </c>
    </row>
    <row r="1344">
      <c r="A1344" s="75">
        <v>1338.0</v>
      </c>
      <c r="B1344" s="62" t="s">
        <v>755</v>
      </c>
      <c r="C1344" s="62" t="s">
        <v>95</v>
      </c>
      <c r="D1344" s="62" t="s">
        <v>790</v>
      </c>
      <c r="E1344" s="76">
        <v>43901.0</v>
      </c>
      <c r="F1344" s="77">
        <v>0.041666666666666664</v>
      </c>
      <c r="G1344" s="62" t="b">
        <v>1</v>
      </c>
      <c r="H1344" s="78" t="b">
        <f>IF(VLOOKUP(C1344,Projetos!A:L,12,false)=TRUE,TRUE,FALSE)</f>
        <v>1</v>
      </c>
      <c r="I1344" s="68">
        <v>21.669365196608947</v>
      </c>
      <c r="J1344" s="68">
        <f t="shared" si="1"/>
        <v>21.6693652</v>
      </c>
      <c r="K1344" s="68" t="b">
        <v>1</v>
      </c>
    </row>
    <row r="1345">
      <c r="A1345" s="75">
        <v>1339.0</v>
      </c>
      <c r="B1345" s="62" t="s">
        <v>755</v>
      </c>
      <c r="C1345" s="62" t="s">
        <v>95</v>
      </c>
      <c r="D1345" s="62" t="s">
        <v>790</v>
      </c>
      <c r="E1345" s="76">
        <v>43902.0</v>
      </c>
      <c r="F1345" s="77">
        <v>0.0625</v>
      </c>
      <c r="G1345" s="62" t="b">
        <v>1</v>
      </c>
      <c r="H1345" s="78" t="b">
        <f>IF(VLOOKUP(C1345,Projetos!A:L,12,false)=TRUE,TRUE,FALSE)</f>
        <v>1</v>
      </c>
      <c r="I1345" s="68">
        <v>21.669365196608947</v>
      </c>
      <c r="J1345" s="68">
        <f t="shared" si="1"/>
        <v>32.50404779</v>
      </c>
      <c r="K1345" s="68" t="b">
        <v>1</v>
      </c>
    </row>
    <row r="1346">
      <c r="A1346" s="75">
        <v>1340.0</v>
      </c>
      <c r="B1346" s="62" t="s">
        <v>755</v>
      </c>
      <c r="C1346" s="62" t="s">
        <v>95</v>
      </c>
      <c r="D1346" s="62" t="s">
        <v>791</v>
      </c>
      <c r="E1346" s="76">
        <v>43903.0</v>
      </c>
      <c r="F1346" s="77">
        <v>0.041666666666666664</v>
      </c>
      <c r="G1346" s="62" t="b">
        <v>1</v>
      </c>
      <c r="H1346" s="78" t="b">
        <f>IF(VLOOKUP(C1346,Projetos!A:L,12,false)=TRUE,TRUE,FALSE)</f>
        <v>1</v>
      </c>
      <c r="I1346" s="68">
        <v>21.669365196608947</v>
      </c>
      <c r="J1346" s="68">
        <f t="shared" si="1"/>
        <v>21.6693652</v>
      </c>
      <c r="K1346" s="68" t="b">
        <v>1</v>
      </c>
    </row>
    <row r="1347" hidden="1">
      <c r="A1347" s="75">
        <v>1341.0</v>
      </c>
      <c r="B1347" s="62" t="s">
        <v>755</v>
      </c>
      <c r="C1347" s="62" t="s">
        <v>104</v>
      </c>
      <c r="D1347" s="62" t="s">
        <v>789</v>
      </c>
      <c r="E1347" s="76">
        <v>43908.0</v>
      </c>
      <c r="F1347" s="77">
        <v>0.0625</v>
      </c>
      <c r="G1347" s="62" t="b">
        <v>0</v>
      </c>
      <c r="H1347" s="78" t="b">
        <f>IF(VLOOKUP(C1347,Projetos!A:L,12,false)=TRUE,TRUE,FALSE)</f>
        <v>1</v>
      </c>
      <c r="I1347" s="68">
        <v>21.669365196608947</v>
      </c>
      <c r="J1347" s="68">
        <f t="shared" si="1"/>
        <v>0</v>
      </c>
      <c r="K1347" s="68" t="b">
        <v>1</v>
      </c>
    </row>
    <row r="1348">
      <c r="A1348" s="75">
        <v>1342.0</v>
      </c>
      <c r="B1348" s="62" t="s">
        <v>755</v>
      </c>
      <c r="C1348" s="62" t="s">
        <v>95</v>
      </c>
      <c r="D1348" s="62" t="s">
        <v>792</v>
      </c>
      <c r="E1348" s="76">
        <v>43908.0</v>
      </c>
      <c r="F1348" s="77">
        <v>0.041666666666666664</v>
      </c>
      <c r="G1348" s="62" t="b">
        <v>1</v>
      </c>
      <c r="H1348" s="78" t="b">
        <f>IF(VLOOKUP(C1348,Projetos!A:L,12,false)=TRUE,TRUE,FALSE)</f>
        <v>1</v>
      </c>
      <c r="I1348" s="68">
        <v>21.669365196608947</v>
      </c>
      <c r="J1348" s="68">
        <f t="shared" si="1"/>
        <v>21.6693652</v>
      </c>
      <c r="K1348" s="68" t="b">
        <v>1</v>
      </c>
    </row>
    <row r="1349">
      <c r="A1349" s="75">
        <v>1343.0</v>
      </c>
      <c r="B1349" s="62" t="s">
        <v>755</v>
      </c>
      <c r="C1349" s="62" t="s">
        <v>95</v>
      </c>
      <c r="D1349" s="62" t="s">
        <v>793</v>
      </c>
      <c r="E1349" s="76">
        <v>43908.0</v>
      </c>
      <c r="F1349" s="77">
        <v>0.08333333333333333</v>
      </c>
      <c r="G1349" s="62" t="b">
        <v>1</v>
      </c>
      <c r="H1349" s="78" t="b">
        <f>IF(VLOOKUP(C1349,Projetos!A:L,12,false)=TRUE,TRUE,FALSE)</f>
        <v>1</v>
      </c>
      <c r="I1349" s="68">
        <v>21.669365196608947</v>
      </c>
      <c r="J1349" s="68">
        <f t="shared" si="1"/>
        <v>43.33873039</v>
      </c>
      <c r="K1349" s="68" t="b">
        <v>1</v>
      </c>
    </row>
    <row r="1350">
      <c r="A1350" s="75">
        <v>1344.0</v>
      </c>
      <c r="B1350" s="62" t="s">
        <v>755</v>
      </c>
      <c r="C1350" s="62" t="s">
        <v>95</v>
      </c>
      <c r="D1350" s="62" t="s">
        <v>794</v>
      </c>
      <c r="E1350" s="76">
        <v>43909.0</v>
      </c>
      <c r="F1350" s="77">
        <v>0.041666666666666664</v>
      </c>
      <c r="G1350" s="62" t="b">
        <v>1</v>
      </c>
      <c r="H1350" s="78" t="b">
        <f>IF(VLOOKUP(C1350,Projetos!A:L,12,false)=TRUE,TRUE,FALSE)</f>
        <v>1</v>
      </c>
      <c r="I1350" s="68">
        <v>21.669365196608947</v>
      </c>
      <c r="J1350" s="68">
        <f t="shared" si="1"/>
        <v>21.6693652</v>
      </c>
      <c r="K1350" s="68" t="b">
        <v>1</v>
      </c>
    </row>
    <row r="1351">
      <c r="A1351" s="75">
        <v>1345.0</v>
      </c>
      <c r="B1351" s="62" t="s">
        <v>755</v>
      </c>
      <c r="C1351" s="62" t="s">
        <v>138</v>
      </c>
      <c r="D1351" s="62" t="s">
        <v>795</v>
      </c>
      <c r="E1351" s="76">
        <v>43909.0</v>
      </c>
      <c r="F1351" s="77">
        <v>0.041666666666666664</v>
      </c>
      <c r="G1351" s="62" t="b">
        <v>1</v>
      </c>
      <c r="H1351" s="78" t="b">
        <f>IF(VLOOKUP(C1351,Projetos!A:L,12,false)=TRUE,TRUE,FALSE)</f>
        <v>1</v>
      </c>
      <c r="I1351" s="68">
        <v>21.669365196608947</v>
      </c>
      <c r="J1351" s="68">
        <f t="shared" si="1"/>
        <v>21.6693652</v>
      </c>
      <c r="K1351" s="68" t="b">
        <v>1</v>
      </c>
    </row>
    <row r="1352">
      <c r="A1352" s="75">
        <v>1346.0</v>
      </c>
      <c r="B1352" s="62" t="s">
        <v>755</v>
      </c>
      <c r="C1352" s="62" t="s">
        <v>104</v>
      </c>
      <c r="D1352" s="62" t="s">
        <v>792</v>
      </c>
      <c r="E1352" s="76">
        <v>43909.0</v>
      </c>
      <c r="F1352" s="77">
        <v>0.041666666666666664</v>
      </c>
      <c r="G1352" s="62" t="b">
        <v>1</v>
      </c>
      <c r="H1352" s="78" t="b">
        <f>IF(VLOOKUP(C1352,Projetos!A:L,12,false)=TRUE,TRUE,FALSE)</f>
        <v>1</v>
      </c>
      <c r="I1352" s="68">
        <v>21.669365196608947</v>
      </c>
      <c r="J1352" s="68">
        <f t="shared" si="1"/>
        <v>21.6693652</v>
      </c>
      <c r="K1352" s="68" t="b">
        <v>1</v>
      </c>
    </row>
    <row r="1353">
      <c r="A1353" s="75">
        <v>1347.0</v>
      </c>
      <c r="B1353" s="62" t="s">
        <v>755</v>
      </c>
      <c r="C1353" s="62" t="s">
        <v>98</v>
      </c>
      <c r="D1353" s="62" t="s">
        <v>788</v>
      </c>
      <c r="E1353" s="76">
        <v>43910.0</v>
      </c>
      <c r="F1353" s="77">
        <v>0.0625</v>
      </c>
      <c r="G1353" s="62" t="b">
        <v>1</v>
      </c>
      <c r="H1353" s="78" t="b">
        <f>IF(VLOOKUP(C1353,Projetos!A:L,12,false)=TRUE,TRUE,FALSE)</f>
        <v>1</v>
      </c>
      <c r="I1353" s="68">
        <v>21.669365196608947</v>
      </c>
      <c r="J1353" s="68">
        <f t="shared" si="1"/>
        <v>32.50404779</v>
      </c>
      <c r="K1353" s="68" t="b">
        <v>1</v>
      </c>
    </row>
    <row r="1354">
      <c r="A1354" s="75">
        <v>1348.0</v>
      </c>
      <c r="B1354" s="62" t="s">
        <v>755</v>
      </c>
      <c r="C1354" s="62" t="s">
        <v>95</v>
      </c>
      <c r="D1354" s="62" t="s">
        <v>796</v>
      </c>
      <c r="E1354" s="76">
        <v>43910.0</v>
      </c>
      <c r="F1354" s="77">
        <v>0.041666666666666664</v>
      </c>
      <c r="G1354" s="62" t="b">
        <v>1</v>
      </c>
      <c r="H1354" s="78" t="b">
        <f>IF(VLOOKUP(C1354,Projetos!A:L,12,false)=TRUE,TRUE,FALSE)</f>
        <v>1</v>
      </c>
      <c r="I1354" s="68">
        <v>21.669365196608947</v>
      </c>
      <c r="J1354" s="68">
        <f t="shared" si="1"/>
        <v>21.6693652</v>
      </c>
      <c r="K1354" s="68" t="b">
        <v>1</v>
      </c>
    </row>
    <row r="1355" hidden="1">
      <c r="A1355" s="75">
        <v>1349.0</v>
      </c>
      <c r="B1355" s="62" t="s">
        <v>755</v>
      </c>
      <c r="C1355" s="62" t="s">
        <v>108</v>
      </c>
      <c r="D1355" s="62" t="s">
        <v>797</v>
      </c>
      <c r="E1355" s="76">
        <v>43913.0</v>
      </c>
      <c r="F1355" s="77">
        <v>0.041666666666666664</v>
      </c>
      <c r="G1355" s="62" t="b">
        <v>0</v>
      </c>
      <c r="H1355" s="78" t="b">
        <f>IF(VLOOKUP(C1355,Projetos!A:L,12,false)=TRUE,TRUE,FALSE)</f>
        <v>1</v>
      </c>
      <c r="I1355" s="68">
        <v>21.669365196608947</v>
      </c>
      <c r="J1355" s="68">
        <f t="shared" si="1"/>
        <v>0</v>
      </c>
      <c r="K1355" s="68" t="b">
        <v>1</v>
      </c>
    </row>
    <row r="1356">
      <c r="A1356" s="75">
        <v>1350.0</v>
      </c>
      <c r="B1356" s="62" t="s">
        <v>755</v>
      </c>
      <c r="C1356" s="62" t="s">
        <v>104</v>
      </c>
      <c r="D1356" s="62" t="s">
        <v>798</v>
      </c>
      <c r="E1356" s="76">
        <v>43913.0</v>
      </c>
      <c r="F1356" s="77">
        <v>0.041666666666666664</v>
      </c>
      <c r="G1356" s="62" t="b">
        <v>1</v>
      </c>
      <c r="H1356" s="78" t="b">
        <f>IF(VLOOKUP(C1356,Projetos!A:L,12,false)=TRUE,TRUE,FALSE)</f>
        <v>1</v>
      </c>
      <c r="I1356" s="68">
        <v>21.669365196608947</v>
      </c>
      <c r="J1356" s="68">
        <f t="shared" si="1"/>
        <v>21.6693652</v>
      </c>
      <c r="K1356" s="68" t="b">
        <v>1</v>
      </c>
    </row>
    <row r="1357">
      <c r="A1357" s="75">
        <v>1351.0</v>
      </c>
      <c r="B1357" s="62" t="s">
        <v>755</v>
      </c>
      <c r="C1357" s="62" t="s">
        <v>100</v>
      </c>
      <c r="D1357" s="62" t="s">
        <v>795</v>
      </c>
      <c r="E1357" s="76">
        <v>43913.0</v>
      </c>
      <c r="F1357" s="77">
        <v>0.041666666666666664</v>
      </c>
      <c r="G1357" s="62" t="b">
        <v>1</v>
      </c>
      <c r="H1357" s="78" t="b">
        <f>IF(VLOOKUP(C1357,Projetos!A:L,12,false)=TRUE,TRUE,FALSE)</f>
        <v>1</v>
      </c>
      <c r="I1357" s="68">
        <v>21.669365196608947</v>
      </c>
      <c r="J1357" s="68">
        <f t="shared" si="1"/>
        <v>21.6693652</v>
      </c>
      <c r="K1357" s="68" t="b">
        <v>1</v>
      </c>
    </row>
    <row r="1358">
      <c r="A1358" s="75">
        <v>1352.0</v>
      </c>
      <c r="B1358" s="62" t="s">
        <v>755</v>
      </c>
      <c r="C1358" s="62" t="s">
        <v>95</v>
      </c>
      <c r="D1358" s="62" t="s">
        <v>799</v>
      </c>
      <c r="E1358" s="76">
        <v>43914.0</v>
      </c>
      <c r="F1358" s="77">
        <v>0.14583333333333334</v>
      </c>
      <c r="G1358" s="62" t="b">
        <v>1</v>
      </c>
      <c r="H1358" s="78" t="b">
        <f>IF(VLOOKUP(C1358,Projetos!A:L,12,false)=TRUE,TRUE,FALSE)</f>
        <v>1</v>
      </c>
      <c r="I1358" s="68">
        <v>21.669365196608947</v>
      </c>
      <c r="J1358" s="68">
        <f t="shared" si="1"/>
        <v>75.84277819</v>
      </c>
      <c r="K1358" s="68" t="b">
        <v>1</v>
      </c>
    </row>
    <row r="1359">
      <c r="A1359" s="75">
        <v>1353.0</v>
      </c>
      <c r="B1359" s="62" t="s">
        <v>755</v>
      </c>
      <c r="C1359" s="62" t="s">
        <v>138</v>
      </c>
      <c r="D1359" s="62" t="s">
        <v>800</v>
      </c>
      <c r="E1359" s="76">
        <v>43914.0</v>
      </c>
      <c r="F1359" s="77">
        <v>0.020833333333333332</v>
      </c>
      <c r="G1359" s="62" t="b">
        <v>1</v>
      </c>
      <c r="H1359" s="78" t="b">
        <f>IF(VLOOKUP(C1359,Projetos!A:L,12,false)=TRUE,TRUE,FALSE)</f>
        <v>1</v>
      </c>
      <c r="I1359" s="68">
        <v>21.669365196608947</v>
      </c>
      <c r="J1359" s="68">
        <f t="shared" si="1"/>
        <v>10.8346826</v>
      </c>
      <c r="K1359" s="68" t="b">
        <v>1</v>
      </c>
    </row>
    <row r="1360">
      <c r="A1360" s="75">
        <v>1354.0</v>
      </c>
      <c r="B1360" s="62" t="s">
        <v>755</v>
      </c>
      <c r="C1360" s="62" t="s">
        <v>138</v>
      </c>
      <c r="D1360" s="62" t="s">
        <v>801</v>
      </c>
      <c r="E1360" s="76">
        <v>43914.0</v>
      </c>
      <c r="F1360" s="77">
        <v>0.1875</v>
      </c>
      <c r="G1360" s="62" t="b">
        <v>1</v>
      </c>
      <c r="H1360" s="78" t="b">
        <f>IF(VLOOKUP(C1360,Projetos!A:L,12,false)=TRUE,TRUE,FALSE)</f>
        <v>1</v>
      </c>
      <c r="I1360" s="68">
        <v>21.669365196608947</v>
      </c>
      <c r="J1360" s="68">
        <f t="shared" si="1"/>
        <v>97.51214338</v>
      </c>
      <c r="K1360" s="68" t="b">
        <v>1</v>
      </c>
    </row>
    <row r="1361">
      <c r="A1361" s="75">
        <v>1355.0</v>
      </c>
      <c r="B1361" s="62" t="s">
        <v>755</v>
      </c>
      <c r="C1361" s="62" t="s">
        <v>98</v>
      </c>
      <c r="D1361" s="62" t="s">
        <v>788</v>
      </c>
      <c r="E1361" s="76">
        <v>43915.0</v>
      </c>
      <c r="F1361" s="77">
        <v>0.020833333333333332</v>
      </c>
      <c r="G1361" s="62" t="b">
        <v>1</v>
      </c>
      <c r="H1361" s="78" t="b">
        <f>IF(VLOOKUP(C1361,Projetos!A:L,12,false)=TRUE,TRUE,FALSE)</f>
        <v>1</v>
      </c>
      <c r="I1361" s="68">
        <v>21.669365196608947</v>
      </c>
      <c r="J1361" s="68">
        <f t="shared" si="1"/>
        <v>10.8346826</v>
      </c>
      <c r="K1361" s="68" t="b">
        <v>1</v>
      </c>
    </row>
    <row r="1362">
      <c r="A1362" s="75">
        <v>1356.0</v>
      </c>
      <c r="B1362" s="62" t="s">
        <v>755</v>
      </c>
      <c r="C1362" s="62" t="s">
        <v>138</v>
      </c>
      <c r="D1362" s="62" t="s">
        <v>801</v>
      </c>
      <c r="E1362" s="76">
        <v>43915.0</v>
      </c>
      <c r="F1362" s="77">
        <v>0.08333333333333333</v>
      </c>
      <c r="G1362" s="62" t="b">
        <v>1</v>
      </c>
      <c r="H1362" s="78" t="b">
        <f>IF(VLOOKUP(C1362,Projetos!A:L,12,false)=TRUE,TRUE,FALSE)</f>
        <v>1</v>
      </c>
      <c r="I1362" s="68">
        <v>21.669365196608947</v>
      </c>
      <c r="J1362" s="68">
        <f t="shared" si="1"/>
        <v>43.33873039</v>
      </c>
      <c r="K1362" s="68" t="b">
        <v>1</v>
      </c>
    </row>
    <row r="1363">
      <c r="A1363" s="75">
        <v>1357.0</v>
      </c>
      <c r="B1363" s="62" t="s">
        <v>755</v>
      </c>
      <c r="C1363" s="62" t="s">
        <v>104</v>
      </c>
      <c r="D1363" s="62" t="s">
        <v>802</v>
      </c>
      <c r="E1363" s="76">
        <v>43915.0</v>
      </c>
      <c r="F1363" s="77">
        <v>0.041666666666666664</v>
      </c>
      <c r="G1363" s="62" t="b">
        <v>1</v>
      </c>
      <c r="H1363" s="78" t="b">
        <f>IF(VLOOKUP(C1363,Projetos!A:L,12,false)=TRUE,TRUE,FALSE)</f>
        <v>1</v>
      </c>
      <c r="I1363" s="68">
        <v>21.669365196608947</v>
      </c>
      <c r="J1363" s="68">
        <f t="shared" si="1"/>
        <v>21.6693652</v>
      </c>
      <c r="K1363" s="68" t="b">
        <v>1</v>
      </c>
    </row>
    <row r="1364">
      <c r="A1364" s="75">
        <v>1358.0</v>
      </c>
      <c r="B1364" s="62" t="s">
        <v>755</v>
      </c>
      <c r="C1364" s="62" t="s">
        <v>104</v>
      </c>
      <c r="D1364" s="62" t="s">
        <v>803</v>
      </c>
      <c r="E1364" s="76">
        <v>43915.0</v>
      </c>
      <c r="F1364" s="77">
        <v>0.041666666666666664</v>
      </c>
      <c r="G1364" s="62" t="b">
        <v>1</v>
      </c>
      <c r="H1364" s="78" t="b">
        <f>IF(VLOOKUP(C1364,Projetos!A:L,12,false)=TRUE,TRUE,FALSE)</f>
        <v>1</v>
      </c>
      <c r="I1364" s="68">
        <v>21.669365196608947</v>
      </c>
      <c r="J1364" s="68">
        <f t="shared" si="1"/>
        <v>21.6693652</v>
      </c>
      <c r="K1364" s="68" t="b">
        <v>1</v>
      </c>
    </row>
    <row r="1365">
      <c r="A1365" s="75">
        <v>1359.0</v>
      </c>
      <c r="B1365" s="62" t="s">
        <v>755</v>
      </c>
      <c r="C1365" s="62" t="s">
        <v>95</v>
      </c>
      <c r="D1365" s="62" t="s">
        <v>804</v>
      </c>
      <c r="E1365" s="76">
        <v>43915.0</v>
      </c>
      <c r="F1365" s="77">
        <v>0.08333333333333333</v>
      </c>
      <c r="G1365" s="62" t="b">
        <v>1</v>
      </c>
      <c r="H1365" s="78" t="b">
        <f>IF(VLOOKUP(C1365,Projetos!A:L,12,false)=TRUE,TRUE,FALSE)</f>
        <v>1</v>
      </c>
      <c r="I1365" s="68">
        <v>21.669365196608947</v>
      </c>
      <c r="J1365" s="68">
        <f t="shared" si="1"/>
        <v>43.33873039</v>
      </c>
      <c r="K1365" s="68" t="b">
        <v>1</v>
      </c>
    </row>
    <row r="1366" hidden="1">
      <c r="A1366" s="75">
        <v>1360.0</v>
      </c>
      <c r="B1366" s="62" t="s">
        <v>755</v>
      </c>
      <c r="C1366" s="62" t="s">
        <v>108</v>
      </c>
      <c r="D1366" s="62" t="s">
        <v>805</v>
      </c>
      <c r="E1366" s="76">
        <v>43916.0</v>
      </c>
      <c r="F1366" s="77">
        <v>0.041666666666666664</v>
      </c>
      <c r="G1366" s="62" t="b">
        <v>0</v>
      </c>
      <c r="H1366" s="78" t="b">
        <f>IF(VLOOKUP(C1366,Projetos!A:L,12,false)=TRUE,TRUE,FALSE)</f>
        <v>1</v>
      </c>
      <c r="I1366" s="68">
        <v>21.669365196608947</v>
      </c>
      <c r="J1366" s="68">
        <f t="shared" si="1"/>
        <v>0</v>
      </c>
      <c r="K1366" s="68" t="b">
        <v>1</v>
      </c>
    </row>
    <row r="1367" hidden="1">
      <c r="A1367" s="75">
        <v>1361.0</v>
      </c>
      <c r="B1367" s="62" t="s">
        <v>755</v>
      </c>
      <c r="C1367" s="62" t="s">
        <v>108</v>
      </c>
      <c r="D1367" s="62" t="s">
        <v>806</v>
      </c>
      <c r="E1367" s="76">
        <v>43916.0</v>
      </c>
      <c r="F1367" s="77">
        <v>0.125</v>
      </c>
      <c r="G1367" s="62" t="b">
        <v>0</v>
      </c>
      <c r="H1367" s="78" t="b">
        <f>IF(VLOOKUP(C1367,Projetos!A:L,12,false)=TRUE,TRUE,FALSE)</f>
        <v>1</v>
      </c>
      <c r="I1367" s="68">
        <v>21.669365196608947</v>
      </c>
      <c r="J1367" s="68">
        <f t="shared" si="1"/>
        <v>0</v>
      </c>
      <c r="K1367" s="68" t="b">
        <v>1</v>
      </c>
    </row>
    <row r="1368">
      <c r="A1368" s="75">
        <v>1362.0</v>
      </c>
      <c r="B1368" s="62" t="s">
        <v>755</v>
      </c>
      <c r="C1368" s="62" t="s">
        <v>138</v>
      </c>
      <c r="D1368" s="62" t="s">
        <v>807</v>
      </c>
      <c r="E1368" s="76">
        <v>43916.0</v>
      </c>
      <c r="F1368" s="77">
        <v>0.041666666666666664</v>
      </c>
      <c r="G1368" s="62" t="b">
        <v>1</v>
      </c>
      <c r="H1368" s="78" t="b">
        <f>IF(VLOOKUP(C1368,Projetos!A:L,12,false)=TRUE,TRUE,FALSE)</f>
        <v>1</v>
      </c>
      <c r="I1368" s="68">
        <v>21.669365196608947</v>
      </c>
      <c r="J1368" s="68">
        <f t="shared" si="1"/>
        <v>21.6693652</v>
      </c>
      <c r="K1368" s="68" t="b">
        <v>1</v>
      </c>
    </row>
    <row r="1369">
      <c r="A1369" s="75">
        <v>1363.0</v>
      </c>
      <c r="B1369" s="62" t="s">
        <v>755</v>
      </c>
      <c r="C1369" s="62" t="s">
        <v>104</v>
      </c>
      <c r="D1369" s="62" t="s">
        <v>808</v>
      </c>
      <c r="E1369" s="76">
        <v>43917.0</v>
      </c>
      <c r="F1369" s="77">
        <v>0.041666666666666664</v>
      </c>
      <c r="G1369" s="62" t="b">
        <v>1</v>
      </c>
      <c r="H1369" s="78" t="b">
        <f>IF(VLOOKUP(C1369,Projetos!A:L,12,false)=TRUE,TRUE,FALSE)</f>
        <v>1</v>
      </c>
      <c r="I1369" s="68">
        <v>21.669365196608947</v>
      </c>
      <c r="J1369" s="68">
        <f t="shared" si="1"/>
        <v>21.6693652</v>
      </c>
      <c r="K1369" s="68" t="b">
        <v>1</v>
      </c>
    </row>
    <row r="1370" hidden="1">
      <c r="A1370" s="75">
        <v>1364.0</v>
      </c>
      <c r="B1370" s="62" t="s">
        <v>755</v>
      </c>
      <c r="C1370" s="62" t="s">
        <v>108</v>
      </c>
      <c r="D1370" s="62" t="s">
        <v>809</v>
      </c>
      <c r="E1370" s="76">
        <v>43917.0</v>
      </c>
      <c r="F1370" s="77">
        <v>0.20833333333333334</v>
      </c>
      <c r="G1370" s="62" t="b">
        <v>0</v>
      </c>
      <c r="H1370" s="78" t="b">
        <f>IF(VLOOKUP(C1370,Projetos!A:L,12,false)=TRUE,TRUE,FALSE)</f>
        <v>1</v>
      </c>
      <c r="I1370" s="68">
        <v>21.669365196608947</v>
      </c>
      <c r="J1370" s="68">
        <f t="shared" si="1"/>
        <v>0</v>
      </c>
      <c r="K1370" s="68" t="b">
        <v>1</v>
      </c>
    </row>
    <row r="1371">
      <c r="A1371" s="75">
        <v>1365.0</v>
      </c>
      <c r="B1371" s="62" t="s">
        <v>755</v>
      </c>
      <c r="C1371" s="62" t="s">
        <v>95</v>
      </c>
      <c r="D1371" s="62" t="s">
        <v>810</v>
      </c>
      <c r="E1371" s="76">
        <v>43921.0</v>
      </c>
      <c r="F1371" s="77">
        <v>0.10416666666666667</v>
      </c>
      <c r="G1371" s="62" t="b">
        <v>1</v>
      </c>
      <c r="H1371" s="78" t="b">
        <f>IF(VLOOKUP(C1371,Projetos!A:L,12,false)=TRUE,TRUE,FALSE)</f>
        <v>1</v>
      </c>
      <c r="I1371" s="68">
        <v>21.669365196608947</v>
      </c>
      <c r="J1371" s="68">
        <f t="shared" si="1"/>
        <v>54.17341299</v>
      </c>
      <c r="K1371" s="68" t="b">
        <v>1</v>
      </c>
    </row>
    <row r="1372">
      <c r="A1372" s="75">
        <v>1366.0</v>
      </c>
      <c r="B1372" s="62" t="s">
        <v>755</v>
      </c>
      <c r="C1372" s="62" t="s">
        <v>95</v>
      </c>
      <c r="D1372" s="62" t="s">
        <v>811</v>
      </c>
      <c r="E1372" s="76">
        <v>43921.0</v>
      </c>
      <c r="F1372" s="77">
        <v>0.10416666666666667</v>
      </c>
      <c r="G1372" s="62" t="b">
        <v>1</v>
      </c>
      <c r="H1372" s="78" t="b">
        <f>IF(VLOOKUP(C1372,Projetos!A:L,12,false)=TRUE,TRUE,FALSE)</f>
        <v>1</v>
      </c>
      <c r="I1372" s="68">
        <v>21.669365196608947</v>
      </c>
      <c r="J1372" s="68">
        <f t="shared" si="1"/>
        <v>54.17341299</v>
      </c>
      <c r="K1372" s="68" t="b">
        <v>1</v>
      </c>
    </row>
    <row r="1373">
      <c r="A1373" s="75">
        <v>1367.0</v>
      </c>
      <c r="B1373" s="62" t="s">
        <v>755</v>
      </c>
      <c r="C1373" s="62" t="s">
        <v>138</v>
      </c>
      <c r="D1373" s="62" t="s">
        <v>812</v>
      </c>
      <c r="E1373" s="76">
        <v>43921.0</v>
      </c>
      <c r="F1373" s="77">
        <v>0.020833333333333332</v>
      </c>
      <c r="G1373" s="62" t="b">
        <v>1</v>
      </c>
      <c r="H1373" s="78" t="b">
        <f>IF(VLOOKUP(C1373,Projetos!A:L,12,false)=TRUE,TRUE,FALSE)</f>
        <v>1</v>
      </c>
      <c r="I1373" s="68">
        <v>21.669365196608947</v>
      </c>
      <c r="J1373" s="68">
        <f t="shared" si="1"/>
        <v>10.8346826</v>
      </c>
      <c r="K1373" s="68" t="b">
        <v>1</v>
      </c>
    </row>
    <row r="1374">
      <c r="A1374" s="75">
        <v>1368.0</v>
      </c>
      <c r="B1374" s="62" t="s">
        <v>755</v>
      </c>
      <c r="C1374" s="62" t="s">
        <v>90</v>
      </c>
      <c r="D1374" s="62" t="s">
        <v>813</v>
      </c>
      <c r="E1374" s="76">
        <v>43922.0</v>
      </c>
      <c r="F1374" s="77">
        <v>0.041666666666666664</v>
      </c>
      <c r="G1374" s="62" t="b">
        <v>1</v>
      </c>
      <c r="H1374" s="78" t="b">
        <f>IF(VLOOKUP(C1374,Projetos!A:L,12,false)=TRUE,TRUE,FALSE)</f>
        <v>1</v>
      </c>
      <c r="I1374" s="68">
        <v>20.684394051308537</v>
      </c>
      <c r="J1374" s="68">
        <f t="shared" si="1"/>
        <v>20.68439405</v>
      </c>
      <c r="K1374" s="68" t="b">
        <v>1</v>
      </c>
    </row>
    <row r="1375">
      <c r="A1375" s="75">
        <v>1369.0</v>
      </c>
      <c r="B1375" s="62" t="s">
        <v>755</v>
      </c>
      <c r="C1375" s="62" t="s">
        <v>138</v>
      </c>
      <c r="D1375" s="62" t="s">
        <v>807</v>
      </c>
      <c r="E1375" s="76">
        <v>43922.0</v>
      </c>
      <c r="F1375" s="77">
        <v>0.041666666666666664</v>
      </c>
      <c r="G1375" s="62" t="b">
        <v>1</v>
      </c>
      <c r="H1375" s="78" t="b">
        <f>IF(VLOOKUP(C1375,Projetos!A:L,12,false)=TRUE,TRUE,FALSE)</f>
        <v>1</v>
      </c>
      <c r="I1375" s="68">
        <v>20.684394051308537</v>
      </c>
      <c r="J1375" s="68">
        <f t="shared" si="1"/>
        <v>20.68439405</v>
      </c>
      <c r="K1375" s="68" t="b">
        <v>1</v>
      </c>
    </row>
    <row r="1376">
      <c r="A1376" s="75">
        <v>1370.0</v>
      </c>
      <c r="B1376" s="62" t="s">
        <v>755</v>
      </c>
      <c r="C1376" s="62" t="s">
        <v>138</v>
      </c>
      <c r="D1376" s="62" t="s">
        <v>814</v>
      </c>
      <c r="E1376" s="76">
        <v>43922.0</v>
      </c>
      <c r="F1376" s="77">
        <v>0.08333333333333333</v>
      </c>
      <c r="G1376" s="62" t="b">
        <v>1</v>
      </c>
      <c r="H1376" s="78" t="b">
        <f>IF(VLOOKUP(C1376,Projetos!A:L,12,false)=TRUE,TRUE,FALSE)</f>
        <v>1</v>
      </c>
      <c r="I1376" s="68">
        <v>20.684394051308537</v>
      </c>
      <c r="J1376" s="68">
        <f t="shared" si="1"/>
        <v>41.3687881</v>
      </c>
      <c r="K1376" s="68" t="b">
        <v>1</v>
      </c>
    </row>
    <row r="1377">
      <c r="A1377" s="75">
        <v>1371.0</v>
      </c>
      <c r="B1377" s="62" t="s">
        <v>755</v>
      </c>
      <c r="C1377" s="62" t="s">
        <v>90</v>
      </c>
      <c r="D1377" s="62" t="s">
        <v>815</v>
      </c>
      <c r="E1377" s="76">
        <v>43922.0</v>
      </c>
      <c r="F1377" s="77">
        <v>0.08333333333333333</v>
      </c>
      <c r="G1377" s="62" t="b">
        <v>1</v>
      </c>
      <c r="H1377" s="78" t="b">
        <f>IF(VLOOKUP(C1377,Projetos!A:L,12,false)=TRUE,TRUE,FALSE)</f>
        <v>1</v>
      </c>
      <c r="I1377" s="68">
        <v>20.684394051308537</v>
      </c>
      <c r="J1377" s="68">
        <f t="shared" si="1"/>
        <v>41.3687881</v>
      </c>
      <c r="K1377" s="68" t="b">
        <v>1</v>
      </c>
    </row>
    <row r="1378">
      <c r="A1378" s="75">
        <v>1372.0</v>
      </c>
      <c r="B1378" s="62" t="s">
        <v>755</v>
      </c>
      <c r="C1378" s="62" t="s">
        <v>90</v>
      </c>
      <c r="D1378" s="62" t="s">
        <v>816</v>
      </c>
      <c r="E1378" s="76">
        <v>43922.0</v>
      </c>
      <c r="F1378" s="77">
        <v>0.041666666666666664</v>
      </c>
      <c r="G1378" s="62" t="b">
        <v>1</v>
      </c>
      <c r="H1378" s="78" t="b">
        <f>IF(VLOOKUP(C1378,Projetos!A:L,12,false)=TRUE,TRUE,FALSE)</f>
        <v>1</v>
      </c>
      <c r="I1378" s="68">
        <v>20.684394051308537</v>
      </c>
      <c r="J1378" s="68">
        <f t="shared" si="1"/>
        <v>20.68439405</v>
      </c>
      <c r="K1378" s="68" t="b">
        <v>1</v>
      </c>
    </row>
    <row r="1379">
      <c r="A1379" s="75">
        <v>1373.0</v>
      </c>
      <c r="B1379" s="62" t="s">
        <v>755</v>
      </c>
      <c r="C1379" s="62" t="s">
        <v>90</v>
      </c>
      <c r="D1379" s="62" t="s">
        <v>817</v>
      </c>
      <c r="E1379" s="76">
        <v>43923.0</v>
      </c>
      <c r="F1379" s="77">
        <v>0.08333333333333333</v>
      </c>
      <c r="G1379" s="62" t="b">
        <v>1</v>
      </c>
      <c r="H1379" s="78" t="b">
        <f>IF(VLOOKUP(C1379,Projetos!A:L,12,false)=TRUE,TRUE,FALSE)</f>
        <v>1</v>
      </c>
      <c r="I1379" s="68">
        <v>20.684394051308537</v>
      </c>
      <c r="J1379" s="68">
        <f t="shared" si="1"/>
        <v>41.3687881</v>
      </c>
      <c r="K1379" s="68" t="b">
        <v>1</v>
      </c>
    </row>
    <row r="1380">
      <c r="A1380" s="75">
        <v>1374.0</v>
      </c>
      <c r="B1380" s="62" t="s">
        <v>755</v>
      </c>
      <c r="C1380" s="62" t="s">
        <v>90</v>
      </c>
      <c r="D1380" s="62" t="s">
        <v>818</v>
      </c>
      <c r="E1380" s="76">
        <v>43923.0</v>
      </c>
      <c r="F1380" s="77">
        <v>0.0625</v>
      </c>
      <c r="G1380" s="62" t="b">
        <v>1</v>
      </c>
      <c r="H1380" s="78" t="b">
        <f>IF(VLOOKUP(C1380,Projetos!A:L,12,false)=TRUE,TRUE,FALSE)</f>
        <v>1</v>
      </c>
      <c r="I1380" s="68">
        <v>20.684394051308537</v>
      </c>
      <c r="J1380" s="68">
        <f t="shared" si="1"/>
        <v>31.02659108</v>
      </c>
      <c r="K1380" s="68" t="b">
        <v>1</v>
      </c>
    </row>
    <row r="1381">
      <c r="A1381" s="75">
        <v>1375.0</v>
      </c>
      <c r="B1381" s="62" t="s">
        <v>755</v>
      </c>
      <c r="C1381" s="62" t="s">
        <v>90</v>
      </c>
      <c r="D1381" s="62" t="s">
        <v>819</v>
      </c>
      <c r="E1381" s="76">
        <v>43923.0</v>
      </c>
      <c r="F1381" s="77">
        <v>0.041666666666666664</v>
      </c>
      <c r="G1381" s="62" t="b">
        <v>1</v>
      </c>
      <c r="H1381" s="78" t="b">
        <f>IF(VLOOKUP(C1381,Projetos!A:L,12,false)=TRUE,TRUE,FALSE)</f>
        <v>1</v>
      </c>
      <c r="I1381" s="68">
        <v>20.684394051308537</v>
      </c>
      <c r="J1381" s="68">
        <f t="shared" si="1"/>
        <v>20.68439405</v>
      </c>
      <c r="K1381" s="68" t="b">
        <v>1</v>
      </c>
    </row>
    <row r="1382">
      <c r="A1382" s="75">
        <v>1376.0</v>
      </c>
      <c r="B1382" s="62" t="s">
        <v>755</v>
      </c>
      <c r="C1382" s="62" t="s">
        <v>104</v>
      </c>
      <c r="D1382" s="62" t="s">
        <v>820</v>
      </c>
      <c r="E1382" s="76">
        <v>43923.0</v>
      </c>
      <c r="F1382" s="77">
        <v>0.041666666666666664</v>
      </c>
      <c r="G1382" s="62" t="b">
        <v>1</v>
      </c>
      <c r="H1382" s="78" t="b">
        <f>IF(VLOOKUP(C1382,Projetos!A:L,12,false)=TRUE,TRUE,FALSE)</f>
        <v>1</v>
      </c>
      <c r="I1382" s="68">
        <v>20.684394051308537</v>
      </c>
      <c r="J1382" s="68">
        <f t="shared" si="1"/>
        <v>20.68439405</v>
      </c>
      <c r="K1382" s="68" t="b">
        <v>1</v>
      </c>
    </row>
    <row r="1383">
      <c r="A1383" s="75">
        <v>1377.0</v>
      </c>
      <c r="B1383" s="62" t="s">
        <v>755</v>
      </c>
      <c r="C1383" s="62" t="s">
        <v>90</v>
      </c>
      <c r="D1383" s="62" t="s">
        <v>821</v>
      </c>
      <c r="E1383" s="76">
        <v>43924.0</v>
      </c>
      <c r="F1383" s="77">
        <v>0.041666666666666664</v>
      </c>
      <c r="G1383" s="62" t="b">
        <v>1</v>
      </c>
      <c r="H1383" s="78" t="b">
        <f>IF(VLOOKUP(C1383,Projetos!A:L,12,false)=TRUE,TRUE,FALSE)</f>
        <v>1</v>
      </c>
      <c r="I1383" s="68">
        <v>20.684394051308537</v>
      </c>
      <c r="J1383" s="68">
        <f t="shared" si="1"/>
        <v>20.68439405</v>
      </c>
      <c r="K1383" s="68" t="b">
        <v>1</v>
      </c>
    </row>
    <row r="1384">
      <c r="A1384" s="75">
        <v>1378.0</v>
      </c>
      <c r="B1384" s="62" t="s">
        <v>755</v>
      </c>
      <c r="C1384" s="62" t="s">
        <v>104</v>
      </c>
      <c r="D1384" s="62" t="s">
        <v>822</v>
      </c>
      <c r="E1384" s="76">
        <v>43924.0</v>
      </c>
      <c r="F1384" s="77">
        <v>0.0625</v>
      </c>
      <c r="G1384" s="62" t="b">
        <v>1</v>
      </c>
      <c r="H1384" s="78" t="b">
        <f>IF(VLOOKUP(C1384,Projetos!A:L,12,false)=TRUE,TRUE,FALSE)</f>
        <v>1</v>
      </c>
      <c r="I1384" s="68">
        <v>20.684394051308537</v>
      </c>
      <c r="J1384" s="68">
        <f t="shared" si="1"/>
        <v>31.02659108</v>
      </c>
      <c r="K1384" s="68" t="b">
        <v>1</v>
      </c>
    </row>
    <row r="1385">
      <c r="A1385" s="75">
        <v>1379.0</v>
      </c>
      <c r="B1385" s="62" t="s">
        <v>755</v>
      </c>
      <c r="C1385" s="62" t="s">
        <v>104</v>
      </c>
      <c r="D1385" s="62" t="s">
        <v>823</v>
      </c>
      <c r="E1385" s="76">
        <v>43924.0</v>
      </c>
      <c r="F1385" s="77">
        <v>0.041666666666666664</v>
      </c>
      <c r="G1385" s="62" t="b">
        <v>1</v>
      </c>
      <c r="H1385" s="78" t="b">
        <f>IF(VLOOKUP(C1385,Projetos!A:L,12,false)=TRUE,TRUE,FALSE)</f>
        <v>1</v>
      </c>
      <c r="I1385" s="68">
        <v>20.684394051308537</v>
      </c>
      <c r="J1385" s="68">
        <f t="shared" si="1"/>
        <v>20.68439405</v>
      </c>
      <c r="K1385" s="68" t="b">
        <v>1</v>
      </c>
    </row>
    <row r="1386">
      <c r="A1386" s="75">
        <v>1380.0</v>
      </c>
      <c r="B1386" s="62" t="s">
        <v>755</v>
      </c>
      <c r="C1386" s="62" t="s">
        <v>90</v>
      </c>
      <c r="D1386" s="62" t="s">
        <v>824</v>
      </c>
      <c r="E1386" s="76">
        <v>43924.0</v>
      </c>
      <c r="F1386" s="77">
        <v>0.041666666666666664</v>
      </c>
      <c r="G1386" s="62" t="b">
        <v>1</v>
      </c>
      <c r="H1386" s="78" t="b">
        <f>IF(VLOOKUP(C1386,Projetos!A:L,12,false)=TRUE,TRUE,FALSE)</f>
        <v>1</v>
      </c>
      <c r="I1386" s="68">
        <v>20.684394051308537</v>
      </c>
      <c r="J1386" s="68">
        <f t="shared" si="1"/>
        <v>20.68439405</v>
      </c>
      <c r="K1386" s="68" t="b">
        <v>1</v>
      </c>
    </row>
    <row r="1387">
      <c r="A1387" s="75">
        <v>1381.0</v>
      </c>
      <c r="B1387" s="62" t="s">
        <v>755</v>
      </c>
      <c r="C1387" s="62" t="s">
        <v>90</v>
      </c>
      <c r="D1387" s="62" t="s">
        <v>825</v>
      </c>
      <c r="E1387" s="76">
        <v>43924.0</v>
      </c>
      <c r="F1387" s="77">
        <v>0.041666666666666664</v>
      </c>
      <c r="G1387" s="62" t="b">
        <v>1</v>
      </c>
      <c r="H1387" s="78" t="b">
        <f>IF(VLOOKUP(C1387,Projetos!A:L,12,false)=TRUE,TRUE,FALSE)</f>
        <v>1</v>
      </c>
      <c r="I1387" s="68">
        <v>20.684394051308537</v>
      </c>
      <c r="J1387" s="68">
        <f t="shared" si="1"/>
        <v>20.68439405</v>
      </c>
      <c r="K1387" s="68" t="b">
        <v>1</v>
      </c>
    </row>
    <row r="1388">
      <c r="A1388" s="75">
        <v>1382.0</v>
      </c>
      <c r="B1388" s="62" t="s">
        <v>755</v>
      </c>
      <c r="C1388" s="62" t="s">
        <v>138</v>
      </c>
      <c r="D1388" s="62" t="s">
        <v>826</v>
      </c>
      <c r="E1388" s="76">
        <v>43924.0</v>
      </c>
      <c r="F1388" s="77">
        <v>0.08333333333333333</v>
      </c>
      <c r="G1388" s="62" t="b">
        <v>1</v>
      </c>
      <c r="H1388" s="78" t="b">
        <f>IF(VLOOKUP(C1388,Projetos!A:L,12,false)=TRUE,TRUE,FALSE)</f>
        <v>1</v>
      </c>
      <c r="I1388" s="68">
        <v>20.684394051308537</v>
      </c>
      <c r="J1388" s="68">
        <f t="shared" si="1"/>
        <v>41.3687881</v>
      </c>
      <c r="K1388" s="68" t="b">
        <v>1</v>
      </c>
    </row>
    <row r="1389">
      <c r="A1389" s="75">
        <v>1383.0</v>
      </c>
      <c r="B1389" s="62" t="s">
        <v>755</v>
      </c>
      <c r="C1389" s="62" t="s">
        <v>90</v>
      </c>
      <c r="D1389" s="62" t="s">
        <v>827</v>
      </c>
      <c r="E1389" s="76">
        <v>43924.0</v>
      </c>
      <c r="F1389" s="77">
        <v>0.041666666666666664</v>
      </c>
      <c r="G1389" s="62" t="b">
        <v>1</v>
      </c>
      <c r="H1389" s="78" t="b">
        <f>IF(VLOOKUP(C1389,Projetos!A:L,12,false)=TRUE,TRUE,FALSE)</f>
        <v>1</v>
      </c>
      <c r="I1389" s="68">
        <v>20.684394051308537</v>
      </c>
      <c r="J1389" s="68">
        <f t="shared" si="1"/>
        <v>20.68439405</v>
      </c>
      <c r="K1389" s="68" t="b">
        <v>1</v>
      </c>
    </row>
    <row r="1390">
      <c r="A1390" s="75">
        <v>1384.0</v>
      </c>
      <c r="B1390" s="62" t="s">
        <v>755</v>
      </c>
      <c r="C1390" s="62" t="s">
        <v>90</v>
      </c>
      <c r="D1390" s="62" t="s">
        <v>828</v>
      </c>
      <c r="E1390" s="76">
        <v>43927.0</v>
      </c>
      <c r="F1390" s="77">
        <v>0.10416666666666667</v>
      </c>
      <c r="G1390" s="62" t="b">
        <v>1</v>
      </c>
      <c r="H1390" s="78" t="b">
        <f>IF(VLOOKUP(C1390,Projetos!A:L,12,false)=TRUE,TRUE,FALSE)</f>
        <v>1</v>
      </c>
      <c r="I1390" s="68">
        <v>20.684394051308537</v>
      </c>
      <c r="J1390" s="68">
        <f t="shared" si="1"/>
        <v>51.71098513</v>
      </c>
      <c r="K1390" s="68" t="b">
        <v>1</v>
      </c>
    </row>
    <row r="1391" hidden="1">
      <c r="A1391" s="75">
        <v>1385.0</v>
      </c>
      <c r="B1391" s="62" t="s">
        <v>755</v>
      </c>
      <c r="C1391" s="62" t="s">
        <v>109</v>
      </c>
      <c r="D1391" s="62" t="s">
        <v>829</v>
      </c>
      <c r="E1391" s="76">
        <v>43927.0</v>
      </c>
      <c r="F1391" s="77">
        <v>0.10416666666666667</v>
      </c>
      <c r="G1391" s="62" t="b">
        <v>0</v>
      </c>
      <c r="H1391" s="78" t="b">
        <f>IF(VLOOKUP(C1391,Projetos!A:L,12,false)=TRUE,TRUE,FALSE)</f>
        <v>0</v>
      </c>
      <c r="I1391" s="68">
        <v>20.684394051308537</v>
      </c>
      <c r="J1391" s="68">
        <f t="shared" si="1"/>
        <v>0</v>
      </c>
      <c r="K1391" s="68" t="b">
        <v>0</v>
      </c>
    </row>
    <row r="1392">
      <c r="A1392" s="75">
        <v>1386.0</v>
      </c>
      <c r="B1392" s="62" t="s">
        <v>755</v>
      </c>
      <c r="C1392" s="62" t="s">
        <v>104</v>
      </c>
      <c r="D1392" s="62" t="s">
        <v>830</v>
      </c>
      <c r="E1392" s="76">
        <v>43927.0</v>
      </c>
      <c r="F1392" s="77">
        <v>0.0625</v>
      </c>
      <c r="G1392" s="62" t="b">
        <v>1</v>
      </c>
      <c r="H1392" s="78" t="b">
        <f>IF(VLOOKUP(C1392,Projetos!A:L,12,false)=TRUE,TRUE,FALSE)</f>
        <v>1</v>
      </c>
      <c r="I1392" s="68">
        <v>20.684394051308537</v>
      </c>
      <c r="J1392" s="68">
        <f t="shared" si="1"/>
        <v>31.02659108</v>
      </c>
      <c r="K1392" s="68" t="b">
        <v>1</v>
      </c>
    </row>
    <row r="1393">
      <c r="A1393" s="75">
        <v>1387.0</v>
      </c>
      <c r="B1393" s="62" t="s">
        <v>755</v>
      </c>
      <c r="C1393" s="62" t="s">
        <v>104</v>
      </c>
      <c r="D1393" s="62" t="s">
        <v>831</v>
      </c>
      <c r="E1393" s="76">
        <v>43927.0</v>
      </c>
      <c r="F1393" s="77">
        <v>0.041666666666666664</v>
      </c>
      <c r="G1393" s="62" t="b">
        <v>1</v>
      </c>
      <c r="H1393" s="78" t="b">
        <f>IF(VLOOKUP(C1393,Projetos!A:L,12,false)=TRUE,TRUE,FALSE)</f>
        <v>1</v>
      </c>
      <c r="I1393" s="68">
        <v>20.684394051308537</v>
      </c>
      <c r="J1393" s="68">
        <f t="shared" si="1"/>
        <v>20.68439405</v>
      </c>
      <c r="K1393" s="68" t="b">
        <v>1</v>
      </c>
    </row>
    <row r="1394">
      <c r="A1394" s="75">
        <v>1388.0</v>
      </c>
      <c r="B1394" s="62" t="s">
        <v>755</v>
      </c>
      <c r="C1394" s="62" t="s">
        <v>138</v>
      </c>
      <c r="D1394" s="62" t="s">
        <v>832</v>
      </c>
      <c r="E1394" s="76">
        <v>43928.0</v>
      </c>
      <c r="F1394" s="77">
        <v>0.0625</v>
      </c>
      <c r="G1394" s="62" t="b">
        <v>1</v>
      </c>
      <c r="H1394" s="78" t="b">
        <f>IF(VLOOKUP(C1394,Projetos!A:L,12,false)=TRUE,TRUE,FALSE)</f>
        <v>1</v>
      </c>
      <c r="I1394" s="68">
        <v>20.684394051308537</v>
      </c>
      <c r="J1394" s="68">
        <f t="shared" si="1"/>
        <v>31.02659108</v>
      </c>
      <c r="K1394" s="68" t="b">
        <v>1</v>
      </c>
    </row>
    <row r="1395">
      <c r="A1395" s="75">
        <v>1389.0</v>
      </c>
      <c r="B1395" s="62" t="s">
        <v>755</v>
      </c>
      <c r="C1395" s="62" t="s">
        <v>90</v>
      </c>
      <c r="D1395" s="62" t="s">
        <v>827</v>
      </c>
      <c r="E1395" s="76">
        <v>43928.0</v>
      </c>
      <c r="F1395" s="77">
        <v>0.041666666666666664</v>
      </c>
      <c r="G1395" s="62" t="b">
        <v>1</v>
      </c>
      <c r="H1395" s="78" t="b">
        <f>IF(VLOOKUP(C1395,Projetos!A:L,12,false)=TRUE,TRUE,FALSE)</f>
        <v>1</v>
      </c>
      <c r="I1395" s="68">
        <v>20.684394051308537</v>
      </c>
      <c r="J1395" s="68">
        <f t="shared" si="1"/>
        <v>20.68439405</v>
      </c>
      <c r="K1395" s="68" t="b">
        <v>1</v>
      </c>
    </row>
    <row r="1396">
      <c r="A1396" s="75">
        <v>1390.0</v>
      </c>
      <c r="B1396" s="62" t="s">
        <v>755</v>
      </c>
      <c r="C1396" s="62" t="s">
        <v>138</v>
      </c>
      <c r="D1396" s="62" t="s">
        <v>833</v>
      </c>
      <c r="E1396" s="76">
        <v>43929.0</v>
      </c>
      <c r="F1396" s="77">
        <v>0.041666666666666664</v>
      </c>
      <c r="G1396" s="62" t="b">
        <v>1</v>
      </c>
      <c r="H1396" s="78" t="b">
        <f>IF(VLOOKUP(C1396,Projetos!A:L,12,false)=TRUE,TRUE,FALSE)</f>
        <v>1</v>
      </c>
      <c r="I1396" s="68">
        <v>20.684394051308537</v>
      </c>
      <c r="J1396" s="68">
        <f t="shared" si="1"/>
        <v>20.68439405</v>
      </c>
      <c r="K1396" s="68" t="b">
        <v>1</v>
      </c>
    </row>
    <row r="1397">
      <c r="A1397" s="75">
        <v>1391.0</v>
      </c>
      <c r="B1397" s="62" t="s">
        <v>755</v>
      </c>
      <c r="C1397" s="62" t="s">
        <v>98</v>
      </c>
      <c r="D1397" s="62" t="s">
        <v>834</v>
      </c>
      <c r="E1397" s="76">
        <v>43929.0</v>
      </c>
      <c r="F1397" s="77">
        <v>0.041666666666666664</v>
      </c>
      <c r="G1397" s="62" t="b">
        <v>1</v>
      </c>
      <c r="H1397" s="78" t="b">
        <f>IF(VLOOKUP(C1397,Projetos!A:L,12,false)=TRUE,TRUE,FALSE)</f>
        <v>1</v>
      </c>
      <c r="I1397" s="68">
        <v>20.684394051308537</v>
      </c>
      <c r="J1397" s="68">
        <f t="shared" si="1"/>
        <v>20.68439405</v>
      </c>
      <c r="K1397" s="68" t="b">
        <v>1</v>
      </c>
    </row>
    <row r="1398">
      <c r="A1398" s="75">
        <v>1392.0</v>
      </c>
      <c r="B1398" s="62" t="s">
        <v>755</v>
      </c>
      <c r="C1398" s="62" t="s">
        <v>90</v>
      </c>
      <c r="D1398" s="62" t="s">
        <v>809</v>
      </c>
      <c r="E1398" s="76">
        <v>43930.0</v>
      </c>
      <c r="F1398" s="77">
        <v>0.2708333333333333</v>
      </c>
      <c r="G1398" s="62" t="b">
        <v>1</v>
      </c>
      <c r="H1398" s="78" t="b">
        <f>IF(VLOOKUP(C1398,Projetos!A:L,12,false)=TRUE,TRUE,FALSE)</f>
        <v>1</v>
      </c>
      <c r="I1398" s="68">
        <v>20.684394051308537</v>
      </c>
      <c r="J1398" s="68">
        <f t="shared" si="1"/>
        <v>134.4485613</v>
      </c>
      <c r="K1398" s="68" t="b">
        <v>1</v>
      </c>
    </row>
    <row r="1399">
      <c r="A1399" s="75">
        <v>1393.0</v>
      </c>
      <c r="B1399" s="62" t="s">
        <v>755</v>
      </c>
      <c r="C1399" s="62" t="s">
        <v>138</v>
      </c>
      <c r="D1399" s="62" t="s">
        <v>835</v>
      </c>
      <c r="E1399" s="76">
        <v>43930.0</v>
      </c>
      <c r="F1399" s="77">
        <v>0.0625</v>
      </c>
      <c r="G1399" s="62" t="b">
        <v>1</v>
      </c>
      <c r="H1399" s="78" t="b">
        <f>IF(VLOOKUP(C1399,Projetos!A:L,12,false)=TRUE,TRUE,FALSE)</f>
        <v>1</v>
      </c>
      <c r="I1399" s="68">
        <v>20.684394051308537</v>
      </c>
      <c r="J1399" s="68">
        <f t="shared" si="1"/>
        <v>31.02659108</v>
      </c>
      <c r="K1399" s="68" t="b">
        <v>1</v>
      </c>
    </row>
    <row r="1400" hidden="1">
      <c r="A1400" s="75">
        <v>1394.0</v>
      </c>
      <c r="B1400" s="62" t="s">
        <v>755</v>
      </c>
      <c r="C1400" s="62" t="s">
        <v>97</v>
      </c>
      <c r="D1400" s="62" t="s">
        <v>836</v>
      </c>
      <c r="E1400" s="76">
        <v>43930.0</v>
      </c>
      <c r="F1400" s="77">
        <v>0.0625</v>
      </c>
      <c r="G1400" s="62" t="b">
        <v>0</v>
      </c>
      <c r="H1400" s="78" t="b">
        <f>IF(VLOOKUP(C1400,Projetos!A:L,12,false)=TRUE,TRUE,FALSE)</f>
        <v>1</v>
      </c>
      <c r="I1400" s="68">
        <v>20.684394051308537</v>
      </c>
      <c r="J1400" s="68">
        <f t="shared" si="1"/>
        <v>0</v>
      </c>
      <c r="K1400" s="68" t="b">
        <v>1</v>
      </c>
    </row>
    <row r="1401">
      <c r="A1401" s="75">
        <v>1395.0</v>
      </c>
      <c r="B1401" s="62" t="s">
        <v>755</v>
      </c>
      <c r="C1401" s="62" t="s">
        <v>90</v>
      </c>
      <c r="D1401" s="62" t="s">
        <v>837</v>
      </c>
      <c r="E1401" s="76">
        <v>43934.0</v>
      </c>
      <c r="F1401" s="77">
        <v>0.08333333333333333</v>
      </c>
      <c r="G1401" s="62" t="b">
        <v>1</v>
      </c>
      <c r="H1401" s="78" t="b">
        <f>IF(VLOOKUP(C1401,Projetos!A:L,12,false)=TRUE,TRUE,FALSE)</f>
        <v>1</v>
      </c>
      <c r="I1401" s="68">
        <v>20.684394051308537</v>
      </c>
      <c r="J1401" s="68">
        <f t="shared" si="1"/>
        <v>41.3687881</v>
      </c>
      <c r="K1401" s="68" t="b">
        <v>1</v>
      </c>
    </row>
    <row r="1402">
      <c r="A1402" s="75">
        <v>1396.0</v>
      </c>
      <c r="B1402" s="62" t="s">
        <v>755</v>
      </c>
      <c r="C1402" s="62" t="s">
        <v>90</v>
      </c>
      <c r="D1402" s="62" t="s">
        <v>838</v>
      </c>
      <c r="E1402" s="76">
        <v>43934.0</v>
      </c>
      <c r="F1402" s="77">
        <v>0.08333333333333333</v>
      </c>
      <c r="G1402" s="62" t="b">
        <v>1</v>
      </c>
      <c r="H1402" s="78" t="b">
        <f>IF(VLOOKUP(C1402,Projetos!A:L,12,false)=TRUE,TRUE,FALSE)</f>
        <v>1</v>
      </c>
      <c r="I1402" s="68">
        <v>20.684394051308537</v>
      </c>
      <c r="J1402" s="68">
        <f t="shared" si="1"/>
        <v>41.3687881</v>
      </c>
      <c r="K1402" s="68" t="b">
        <v>1</v>
      </c>
    </row>
    <row r="1403">
      <c r="A1403" s="75">
        <v>1397.0</v>
      </c>
      <c r="B1403" s="62" t="s">
        <v>755</v>
      </c>
      <c r="C1403" s="62" t="s">
        <v>100</v>
      </c>
      <c r="D1403" s="62" t="s">
        <v>839</v>
      </c>
      <c r="E1403" s="76">
        <v>43934.0</v>
      </c>
      <c r="F1403" s="77">
        <v>0.08333333333333333</v>
      </c>
      <c r="G1403" s="62" t="b">
        <v>1</v>
      </c>
      <c r="H1403" s="78" t="b">
        <f>IF(VLOOKUP(C1403,Projetos!A:L,12,false)=TRUE,TRUE,FALSE)</f>
        <v>1</v>
      </c>
      <c r="I1403" s="68">
        <v>20.684394051308537</v>
      </c>
      <c r="J1403" s="68">
        <f t="shared" si="1"/>
        <v>41.3687881</v>
      </c>
      <c r="K1403" s="68" t="b">
        <v>1</v>
      </c>
    </row>
    <row r="1404">
      <c r="A1404" s="75">
        <v>1398.0</v>
      </c>
      <c r="B1404" s="62" t="s">
        <v>755</v>
      </c>
      <c r="C1404" s="62" t="s">
        <v>90</v>
      </c>
      <c r="D1404" s="62" t="s">
        <v>840</v>
      </c>
      <c r="E1404" s="76">
        <v>43934.0</v>
      </c>
      <c r="F1404" s="77">
        <v>0.10416666666666667</v>
      </c>
      <c r="G1404" s="62" t="b">
        <v>1</v>
      </c>
      <c r="H1404" s="78" t="b">
        <f>IF(VLOOKUP(C1404,Projetos!A:L,12,false)=TRUE,TRUE,FALSE)</f>
        <v>1</v>
      </c>
      <c r="I1404" s="68">
        <v>20.684394051308537</v>
      </c>
      <c r="J1404" s="68">
        <f t="shared" si="1"/>
        <v>51.71098513</v>
      </c>
      <c r="K1404" s="68" t="b">
        <v>1</v>
      </c>
    </row>
    <row r="1405">
      <c r="A1405" s="75">
        <v>1399.0</v>
      </c>
      <c r="B1405" s="62" t="s">
        <v>755</v>
      </c>
      <c r="C1405" s="62" t="s">
        <v>104</v>
      </c>
      <c r="D1405" s="62" t="s">
        <v>841</v>
      </c>
      <c r="E1405" s="76">
        <v>43935.0</v>
      </c>
      <c r="F1405" s="77">
        <v>0.08333333333333333</v>
      </c>
      <c r="G1405" s="62" t="b">
        <v>1</v>
      </c>
      <c r="H1405" s="78" t="b">
        <f>IF(VLOOKUP(C1405,Projetos!A:L,12,false)=TRUE,TRUE,FALSE)</f>
        <v>1</v>
      </c>
      <c r="I1405" s="68">
        <v>20.684394051308537</v>
      </c>
      <c r="J1405" s="68">
        <f t="shared" si="1"/>
        <v>41.3687881</v>
      </c>
      <c r="K1405" s="68" t="b">
        <v>1</v>
      </c>
    </row>
    <row r="1406" hidden="1">
      <c r="A1406" s="75">
        <v>1400.0</v>
      </c>
      <c r="B1406" s="62" t="s">
        <v>755</v>
      </c>
      <c r="C1406" s="62" t="s">
        <v>90</v>
      </c>
      <c r="D1406" s="62" t="s">
        <v>842</v>
      </c>
      <c r="E1406" s="76">
        <v>43935.0</v>
      </c>
      <c r="F1406" s="77">
        <v>0.020833333333333332</v>
      </c>
      <c r="G1406" s="62" t="b">
        <v>0</v>
      </c>
      <c r="H1406" s="78" t="b">
        <f>IF(VLOOKUP(C1406,Projetos!A:L,12,false)=TRUE,TRUE,FALSE)</f>
        <v>1</v>
      </c>
      <c r="I1406" s="68">
        <v>20.684394051308537</v>
      </c>
      <c r="J1406" s="68">
        <f t="shared" si="1"/>
        <v>0</v>
      </c>
      <c r="K1406" s="68" t="b">
        <v>1</v>
      </c>
    </row>
    <row r="1407">
      <c r="A1407" s="75">
        <v>1401.0</v>
      </c>
      <c r="B1407" s="62" t="s">
        <v>755</v>
      </c>
      <c r="C1407" s="62" t="s">
        <v>90</v>
      </c>
      <c r="D1407" s="62" t="s">
        <v>843</v>
      </c>
      <c r="E1407" s="76">
        <v>43935.0</v>
      </c>
      <c r="F1407" s="77">
        <v>0.08333333333333333</v>
      </c>
      <c r="G1407" s="62" t="b">
        <v>1</v>
      </c>
      <c r="H1407" s="78" t="b">
        <f>IF(VLOOKUP(C1407,Projetos!A:L,12,false)=TRUE,TRUE,FALSE)</f>
        <v>1</v>
      </c>
      <c r="I1407" s="68">
        <v>20.684394051308537</v>
      </c>
      <c r="J1407" s="68">
        <f t="shared" si="1"/>
        <v>41.3687881</v>
      </c>
      <c r="K1407" s="68" t="b">
        <v>1</v>
      </c>
    </row>
    <row r="1408">
      <c r="A1408" s="75">
        <v>1402.0</v>
      </c>
      <c r="B1408" s="62" t="s">
        <v>755</v>
      </c>
      <c r="C1408" s="62" t="s">
        <v>90</v>
      </c>
      <c r="D1408" s="62" t="s">
        <v>827</v>
      </c>
      <c r="E1408" s="76">
        <v>43935.0</v>
      </c>
      <c r="F1408" s="77">
        <v>0.041666666666666664</v>
      </c>
      <c r="G1408" s="62" t="b">
        <v>1</v>
      </c>
      <c r="H1408" s="78" t="b">
        <f>IF(VLOOKUP(C1408,Projetos!A:L,12,false)=TRUE,TRUE,FALSE)</f>
        <v>1</v>
      </c>
      <c r="I1408" s="68">
        <v>20.684394051308537</v>
      </c>
      <c r="J1408" s="68">
        <f t="shared" si="1"/>
        <v>20.68439405</v>
      </c>
      <c r="K1408" s="68" t="b">
        <v>1</v>
      </c>
    </row>
    <row r="1409">
      <c r="A1409" s="75">
        <v>1403.0</v>
      </c>
      <c r="B1409" s="62" t="s">
        <v>755</v>
      </c>
      <c r="C1409" s="62" t="s">
        <v>90</v>
      </c>
      <c r="D1409" s="62" t="s">
        <v>813</v>
      </c>
      <c r="E1409" s="76">
        <v>43936.0</v>
      </c>
      <c r="F1409" s="77">
        <v>0.0625</v>
      </c>
      <c r="G1409" s="62" t="b">
        <v>1</v>
      </c>
      <c r="H1409" s="78" t="b">
        <f>IF(VLOOKUP(C1409,Projetos!A:L,12,false)=TRUE,TRUE,FALSE)</f>
        <v>1</v>
      </c>
      <c r="I1409" s="68">
        <v>20.684394051308537</v>
      </c>
      <c r="J1409" s="68">
        <f t="shared" si="1"/>
        <v>31.02659108</v>
      </c>
      <c r="K1409" s="68" t="b">
        <v>1</v>
      </c>
    </row>
    <row r="1410">
      <c r="A1410" s="75">
        <v>1404.0</v>
      </c>
      <c r="B1410" s="62" t="s">
        <v>755</v>
      </c>
      <c r="C1410" s="62" t="s">
        <v>103</v>
      </c>
      <c r="D1410" s="62" t="s">
        <v>844</v>
      </c>
      <c r="E1410" s="76">
        <v>43936.0</v>
      </c>
      <c r="F1410" s="77">
        <v>0.041666666666666664</v>
      </c>
      <c r="G1410" s="62" t="b">
        <v>1</v>
      </c>
      <c r="H1410" s="78" t="b">
        <f>IF(VLOOKUP(C1410,Projetos!A:L,12,false)=TRUE,TRUE,FALSE)</f>
        <v>1</v>
      </c>
      <c r="I1410" s="68">
        <v>20.684394051308537</v>
      </c>
      <c r="J1410" s="68">
        <f t="shared" si="1"/>
        <v>20.68439405</v>
      </c>
      <c r="K1410" s="68" t="b">
        <v>1</v>
      </c>
    </row>
    <row r="1411">
      <c r="A1411" s="75">
        <v>1405.0</v>
      </c>
      <c r="B1411" s="62" t="s">
        <v>755</v>
      </c>
      <c r="C1411" s="62" t="s">
        <v>90</v>
      </c>
      <c r="D1411" s="62" t="s">
        <v>845</v>
      </c>
      <c r="E1411" s="76">
        <v>43936.0</v>
      </c>
      <c r="F1411" s="77">
        <v>0.041666666666666664</v>
      </c>
      <c r="G1411" s="62" t="b">
        <v>1</v>
      </c>
      <c r="H1411" s="78" t="b">
        <f>IF(VLOOKUP(C1411,Projetos!A:L,12,false)=TRUE,TRUE,FALSE)</f>
        <v>1</v>
      </c>
      <c r="I1411" s="68">
        <v>20.684394051308537</v>
      </c>
      <c r="J1411" s="68">
        <f t="shared" si="1"/>
        <v>20.68439405</v>
      </c>
      <c r="K1411" s="68" t="b">
        <v>1</v>
      </c>
    </row>
    <row r="1412">
      <c r="A1412" s="75">
        <v>1406.0</v>
      </c>
      <c r="B1412" s="62" t="s">
        <v>755</v>
      </c>
      <c r="C1412" s="62" t="s">
        <v>90</v>
      </c>
      <c r="D1412" s="62" t="s">
        <v>846</v>
      </c>
      <c r="E1412" s="76">
        <v>43936.0</v>
      </c>
      <c r="F1412" s="77">
        <v>0.16666666666666666</v>
      </c>
      <c r="G1412" s="62" t="b">
        <v>1</v>
      </c>
      <c r="H1412" s="78" t="b">
        <f>IF(VLOOKUP(C1412,Projetos!A:L,12,false)=TRUE,TRUE,FALSE)</f>
        <v>1</v>
      </c>
      <c r="I1412" s="68">
        <v>20.684394051308537</v>
      </c>
      <c r="J1412" s="68">
        <f t="shared" si="1"/>
        <v>82.73757621</v>
      </c>
      <c r="K1412" s="68" t="b">
        <v>1</v>
      </c>
    </row>
    <row r="1413">
      <c r="A1413" s="75">
        <v>1407.0</v>
      </c>
      <c r="B1413" s="62" t="s">
        <v>755</v>
      </c>
      <c r="C1413" s="62" t="s">
        <v>104</v>
      </c>
      <c r="D1413" s="62" t="s">
        <v>847</v>
      </c>
      <c r="E1413" s="76">
        <v>43967.0</v>
      </c>
      <c r="F1413" s="77">
        <v>0.041666666666666664</v>
      </c>
      <c r="G1413" s="62" t="b">
        <v>1</v>
      </c>
      <c r="H1413" s="78" t="b">
        <f>IF(VLOOKUP(C1413,Projetos!A:L,12,false)=TRUE,TRUE,FALSE)</f>
        <v>1</v>
      </c>
      <c r="I1413" s="68">
        <v>21.669365196608947</v>
      </c>
      <c r="J1413" s="68">
        <f t="shared" si="1"/>
        <v>21.6693652</v>
      </c>
      <c r="K1413" s="68" t="b">
        <v>1</v>
      </c>
    </row>
    <row r="1414">
      <c r="A1414" s="75">
        <v>1408.0</v>
      </c>
      <c r="B1414" s="62" t="s">
        <v>755</v>
      </c>
      <c r="C1414" s="62" t="s">
        <v>90</v>
      </c>
      <c r="D1414" s="62" t="s">
        <v>848</v>
      </c>
      <c r="E1414" s="76">
        <v>43938.0</v>
      </c>
      <c r="F1414" s="77">
        <v>0.16666666666666666</v>
      </c>
      <c r="G1414" s="62" t="b">
        <v>1</v>
      </c>
      <c r="H1414" s="78" t="b">
        <f>IF(VLOOKUP(C1414,Projetos!A:L,12,false)=TRUE,TRUE,FALSE)</f>
        <v>1</v>
      </c>
      <c r="I1414" s="68">
        <v>20.684394051308537</v>
      </c>
      <c r="J1414" s="68">
        <f t="shared" si="1"/>
        <v>82.73757621</v>
      </c>
      <c r="K1414" s="68" t="b">
        <v>1</v>
      </c>
    </row>
    <row r="1415">
      <c r="A1415" s="75">
        <v>1409.0</v>
      </c>
      <c r="B1415" s="62" t="s">
        <v>755</v>
      </c>
      <c r="C1415" s="62" t="s">
        <v>90</v>
      </c>
      <c r="D1415" s="62" t="s">
        <v>849</v>
      </c>
      <c r="E1415" s="76">
        <v>43938.0</v>
      </c>
      <c r="F1415" s="77">
        <v>0.0625</v>
      </c>
      <c r="G1415" s="62" t="b">
        <v>1</v>
      </c>
      <c r="H1415" s="78" t="b">
        <f>IF(VLOOKUP(C1415,Projetos!A:L,12,false)=TRUE,TRUE,FALSE)</f>
        <v>1</v>
      </c>
      <c r="I1415" s="68">
        <v>20.684394051308537</v>
      </c>
      <c r="J1415" s="68">
        <f t="shared" si="1"/>
        <v>31.02659108</v>
      </c>
      <c r="K1415" s="68" t="b">
        <v>1</v>
      </c>
    </row>
    <row r="1416">
      <c r="A1416" s="75">
        <v>1410.0</v>
      </c>
      <c r="B1416" s="62" t="s">
        <v>755</v>
      </c>
      <c r="C1416" s="62" t="s">
        <v>90</v>
      </c>
      <c r="D1416" s="62" t="s">
        <v>850</v>
      </c>
      <c r="E1416" s="76">
        <v>43938.0</v>
      </c>
      <c r="F1416" s="77">
        <v>0.0625</v>
      </c>
      <c r="G1416" s="62" t="b">
        <v>1</v>
      </c>
      <c r="H1416" s="78" t="b">
        <f>IF(VLOOKUP(C1416,Projetos!A:L,12,false)=TRUE,TRUE,FALSE)</f>
        <v>1</v>
      </c>
      <c r="I1416" s="68">
        <v>20.684394051308537</v>
      </c>
      <c r="J1416" s="68">
        <f t="shared" si="1"/>
        <v>31.02659108</v>
      </c>
      <c r="K1416" s="68" t="b">
        <v>1</v>
      </c>
    </row>
    <row r="1417">
      <c r="A1417" s="75">
        <v>1411.0</v>
      </c>
      <c r="B1417" s="62" t="s">
        <v>755</v>
      </c>
      <c r="C1417" s="62" t="s">
        <v>90</v>
      </c>
      <c r="D1417" s="62" t="s">
        <v>851</v>
      </c>
      <c r="E1417" s="76">
        <v>43938.0</v>
      </c>
      <c r="F1417" s="77">
        <v>0.0625</v>
      </c>
      <c r="G1417" s="62" t="b">
        <v>1</v>
      </c>
      <c r="H1417" s="78" t="b">
        <f>IF(VLOOKUP(C1417,Projetos!A:L,12,false)=TRUE,TRUE,FALSE)</f>
        <v>1</v>
      </c>
      <c r="I1417" s="68">
        <v>20.684394051308537</v>
      </c>
      <c r="J1417" s="68">
        <f t="shared" si="1"/>
        <v>31.02659108</v>
      </c>
      <c r="K1417" s="68" t="b">
        <v>1</v>
      </c>
    </row>
    <row r="1418">
      <c r="A1418" s="75">
        <v>1412.0</v>
      </c>
      <c r="B1418" s="62" t="s">
        <v>755</v>
      </c>
      <c r="C1418" s="62" t="s">
        <v>90</v>
      </c>
      <c r="D1418" s="62" t="s">
        <v>852</v>
      </c>
      <c r="E1418" s="76">
        <v>43941.0</v>
      </c>
      <c r="F1418" s="77">
        <v>0.16666666666666666</v>
      </c>
      <c r="G1418" s="62" t="b">
        <v>1</v>
      </c>
      <c r="H1418" s="78" t="b">
        <f>IF(VLOOKUP(C1418,Projetos!A:L,12,false)=TRUE,TRUE,FALSE)</f>
        <v>1</v>
      </c>
      <c r="I1418" s="68">
        <v>20.684394051308537</v>
      </c>
      <c r="J1418" s="68">
        <f t="shared" si="1"/>
        <v>82.73757621</v>
      </c>
      <c r="K1418" s="68" t="b">
        <v>1</v>
      </c>
    </row>
    <row r="1419">
      <c r="A1419" s="75">
        <v>1413.0</v>
      </c>
      <c r="B1419" s="62" t="s">
        <v>755</v>
      </c>
      <c r="C1419" s="62" t="s">
        <v>90</v>
      </c>
      <c r="D1419" s="62" t="s">
        <v>853</v>
      </c>
      <c r="E1419" s="76">
        <v>43941.0</v>
      </c>
      <c r="F1419" s="77">
        <v>0.14583333333333334</v>
      </c>
      <c r="G1419" s="62" t="b">
        <v>1</v>
      </c>
      <c r="H1419" s="78" t="b">
        <f>IF(VLOOKUP(C1419,Projetos!A:L,12,false)=TRUE,TRUE,FALSE)</f>
        <v>1</v>
      </c>
      <c r="I1419" s="68">
        <v>20.684394051308537</v>
      </c>
      <c r="J1419" s="68">
        <f t="shared" si="1"/>
        <v>72.39537918</v>
      </c>
      <c r="K1419" s="68" t="b">
        <v>1</v>
      </c>
    </row>
    <row r="1420">
      <c r="A1420" s="75">
        <v>1414.0</v>
      </c>
      <c r="B1420" s="62" t="s">
        <v>755</v>
      </c>
      <c r="C1420" s="62" t="s">
        <v>104</v>
      </c>
      <c r="D1420" s="62" t="s">
        <v>854</v>
      </c>
      <c r="E1420" s="76">
        <v>43941.0</v>
      </c>
      <c r="F1420" s="77">
        <v>0.041666666666666664</v>
      </c>
      <c r="G1420" s="62" t="b">
        <v>1</v>
      </c>
      <c r="H1420" s="78" t="b">
        <f>IF(VLOOKUP(C1420,Projetos!A:L,12,false)=TRUE,TRUE,FALSE)</f>
        <v>1</v>
      </c>
      <c r="I1420" s="68">
        <v>20.684394051308537</v>
      </c>
      <c r="J1420" s="68">
        <f t="shared" si="1"/>
        <v>20.68439405</v>
      </c>
      <c r="K1420" s="68" t="b">
        <v>1</v>
      </c>
    </row>
    <row r="1421">
      <c r="A1421" s="75">
        <v>1415.0</v>
      </c>
      <c r="B1421" s="62" t="s">
        <v>755</v>
      </c>
      <c r="C1421" s="62" t="s">
        <v>90</v>
      </c>
      <c r="D1421" s="62" t="s">
        <v>855</v>
      </c>
      <c r="E1421" s="76">
        <v>43963.0</v>
      </c>
      <c r="F1421" s="77">
        <v>0.125</v>
      </c>
      <c r="G1421" s="62" t="b">
        <v>1</v>
      </c>
      <c r="H1421" s="78" t="b">
        <f>IF(VLOOKUP(C1421,Projetos!A:L,12,false)=TRUE,TRUE,FALSE)</f>
        <v>1</v>
      </c>
      <c r="I1421" s="68">
        <v>21.669365196608947</v>
      </c>
      <c r="J1421" s="68">
        <f t="shared" si="1"/>
        <v>65.00809559</v>
      </c>
      <c r="K1421" s="68" t="b">
        <v>1</v>
      </c>
    </row>
    <row r="1422">
      <c r="A1422" s="75">
        <v>1416.0</v>
      </c>
      <c r="B1422" s="62" t="s">
        <v>755</v>
      </c>
      <c r="C1422" s="62" t="s">
        <v>90</v>
      </c>
      <c r="D1422" s="62" t="s">
        <v>856</v>
      </c>
      <c r="E1422" s="76">
        <v>43964.0</v>
      </c>
      <c r="F1422" s="77">
        <v>0.08333333333333333</v>
      </c>
      <c r="G1422" s="62" t="b">
        <v>1</v>
      </c>
      <c r="H1422" s="78" t="b">
        <f>IF(VLOOKUP(C1422,Projetos!A:L,12,false)=TRUE,TRUE,FALSE)</f>
        <v>1</v>
      </c>
      <c r="I1422" s="68">
        <v>21.669365196608947</v>
      </c>
      <c r="J1422" s="68">
        <f t="shared" si="1"/>
        <v>43.33873039</v>
      </c>
      <c r="K1422" s="68" t="b">
        <v>1</v>
      </c>
    </row>
    <row r="1423">
      <c r="A1423" s="75">
        <v>1417.0</v>
      </c>
      <c r="B1423" s="62" t="s">
        <v>755</v>
      </c>
      <c r="C1423" s="62" t="s">
        <v>90</v>
      </c>
      <c r="D1423" s="62" t="s">
        <v>827</v>
      </c>
      <c r="E1423" s="76">
        <v>43964.0</v>
      </c>
      <c r="F1423" s="77">
        <v>0.041666666666666664</v>
      </c>
      <c r="G1423" s="62" t="b">
        <v>1</v>
      </c>
      <c r="H1423" s="78" t="b">
        <f>IF(VLOOKUP(C1423,Projetos!A:L,12,false)=TRUE,TRUE,FALSE)</f>
        <v>1</v>
      </c>
      <c r="I1423" s="68">
        <v>21.669365196608947</v>
      </c>
      <c r="J1423" s="68">
        <f t="shared" si="1"/>
        <v>21.6693652</v>
      </c>
      <c r="K1423" s="68" t="b">
        <v>1</v>
      </c>
    </row>
    <row r="1424">
      <c r="A1424" s="75">
        <v>1418.0</v>
      </c>
      <c r="B1424" s="62" t="s">
        <v>755</v>
      </c>
      <c r="C1424" s="62" t="s">
        <v>90</v>
      </c>
      <c r="D1424" s="62" t="s">
        <v>857</v>
      </c>
      <c r="E1424" s="76">
        <v>43964.0</v>
      </c>
      <c r="F1424" s="77">
        <v>0.041666666666666664</v>
      </c>
      <c r="G1424" s="62" t="b">
        <v>1</v>
      </c>
      <c r="H1424" s="78" t="b">
        <f>IF(VLOOKUP(C1424,Projetos!A:L,12,false)=TRUE,TRUE,FALSE)</f>
        <v>1</v>
      </c>
      <c r="I1424" s="68">
        <v>21.669365196608947</v>
      </c>
      <c r="J1424" s="68">
        <f t="shared" si="1"/>
        <v>21.6693652</v>
      </c>
      <c r="K1424" s="68" t="b">
        <v>1</v>
      </c>
    </row>
    <row r="1425">
      <c r="A1425" s="75">
        <v>1419.0</v>
      </c>
      <c r="B1425" s="62" t="s">
        <v>755</v>
      </c>
      <c r="C1425" s="62" t="s">
        <v>90</v>
      </c>
      <c r="D1425" s="62" t="s">
        <v>858</v>
      </c>
      <c r="E1425" s="76">
        <v>43965.0</v>
      </c>
      <c r="F1425" s="77">
        <v>0.10416666666666667</v>
      </c>
      <c r="G1425" s="62" t="b">
        <v>1</v>
      </c>
      <c r="H1425" s="78" t="b">
        <f>IF(VLOOKUP(C1425,Projetos!A:L,12,false)=TRUE,TRUE,FALSE)</f>
        <v>1</v>
      </c>
      <c r="I1425" s="68">
        <v>21.669365196608947</v>
      </c>
      <c r="J1425" s="68">
        <f t="shared" si="1"/>
        <v>54.17341299</v>
      </c>
      <c r="K1425" s="68" t="b">
        <v>1</v>
      </c>
    </row>
    <row r="1426">
      <c r="A1426" s="75">
        <v>1420.0</v>
      </c>
      <c r="B1426" s="62" t="s">
        <v>755</v>
      </c>
      <c r="C1426" s="62" t="s">
        <v>90</v>
      </c>
      <c r="D1426" s="62" t="s">
        <v>859</v>
      </c>
      <c r="E1426" s="76">
        <v>43966.0</v>
      </c>
      <c r="F1426" s="77">
        <v>0.020833333333333332</v>
      </c>
      <c r="G1426" s="62" t="b">
        <v>1</v>
      </c>
      <c r="H1426" s="78" t="b">
        <f>IF(VLOOKUP(C1426,Projetos!A:L,12,false)=TRUE,TRUE,FALSE)</f>
        <v>1</v>
      </c>
      <c r="I1426" s="68">
        <v>21.669365196608947</v>
      </c>
      <c r="J1426" s="68">
        <f t="shared" si="1"/>
        <v>10.8346826</v>
      </c>
      <c r="K1426" s="68" t="b">
        <v>1</v>
      </c>
    </row>
    <row r="1427">
      <c r="A1427" s="75">
        <v>1421.0</v>
      </c>
      <c r="B1427" s="62" t="s">
        <v>755</v>
      </c>
      <c r="C1427" s="62" t="s">
        <v>90</v>
      </c>
      <c r="D1427" s="62" t="s">
        <v>860</v>
      </c>
      <c r="E1427" s="76">
        <v>43966.0</v>
      </c>
      <c r="F1427" s="77">
        <v>0.041666666666666664</v>
      </c>
      <c r="G1427" s="62" t="b">
        <v>1</v>
      </c>
      <c r="H1427" s="78" t="b">
        <f>IF(VLOOKUP(C1427,Projetos!A:L,12,false)=TRUE,TRUE,FALSE)</f>
        <v>1</v>
      </c>
      <c r="I1427" s="68">
        <v>21.669365196608947</v>
      </c>
      <c r="J1427" s="68">
        <f t="shared" si="1"/>
        <v>21.6693652</v>
      </c>
      <c r="K1427" s="68" t="b">
        <v>1</v>
      </c>
    </row>
    <row r="1428">
      <c r="A1428" s="75">
        <v>1422.0</v>
      </c>
      <c r="B1428" s="62" t="s">
        <v>755</v>
      </c>
      <c r="C1428" s="62" t="s">
        <v>90</v>
      </c>
      <c r="D1428" s="62" t="s">
        <v>861</v>
      </c>
      <c r="E1428" s="76">
        <v>43969.0</v>
      </c>
      <c r="F1428" s="77">
        <v>0.041666666666666664</v>
      </c>
      <c r="G1428" s="62" t="b">
        <v>1</v>
      </c>
      <c r="H1428" s="78" t="b">
        <f>IF(VLOOKUP(C1428,Projetos!A:L,12,false)=TRUE,TRUE,FALSE)</f>
        <v>1</v>
      </c>
      <c r="I1428" s="68">
        <v>21.669365196608947</v>
      </c>
      <c r="J1428" s="68">
        <f t="shared" si="1"/>
        <v>21.6693652</v>
      </c>
      <c r="K1428" s="68" t="b">
        <v>1</v>
      </c>
    </row>
    <row r="1429">
      <c r="A1429" s="75">
        <v>1423.0</v>
      </c>
      <c r="B1429" s="62" t="s">
        <v>755</v>
      </c>
      <c r="C1429" s="62" t="s">
        <v>90</v>
      </c>
      <c r="D1429" s="62" t="s">
        <v>862</v>
      </c>
      <c r="E1429" s="76">
        <v>43969.0</v>
      </c>
      <c r="F1429" s="77">
        <v>0.041666666666666664</v>
      </c>
      <c r="G1429" s="62" t="b">
        <v>1</v>
      </c>
      <c r="H1429" s="78" t="b">
        <f>IF(VLOOKUP(C1429,Projetos!A:L,12,false)=TRUE,TRUE,FALSE)</f>
        <v>1</v>
      </c>
      <c r="I1429" s="68">
        <v>21.669365196608947</v>
      </c>
      <c r="J1429" s="68">
        <f t="shared" si="1"/>
        <v>21.6693652</v>
      </c>
      <c r="K1429" s="68" t="b">
        <v>1</v>
      </c>
    </row>
    <row r="1430">
      <c r="A1430" s="75">
        <v>1424.0</v>
      </c>
      <c r="B1430" s="62" t="s">
        <v>755</v>
      </c>
      <c r="C1430" s="62" t="s">
        <v>90</v>
      </c>
      <c r="D1430" s="62" t="s">
        <v>863</v>
      </c>
      <c r="E1430" s="76">
        <v>43969.0</v>
      </c>
      <c r="F1430" s="77">
        <v>0.0625</v>
      </c>
      <c r="G1430" s="62" t="b">
        <v>1</v>
      </c>
      <c r="H1430" s="78" t="b">
        <f>IF(VLOOKUP(C1430,Projetos!A:L,12,false)=TRUE,TRUE,FALSE)</f>
        <v>1</v>
      </c>
      <c r="I1430" s="68">
        <v>21.669365196608947</v>
      </c>
      <c r="J1430" s="68">
        <f t="shared" si="1"/>
        <v>32.50404779</v>
      </c>
      <c r="K1430" s="68" t="b">
        <v>1</v>
      </c>
    </row>
    <row r="1431">
      <c r="A1431" s="75">
        <v>1425.0</v>
      </c>
      <c r="B1431" s="62" t="s">
        <v>755</v>
      </c>
      <c r="C1431" s="62" t="s">
        <v>90</v>
      </c>
      <c r="D1431" s="62" t="s">
        <v>864</v>
      </c>
      <c r="E1431" s="76">
        <v>43969.0</v>
      </c>
      <c r="F1431" s="77">
        <v>0.0625</v>
      </c>
      <c r="G1431" s="62" t="b">
        <v>1</v>
      </c>
      <c r="H1431" s="78" t="b">
        <f>IF(VLOOKUP(C1431,Projetos!A:L,12,false)=TRUE,TRUE,FALSE)</f>
        <v>1</v>
      </c>
      <c r="I1431" s="68">
        <v>21.669365196608947</v>
      </c>
      <c r="J1431" s="68">
        <f t="shared" si="1"/>
        <v>32.50404779</v>
      </c>
      <c r="K1431" s="68" t="b">
        <v>1</v>
      </c>
    </row>
    <row r="1432">
      <c r="A1432" s="75">
        <v>1426.0</v>
      </c>
      <c r="B1432" s="62" t="s">
        <v>755</v>
      </c>
      <c r="C1432" s="62" t="s">
        <v>138</v>
      </c>
      <c r="D1432" s="62" t="s">
        <v>865</v>
      </c>
      <c r="E1432" s="76">
        <v>43969.0</v>
      </c>
      <c r="F1432" s="77">
        <v>0.041666666666666664</v>
      </c>
      <c r="G1432" s="62" t="b">
        <v>1</v>
      </c>
      <c r="H1432" s="78" t="b">
        <f>IF(VLOOKUP(C1432,Projetos!A:L,12,false)=TRUE,TRUE,FALSE)</f>
        <v>1</v>
      </c>
      <c r="I1432" s="68">
        <v>21.669365196608947</v>
      </c>
      <c r="J1432" s="68">
        <f t="shared" si="1"/>
        <v>21.6693652</v>
      </c>
      <c r="K1432" s="68" t="b">
        <v>1</v>
      </c>
    </row>
    <row r="1433">
      <c r="A1433" s="75">
        <v>1427.0</v>
      </c>
      <c r="B1433" s="62" t="s">
        <v>755</v>
      </c>
      <c r="C1433" s="62" t="s">
        <v>90</v>
      </c>
      <c r="D1433" s="62" t="s">
        <v>866</v>
      </c>
      <c r="E1433" s="76">
        <v>43970.0</v>
      </c>
      <c r="F1433" s="77">
        <v>0.041666666666666664</v>
      </c>
      <c r="G1433" s="62" t="b">
        <v>1</v>
      </c>
      <c r="H1433" s="78" t="b">
        <f>IF(VLOOKUP(C1433,Projetos!A:L,12,false)=TRUE,TRUE,FALSE)</f>
        <v>1</v>
      </c>
      <c r="I1433" s="68">
        <v>21.669365196608947</v>
      </c>
      <c r="J1433" s="68">
        <f t="shared" si="1"/>
        <v>21.6693652</v>
      </c>
      <c r="K1433" s="68" t="b">
        <v>1</v>
      </c>
    </row>
    <row r="1434">
      <c r="A1434" s="75">
        <v>1428.0</v>
      </c>
      <c r="B1434" s="62" t="s">
        <v>755</v>
      </c>
      <c r="C1434" s="62" t="s">
        <v>90</v>
      </c>
      <c r="D1434" s="62" t="s">
        <v>867</v>
      </c>
      <c r="E1434" s="76">
        <v>43971.0</v>
      </c>
      <c r="F1434" s="77">
        <v>0.041666666666666664</v>
      </c>
      <c r="G1434" s="62" t="b">
        <v>1</v>
      </c>
      <c r="H1434" s="78" t="b">
        <f>IF(VLOOKUP(C1434,Projetos!A:L,12,false)=TRUE,TRUE,FALSE)</f>
        <v>1</v>
      </c>
      <c r="I1434" s="68">
        <v>21.669365196608947</v>
      </c>
      <c r="J1434" s="68">
        <f t="shared" si="1"/>
        <v>21.6693652</v>
      </c>
      <c r="K1434" s="68" t="b">
        <v>1</v>
      </c>
    </row>
    <row r="1435">
      <c r="A1435" s="75">
        <v>1429.0</v>
      </c>
      <c r="B1435" s="62" t="s">
        <v>755</v>
      </c>
      <c r="C1435" s="62" t="s">
        <v>90</v>
      </c>
      <c r="D1435" s="62" t="s">
        <v>868</v>
      </c>
      <c r="E1435" s="76">
        <v>43971.0</v>
      </c>
      <c r="F1435" s="77">
        <v>0.0625</v>
      </c>
      <c r="G1435" s="62" t="b">
        <v>1</v>
      </c>
      <c r="H1435" s="78" t="b">
        <f>IF(VLOOKUP(C1435,Projetos!A:L,12,false)=TRUE,TRUE,FALSE)</f>
        <v>1</v>
      </c>
      <c r="I1435" s="68">
        <v>21.669365196608947</v>
      </c>
      <c r="J1435" s="68">
        <f t="shared" si="1"/>
        <v>32.50404779</v>
      </c>
      <c r="K1435" s="68" t="b">
        <v>1</v>
      </c>
    </row>
    <row r="1436">
      <c r="A1436" s="75">
        <v>1430.0</v>
      </c>
      <c r="B1436" s="62" t="s">
        <v>755</v>
      </c>
      <c r="C1436" s="62" t="s">
        <v>90</v>
      </c>
      <c r="D1436" s="62" t="s">
        <v>869</v>
      </c>
      <c r="E1436" s="76">
        <v>43971.0</v>
      </c>
      <c r="F1436" s="77">
        <v>0.10416666666666667</v>
      </c>
      <c r="G1436" s="62" t="b">
        <v>1</v>
      </c>
      <c r="H1436" s="78" t="b">
        <f>IF(VLOOKUP(C1436,Projetos!A:L,12,false)=TRUE,TRUE,FALSE)</f>
        <v>1</v>
      </c>
      <c r="I1436" s="68">
        <v>21.669365196608947</v>
      </c>
      <c r="J1436" s="68">
        <f t="shared" si="1"/>
        <v>54.17341299</v>
      </c>
      <c r="K1436" s="68" t="b">
        <v>1</v>
      </c>
    </row>
    <row r="1437">
      <c r="A1437" s="75">
        <v>1431.0</v>
      </c>
      <c r="B1437" s="62" t="s">
        <v>755</v>
      </c>
      <c r="C1437" s="62" t="s">
        <v>90</v>
      </c>
      <c r="D1437" s="62" t="s">
        <v>870</v>
      </c>
      <c r="E1437" s="76">
        <v>43972.0</v>
      </c>
      <c r="F1437" s="77">
        <v>0.13541666666666666</v>
      </c>
      <c r="G1437" s="62" t="b">
        <v>1</v>
      </c>
      <c r="H1437" s="78" t="b">
        <f>IF(VLOOKUP(C1437,Projetos!A:L,12,false)=TRUE,TRUE,FALSE)</f>
        <v>1</v>
      </c>
      <c r="I1437" s="68">
        <v>21.669365196608947</v>
      </c>
      <c r="J1437" s="68">
        <f t="shared" si="1"/>
        <v>70.42543689</v>
      </c>
      <c r="K1437" s="68" t="b">
        <v>1</v>
      </c>
    </row>
    <row r="1438">
      <c r="A1438" s="75">
        <v>1432.0</v>
      </c>
      <c r="B1438" s="62" t="s">
        <v>755</v>
      </c>
      <c r="C1438" s="62" t="s">
        <v>90</v>
      </c>
      <c r="D1438" s="62" t="s">
        <v>871</v>
      </c>
      <c r="E1438" s="76">
        <v>43972.0</v>
      </c>
      <c r="F1438" s="77">
        <v>0.13541666666666666</v>
      </c>
      <c r="G1438" s="62" t="b">
        <v>1</v>
      </c>
      <c r="H1438" s="78" t="b">
        <f>IF(VLOOKUP(C1438,Projetos!A:L,12,false)=TRUE,TRUE,FALSE)</f>
        <v>1</v>
      </c>
      <c r="I1438" s="68">
        <v>21.669365196608947</v>
      </c>
      <c r="J1438" s="68">
        <f t="shared" si="1"/>
        <v>70.42543689</v>
      </c>
      <c r="K1438" s="68" t="b">
        <v>1</v>
      </c>
    </row>
    <row r="1439">
      <c r="A1439" s="75">
        <v>1433.0</v>
      </c>
      <c r="B1439" s="62" t="s">
        <v>755</v>
      </c>
      <c r="C1439" s="62" t="s">
        <v>90</v>
      </c>
      <c r="D1439" s="62" t="s">
        <v>872</v>
      </c>
      <c r="E1439" s="76">
        <v>43972.0</v>
      </c>
      <c r="F1439" s="77">
        <v>0.13541666666666666</v>
      </c>
      <c r="G1439" s="62" t="b">
        <v>1</v>
      </c>
      <c r="H1439" s="78" t="b">
        <f>IF(VLOOKUP(C1439,Projetos!A:L,12,false)=TRUE,TRUE,FALSE)</f>
        <v>1</v>
      </c>
      <c r="I1439" s="68">
        <v>21.669365196608947</v>
      </c>
      <c r="J1439" s="68">
        <f t="shared" si="1"/>
        <v>70.42543689</v>
      </c>
      <c r="K1439" s="68" t="b">
        <v>1</v>
      </c>
    </row>
    <row r="1440">
      <c r="A1440" s="75">
        <v>1434.0</v>
      </c>
      <c r="B1440" s="62" t="s">
        <v>755</v>
      </c>
      <c r="C1440" s="62" t="s">
        <v>90</v>
      </c>
      <c r="D1440" s="62" t="s">
        <v>873</v>
      </c>
      <c r="E1440" s="76">
        <v>43973.0</v>
      </c>
      <c r="F1440" s="77">
        <v>0.020833333333333332</v>
      </c>
      <c r="G1440" s="62" t="b">
        <v>1</v>
      </c>
      <c r="H1440" s="78" t="b">
        <f>IF(VLOOKUP(C1440,Projetos!A:L,12,false)=TRUE,TRUE,FALSE)</f>
        <v>1</v>
      </c>
      <c r="I1440" s="68">
        <v>21.669365196608947</v>
      </c>
      <c r="J1440" s="68">
        <f t="shared" si="1"/>
        <v>10.8346826</v>
      </c>
      <c r="K1440" s="68" t="b">
        <v>1</v>
      </c>
    </row>
    <row r="1441">
      <c r="A1441" s="75">
        <v>1435.0</v>
      </c>
      <c r="B1441" s="62" t="s">
        <v>755</v>
      </c>
      <c r="C1441" s="62" t="s">
        <v>90</v>
      </c>
      <c r="D1441" s="62" t="s">
        <v>874</v>
      </c>
      <c r="E1441" s="76">
        <v>43973.0</v>
      </c>
      <c r="F1441" s="77">
        <v>0.041666666666666664</v>
      </c>
      <c r="G1441" s="62" t="b">
        <v>1</v>
      </c>
      <c r="H1441" s="78" t="b">
        <f>IF(VLOOKUP(C1441,Projetos!A:L,12,false)=TRUE,TRUE,FALSE)</f>
        <v>1</v>
      </c>
      <c r="I1441" s="68">
        <v>21.669365196608947</v>
      </c>
      <c r="J1441" s="68">
        <f t="shared" si="1"/>
        <v>21.6693652</v>
      </c>
      <c r="K1441" s="68" t="b">
        <v>1</v>
      </c>
    </row>
    <row r="1442">
      <c r="A1442" s="75">
        <v>1436.0</v>
      </c>
      <c r="B1442" s="62" t="s">
        <v>755</v>
      </c>
      <c r="C1442" s="62" t="s">
        <v>90</v>
      </c>
      <c r="D1442" s="62" t="s">
        <v>875</v>
      </c>
      <c r="E1442" s="76">
        <v>43973.0</v>
      </c>
      <c r="F1442" s="77">
        <v>0.13472222222222222</v>
      </c>
      <c r="G1442" s="62" t="b">
        <v>1</v>
      </c>
      <c r="H1442" s="78" t="b">
        <f>IF(VLOOKUP(C1442,Projetos!A:L,12,false)=TRUE,TRUE,FALSE)</f>
        <v>1</v>
      </c>
      <c r="I1442" s="68">
        <v>21.669365196608947</v>
      </c>
      <c r="J1442" s="68">
        <f t="shared" si="1"/>
        <v>70.0642808</v>
      </c>
      <c r="K1442" s="68" t="b">
        <v>1</v>
      </c>
    </row>
    <row r="1443">
      <c r="A1443" s="75">
        <v>1437.0</v>
      </c>
      <c r="B1443" s="62" t="s">
        <v>755</v>
      </c>
      <c r="C1443" s="62" t="s">
        <v>90</v>
      </c>
      <c r="D1443" s="62" t="s">
        <v>876</v>
      </c>
      <c r="E1443" s="76">
        <v>43976.0</v>
      </c>
      <c r="F1443" s="77">
        <v>0.13541666666666666</v>
      </c>
      <c r="G1443" s="62" t="b">
        <v>1</v>
      </c>
      <c r="H1443" s="78" t="b">
        <f>IF(VLOOKUP(C1443,Projetos!A:L,12,false)=TRUE,TRUE,FALSE)</f>
        <v>1</v>
      </c>
      <c r="I1443" s="68">
        <v>21.669365196608947</v>
      </c>
      <c r="J1443" s="68">
        <f t="shared" si="1"/>
        <v>70.42543689</v>
      </c>
      <c r="K1443" s="68" t="b">
        <v>1</v>
      </c>
    </row>
    <row r="1444">
      <c r="A1444" s="75">
        <v>1438.0</v>
      </c>
      <c r="B1444" s="62" t="s">
        <v>755</v>
      </c>
      <c r="C1444" s="62" t="s">
        <v>90</v>
      </c>
      <c r="D1444" s="62" t="s">
        <v>877</v>
      </c>
      <c r="E1444" s="76">
        <v>43976.0</v>
      </c>
      <c r="F1444" s="77">
        <v>0.125</v>
      </c>
      <c r="G1444" s="62" t="b">
        <v>1</v>
      </c>
      <c r="H1444" s="78" t="b">
        <f>IF(VLOOKUP(C1444,Projetos!A:L,12,false)=TRUE,TRUE,FALSE)</f>
        <v>1</v>
      </c>
      <c r="I1444" s="68">
        <v>21.669365196608947</v>
      </c>
      <c r="J1444" s="68">
        <f t="shared" si="1"/>
        <v>65.00809559</v>
      </c>
      <c r="K1444" s="68" t="b">
        <v>1</v>
      </c>
    </row>
    <row r="1445">
      <c r="A1445" s="75">
        <v>1439.0</v>
      </c>
      <c r="B1445" s="62" t="s">
        <v>755</v>
      </c>
      <c r="C1445" s="62" t="s">
        <v>90</v>
      </c>
      <c r="D1445" s="62" t="s">
        <v>878</v>
      </c>
      <c r="E1445" s="76">
        <v>43976.0</v>
      </c>
      <c r="F1445" s="77">
        <v>0.0625</v>
      </c>
      <c r="G1445" s="62" t="b">
        <v>1</v>
      </c>
      <c r="H1445" s="78" t="b">
        <f>IF(VLOOKUP(C1445,Projetos!A:L,12,false)=TRUE,TRUE,FALSE)</f>
        <v>1</v>
      </c>
      <c r="I1445" s="68">
        <v>21.669365196608947</v>
      </c>
      <c r="J1445" s="68">
        <f t="shared" si="1"/>
        <v>32.50404779</v>
      </c>
      <c r="K1445" s="68" t="b">
        <v>1</v>
      </c>
    </row>
    <row r="1446">
      <c r="A1446" s="75">
        <v>1440.0</v>
      </c>
      <c r="B1446" s="62" t="s">
        <v>755</v>
      </c>
      <c r="C1446" s="62" t="s">
        <v>90</v>
      </c>
      <c r="D1446" s="62" t="s">
        <v>879</v>
      </c>
      <c r="E1446" s="76">
        <v>43976.0</v>
      </c>
      <c r="F1446" s="77">
        <v>0.041666666666666664</v>
      </c>
      <c r="G1446" s="62" t="b">
        <v>1</v>
      </c>
      <c r="H1446" s="78" t="b">
        <f>IF(VLOOKUP(C1446,Projetos!A:L,12,false)=TRUE,TRUE,FALSE)</f>
        <v>1</v>
      </c>
      <c r="I1446" s="68">
        <v>21.669365196608947</v>
      </c>
      <c r="J1446" s="68">
        <f t="shared" si="1"/>
        <v>21.6693652</v>
      </c>
      <c r="K1446" s="68" t="b">
        <v>1</v>
      </c>
    </row>
    <row r="1447" hidden="1">
      <c r="A1447" s="75">
        <v>1441.0</v>
      </c>
      <c r="B1447" s="62" t="s">
        <v>755</v>
      </c>
      <c r="C1447" s="62" t="s">
        <v>97</v>
      </c>
      <c r="D1447" s="62" t="s">
        <v>880</v>
      </c>
      <c r="E1447" s="76">
        <v>43976.0</v>
      </c>
      <c r="F1447" s="77">
        <v>0.041666666666666664</v>
      </c>
      <c r="G1447" s="62" t="b">
        <v>0</v>
      </c>
      <c r="H1447" s="78" t="b">
        <f>IF(VLOOKUP(C1447,Projetos!A:L,12,false)=TRUE,TRUE,FALSE)</f>
        <v>1</v>
      </c>
      <c r="I1447" s="68">
        <v>21.669365196608947</v>
      </c>
      <c r="J1447" s="68">
        <f t="shared" si="1"/>
        <v>0</v>
      </c>
      <c r="K1447" s="68" t="b">
        <v>1</v>
      </c>
    </row>
    <row r="1448">
      <c r="A1448" s="75">
        <v>1442.0</v>
      </c>
      <c r="B1448" s="62" t="s">
        <v>755</v>
      </c>
      <c r="C1448" s="62" t="s">
        <v>90</v>
      </c>
      <c r="D1448" s="62" t="s">
        <v>881</v>
      </c>
      <c r="E1448" s="76">
        <v>43977.0</v>
      </c>
      <c r="F1448" s="77">
        <v>0.041666666666666664</v>
      </c>
      <c r="G1448" s="62" t="b">
        <v>1</v>
      </c>
      <c r="H1448" s="78" t="b">
        <f>IF(VLOOKUP(C1448,Projetos!A:L,12,false)=TRUE,TRUE,FALSE)</f>
        <v>1</v>
      </c>
      <c r="I1448" s="68">
        <v>21.669365196608947</v>
      </c>
      <c r="J1448" s="68">
        <f t="shared" si="1"/>
        <v>21.6693652</v>
      </c>
      <c r="K1448" s="68" t="b">
        <v>1</v>
      </c>
    </row>
    <row r="1449">
      <c r="A1449" s="75">
        <v>1443.0</v>
      </c>
      <c r="B1449" s="62" t="s">
        <v>755</v>
      </c>
      <c r="C1449" s="62" t="s">
        <v>90</v>
      </c>
      <c r="D1449" s="62" t="s">
        <v>882</v>
      </c>
      <c r="E1449" s="76">
        <v>43977.0</v>
      </c>
      <c r="F1449" s="77">
        <v>0.041666666666666664</v>
      </c>
      <c r="G1449" s="62" t="b">
        <v>1</v>
      </c>
      <c r="H1449" s="78" t="b">
        <f>IF(VLOOKUP(C1449,Projetos!A:L,12,false)=TRUE,TRUE,FALSE)</f>
        <v>1</v>
      </c>
      <c r="I1449" s="68">
        <v>21.669365196608947</v>
      </c>
      <c r="J1449" s="68">
        <f t="shared" si="1"/>
        <v>21.6693652</v>
      </c>
      <c r="K1449" s="68" t="b">
        <v>1</v>
      </c>
    </row>
    <row r="1450">
      <c r="A1450" s="75">
        <v>1444.0</v>
      </c>
      <c r="B1450" s="62" t="s">
        <v>755</v>
      </c>
      <c r="C1450" s="62" t="s">
        <v>90</v>
      </c>
      <c r="D1450" s="62" t="s">
        <v>883</v>
      </c>
      <c r="E1450" s="76">
        <v>43977.0</v>
      </c>
      <c r="F1450" s="77">
        <v>0.041666666666666664</v>
      </c>
      <c r="G1450" s="62" t="b">
        <v>1</v>
      </c>
      <c r="H1450" s="78" t="b">
        <f>IF(VLOOKUP(C1450,Projetos!A:L,12,false)=TRUE,TRUE,FALSE)</f>
        <v>1</v>
      </c>
      <c r="I1450" s="68">
        <v>21.669365196608947</v>
      </c>
      <c r="J1450" s="68">
        <f t="shared" si="1"/>
        <v>21.6693652</v>
      </c>
      <c r="K1450" s="68" t="b">
        <v>1</v>
      </c>
    </row>
    <row r="1451">
      <c r="A1451" s="75">
        <v>1445.0</v>
      </c>
      <c r="B1451" s="62" t="s">
        <v>755</v>
      </c>
      <c r="C1451" s="62" t="s">
        <v>90</v>
      </c>
      <c r="D1451" s="62" t="s">
        <v>884</v>
      </c>
      <c r="E1451" s="76">
        <v>43977.0</v>
      </c>
      <c r="F1451" s="77">
        <v>0.041666666666666664</v>
      </c>
      <c r="G1451" s="62" t="b">
        <v>1</v>
      </c>
      <c r="H1451" s="78" t="b">
        <f>IF(VLOOKUP(C1451,Projetos!A:L,12,false)=TRUE,TRUE,FALSE)</f>
        <v>1</v>
      </c>
      <c r="I1451" s="68">
        <v>21.669365196608947</v>
      </c>
      <c r="J1451" s="68">
        <f t="shared" si="1"/>
        <v>21.6693652</v>
      </c>
      <c r="K1451" s="68" t="b">
        <v>1</v>
      </c>
    </row>
    <row r="1452">
      <c r="A1452" s="75">
        <v>1446.0</v>
      </c>
      <c r="B1452" s="62" t="s">
        <v>755</v>
      </c>
      <c r="C1452" s="62" t="s">
        <v>90</v>
      </c>
      <c r="D1452" s="62" t="s">
        <v>885</v>
      </c>
      <c r="E1452" s="76">
        <v>43977.0</v>
      </c>
      <c r="F1452" s="77">
        <v>0.041666666666666664</v>
      </c>
      <c r="G1452" s="62" t="b">
        <v>1</v>
      </c>
      <c r="H1452" s="78" t="b">
        <f>IF(VLOOKUP(C1452,Projetos!A:L,12,false)=TRUE,TRUE,FALSE)</f>
        <v>1</v>
      </c>
      <c r="I1452" s="68">
        <v>21.669365196608947</v>
      </c>
      <c r="J1452" s="68">
        <f t="shared" si="1"/>
        <v>21.6693652</v>
      </c>
      <c r="K1452" s="68" t="b">
        <v>1</v>
      </c>
    </row>
    <row r="1453">
      <c r="A1453" s="75">
        <v>1447.0</v>
      </c>
      <c r="B1453" s="62" t="s">
        <v>755</v>
      </c>
      <c r="C1453" s="62" t="s">
        <v>90</v>
      </c>
      <c r="D1453" s="62" t="s">
        <v>886</v>
      </c>
      <c r="E1453" s="76">
        <v>43978.0</v>
      </c>
      <c r="F1453" s="77">
        <v>0.020833333333333332</v>
      </c>
      <c r="G1453" s="62" t="b">
        <v>1</v>
      </c>
      <c r="H1453" s="78" t="b">
        <f>IF(VLOOKUP(C1453,Projetos!A:L,12,false)=TRUE,TRUE,FALSE)</f>
        <v>1</v>
      </c>
      <c r="I1453" s="68">
        <v>21.669365196608947</v>
      </c>
      <c r="J1453" s="68">
        <f t="shared" si="1"/>
        <v>10.8346826</v>
      </c>
      <c r="K1453" s="68" t="b">
        <v>1</v>
      </c>
    </row>
    <row r="1454">
      <c r="A1454" s="75">
        <v>1448.0</v>
      </c>
      <c r="B1454" s="62" t="s">
        <v>755</v>
      </c>
      <c r="C1454" s="62" t="s">
        <v>90</v>
      </c>
      <c r="D1454" s="62" t="s">
        <v>887</v>
      </c>
      <c r="E1454" s="76">
        <v>43978.0</v>
      </c>
      <c r="F1454" s="77">
        <v>0.020833333333333332</v>
      </c>
      <c r="G1454" s="62" t="b">
        <v>1</v>
      </c>
      <c r="H1454" s="78" t="b">
        <f>IF(VLOOKUP(C1454,Projetos!A:L,12,false)=TRUE,TRUE,FALSE)</f>
        <v>1</v>
      </c>
      <c r="I1454" s="68">
        <v>21.669365196608947</v>
      </c>
      <c r="J1454" s="68">
        <f t="shared" si="1"/>
        <v>10.8346826</v>
      </c>
      <c r="K1454" s="68" t="b">
        <v>1</v>
      </c>
    </row>
    <row r="1455">
      <c r="A1455" s="75">
        <v>1449.0</v>
      </c>
      <c r="B1455" s="62" t="s">
        <v>755</v>
      </c>
      <c r="C1455" s="62" t="s">
        <v>90</v>
      </c>
      <c r="D1455" s="62" t="s">
        <v>888</v>
      </c>
      <c r="E1455" s="76">
        <v>43978.0</v>
      </c>
      <c r="F1455" s="77">
        <v>0.020833333333333332</v>
      </c>
      <c r="G1455" s="62" t="b">
        <v>1</v>
      </c>
      <c r="H1455" s="78" t="b">
        <f>IF(VLOOKUP(C1455,Projetos!A:L,12,false)=TRUE,TRUE,FALSE)</f>
        <v>1</v>
      </c>
      <c r="I1455" s="68">
        <v>21.669365196608947</v>
      </c>
      <c r="J1455" s="68">
        <f t="shared" si="1"/>
        <v>10.8346826</v>
      </c>
      <c r="K1455" s="68" t="b">
        <v>1</v>
      </c>
    </row>
    <row r="1456">
      <c r="A1456" s="75">
        <v>1450.0</v>
      </c>
      <c r="B1456" s="62" t="s">
        <v>755</v>
      </c>
      <c r="C1456" s="62" t="s">
        <v>90</v>
      </c>
      <c r="D1456" s="62" t="s">
        <v>889</v>
      </c>
      <c r="E1456" s="76">
        <v>43979.0</v>
      </c>
      <c r="F1456" s="77">
        <v>0.10416666666666667</v>
      </c>
      <c r="G1456" s="62" t="b">
        <v>1</v>
      </c>
      <c r="H1456" s="78" t="b">
        <f>IF(VLOOKUP(C1456,Projetos!A:L,12,false)=TRUE,TRUE,FALSE)</f>
        <v>1</v>
      </c>
      <c r="I1456" s="68">
        <v>21.669365196608947</v>
      </c>
      <c r="J1456" s="68">
        <f t="shared" si="1"/>
        <v>54.17341299</v>
      </c>
      <c r="K1456" s="68" t="b">
        <v>1</v>
      </c>
    </row>
    <row r="1457">
      <c r="A1457" s="75">
        <v>1451.0</v>
      </c>
      <c r="B1457" s="62" t="s">
        <v>755</v>
      </c>
      <c r="C1457" s="62" t="s">
        <v>90</v>
      </c>
      <c r="D1457" s="62" t="s">
        <v>890</v>
      </c>
      <c r="E1457" s="76">
        <v>43980.0</v>
      </c>
      <c r="F1457" s="77">
        <v>0.041666666666666664</v>
      </c>
      <c r="G1457" s="62" t="b">
        <v>1</v>
      </c>
      <c r="H1457" s="78" t="b">
        <f>IF(VLOOKUP(C1457,Projetos!A:L,12,false)=TRUE,TRUE,FALSE)</f>
        <v>1</v>
      </c>
      <c r="I1457" s="68">
        <v>21.669365196608947</v>
      </c>
      <c r="J1457" s="68">
        <f t="shared" si="1"/>
        <v>21.6693652</v>
      </c>
      <c r="K1457" s="68" t="b">
        <v>1</v>
      </c>
    </row>
    <row r="1458">
      <c r="A1458" s="75">
        <v>1452.0</v>
      </c>
      <c r="B1458" s="62" t="s">
        <v>755</v>
      </c>
      <c r="C1458" s="62" t="s">
        <v>90</v>
      </c>
      <c r="D1458" s="62" t="s">
        <v>891</v>
      </c>
      <c r="E1458" s="76">
        <v>43984.0</v>
      </c>
      <c r="F1458" s="77">
        <v>0.08333333333333333</v>
      </c>
      <c r="G1458" s="62" t="b">
        <v>1</v>
      </c>
      <c r="H1458" s="78" t="b">
        <f>IF(VLOOKUP(C1458,Projetos!A:L,12,false)=TRUE,TRUE,FALSE)</f>
        <v>1</v>
      </c>
      <c r="I1458" s="68">
        <v>20.684394051308537</v>
      </c>
      <c r="J1458" s="68">
        <f t="shared" si="1"/>
        <v>41.3687881</v>
      </c>
      <c r="K1458" s="68" t="b">
        <v>1</v>
      </c>
    </row>
    <row r="1459">
      <c r="A1459" s="75">
        <v>1453.0</v>
      </c>
      <c r="B1459" s="62" t="s">
        <v>755</v>
      </c>
      <c r="C1459" s="62" t="s">
        <v>98</v>
      </c>
      <c r="D1459" s="62" t="s">
        <v>892</v>
      </c>
      <c r="E1459" s="76">
        <v>43984.0</v>
      </c>
      <c r="F1459" s="77">
        <v>0.16666666666666666</v>
      </c>
      <c r="G1459" s="62" t="b">
        <v>1</v>
      </c>
      <c r="H1459" s="78" t="b">
        <f>IF(VLOOKUP(C1459,Projetos!A:L,12,false)=TRUE,TRUE,FALSE)</f>
        <v>1</v>
      </c>
      <c r="I1459" s="68">
        <v>20.684394051308537</v>
      </c>
      <c r="J1459" s="68">
        <f t="shared" si="1"/>
        <v>82.73757621</v>
      </c>
      <c r="K1459" s="68" t="b">
        <v>1</v>
      </c>
    </row>
    <row r="1460">
      <c r="A1460" s="75">
        <v>1454.0</v>
      </c>
      <c r="B1460" s="62" t="s">
        <v>755</v>
      </c>
      <c r="C1460" s="62" t="s">
        <v>90</v>
      </c>
      <c r="D1460" s="62" t="s">
        <v>893</v>
      </c>
      <c r="E1460" s="76">
        <v>43985.0</v>
      </c>
      <c r="F1460" s="77">
        <v>0.041666666666666664</v>
      </c>
      <c r="G1460" s="62" t="b">
        <v>1</v>
      </c>
      <c r="H1460" s="78" t="b">
        <f>IF(VLOOKUP(C1460,Projetos!A:L,12,false)=TRUE,TRUE,FALSE)</f>
        <v>1</v>
      </c>
      <c r="I1460" s="68">
        <v>20.684394051308537</v>
      </c>
      <c r="J1460" s="68">
        <f t="shared" si="1"/>
        <v>20.68439405</v>
      </c>
      <c r="K1460" s="68" t="b">
        <v>1</v>
      </c>
    </row>
    <row r="1461">
      <c r="A1461" s="75">
        <v>1455.0</v>
      </c>
      <c r="B1461" s="62" t="s">
        <v>755</v>
      </c>
      <c r="C1461" s="62" t="s">
        <v>90</v>
      </c>
      <c r="D1461" s="62" t="s">
        <v>894</v>
      </c>
      <c r="E1461" s="76">
        <v>43985.0</v>
      </c>
      <c r="F1461" s="77">
        <v>0.041666666666666664</v>
      </c>
      <c r="G1461" s="62" t="b">
        <v>1</v>
      </c>
      <c r="H1461" s="78" t="b">
        <f>IF(VLOOKUP(C1461,Projetos!A:L,12,false)=TRUE,TRUE,FALSE)</f>
        <v>1</v>
      </c>
      <c r="I1461" s="68">
        <v>20.684394051308537</v>
      </c>
      <c r="J1461" s="68">
        <f t="shared" si="1"/>
        <v>20.68439405</v>
      </c>
      <c r="K1461" s="68" t="b">
        <v>1</v>
      </c>
    </row>
    <row r="1462">
      <c r="A1462" s="75">
        <v>1456.0</v>
      </c>
      <c r="B1462" s="62" t="s">
        <v>755</v>
      </c>
      <c r="C1462" s="62" t="s">
        <v>90</v>
      </c>
      <c r="D1462" s="62" t="s">
        <v>895</v>
      </c>
      <c r="E1462" s="76">
        <v>43985.0</v>
      </c>
      <c r="F1462" s="77">
        <v>0.08333333333333333</v>
      </c>
      <c r="G1462" s="62" t="b">
        <v>1</v>
      </c>
      <c r="H1462" s="78" t="b">
        <f>IF(VLOOKUP(C1462,Projetos!A:L,12,false)=TRUE,TRUE,FALSE)</f>
        <v>1</v>
      </c>
      <c r="I1462" s="68">
        <v>20.684394051308537</v>
      </c>
      <c r="J1462" s="68">
        <f t="shared" si="1"/>
        <v>41.3687881</v>
      </c>
      <c r="K1462" s="68" t="b">
        <v>1</v>
      </c>
    </row>
    <row r="1463">
      <c r="A1463" s="75">
        <v>1457.0</v>
      </c>
      <c r="B1463" s="62" t="s">
        <v>755</v>
      </c>
      <c r="C1463" s="62" t="s">
        <v>90</v>
      </c>
      <c r="D1463" s="62" t="s">
        <v>896</v>
      </c>
      <c r="E1463" s="76">
        <v>43985.0</v>
      </c>
      <c r="F1463" s="77">
        <v>0.041666666666666664</v>
      </c>
      <c r="G1463" s="62" t="b">
        <v>1</v>
      </c>
      <c r="H1463" s="78" t="b">
        <f>IF(VLOOKUP(C1463,Projetos!A:L,12,false)=TRUE,TRUE,FALSE)</f>
        <v>1</v>
      </c>
      <c r="I1463" s="68">
        <v>20.684394051308537</v>
      </c>
      <c r="J1463" s="68">
        <f t="shared" si="1"/>
        <v>20.68439405</v>
      </c>
      <c r="K1463" s="68" t="b">
        <v>1</v>
      </c>
    </row>
    <row r="1464">
      <c r="A1464" s="75">
        <v>1458.0</v>
      </c>
      <c r="B1464" s="62" t="s">
        <v>755</v>
      </c>
      <c r="C1464" s="62" t="s">
        <v>90</v>
      </c>
      <c r="D1464" s="62" t="s">
        <v>897</v>
      </c>
      <c r="E1464" s="76">
        <v>43986.0</v>
      </c>
      <c r="F1464" s="77">
        <v>0.020833333333333332</v>
      </c>
      <c r="G1464" s="62" t="b">
        <v>1</v>
      </c>
      <c r="H1464" s="78" t="b">
        <f>IF(VLOOKUP(C1464,Projetos!A:L,12,false)=TRUE,TRUE,FALSE)</f>
        <v>1</v>
      </c>
      <c r="I1464" s="68">
        <v>20.684394051308537</v>
      </c>
      <c r="J1464" s="68">
        <f t="shared" si="1"/>
        <v>10.34219703</v>
      </c>
      <c r="K1464" s="68" t="b">
        <v>1</v>
      </c>
    </row>
    <row r="1465">
      <c r="A1465" s="75">
        <v>1459.0</v>
      </c>
      <c r="B1465" s="62" t="s">
        <v>755</v>
      </c>
      <c r="C1465" s="62" t="s">
        <v>90</v>
      </c>
      <c r="D1465" s="62" t="s">
        <v>898</v>
      </c>
      <c r="E1465" s="76">
        <v>43986.0</v>
      </c>
      <c r="F1465" s="77">
        <v>0.1875</v>
      </c>
      <c r="G1465" s="62" t="b">
        <v>1</v>
      </c>
      <c r="H1465" s="78" t="b">
        <f>IF(VLOOKUP(C1465,Projetos!A:L,12,false)=TRUE,TRUE,FALSE)</f>
        <v>1</v>
      </c>
      <c r="I1465" s="68">
        <v>20.684394051308537</v>
      </c>
      <c r="J1465" s="68">
        <f t="shared" si="1"/>
        <v>93.07977323</v>
      </c>
      <c r="K1465" s="68" t="b">
        <v>1</v>
      </c>
    </row>
    <row r="1466" hidden="1">
      <c r="A1466" s="75">
        <v>1460.0</v>
      </c>
      <c r="B1466" s="62" t="s">
        <v>755</v>
      </c>
      <c r="C1466" s="62" t="s">
        <v>115</v>
      </c>
      <c r="D1466" s="62" t="s">
        <v>899</v>
      </c>
      <c r="E1466" s="76">
        <v>43986.0</v>
      </c>
      <c r="F1466" s="77">
        <v>0.0625</v>
      </c>
      <c r="G1466" s="62" t="b">
        <v>0</v>
      </c>
      <c r="H1466" s="78" t="b">
        <f>IF(VLOOKUP(C1466,Projetos!A:L,12,false)=TRUE,TRUE,FALSE)</f>
        <v>1</v>
      </c>
      <c r="I1466" s="68">
        <v>20.684394051308537</v>
      </c>
      <c r="J1466" s="68">
        <f t="shared" si="1"/>
        <v>0</v>
      </c>
      <c r="K1466" s="68" t="b">
        <v>1</v>
      </c>
    </row>
    <row r="1467">
      <c r="A1467" s="75">
        <v>1461.0</v>
      </c>
      <c r="B1467" s="62" t="s">
        <v>755</v>
      </c>
      <c r="C1467" s="62" t="s">
        <v>90</v>
      </c>
      <c r="D1467" s="62" t="s">
        <v>898</v>
      </c>
      <c r="E1467" s="76">
        <v>43987.0</v>
      </c>
      <c r="F1467" s="77">
        <v>0.0625</v>
      </c>
      <c r="G1467" s="62" t="b">
        <v>1</v>
      </c>
      <c r="H1467" s="78" t="b">
        <f>IF(VLOOKUP(C1467,Projetos!A:L,12,false)=TRUE,TRUE,FALSE)</f>
        <v>1</v>
      </c>
      <c r="I1467" s="68">
        <v>20.684394051308537</v>
      </c>
      <c r="J1467" s="68">
        <f t="shared" si="1"/>
        <v>31.02659108</v>
      </c>
      <c r="K1467" s="68" t="b">
        <v>1</v>
      </c>
    </row>
    <row r="1468">
      <c r="A1468" s="75">
        <v>1462.0</v>
      </c>
      <c r="B1468" s="62" t="s">
        <v>755</v>
      </c>
      <c r="C1468" s="62" t="s">
        <v>90</v>
      </c>
      <c r="D1468" s="62" t="s">
        <v>900</v>
      </c>
      <c r="E1468" s="76">
        <v>43987.0</v>
      </c>
      <c r="F1468" s="77">
        <v>0.041666666666666664</v>
      </c>
      <c r="G1468" s="62" t="b">
        <v>1</v>
      </c>
      <c r="H1468" s="78" t="b">
        <f>IF(VLOOKUP(C1468,Projetos!A:L,12,false)=TRUE,TRUE,FALSE)</f>
        <v>1</v>
      </c>
      <c r="I1468" s="68">
        <v>20.684394051308537</v>
      </c>
      <c r="J1468" s="68">
        <f t="shared" si="1"/>
        <v>20.68439405</v>
      </c>
      <c r="K1468" s="68" t="b">
        <v>1</v>
      </c>
    </row>
    <row r="1469">
      <c r="A1469" s="75">
        <v>1463.0</v>
      </c>
      <c r="B1469" s="62" t="s">
        <v>755</v>
      </c>
      <c r="C1469" s="62" t="s">
        <v>90</v>
      </c>
      <c r="D1469" s="62" t="s">
        <v>901</v>
      </c>
      <c r="E1469" s="76">
        <v>43987.0</v>
      </c>
      <c r="F1469" s="77">
        <v>0.08333333333333333</v>
      </c>
      <c r="G1469" s="62" t="b">
        <v>1</v>
      </c>
      <c r="H1469" s="78" t="b">
        <f>IF(VLOOKUP(C1469,Projetos!A:L,12,false)=TRUE,TRUE,FALSE)</f>
        <v>1</v>
      </c>
      <c r="I1469" s="68">
        <v>20.684394051308537</v>
      </c>
      <c r="J1469" s="68">
        <f t="shared" si="1"/>
        <v>41.3687881</v>
      </c>
      <c r="K1469" s="68" t="b">
        <v>1</v>
      </c>
    </row>
    <row r="1470">
      <c r="A1470" s="75">
        <v>1464.0</v>
      </c>
      <c r="B1470" s="62" t="s">
        <v>755</v>
      </c>
      <c r="C1470" s="62" t="s">
        <v>90</v>
      </c>
      <c r="D1470" s="62" t="s">
        <v>902</v>
      </c>
      <c r="E1470" s="76">
        <v>43990.0</v>
      </c>
      <c r="F1470" s="77">
        <v>0.08333333333333333</v>
      </c>
      <c r="G1470" s="62" t="b">
        <v>1</v>
      </c>
      <c r="H1470" s="78" t="b">
        <f>IF(VLOOKUP(C1470,Projetos!A:L,12,false)=TRUE,TRUE,FALSE)</f>
        <v>1</v>
      </c>
      <c r="I1470" s="68">
        <v>20.684394051308537</v>
      </c>
      <c r="J1470" s="68">
        <f t="shared" si="1"/>
        <v>41.3687881</v>
      </c>
      <c r="K1470" s="68" t="b">
        <v>1</v>
      </c>
    </row>
    <row r="1471">
      <c r="A1471" s="75">
        <v>1465.0</v>
      </c>
      <c r="B1471" s="62" t="s">
        <v>755</v>
      </c>
      <c r="C1471" s="62" t="s">
        <v>90</v>
      </c>
      <c r="D1471" s="62" t="s">
        <v>903</v>
      </c>
      <c r="E1471" s="76">
        <v>43990.0</v>
      </c>
      <c r="F1471" s="77">
        <v>0.041666666666666664</v>
      </c>
      <c r="G1471" s="62" t="b">
        <v>1</v>
      </c>
      <c r="H1471" s="78" t="b">
        <f>IF(VLOOKUP(C1471,Projetos!A:L,12,false)=TRUE,TRUE,FALSE)</f>
        <v>1</v>
      </c>
      <c r="I1471" s="68">
        <v>20.684394051308537</v>
      </c>
      <c r="J1471" s="68">
        <f t="shared" si="1"/>
        <v>20.68439405</v>
      </c>
      <c r="K1471" s="68" t="b">
        <v>1</v>
      </c>
    </row>
    <row r="1472">
      <c r="A1472" s="75">
        <v>1466.0</v>
      </c>
      <c r="B1472" s="62" t="s">
        <v>755</v>
      </c>
      <c r="C1472" s="62" t="s">
        <v>90</v>
      </c>
      <c r="D1472" s="62" t="s">
        <v>904</v>
      </c>
      <c r="E1472" s="76">
        <v>43991.0</v>
      </c>
      <c r="F1472" s="77">
        <v>0.08333333333333333</v>
      </c>
      <c r="G1472" s="62" t="b">
        <v>1</v>
      </c>
      <c r="H1472" s="78" t="b">
        <f>IF(VLOOKUP(C1472,Projetos!A:L,12,false)=TRUE,TRUE,FALSE)</f>
        <v>1</v>
      </c>
      <c r="I1472" s="68">
        <v>20.684394051308537</v>
      </c>
      <c r="J1472" s="68">
        <f t="shared" si="1"/>
        <v>41.3687881</v>
      </c>
      <c r="K1472" s="68" t="b">
        <v>1</v>
      </c>
    </row>
    <row r="1473">
      <c r="A1473" s="75">
        <v>1467.0</v>
      </c>
      <c r="B1473" s="62" t="s">
        <v>755</v>
      </c>
      <c r="C1473" s="62" t="s">
        <v>90</v>
      </c>
      <c r="D1473" s="62" t="s">
        <v>874</v>
      </c>
      <c r="E1473" s="76">
        <v>43992.0</v>
      </c>
      <c r="F1473" s="77">
        <v>0.041666666666666664</v>
      </c>
      <c r="G1473" s="62" t="b">
        <v>1</v>
      </c>
      <c r="H1473" s="78" t="b">
        <f>IF(VLOOKUP(C1473,Projetos!A:L,12,false)=TRUE,TRUE,FALSE)</f>
        <v>1</v>
      </c>
      <c r="I1473" s="68">
        <v>20.684394051308537</v>
      </c>
      <c r="J1473" s="68">
        <f t="shared" si="1"/>
        <v>20.68439405</v>
      </c>
      <c r="K1473" s="68" t="b">
        <v>1</v>
      </c>
    </row>
    <row r="1474">
      <c r="A1474" s="75">
        <v>1468.0</v>
      </c>
      <c r="B1474" s="62" t="s">
        <v>755</v>
      </c>
      <c r="C1474" s="62" t="s">
        <v>90</v>
      </c>
      <c r="D1474" s="62" t="s">
        <v>897</v>
      </c>
      <c r="E1474" s="76">
        <v>43994.0</v>
      </c>
      <c r="F1474" s="77">
        <v>0.020833333333333332</v>
      </c>
      <c r="G1474" s="62" t="b">
        <v>1</v>
      </c>
      <c r="H1474" s="78" t="b">
        <f>IF(VLOOKUP(C1474,Projetos!A:L,12,false)=TRUE,TRUE,FALSE)</f>
        <v>1</v>
      </c>
      <c r="I1474" s="68">
        <v>20.684394051308537</v>
      </c>
      <c r="J1474" s="68">
        <f t="shared" si="1"/>
        <v>10.34219703</v>
      </c>
      <c r="K1474" s="68" t="b">
        <v>1</v>
      </c>
    </row>
    <row r="1475">
      <c r="A1475" s="75">
        <v>1469.0</v>
      </c>
      <c r="B1475" s="62" t="s">
        <v>755</v>
      </c>
      <c r="C1475" s="62" t="s">
        <v>90</v>
      </c>
      <c r="D1475" s="62" t="s">
        <v>905</v>
      </c>
      <c r="E1475" s="76">
        <v>43997.0</v>
      </c>
      <c r="F1475" s="77">
        <v>0.041666666666666664</v>
      </c>
      <c r="G1475" s="62" t="b">
        <v>1</v>
      </c>
      <c r="H1475" s="78" t="b">
        <f>IF(VLOOKUP(C1475,Projetos!A:L,12,false)=TRUE,TRUE,FALSE)</f>
        <v>1</v>
      </c>
      <c r="I1475" s="68">
        <v>20.684394051308537</v>
      </c>
      <c r="J1475" s="68">
        <f t="shared" si="1"/>
        <v>20.68439405</v>
      </c>
      <c r="K1475" s="68" t="b">
        <v>1</v>
      </c>
    </row>
    <row r="1476">
      <c r="A1476" s="75">
        <v>1470.0</v>
      </c>
      <c r="B1476" s="62" t="s">
        <v>755</v>
      </c>
      <c r="C1476" s="62" t="s">
        <v>90</v>
      </c>
      <c r="D1476" s="62" t="s">
        <v>906</v>
      </c>
      <c r="E1476" s="76">
        <v>43997.0</v>
      </c>
      <c r="F1476" s="77">
        <v>0.020833333333333332</v>
      </c>
      <c r="G1476" s="62" t="b">
        <v>1</v>
      </c>
      <c r="H1476" s="78" t="b">
        <f>IF(VLOOKUP(C1476,Projetos!A:L,12,false)=TRUE,TRUE,FALSE)</f>
        <v>1</v>
      </c>
      <c r="I1476" s="68">
        <v>20.684394051308537</v>
      </c>
      <c r="J1476" s="68">
        <f t="shared" si="1"/>
        <v>10.34219703</v>
      </c>
      <c r="K1476" s="68" t="b">
        <v>1</v>
      </c>
    </row>
    <row r="1477">
      <c r="A1477" s="75">
        <v>1471.0</v>
      </c>
      <c r="B1477" s="62" t="s">
        <v>755</v>
      </c>
      <c r="C1477" s="62" t="s">
        <v>98</v>
      </c>
      <c r="D1477" s="62" t="s">
        <v>907</v>
      </c>
      <c r="E1477" s="76">
        <v>43997.0</v>
      </c>
      <c r="F1477" s="77">
        <v>0.14583333333333334</v>
      </c>
      <c r="G1477" s="62" t="b">
        <v>1</v>
      </c>
      <c r="H1477" s="78" t="b">
        <f>IF(VLOOKUP(C1477,Projetos!A:L,12,false)=TRUE,TRUE,FALSE)</f>
        <v>1</v>
      </c>
      <c r="I1477" s="68">
        <v>20.684394051308537</v>
      </c>
      <c r="J1477" s="68">
        <f t="shared" si="1"/>
        <v>72.39537918</v>
      </c>
      <c r="K1477" s="68" t="b">
        <v>1</v>
      </c>
    </row>
    <row r="1478">
      <c r="A1478" s="75">
        <v>1472.0</v>
      </c>
      <c r="B1478" s="62" t="s">
        <v>755</v>
      </c>
      <c r="C1478" s="62" t="s">
        <v>115</v>
      </c>
      <c r="D1478" s="62" t="s">
        <v>908</v>
      </c>
      <c r="E1478" s="76">
        <v>43998.0</v>
      </c>
      <c r="F1478" s="77">
        <v>0.041666666666666664</v>
      </c>
      <c r="G1478" s="62" t="b">
        <v>1</v>
      </c>
      <c r="H1478" s="78" t="b">
        <f>IF(VLOOKUP(C1478,Projetos!A:L,12,false)=TRUE,TRUE,FALSE)</f>
        <v>1</v>
      </c>
      <c r="I1478" s="68">
        <v>20.684394051308537</v>
      </c>
      <c r="J1478" s="68">
        <f t="shared" si="1"/>
        <v>20.68439405</v>
      </c>
      <c r="K1478" s="68" t="b">
        <v>1</v>
      </c>
    </row>
    <row r="1479" hidden="1">
      <c r="A1479" s="75">
        <v>1473.0</v>
      </c>
      <c r="B1479" s="62" t="s">
        <v>755</v>
      </c>
      <c r="C1479" s="62" t="s">
        <v>109</v>
      </c>
      <c r="D1479" s="62" t="s">
        <v>909</v>
      </c>
      <c r="E1479" s="76">
        <v>43999.0</v>
      </c>
      <c r="F1479" s="77">
        <v>0.041666666666666664</v>
      </c>
      <c r="G1479" s="62" t="b">
        <v>0</v>
      </c>
      <c r="H1479" s="78" t="b">
        <f>IF(VLOOKUP(C1479,Projetos!A:L,12,false)=TRUE,TRUE,FALSE)</f>
        <v>0</v>
      </c>
      <c r="I1479" s="68">
        <v>20.684394051308537</v>
      </c>
      <c r="J1479" s="68">
        <f t="shared" si="1"/>
        <v>0</v>
      </c>
      <c r="K1479" s="68" t="b">
        <v>0</v>
      </c>
    </row>
    <row r="1480">
      <c r="A1480" s="75">
        <v>1474.0</v>
      </c>
      <c r="B1480" s="62" t="s">
        <v>755</v>
      </c>
      <c r="C1480" s="62" t="s">
        <v>90</v>
      </c>
      <c r="D1480" s="62" t="s">
        <v>897</v>
      </c>
      <c r="E1480" s="76">
        <v>44001.0</v>
      </c>
      <c r="F1480" s="77">
        <v>0.041666666666666664</v>
      </c>
      <c r="G1480" s="62" t="b">
        <v>1</v>
      </c>
      <c r="H1480" s="78" t="b">
        <f>IF(VLOOKUP(C1480,Projetos!A:L,12,false)=TRUE,TRUE,FALSE)</f>
        <v>1</v>
      </c>
      <c r="I1480" s="68">
        <v>20.684394051308537</v>
      </c>
      <c r="J1480" s="68">
        <f t="shared" si="1"/>
        <v>20.68439405</v>
      </c>
      <c r="K1480" s="68" t="b">
        <v>1</v>
      </c>
    </row>
    <row r="1481">
      <c r="A1481" s="75">
        <v>1475.0</v>
      </c>
      <c r="B1481" s="62" t="s">
        <v>755</v>
      </c>
      <c r="C1481" s="62" t="s">
        <v>90</v>
      </c>
      <c r="D1481" s="62" t="s">
        <v>910</v>
      </c>
      <c r="E1481" s="76">
        <v>44004.0</v>
      </c>
      <c r="F1481" s="77">
        <v>0.0625</v>
      </c>
      <c r="G1481" s="62" t="b">
        <v>1</v>
      </c>
      <c r="H1481" s="78" t="b">
        <f>IF(VLOOKUP(C1481,Projetos!A:L,12,false)=TRUE,TRUE,FALSE)</f>
        <v>1</v>
      </c>
      <c r="I1481" s="68">
        <v>20.684394051308537</v>
      </c>
      <c r="J1481" s="68">
        <f t="shared" si="1"/>
        <v>31.02659108</v>
      </c>
      <c r="K1481" s="68" t="b">
        <v>1</v>
      </c>
    </row>
    <row r="1482">
      <c r="A1482" s="75">
        <v>1476.0</v>
      </c>
      <c r="B1482" s="62" t="s">
        <v>755</v>
      </c>
      <c r="C1482" s="62" t="s">
        <v>98</v>
      </c>
      <c r="D1482" s="62" t="s">
        <v>911</v>
      </c>
      <c r="E1482" s="76">
        <v>44004.0</v>
      </c>
      <c r="F1482" s="77">
        <v>0.0625</v>
      </c>
      <c r="G1482" s="62" t="b">
        <v>1</v>
      </c>
      <c r="H1482" s="78" t="b">
        <f>IF(VLOOKUP(C1482,Projetos!A:L,12,false)=TRUE,TRUE,FALSE)</f>
        <v>1</v>
      </c>
      <c r="I1482" s="68">
        <v>20.684394051308537</v>
      </c>
      <c r="J1482" s="68">
        <f t="shared" si="1"/>
        <v>31.02659108</v>
      </c>
      <c r="K1482" s="68" t="b">
        <v>1</v>
      </c>
    </row>
    <row r="1483">
      <c r="A1483" s="75">
        <v>1477.0</v>
      </c>
      <c r="B1483" s="62" t="s">
        <v>755</v>
      </c>
      <c r="C1483" s="62" t="s">
        <v>90</v>
      </c>
      <c r="D1483" s="62" t="s">
        <v>912</v>
      </c>
      <c r="E1483" s="76">
        <v>44004.0</v>
      </c>
      <c r="F1483" s="77">
        <v>0.041666666666666664</v>
      </c>
      <c r="G1483" s="62" t="b">
        <v>1</v>
      </c>
      <c r="H1483" s="78" t="b">
        <f>IF(VLOOKUP(C1483,Projetos!A:L,12,false)=TRUE,TRUE,FALSE)</f>
        <v>1</v>
      </c>
      <c r="I1483" s="68">
        <v>20.684394051308537</v>
      </c>
      <c r="J1483" s="68">
        <f t="shared" si="1"/>
        <v>20.68439405</v>
      </c>
      <c r="K1483" s="68" t="b">
        <v>1</v>
      </c>
    </row>
    <row r="1484">
      <c r="A1484" s="75">
        <v>1478.0</v>
      </c>
      <c r="B1484" s="62" t="s">
        <v>755</v>
      </c>
      <c r="C1484" s="62" t="s">
        <v>101</v>
      </c>
      <c r="D1484" s="62" t="s">
        <v>913</v>
      </c>
      <c r="E1484" s="76">
        <v>44005.0</v>
      </c>
      <c r="F1484" s="77">
        <v>0.041666666666666664</v>
      </c>
      <c r="G1484" s="62" t="b">
        <v>1</v>
      </c>
      <c r="H1484" s="78" t="b">
        <f>IF(VLOOKUP(C1484,Projetos!A:L,12,false)=TRUE,TRUE,FALSE)</f>
        <v>1</v>
      </c>
      <c r="I1484" s="68">
        <v>20.684394051308537</v>
      </c>
      <c r="J1484" s="68">
        <f t="shared" si="1"/>
        <v>20.68439405</v>
      </c>
      <c r="K1484" s="68" t="b">
        <v>1</v>
      </c>
    </row>
    <row r="1485">
      <c r="A1485" s="75">
        <v>1479.0</v>
      </c>
      <c r="B1485" s="62" t="s">
        <v>755</v>
      </c>
      <c r="C1485" s="62" t="s">
        <v>101</v>
      </c>
      <c r="D1485" s="62" t="s">
        <v>914</v>
      </c>
      <c r="E1485" s="76">
        <v>44005.0</v>
      </c>
      <c r="F1485" s="77">
        <v>0.0625</v>
      </c>
      <c r="G1485" s="62" t="b">
        <v>1</v>
      </c>
      <c r="H1485" s="78" t="b">
        <f>IF(VLOOKUP(C1485,Projetos!A:L,12,false)=TRUE,TRUE,FALSE)</f>
        <v>1</v>
      </c>
      <c r="I1485" s="68">
        <v>20.684394051308537</v>
      </c>
      <c r="J1485" s="68">
        <f t="shared" si="1"/>
        <v>31.02659108</v>
      </c>
      <c r="K1485" s="68" t="b">
        <v>1</v>
      </c>
    </row>
    <row r="1486" hidden="1">
      <c r="A1486" s="75">
        <v>1480.0</v>
      </c>
      <c r="B1486" s="62" t="s">
        <v>755</v>
      </c>
      <c r="C1486" s="62" t="s">
        <v>109</v>
      </c>
      <c r="D1486" s="62" t="s">
        <v>915</v>
      </c>
      <c r="E1486" s="76">
        <v>44005.0</v>
      </c>
      <c r="F1486" s="77">
        <v>0.020833333333333332</v>
      </c>
      <c r="G1486" s="62" t="b">
        <v>0</v>
      </c>
      <c r="H1486" s="78" t="b">
        <f>IF(VLOOKUP(C1486,Projetos!A:L,12,false)=TRUE,TRUE,FALSE)</f>
        <v>0</v>
      </c>
      <c r="I1486" s="68">
        <v>20.684394051308537</v>
      </c>
      <c r="J1486" s="68">
        <f t="shared" si="1"/>
        <v>0</v>
      </c>
      <c r="K1486" s="68" t="b">
        <v>0</v>
      </c>
    </row>
    <row r="1487">
      <c r="A1487" s="75">
        <v>1481.0</v>
      </c>
      <c r="B1487" s="62" t="s">
        <v>755</v>
      </c>
      <c r="C1487" s="62" t="s">
        <v>90</v>
      </c>
      <c r="D1487" s="62" t="s">
        <v>916</v>
      </c>
      <c r="E1487" s="76">
        <v>44006.0</v>
      </c>
      <c r="F1487" s="77">
        <v>0.041666666666666664</v>
      </c>
      <c r="G1487" s="62" t="b">
        <v>1</v>
      </c>
      <c r="H1487" s="78" t="b">
        <f>IF(VLOOKUP(C1487,Projetos!A:L,12,false)=TRUE,TRUE,FALSE)</f>
        <v>1</v>
      </c>
      <c r="I1487" s="68">
        <v>20.684394051308537</v>
      </c>
      <c r="J1487" s="68">
        <f t="shared" si="1"/>
        <v>20.68439405</v>
      </c>
      <c r="K1487" s="68" t="b">
        <v>1</v>
      </c>
    </row>
    <row r="1488">
      <c r="A1488" s="75">
        <v>1482.0</v>
      </c>
      <c r="B1488" s="62" t="s">
        <v>755</v>
      </c>
      <c r="C1488" s="62" t="s">
        <v>90</v>
      </c>
      <c r="D1488" s="62" t="s">
        <v>897</v>
      </c>
      <c r="E1488" s="76">
        <v>44008.0</v>
      </c>
      <c r="F1488" s="77">
        <v>0.020833333333333332</v>
      </c>
      <c r="G1488" s="62" t="b">
        <v>1</v>
      </c>
      <c r="H1488" s="78" t="b">
        <f>IF(VLOOKUP(C1488,Projetos!A:L,12,false)=TRUE,TRUE,FALSE)</f>
        <v>1</v>
      </c>
      <c r="I1488" s="68">
        <v>20.684394051308537</v>
      </c>
      <c r="J1488" s="68">
        <f t="shared" si="1"/>
        <v>10.34219703</v>
      </c>
      <c r="K1488" s="68" t="b">
        <v>1</v>
      </c>
    </row>
    <row r="1489" hidden="1">
      <c r="A1489" s="75">
        <v>1483.0</v>
      </c>
      <c r="B1489" s="62" t="s">
        <v>755</v>
      </c>
      <c r="C1489" s="62" t="s">
        <v>109</v>
      </c>
      <c r="D1489" s="62" t="s">
        <v>917</v>
      </c>
      <c r="E1489" s="76">
        <v>44008.0</v>
      </c>
      <c r="F1489" s="77">
        <v>0.041666666666666664</v>
      </c>
      <c r="G1489" s="62" t="b">
        <v>0</v>
      </c>
      <c r="H1489" s="78" t="b">
        <f>IF(VLOOKUP(C1489,Projetos!A:L,12,false)=TRUE,TRUE,FALSE)</f>
        <v>0</v>
      </c>
      <c r="I1489" s="68">
        <v>20.684394051308537</v>
      </c>
      <c r="J1489" s="68">
        <f t="shared" si="1"/>
        <v>0</v>
      </c>
      <c r="K1489" s="68" t="b">
        <v>0</v>
      </c>
    </row>
    <row r="1490" hidden="1">
      <c r="A1490" s="75">
        <v>1484.0</v>
      </c>
      <c r="B1490" s="62" t="s">
        <v>755</v>
      </c>
      <c r="C1490" s="62" t="s">
        <v>109</v>
      </c>
      <c r="D1490" s="62" t="s">
        <v>918</v>
      </c>
      <c r="E1490" s="76">
        <v>44008.0</v>
      </c>
      <c r="F1490" s="77">
        <v>0.041666666666666664</v>
      </c>
      <c r="G1490" s="62" t="b">
        <v>0</v>
      </c>
      <c r="H1490" s="78" t="b">
        <f>IF(VLOOKUP(C1490,Projetos!A:L,12,false)=TRUE,TRUE,FALSE)</f>
        <v>0</v>
      </c>
      <c r="I1490" s="68">
        <v>20.684394051308537</v>
      </c>
      <c r="J1490" s="68">
        <f t="shared" si="1"/>
        <v>0</v>
      </c>
      <c r="K1490" s="68" t="b">
        <v>0</v>
      </c>
    </row>
    <row r="1491" hidden="1">
      <c r="A1491" s="75">
        <v>1485.0</v>
      </c>
      <c r="B1491" s="62" t="s">
        <v>755</v>
      </c>
      <c r="C1491" s="62" t="s">
        <v>97</v>
      </c>
      <c r="D1491" s="62" t="s">
        <v>919</v>
      </c>
      <c r="E1491" s="76">
        <v>44012.0</v>
      </c>
      <c r="F1491" s="77">
        <v>0.041666666666666664</v>
      </c>
      <c r="G1491" s="62" t="b">
        <v>0</v>
      </c>
      <c r="H1491" s="78" t="b">
        <f>IF(VLOOKUP(C1491,Projetos!A:L,12,false)=TRUE,TRUE,FALSE)</f>
        <v>1</v>
      </c>
      <c r="I1491" s="68">
        <v>20.684394051308537</v>
      </c>
      <c r="J1491" s="68">
        <f t="shared" si="1"/>
        <v>0</v>
      </c>
      <c r="K1491" s="68" t="b">
        <v>1</v>
      </c>
    </row>
    <row r="1492">
      <c r="A1492" s="75">
        <v>1486.0</v>
      </c>
      <c r="B1492" s="62" t="s">
        <v>755</v>
      </c>
      <c r="C1492" s="62" t="s">
        <v>97</v>
      </c>
      <c r="D1492" s="62" t="s">
        <v>920</v>
      </c>
      <c r="E1492" s="76">
        <v>44012.0</v>
      </c>
      <c r="F1492" s="77">
        <v>0.10416666666666667</v>
      </c>
      <c r="G1492" s="62" t="b">
        <v>1</v>
      </c>
      <c r="H1492" s="78" t="b">
        <f>IF(VLOOKUP(C1492,Projetos!A:L,12,false)=TRUE,TRUE,FALSE)</f>
        <v>1</v>
      </c>
      <c r="I1492" s="68">
        <v>20.684394051308537</v>
      </c>
      <c r="J1492" s="68">
        <f t="shared" si="1"/>
        <v>51.71098513</v>
      </c>
      <c r="K1492" s="68" t="b">
        <v>1</v>
      </c>
    </row>
    <row r="1493">
      <c r="A1493" s="75">
        <v>1487.0</v>
      </c>
      <c r="B1493" s="62" t="s">
        <v>755</v>
      </c>
      <c r="C1493" s="62" t="s">
        <v>90</v>
      </c>
      <c r="D1493" s="62" t="s">
        <v>921</v>
      </c>
      <c r="E1493" s="76">
        <v>44013.0</v>
      </c>
      <c r="F1493" s="77">
        <v>0.08333333333333333</v>
      </c>
      <c r="G1493" s="62" t="b">
        <v>1</v>
      </c>
      <c r="H1493" s="78" t="b">
        <f>IF(VLOOKUP(C1493,Projetos!A:L,12,false)=TRUE,TRUE,FALSE)</f>
        <v>1</v>
      </c>
      <c r="I1493" s="68">
        <v>21.669365196608947</v>
      </c>
      <c r="J1493" s="68">
        <f t="shared" si="1"/>
        <v>43.33873039</v>
      </c>
      <c r="K1493" s="68" t="b">
        <v>1</v>
      </c>
    </row>
    <row r="1494">
      <c r="A1494" s="75">
        <v>1488.0</v>
      </c>
      <c r="B1494" s="62" t="s">
        <v>755</v>
      </c>
      <c r="C1494" s="62" t="s">
        <v>98</v>
      </c>
      <c r="D1494" s="62" t="s">
        <v>922</v>
      </c>
      <c r="E1494" s="76">
        <v>44013.0</v>
      </c>
      <c r="F1494" s="77">
        <v>0.0625</v>
      </c>
      <c r="G1494" s="62" t="b">
        <v>1</v>
      </c>
      <c r="H1494" s="78" t="b">
        <f>IF(VLOOKUP(C1494,Projetos!A:L,12,false)=TRUE,TRUE,FALSE)</f>
        <v>1</v>
      </c>
      <c r="I1494" s="68">
        <v>21.669365196608947</v>
      </c>
      <c r="J1494" s="68">
        <f t="shared" si="1"/>
        <v>32.50404779</v>
      </c>
      <c r="K1494" s="68" t="b">
        <v>1</v>
      </c>
    </row>
    <row r="1495">
      <c r="A1495" s="75">
        <v>1489.0</v>
      </c>
      <c r="B1495" s="62" t="s">
        <v>755</v>
      </c>
      <c r="C1495" s="62" t="s">
        <v>98</v>
      </c>
      <c r="D1495" s="62" t="s">
        <v>923</v>
      </c>
      <c r="E1495" s="76">
        <v>44013.0</v>
      </c>
      <c r="F1495" s="77">
        <v>0.0625</v>
      </c>
      <c r="G1495" s="62" t="b">
        <v>1</v>
      </c>
      <c r="H1495" s="78" t="b">
        <f>IF(VLOOKUP(C1495,Projetos!A:L,12,false)=TRUE,TRUE,FALSE)</f>
        <v>1</v>
      </c>
      <c r="I1495" s="68">
        <v>21.669365196608947</v>
      </c>
      <c r="J1495" s="68">
        <f t="shared" si="1"/>
        <v>32.50404779</v>
      </c>
      <c r="K1495" s="68" t="b">
        <v>1</v>
      </c>
    </row>
    <row r="1496">
      <c r="A1496" s="75">
        <v>1490.0</v>
      </c>
      <c r="B1496" s="62" t="s">
        <v>755</v>
      </c>
      <c r="C1496" s="62" t="s">
        <v>90</v>
      </c>
      <c r="D1496" s="62" t="s">
        <v>924</v>
      </c>
      <c r="E1496" s="76">
        <v>44013.0</v>
      </c>
      <c r="F1496" s="77">
        <v>0.041666666666666664</v>
      </c>
      <c r="G1496" s="62" t="b">
        <v>1</v>
      </c>
      <c r="H1496" s="78" t="b">
        <f>IF(VLOOKUP(C1496,Projetos!A:L,12,false)=TRUE,TRUE,FALSE)</f>
        <v>1</v>
      </c>
      <c r="I1496" s="68">
        <v>21.669365196608947</v>
      </c>
      <c r="J1496" s="68">
        <f t="shared" si="1"/>
        <v>21.6693652</v>
      </c>
      <c r="K1496" s="68" t="b">
        <v>1</v>
      </c>
    </row>
    <row r="1497" hidden="1">
      <c r="A1497" s="75">
        <v>1491.0</v>
      </c>
      <c r="B1497" s="62" t="s">
        <v>755</v>
      </c>
      <c r="C1497" s="62" t="s">
        <v>102</v>
      </c>
      <c r="D1497" s="62" t="s">
        <v>925</v>
      </c>
      <c r="E1497" s="76">
        <v>44013.0</v>
      </c>
      <c r="F1497" s="77">
        <v>0.010416666666666666</v>
      </c>
      <c r="G1497" s="62" t="b">
        <v>0</v>
      </c>
      <c r="H1497" s="78" t="b">
        <f>IF(VLOOKUP(C1497,Projetos!A:L,12,false)=TRUE,TRUE,FALSE)</f>
        <v>0</v>
      </c>
      <c r="I1497" s="68">
        <v>21.669365196608947</v>
      </c>
      <c r="J1497" s="68">
        <f t="shared" si="1"/>
        <v>0</v>
      </c>
      <c r="K1497" s="68" t="b">
        <v>0</v>
      </c>
    </row>
    <row r="1498" hidden="1">
      <c r="A1498" s="75">
        <v>1492.0</v>
      </c>
      <c r="B1498" s="62" t="s">
        <v>755</v>
      </c>
      <c r="C1498" s="62" t="s">
        <v>109</v>
      </c>
      <c r="D1498" s="62" t="s">
        <v>926</v>
      </c>
      <c r="E1498" s="76">
        <v>44014.0</v>
      </c>
      <c r="F1498" s="77">
        <v>0.10416666666666667</v>
      </c>
      <c r="G1498" s="62" t="b">
        <v>0</v>
      </c>
      <c r="H1498" s="78" t="b">
        <f>IF(VLOOKUP(C1498,Projetos!A:L,12,false)=TRUE,TRUE,FALSE)</f>
        <v>0</v>
      </c>
      <c r="I1498" s="68">
        <v>21.669365196608947</v>
      </c>
      <c r="J1498" s="68">
        <f t="shared" si="1"/>
        <v>0</v>
      </c>
      <c r="K1498" s="68" t="b">
        <v>0</v>
      </c>
    </row>
    <row r="1499" hidden="1">
      <c r="A1499" s="75">
        <v>1493.0</v>
      </c>
      <c r="B1499" s="62" t="s">
        <v>755</v>
      </c>
      <c r="C1499" s="62" t="s">
        <v>109</v>
      </c>
      <c r="D1499" s="62" t="s">
        <v>927</v>
      </c>
      <c r="E1499" s="76">
        <v>44014.0</v>
      </c>
      <c r="F1499" s="77">
        <v>0.08333333333333333</v>
      </c>
      <c r="G1499" s="62" t="b">
        <v>0</v>
      </c>
      <c r="H1499" s="78" t="b">
        <f>IF(VLOOKUP(C1499,Projetos!A:L,12,false)=TRUE,TRUE,FALSE)</f>
        <v>0</v>
      </c>
      <c r="I1499" s="68">
        <v>21.669365196608947</v>
      </c>
      <c r="J1499" s="68">
        <f t="shared" si="1"/>
        <v>0</v>
      </c>
      <c r="K1499" s="68" t="b">
        <v>0</v>
      </c>
    </row>
    <row r="1500" hidden="1">
      <c r="A1500" s="75">
        <v>1494.0</v>
      </c>
      <c r="B1500" s="62" t="s">
        <v>755</v>
      </c>
      <c r="C1500" s="62" t="s">
        <v>102</v>
      </c>
      <c r="D1500" s="62" t="s">
        <v>928</v>
      </c>
      <c r="E1500" s="76">
        <v>44015.0</v>
      </c>
      <c r="F1500" s="77">
        <v>0.041666666666666664</v>
      </c>
      <c r="G1500" s="62" t="b">
        <v>0</v>
      </c>
      <c r="H1500" s="78" t="b">
        <f>IF(VLOOKUP(C1500,Projetos!A:L,12,false)=TRUE,TRUE,FALSE)</f>
        <v>0</v>
      </c>
      <c r="I1500" s="68">
        <v>21.669365196608947</v>
      </c>
      <c r="J1500" s="68">
        <f t="shared" si="1"/>
        <v>0</v>
      </c>
      <c r="K1500" s="68" t="b">
        <v>0</v>
      </c>
    </row>
    <row r="1501">
      <c r="A1501" s="75">
        <v>1495.0</v>
      </c>
      <c r="B1501" s="62" t="s">
        <v>755</v>
      </c>
      <c r="C1501" s="62" t="s">
        <v>90</v>
      </c>
      <c r="D1501" s="62" t="s">
        <v>929</v>
      </c>
      <c r="E1501" s="76">
        <v>44015.0</v>
      </c>
      <c r="F1501" s="77">
        <v>0.125</v>
      </c>
      <c r="G1501" s="62" t="b">
        <v>1</v>
      </c>
      <c r="H1501" s="78" t="b">
        <f>IF(VLOOKUP(C1501,Projetos!A:L,12,false)=TRUE,TRUE,FALSE)</f>
        <v>1</v>
      </c>
      <c r="I1501" s="68">
        <v>21.669365196608947</v>
      </c>
      <c r="J1501" s="68">
        <f t="shared" si="1"/>
        <v>65.00809559</v>
      </c>
      <c r="K1501" s="68" t="b">
        <v>1</v>
      </c>
    </row>
    <row r="1502">
      <c r="A1502" s="75">
        <v>1496.0</v>
      </c>
      <c r="B1502" s="62" t="s">
        <v>755</v>
      </c>
      <c r="C1502" s="62" t="s">
        <v>90</v>
      </c>
      <c r="D1502" s="62" t="s">
        <v>930</v>
      </c>
      <c r="E1502" s="76">
        <v>44018.0</v>
      </c>
      <c r="F1502" s="77">
        <v>0.08333333333333333</v>
      </c>
      <c r="G1502" s="62" t="b">
        <v>1</v>
      </c>
      <c r="H1502" s="78" t="b">
        <f>IF(VLOOKUP(C1502,Projetos!A:L,12,false)=TRUE,TRUE,FALSE)</f>
        <v>1</v>
      </c>
      <c r="I1502" s="68">
        <v>21.669365196608947</v>
      </c>
      <c r="J1502" s="68">
        <f t="shared" si="1"/>
        <v>43.33873039</v>
      </c>
      <c r="K1502" s="68" t="b">
        <v>1</v>
      </c>
    </row>
    <row r="1503">
      <c r="A1503" s="75">
        <v>1497.0</v>
      </c>
      <c r="B1503" s="62" t="s">
        <v>755</v>
      </c>
      <c r="C1503" s="62" t="s">
        <v>90</v>
      </c>
      <c r="D1503" s="62" t="s">
        <v>931</v>
      </c>
      <c r="E1503" s="76">
        <v>44018.0</v>
      </c>
      <c r="F1503" s="77">
        <v>0.020833333333333332</v>
      </c>
      <c r="G1503" s="62" t="b">
        <v>1</v>
      </c>
      <c r="H1503" s="78" t="b">
        <f>IF(VLOOKUP(C1503,Projetos!A:L,12,false)=TRUE,TRUE,FALSE)</f>
        <v>1</v>
      </c>
      <c r="I1503" s="68">
        <v>21.669365196608947</v>
      </c>
      <c r="J1503" s="68">
        <f t="shared" si="1"/>
        <v>10.8346826</v>
      </c>
      <c r="K1503" s="68" t="b">
        <v>1</v>
      </c>
    </row>
    <row r="1504" hidden="1">
      <c r="A1504" s="75">
        <v>1498.0</v>
      </c>
      <c r="B1504" s="62" t="s">
        <v>755</v>
      </c>
      <c r="C1504" s="62" t="s">
        <v>109</v>
      </c>
      <c r="D1504" s="62" t="s">
        <v>932</v>
      </c>
      <c r="E1504" s="76">
        <v>44018.0</v>
      </c>
      <c r="F1504" s="77">
        <v>0.08333333333333333</v>
      </c>
      <c r="G1504" s="62" t="b">
        <v>0</v>
      </c>
      <c r="H1504" s="78" t="b">
        <f>IF(VLOOKUP(C1504,Projetos!A:L,12,false)=TRUE,TRUE,FALSE)</f>
        <v>0</v>
      </c>
      <c r="I1504" s="68">
        <v>21.669365196608947</v>
      </c>
      <c r="J1504" s="68">
        <f t="shared" si="1"/>
        <v>0</v>
      </c>
      <c r="K1504" s="68" t="b">
        <v>0</v>
      </c>
    </row>
    <row r="1505" hidden="1">
      <c r="A1505" s="75">
        <v>1499.0</v>
      </c>
      <c r="B1505" s="62" t="s">
        <v>755</v>
      </c>
      <c r="C1505" s="62" t="s">
        <v>109</v>
      </c>
      <c r="D1505" s="62" t="s">
        <v>933</v>
      </c>
      <c r="E1505" s="76">
        <v>44018.0</v>
      </c>
      <c r="F1505" s="77">
        <v>0.041666666666666664</v>
      </c>
      <c r="G1505" s="62" t="b">
        <v>0</v>
      </c>
      <c r="H1505" s="78" t="b">
        <f>IF(VLOOKUP(C1505,Projetos!A:L,12,false)=TRUE,TRUE,FALSE)</f>
        <v>0</v>
      </c>
      <c r="I1505" s="68">
        <v>21.669365196608947</v>
      </c>
      <c r="J1505" s="68">
        <f t="shared" si="1"/>
        <v>0</v>
      </c>
      <c r="K1505" s="68" t="b">
        <v>0</v>
      </c>
    </row>
    <row r="1506" hidden="1">
      <c r="A1506" s="75">
        <v>1500.0</v>
      </c>
      <c r="B1506" s="62" t="s">
        <v>755</v>
      </c>
      <c r="C1506" s="62" t="s">
        <v>109</v>
      </c>
      <c r="D1506" s="62" t="s">
        <v>934</v>
      </c>
      <c r="E1506" s="76">
        <v>44018.0</v>
      </c>
      <c r="F1506" s="77">
        <v>0.125</v>
      </c>
      <c r="G1506" s="62" t="b">
        <v>0</v>
      </c>
      <c r="H1506" s="78" t="b">
        <f>IF(VLOOKUP(C1506,Projetos!A:L,12,false)=TRUE,TRUE,FALSE)</f>
        <v>0</v>
      </c>
      <c r="I1506" s="68">
        <v>21.669365196608947</v>
      </c>
      <c r="J1506" s="68">
        <f t="shared" si="1"/>
        <v>0</v>
      </c>
      <c r="K1506" s="68" t="b">
        <v>0</v>
      </c>
    </row>
    <row r="1507">
      <c r="A1507" s="75">
        <v>1501.0</v>
      </c>
      <c r="B1507" s="62" t="s">
        <v>755</v>
      </c>
      <c r="C1507" s="62" t="s">
        <v>90</v>
      </c>
      <c r="D1507" s="62" t="s">
        <v>874</v>
      </c>
      <c r="E1507" s="76">
        <v>44019.0</v>
      </c>
      <c r="F1507" s="77">
        <v>0.041666666666666664</v>
      </c>
      <c r="G1507" s="62" t="b">
        <v>1</v>
      </c>
      <c r="H1507" s="78" t="b">
        <f>IF(VLOOKUP(C1507,Projetos!A:L,12,false)=TRUE,TRUE,FALSE)</f>
        <v>1</v>
      </c>
      <c r="I1507" s="68">
        <v>21.669365196608947</v>
      </c>
      <c r="J1507" s="68">
        <f t="shared" si="1"/>
        <v>21.6693652</v>
      </c>
      <c r="K1507" s="68" t="b">
        <v>1</v>
      </c>
    </row>
    <row r="1508" hidden="1">
      <c r="A1508" s="75">
        <v>1502.0</v>
      </c>
      <c r="B1508" s="62" t="s">
        <v>755</v>
      </c>
      <c r="C1508" s="62" t="s">
        <v>109</v>
      </c>
      <c r="D1508" s="62" t="s">
        <v>935</v>
      </c>
      <c r="E1508" s="76">
        <v>44020.0</v>
      </c>
      <c r="F1508" s="77">
        <v>0.041666666666666664</v>
      </c>
      <c r="G1508" s="62" t="b">
        <v>0</v>
      </c>
      <c r="H1508" s="78" t="b">
        <f>IF(VLOOKUP(C1508,Projetos!A:L,12,false)=TRUE,TRUE,FALSE)</f>
        <v>0</v>
      </c>
      <c r="I1508" s="68">
        <v>21.669365196608947</v>
      </c>
      <c r="J1508" s="68">
        <f t="shared" si="1"/>
        <v>0</v>
      </c>
      <c r="K1508" s="68" t="b">
        <v>0</v>
      </c>
    </row>
    <row r="1509" hidden="1">
      <c r="A1509" s="75">
        <v>1503.0</v>
      </c>
      <c r="B1509" s="62" t="s">
        <v>755</v>
      </c>
      <c r="C1509" s="62" t="s">
        <v>109</v>
      </c>
      <c r="D1509" s="62" t="s">
        <v>936</v>
      </c>
      <c r="E1509" s="76">
        <v>44020.0</v>
      </c>
      <c r="F1509" s="77">
        <v>0.041666666666666664</v>
      </c>
      <c r="G1509" s="62" t="b">
        <v>0</v>
      </c>
      <c r="H1509" s="78" t="b">
        <f>IF(VLOOKUP(C1509,Projetos!A:L,12,false)=TRUE,TRUE,FALSE)</f>
        <v>0</v>
      </c>
      <c r="I1509" s="68">
        <v>21.669365196608947</v>
      </c>
      <c r="J1509" s="68">
        <f t="shared" si="1"/>
        <v>0</v>
      </c>
      <c r="K1509" s="68" t="b">
        <v>0</v>
      </c>
    </row>
    <row r="1510">
      <c r="A1510" s="75">
        <v>1504.0</v>
      </c>
      <c r="B1510" s="62" t="s">
        <v>755</v>
      </c>
      <c r="C1510" s="62" t="s">
        <v>110</v>
      </c>
      <c r="D1510" s="62" t="s">
        <v>937</v>
      </c>
      <c r="E1510" s="76">
        <v>44021.0</v>
      </c>
      <c r="F1510" s="77">
        <v>0.041666666666666664</v>
      </c>
      <c r="G1510" s="62" t="b">
        <v>1</v>
      </c>
      <c r="H1510" s="78" t="b">
        <f>IF(VLOOKUP(C1510,Projetos!A:L,12,false)=TRUE,TRUE,FALSE)</f>
        <v>1</v>
      </c>
      <c r="I1510" s="68">
        <v>21.669365196608947</v>
      </c>
      <c r="J1510" s="68">
        <f t="shared" si="1"/>
        <v>21.6693652</v>
      </c>
      <c r="K1510" s="68" t="b">
        <v>1</v>
      </c>
    </row>
    <row r="1511" hidden="1">
      <c r="A1511" s="75">
        <v>1505.0</v>
      </c>
      <c r="B1511" s="62" t="s">
        <v>755</v>
      </c>
      <c r="C1511" s="62" t="s">
        <v>109</v>
      </c>
      <c r="D1511" s="62" t="s">
        <v>938</v>
      </c>
      <c r="E1511" s="76">
        <v>44022.0</v>
      </c>
      <c r="F1511" s="77">
        <v>0.16666666666666666</v>
      </c>
      <c r="G1511" s="62" t="b">
        <v>0</v>
      </c>
      <c r="H1511" s="78" t="b">
        <f>IF(VLOOKUP(C1511,Projetos!A:L,12,false)=TRUE,TRUE,FALSE)</f>
        <v>0</v>
      </c>
      <c r="I1511" s="68">
        <v>21.669365196608947</v>
      </c>
      <c r="J1511" s="68">
        <f t="shared" si="1"/>
        <v>0</v>
      </c>
      <c r="K1511" s="68" t="b">
        <v>0</v>
      </c>
    </row>
    <row r="1512">
      <c r="A1512" s="75">
        <v>1506.0</v>
      </c>
      <c r="B1512" s="62" t="s">
        <v>755</v>
      </c>
      <c r="C1512" s="62" t="s">
        <v>115</v>
      </c>
      <c r="D1512" s="62" t="s">
        <v>939</v>
      </c>
      <c r="E1512" s="76">
        <v>44022.0</v>
      </c>
      <c r="F1512" s="77">
        <v>0.041666666666666664</v>
      </c>
      <c r="G1512" s="62" t="b">
        <v>1</v>
      </c>
      <c r="H1512" s="78" t="b">
        <f>IF(VLOOKUP(C1512,Projetos!A:L,12,false)=TRUE,TRUE,FALSE)</f>
        <v>1</v>
      </c>
      <c r="I1512" s="68">
        <v>21.669365196608947</v>
      </c>
      <c r="J1512" s="68">
        <f t="shared" si="1"/>
        <v>21.6693652</v>
      </c>
      <c r="K1512" s="68" t="b">
        <v>1</v>
      </c>
    </row>
    <row r="1513" hidden="1">
      <c r="A1513" s="75">
        <v>1507.0</v>
      </c>
      <c r="B1513" s="62" t="s">
        <v>755</v>
      </c>
      <c r="C1513" s="62" t="s">
        <v>109</v>
      </c>
      <c r="D1513" s="62" t="s">
        <v>940</v>
      </c>
      <c r="E1513" s="76">
        <v>44022.0</v>
      </c>
      <c r="F1513" s="77">
        <v>0.14583333333333334</v>
      </c>
      <c r="G1513" s="62" t="b">
        <v>0</v>
      </c>
      <c r="H1513" s="78" t="b">
        <f>IF(VLOOKUP(C1513,Projetos!A:L,12,false)=TRUE,TRUE,FALSE)</f>
        <v>0</v>
      </c>
      <c r="I1513" s="68">
        <v>21.669365196608947</v>
      </c>
      <c r="J1513" s="68">
        <f t="shared" si="1"/>
        <v>0</v>
      </c>
      <c r="K1513" s="68" t="b">
        <v>0</v>
      </c>
    </row>
    <row r="1514" hidden="1">
      <c r="A1514" s="75">
        <v>1508.0</v>
      </c>
      <c r="B1514" s="62" t="s">
        <v>755</v>
      </c>
      <c r="C1514" s="62" t="s">
        <v>109</v>
      </c>
      <c r="D1514" s="62" t="s">
        <v>941</v>
      </c>
      <c r="E1514" s="76">
        <v>44025.0</v>
      </c>
      <c r="F1514" s="77">
        <v>0.041666666666666664</v>
      </c>
      <c r="G1514" s="62" t="b">
        <v>0</v>
      </c>
      <c r="H1514" s="78" t="b">
        <f>IF(VLOOKUP(C1514,Projetos!A:L,12,false)=TRUE,TRUE,FALSE)</f>
        <v>0</v>
      </c>
      <c r="I1514" s="68">
        <v>21.669365196608947</v>
      </c>
      <c r="J1514" s="68">
        <f t="shared" si="1"/>
        <v>0</v>
      </c>
      <c r="K1514" s="68" t="b">
        <v>0</v>
      </c>
    </row>
    <row r="1515" hidden="1">
      <c r="A1515" s="75">
        <v>1509.0</v>
      </c>
      <c r="B1515" s="62" t="s">
        <v>755</v>
      </c>
      <c r="C1515" s="62" t="s">
        <v>109</v>
      </c>
      <c r="D1515" s="62" t="s">
        <v>942</v>
      </c>
      <c r="E1515" s="76">
        <v>44026.0</v>
      </c>
      <c r="F1515" s="77">
        <v>0.0625</v>
      </c>
      <c r="G1515" s="62" t="b">
        <v>0</v>
      </c>
      <c r="H1515" s="78" t="b">
        <f>IF(VLOOKUP(C1515,Projetos!A:L,12,false)=TRUE,TRUE,FALSE)</f>
        <v>0</v>
      </c>
      <c r="I1515" s="68">
        <v>21.669365196608947</v>
      </c>
      <c r="J1515" s="68">
        <f t="shared" si="1"/>
        <v>0</v>
      </c>
      <c r="K1515" s="68" t="b">
        <v>0</v>
      </c>
    </row>
    <row r="1516">
      <c r="A1516" s="75">
        <v>1510.0</v>
      </c>
      <c r="B1516" s="62" t="s">
        <v>755</v>
      </c>
      <c r="C1516" s="62" t="s">
        <v>115</v>
      </c>
      <c r="D1516" s="62" t="s">
        <v>943</v>
      </c>
      <c r="E1516" s="76">
        <v>44026.0</v>
      </c>
      <c r="F1516" s="77">
        <v>0.041666666666666664</v>
      </c>
      <c r="G1516" s="62" t="b">
        <v>1</v>
      </c>
      <c r="H1516" s="78" t="b">
        <f>IF(VLOOKUP(C1516,Projetos!A:L,12,false)=TRUE,TRUE,FALSE)</f>
        <v>1</v>
      </c>
      <c r="I1516" s="68">
        <v>21.669365196608947</v>
      </c>
      <c r="J1516" s="68">
        <f t="shared" si="1"/>
        <v>21.6693652</v>
      </c>
      <c r="K1516" s="68" t="b">
        <v>1</v>
      </c>
    </row>
    <row r="1517">
      <c r="A1517" s="75">
        <v>1511.0</v>
      </c>
      <c r="B1517" s="62" t="s">
        <v>755</v>
      </c>
      <c r="C1517" s="62" t="s">
        <v>90</v>
      </c>
      <c r="D1517" s="62" t="s">
        <v>944</v>
      </c>
      <c r="E1517" s="76">
        <v>44026.0</v>
      </c>
      <c r="F1517" s="77">
        <v>0.041666666666666664</v>
      </c>
      <c r="G1517" s="62" t="b">
        <v>1</v>
      </c>
      <c r="H1517" s="78" t="b">
        <f>IF(VLOOKUP(C1517,Projetos!A:L,12,false)=TRUE,TRUE,FALSE)</f>
        <v>1</v>
      </c>
      <c r="I1517" s="68">
        <v>21.669365196608947</v>
      </c>
      <c r="J1517" s="68">
        <f t="shared" si="1"/>
        <v>21.6693652</v>
      </c>
      <c r="K1517" s="68" t="b">
        <v>1</v>
      </c>
    </row>
    <row r="1518">
      <c r="A1518" s="75">
        <v>1512.0</v>
      </c>
      <c r="B1518" s="62" t="s">
        <v>755</v>
      </c>
      <c r="C1518" s="62" t="s">
        <v>90</v>
      </c>
      <c r="D1518" s="62" t="s">
        <v>945</v>
      </c>
      <c r="E1518" s="76">
        <v>44026.0</v>
      </c>
      <c r="F1518" s="77">
        <v>0.041666666666666664</v>
      </c>
      <c r="G1518" s="62" t="b">
        <v>1</v>
      </c>
      <c r="H1518" s="78" t="b">
        <f>IF(VLOOKUP(C1518,Projetos!A:L,12,false)=TRUE,TRUE,FALSE)</f>
        <v>1</v>
      </c>
      <c r="I1518" s="68">
        <v>21.669365196608947</v>
      </c>
      <c r="J1518" s="68">
        <f t="shared" si="1"/>
        <v>21.6693652</v>
      </c>
      <c r="K1518" s="68" t="b">
        <v>1</v>
      </c>
    </row>
    <row r="1519">
      <c r="A1519" s="75">
        <v>1513.0</v>
      </c>
      <c r="B1519" s="62" t="s">
        <v>755</v>
      </c>
      <c r="C1519" s="62" t="s">
        <v>90</v>
      </c>
      <c r="D1519" s="62" t="s">
        <v>946</v>
      </c>
      <c r="E1519" s="76">
        <v>44026.0</v>
      </c>
      <c r="F1519" s="77">
        <v>0.041666666666666664</v>
      </c>
      <c r="G1519" s="62" t="b">
        <v>1</v>
      </c>
      <c r="H1519" s="78" t="b">
        <f>IF(VLOOKUP(C1519,Projetos!A:L,12,false)=TRUE,TRUE,FALSE)</f>
        <v>1</v>
      </c>
      <c r="I1519" s="68">
        <v>21.669365196608947</v>
      </c>
      <c r="J1519" s="68">
        <f t="shared" si="1"/>
        <v>21.6693652</v>
      </c>
      <c r="K1519" s="68" t="b">
        <v>1</v>
      </c>
    </row>
    <row r="1520">
      <c r="A1520" s="75">
        <v>1514.0</v>
      </c>
      <c r="B1520" s="62" t="s">
        <v>755</v>
      </c>
      <c r="C1520" s="62" t="s">
        <v>90</v>
      </c>
      <c r="D1520" s="62" t="s">
        <v>947</v>
      </c>
      <c r="E1520" s="76">
        <v>44026.0</v>
      </c>
      <c r="F1520" s="77">
        <v>0.041666666666666664</v>
      </c>
      <c r="G1520" s="62" t="b">
        <v>1</v>
      </c>
      <c r="H1520" s="78" t="b">
        <f>IF(VLOOKUP(C1520,Projetos!A:L,12,false)=TRUE,TRUE,FALSE)</f>
        <v>1</v>
      </c>
      <c r="I1520" s="68">
        <v>21.669365196608947</v>
      </c>
      <c r="J1520" s="68">
        <f t="shared" si="1"/>
        <v>21.6693652</v>
      </c>
      <c r="K1520" s="68" t="b">
        <v>1</v>
      </c>
    </row>
    <row r="1521">
      <c r="A1521" s="75">
        <v>1515.0</v>
      </c>
      <c r="B1521" s="62" t="s">
        <v>755</v>
      </c>
      <c r="C1521" s="62" t="s">
        <v>90</v>
      </c>
      <c r="D1521" s="62" t="s">
        <v>874</v>
      </c>
      <c r="E1521" s="76">
        <v>44026.0</v>
      </c>
      <c r="F1521" s="77">
        <v>0.041666666666666664</v>
      </c>
      <c r="G1521" s="62" t="b">
        <v>1</v>
      </c>
      <c r="H1521" s="78" t="b">
        <f>IF(VLOOKUP(C1521,Projetos!A:L,12,false)=TRUE,TRUE,FALSE)</f>
        <v>1</v>
      </c>
      <c r="I1521" s="68">
        <v>21.669365196608947</v>
      </c>
      <c r="J1521" s="68">
        <f t="shared" si="1"/>
        <v>21.6693652</v>
      </c>
      <c r="K1521" s="68" t="b">
        <v>1</v>
      </c>
    </row>
    <row r="1522">
      <c r="A1522" s="75">
        <v>1516.0</v>
      </c>
      <c r="B1522" s="62" t="s">
        <v>755</v>
      </c>
      <c r="C1522" s="62" t="s">
        <v>115</v>
      </c>
      <c r="D1522" s="62" t="s">
        <v>948</v>
      </c>
      <c r="E1522" s="76">
        <v>44027.0</v>
      </c>
      <c r="F1522" s="77">
        <v>0.08333333333333333</v>
      </c>
      <c r="G1522" s="62" t="b">
        <v>1</v>
      </c>
      <c r="H1522" s="78" t="b">
        <f>IF(VLOOKUP(C1522,Projetos!A:L,12,false)=TRUE,TRUE,FALSE)</f>
        <v>1</v>
      </c>
      <c r="I1522" s="68">
        <v>21.669365196608947</v>
      </c>
      <c r="J1522" s="68">
        <f t="shared" si="1"/>
        <v>43.33873039</v>
      </c>
      <c r="K1522" s="68" t="b">
        <v>1</v>
      </c>
    </row>
    <row r="1523">
      <c r="A1523" s="75">
        <v>1517.0</v>
      </c>
      <c r="B1523" s="62" t="s">
        <v>755</v>
      </c>
      <c r="C1523" s="62" t="s">
        <v>90</v>
      </c>
      <c r="D1523" s="62" t="s">
        <v>949</v>
      </c>
      <c r="E1523" s="76">
        <v>44027.0</v>
      </c>
      <c r="F1523" s="77">
        <v>0.041666666666666664</v>
      </c>
      <c r="G1523" s="62" t="b">
        <v>1</v>
      </c>
      <c r="H1523" s="78" t="b">
        <f>IF(VLOOKUP(C1523,Projetos!A:L,12,false)=TRUE,TRUE,FALSE)</f>
        <v>1</v>
      </c>
      <c r="I1523" s="68">
        <v>21.669365196608947</v>
      </c>
      <c r="J1523" s="68">
        <f t="shared" si="1"/>
        <v>21.6693652</v>
      </c>
      <c r="K1523" s="68" t="b">
        <v>1</v>
      </c>
    </row>
    <row r="1524">
      <c r="A1524" s="75">
        <v>1518.0</v>
      </c>
      <c r="B1524" s="62" t="s">
        <v>755</v>
      </c>
      <c r="C1524" s="62" t="s">
        <v>90</v>
      </c>
      <c r="D1524" s="62" t="s">
        <v>950</v>
      </c>
      <c r="E1524" s="76">
        <v>44027.0</v>
      </c>
      <c r="F1524" s="77">
        <v>0.041666666666666664</v>
      </c>
      <c r="G1524" s="62" t="b">
        <v>1</v>
      </c>
      <c r="H1524" s="78" t="b">
        <f>IF(VLOOKUP(C1524,Projetos!A:L,12,false)=TRUE,TRUE,FALSE)</f>
        <v>1</v>
      </c>
      <c r="I1524" s="68">
        <v>21.669365196608947</v>
      </c>
      <c r="J1524" s="68">
        <f t="shared" si="1"/>
        <v>21.6693652</v>
      </c>
      <c r="K1524" s="68" t="b">
        <v>1</v>
      </c>
    </row>
    <row r="1525">
      <c r="A1525" s="75">
        <v>1519.0</v>
      </c>
      <c r="B1525" s="62" t="s">
        <v>755</v>
      </c>
      <c r="C1525" s="62" t="s">
        <v>90</v>
      </c>
      <c r="D1525" s="62" t="s">
        <v>951</v>
      </c>
      <c r="E1525" s="76">
        <v>44027.0</v>
      </c>
      <c r="F1525" s="77">
        <v>0.16666666666666666</v>
      </c>
      <c r="G1525" s="62" t="b">
        <v>1</v>
      </c>
      <c r="H1525" s="78" t="b">
        <f>IF(VLOOKUP(C1525,Projetos!A:L,12,false)=TRUE,TRUE,FALSE)</f>
        <v>1</v>
      </c>
      <c r="I1525" s="68">
        <v>21.669365196608947</v>
      </c>
      <c r="J1525" s="68">
        <f t="shared" si="1"/>
        <v>86.67746079</v>
      </c>
      <c r="K1525" s="68" t="b">
        <v>1</v>
      </c>
    </row>
    <row r="1526">
      <c r="A1526" s="75">
        <v>1520.0</v>
      </c>
      <c r="B1526" s="62" t="s">
        <v>755</v>
      </c>
      <c r="C1526" s="62" t="s">
        <v>90</v>
      </c>
      <c r="D1526" s="62" t="s">
        <v>952</v>
      </c>
      <c r="E1526" s="76">
        <v>44028.0</v>
      </c>
      <c r="F1526" s="77">
        <v>0.041666666666666664</v>
      </c>
      <c r="G1526" s="62" t="b">
        <v>1</v>
      </c>
      <c r="H1526" s="78" t="b">
        <f>IF(VLOOKUP(C1526,Projetos!A:L,12,false)=TRUE,TRUE,FALSE)</f>
        <v>1</v>
      </c>
      <c r="I1526" s="68">
        <v>21.669365196608947</v>
      </c>
      <c r="J1526" s="68">
        <f t="shared" si="1"/>
        <v>21.6693652</v>
      </c>
      <c r="K1526" s="68" t="b">
        <v>1</v>
      </c>
    </row>
    <row r="1527">
      <c r="A1527" s="75">
        <v>1521.0</v>
      </c>
      <c r="B1527" s="62" t="s">
        <v>755</v>
      </c>
      <c r="C1527" s="62" t="s">
        <v>90</v>
      </c>
      <c r="D1527" s="62" t="s">
        <v>953</v>
      </c>
      <c r="E1527" s="76">
        <v>44028.0</v>
      </c>
      <c r="F1527" s="77">
        <v>0.08333333333333333</v>
      </c>
      <c r="G1527" s="62" t="b">
        <v>1</v>
      </c>
      <c r="H1527" s="78" t="b">
        <f>IF(VLOOKUP(C1527,Projetos!A:L,12,false)=TRUE,TRUE,FALSE)</f>
        <v>1</v>
      </c>
      <c r="I1527" s="68">
        <v>21.669365196608947</v>
      </c>
      <c r="J1527" s="68">
        <f t="shared" si="1"/>
        <v>43.33873039</v>
      </c>
      <c r="K1527" s="68" t="b">
        <v>1</v>
      </c>
    </row>
    <row r="1528">
      <c r="A1528" s="75">
        <v>1522.0</v>
      </c>
      <c r="B1528" s="62" t="s">
        <v>755</v>
      </c>
      <c r="C1528" s="62" t="s">
        <v>90</v>
      </c>
      <c r="D1528" s="62" t="s">
        <v>954</v>
      </c>
      <c r="E1528" s="76">
        <v>44028.0</v>
      </c>
      <c r="F1528" s="77">
        <v>0.041666666666666664</v>
      </c>
      <c r="G1528" s="62" t="b">
        <v>1</v>
      </c>
      <c r="H1528" s="78" t="b">
        <f>IF(VLOOKUP(C1528,Projetos!A:L,12,false)=TRUE,TRUE,FALSE)</f>
        <v>1</v>
      </c>
      <c r="I1528" s="68">
        <v>21.669365196608947</v>
      </c>
      <c r="J1528" s="68">
        <f t="shared" si="1"/>
        <v>21.6693652</v>
      </c>
      <c r="K1528" s="68" t="b">
        <v>1</v>
      </c>
    </row>
    <row r="1529" hidden="1">
      <c r="A1529" s="75">
        <v>1523.0</v>
      </c>
      <c r="B1529" s="62" t="s">
        <v>755</v>
      </c>
      <c r="C1529" s="62" t="s">
        <v>109</v>
      </c>
      <c r="D1529" s="62" t="s">
        <v>955</v>
      </c>
      <c r="E1529" s="76">
        <v>44028.0</v>
      </c>
      <c r="F1529" s="77">
        <v>0.041666666666666664</v>
      </c>
      <c r="G1529" s="62" t="b">
        <v>0</v>
      </c>
      <c r="H1529" s="78" t="b">
        <f>IF(VLOOKUP(C1529,Projetos!A:L,12,false)=TRUE,TRUE,FALSE)</f>
        <v>0</v>
      </c>
      <c r="I1529" s="68">
        <v>21.669365196608947</v>
      </c>
      <c r="J1529" s="68">
        <f t="shared" si="1"/>
        <v>0</v>
      </c>
      <c r="K1529" s="68" t="b">
        <v>0</v>
      </c>
    </row>
    <row r="1530">
      <c r="A1530" s="75">
        <v>1524.0</v>
      </c>
      <c r="B1530" s="62" t="s">
        <v>755</v>
      </c>
      <c r="C1530" s="62" t="s">
        <v>104</v>
      </c>
      <c r="D1530" s="62" t="s">
        <v>956</v>
      </c>
      <c r="E1530" s="76">
        <v>44029.0</v>
      </c>
      <c r="F1530" s="77">
        <v>0.041666666666666664</v>
      </c>
      <c r="G1530" s="62" t="b">
        <v>1</v>
      </c>
      <c r="H1530" s="78" t="b">
        <f>IF(VLOOKUP(C1530,Projetos!A:L,12,false)=TRUE,TRUE,FALSE)</f>
        <v>1</v>
      </c>
      <c r="I1530" s="68">
        <v>21.669365196608947</v>
      </c>
      <c r="J1530" s="68">
        <f t="shared" si="1"/>
        <v>21.6693652</v>
      </c>
      <c r="K1530" s="68" t="b">
        <v>1</v>
      </c>
    </row>
    <row r="1531">
      <c r="A1531" s="75">
        <v>1525.0</v>
      </c>
      <c r="B1531" s="62" t="s">
        <v>755</v>
      </c>
      <c r="C1531" s="62" t="s">
        <v>90</v>
      </c>
      <c r="D1531" s="62" t="s">
        <v>957</v>
      </c>
      <c r="E1531" s="76">
        <v>44029.0</v>
      </c>
      <c r="F1531" s="77">
        <v>0.125</v>
      </c>
      <c r="G1531" s="62" t="b">
        <v>1</v>
      </c>
      <c r="H1531" s="78" t="b">
        <f>IF(VLOOKUP(C1531,Projetos!A:L,12,false)=TRUE,TRUE,FALSE)</f>
        <v>1</v>
      </c>
      <c r="I1531" s="68">
        <v>21.669365196608947</v>
      </c>
      <c r="J1531" s="68">
        <f t="shared" si="1"/>
        <v>65.00809559</v>
      </c>
      <c r="K1531" s="68" t="b">
        <v>1</v>
      </c>
    </row>
    <row r="1532">
      <c r="A1532" s="75">
        <v>1526.0</v>
      </c>
      <c r="B1532" s="62" t="s">
        <v>755</v>
      </c>
      <c r="C1532" s="62" t="s">
        <v>98</v>
      </c>
      <c r="D1532" s="62" t="s">
        <v>958</v>
      </c>
      <c r="E1532" s="76">
        <v>44029.0</v>
      </c>
      <c r="F1532" s="77">
        <v>0.08333333333333333</v>
      </c>
      <c r="G1532" s="62" t="b">
        <v>1</v>
      </c>
      <c r="H1532" s="78" t="b">
        <f>IF(VLOOKUP(C1532,Projetos!A:L,12,false)=TRUE,TRUE,FALSE)</f>
        <v>1</v>
      </c>
      <c r="I1532" s="68">
        <v>21.669365196608947</v>
      </c>
      <c r="J1532" s="68">
        <f t="shared" si="1"/>
        <v>43.33873039</v>
      </c>
      <c r="K1532" s="68" t="b">
        <v>1</v>
      </c>
    </row>
    <row r="1533">
      <c r="A1533" s="75">
        <v>1527.0</v>
      </c>
      <c r="B1533" s="62" t="s">
        <v>755</v>
      </c>
      <c r="C1533" s="62" t="s">
        <v>98</v>
      </c>
      <c r="D1533" s="62" t="s">
        <v>959</v>
      </c>
      <c r="E1533" s="76">
        <v>44029.0</v>
      </c>
      <c r="F1533" s="77">
        <v>0.08333333333333333</v>
      </c>
      <c r="G1533" s="62" t="b">
        <v>1</v>
      </c>
      <c r="H1533" s="78" t="b">
        <f>IF(VLOOKUP(C1533,Projetos!A:L,12,false)=TRUE,TRUE,FALSE)</f>
        <v>1</v>
      </c>
      <c r="I1533" s="68">
        <v>21.669365196608947</v>
      </c>
      <c r="J1533" s="68">
        <f t="shared" si="1"/>
        <v>43.33873039</v>
      </c>
      <c r="K1533" s="68" t="b">
        <v>1</v>
      </c>
    </row>
    <row r="1534">
      <c r="A1534" s="75">
        <v>1528.0</v>
      </c>
      <c r="B1534" s="62" t="s">
        <v>755</v>
      </c>
      <c r="C1534" s="62" t="s">
        <v>98</v>
      </c>
      <c r="D1534" s="62" t="s">
        <v>959</v>
      </c>
      <c r="E1534" s="76">
        <v>44032.0</v>
      </c>
      <c r="F1534" s="77">
        <v>0.08333333333333333</v>
      </c>
      <c r="G1534" s="62" t="b">
        <v>1</v>
      </c>
      <c r="H1534" s="78" t="b">
        <f>IF(VLOOKUP(C1534,Projetos!A:L,12,false)=TRUE,TRUE,FALSE)</f>
        <v>1</v>
      </c>
      <c r="I1534" s="68">
        <v>21.669365196608947</v>
      </c>
      <c r="J1534" s="68">
        <f t="shared" si="1"/>
        <v>43.33873039</v>
      </c>
      <c r="K1534" s="68" t="b">
        <v>1</v>
      </c>
    </row>
    <row r="1535">
      <c r="A1535" s="75">
        <v>1529.0</v>
      </c>
      <c r="B1535" s="62" t="s">
        <v>755</v>
      </c>
      <c r="C1535" s="62" t="s">
        <v>90</v>
      </c>
      <c r="D1535" s="62" t="s">
        <v>874</v>
      </c>
      <c r="E1535" s="76">
        <v>44032.0</v>
      </c>
      <c r="F1535" s="77">
        <v>0.041666666666666664</v>
      </c>
      <c r="G1535" s="62" t="b">
        <v>1</v>
      </c>
      <c r="H1535" s="78" t="b">
        <f>IF(VLOOKUP(C1535,Projetos!A:L,12,false)=TRUE,TRUE,FALSE)</f>
        <v>1</v>
      </c>
      <c r="I1535" s="68">
        <v>21.669365196608947</v>
      </c>
      <c r="J1535" s="68">
        <f t="shared" si="1"/>
        <v>21.6693652</v>
      </c>
      <c r="K1535" s="68" t="b">
        <v>1</v>
      </c>
    </row>
    <row r="1536">
      <c r="A1536" s="75">
        <v>1530.0</v>
      </c>
      <c r="B1536" s="62" t="s">
        <v>755</v>
      </c>
      <c r="C1536" s="62" t="s">
        <v>90</v>
      </c>
      <c r="D1536" s="62" t="s">
        <v>960</v>
      </c>
      <c r="E1536" s="76">
        <v>44033.0</v>
      </c>
      <c r="F1536" s="77">
        <v>0.041666666666666664</v>
      </c>
      <c r="G1536" s="62" t="b">
        <v>1</v>
      </c>
      <c r="H1536" s="78" t="b">
        <f>IF(VLOOKUP(C1536,Projetos!A:L,12,false)=TRUE,TRUE,FALSE)</f>
        <v>1</v>
      </c>
      <c r="I1536" s="68">
        <v>21.669365196608947</v>
      </c>
      <c r="J1536" s="68">
        <f t="shared" si="1"/>
        <v>21.6693652</v>
      </c>
      <c r="K1536" s="68" t="b">
        <v>1</v>
      </c>
    </row>
    <row r="1537" hidden="1">
      <c r="A1537" s="75">
        <v>1531.0</v>
      </c>
      <c r="B1537" s="62" t="s">
        <v>755</v>
      </c>
      <c r="C1537" s="62" t="s">
        <v>109</v>
      </c>
      <c r="D1537" s="62" t="s">
        <v>961</v>
      </c>
      <c r="E1537" s="76">
        <v>44033.0</v>
      </c>
      <c r="F1537" s="77">
        <v>0.08333333333333333</v>
      </c>
      <c r="G1537" s="62" t="b">
        <v>0</v>
      </c>
      <c r="H1537" s="78" t="b">
        <f>IF(VLOOKUP(C1537,Projetos!A:L,12,false)=TRUE,TRUE,FALSE)</f>
        <v>0</v>
      </c>
      <c r="I1537" s="68">
        <v>21.669365196608947</v>
      </c>
      <c r="J1537" s="68">
        <f t="shared" si="1"/>
        <v>0</v>
      </c>
      <c r="K1537" s="68" t="b">
        <v>0</v>
      </c>
    </row>
    <row r="1538" hidden="1">
      <c r="A1538" s="75">
        <v>1532.0</v>
      </c>
      <c r="B1538" s="62" t="s">
        <v>755</v>
      </c>
      <c r="C1538" s="62" t="s">
        <v>109</v>
      </c>
      <c r="D1538" s="62" t="s">
        <v>962</v>
      </c>
      <c r="E1538" s="76">
        <v>44034.0</v>
      </c>
      <c r="F1538" s="77">
        <v>0.0625</v>
      </c>
      <c r="G1538" s="62" t="b">
        <v>0</v>
      </c>
      <c r="H1538" s="78" t="b">
        <f>IF(VLOOKUP(C1538,Projetos!A:L,12,false)=TRUE,TRUE,FALSE)</f>
        <v>0</v>
      </c>
      <c r="I1538" s="68">
        <v>21.669365196608947</v>
      </c>
      <c r="J1538" s="68">
        <f t="shared" si="1"/>
        <v>0</v>
      </c>
      <c r="K1538" s="68" t="b">
        <v>0</v>
      </c>
    </row>
    <row r="1539">
      <c r="A1539" s="75">
        <v>1533.0</v>
      </c>
      <c r="B1539" s="62" t="s">
        <v>755</v>
      </c>
      <c r="C1539" s="62" t="s">
        <v>115</v>
      </c>
      <c r="D1539" s="62" t="s">
        <v>963</v>
      </c>
      <c r="E1539" s="76">
        <v>44034.0</v>
      </c>
      <c r="F1539" s="77">
        <v>0.041666666666666664</v>
      </c>
      <c r="G1539" s="62" t="b">
        <v>1</v>
      </c>
      <c r="H1539" s="78" t="b">
        <f>IF(VLOOKUP(C1539,Projetos!A:L,12,false)=TRUE,TRUE,FALSE)</f>
        <v>1</v>
      </c>
      <c r="I1539" s="68">
        <v>21.669365196608947</v>
      </c>
      <c r="J1539" s="68">
        <f t="shared" si="1"/>
        <v>21.6693652</v>
      </c>
      <c r="K1539" s="68" t="b">
        <v>1</v>
      </c>
    </row>
    <row r="1540">
      <c r="A1540" s="75">
        <v>1534.0</v>
      </c>
      <c r="B1540" s="62" t="s">
        <v>755</v>
      </c>
      <c r="C1540" s="62" t="s">
        <v>90</v>
      </c>
      <c r="D1540" s="62" t="s">
        <v>964</v>
      </c>
      <c r="E1540" s="76">
        <v>44034.0</v>
      </c>
      <c r="F1540" s="77">
        <v>0.020833333333333332</v>
      </c>
      <c r="G1540" s="62" t="b">
        <v>1</v>
      </c>
      <c r="H1540" s="78" t="b">
        <f>IF(VLOOKUP(C1540,Projetos!A:L,12,false)=TRUE,TRUE,FALSE)</f>
        <v>1</v>
      </c>
      <c r="I1540" s="68">
        <v>21.669365196608947</v>
      </c>
      <c r="J1540" s="68">
        <f t="shared" si="1"/>
        <v>10.8346826</v>
      </c>
      <c r="K1540" s="68" t="b">
        <v>1</v>
      </c>
    </row>
    <row r="1541">
      <c r="A1541" s="75">
        <v>1535.0</v>
      </c>
      <c r="B1541" s="62" t="s">
        <v>755</v>
      </c>
      <c r="C1541" s="62" t="s">
        <v>90</v>
      </c>
      <c r="D1541" s="62" t="s">
        <v>965</v>
      </c>
      <c r="E1541" s="76">
        <v>44034.0</v>
      </c>
      <c r="F1541" s="77">
        <v>0.020833333333333332</v>
      </c>
      <c r="G1541" s="62" t="b">
        <v>1</v>
      </c>
      <c r="H1541" s="78" t="b">
        <f>IF(VLOOKUP(C1541,Projetos!A:L,12,false)=TRUE,TRUE,FALSE)</f>
        <v>1</v>
      </c>
      <c r="I1541" s="68">
        <v>21.669365196608947</v>
      </c>
      <c r="J1541" s="68">
        <f t="shared" si="1"/>
        <v>10.8346826</v>
      </c>
      <c r="K1541" s="68" t="b">
        <v>1</v>
      </c>
    </row>
    <row r="1542">
      <c r="A1542" s="75">
        <v>1536.0</v>
      </c>
      <c r="B1542" s="62" t="s">
        <v>755</v>
      </c>
      <c r="C1542" s="62" t="s">
        <v>90</v>
      </c>
      <c r="D1542" s="62" t="s">
        <v>966</v>
      </c>
      <c r="E1542" s="76">
        <v>44034.0</v>
      </c>
      <c r="F1542" s="77">
        <v>0.041666666666666664</v>
      </c>
      <c r="G1542" s="62" t="b">
        <v>1</v>
      </c>
      <c r="H1542" s="78" t="b">
        <f>IF(VLOOKUP(C1542,Projetos!A:L,12,false)=TRUE,TRUE,FALSE)</f>
        <v>1</v>
      </c>
      <c r="I1542" s="68">
        <v>21.669365196608947</v>
      </c>
      <c r="J1542" s="68">
        <f t="shared" si="1"/>
        <v>21.6693652</v>
      </c>
      <c r="K1542" s="68" t="b">
        <v>1</v>
      </c>
    </row>
    <row r="1543" hidden="1">
      <c r="A1543" s="75">
        <v>1537.0</v>
      </c>
      <c r="B1543" s="62" t="s">
        <v>755</v>
      </c>
      <c r="C1543" s="62" t="s">
        <v>109</v>
      </c>
      <c r="D1543" s="62" t="s">
        <v>967</v>
      </c>
      <c r="E1543" s="76">
        <v>44035.0</v>
      </c>
      <c r="F1543" s="77">
        <v>0.041666666666666664</v>
      </c>
      <c r="G1543" s="62" t="b">
        <v>0</v>
      </c>
      <c r="H1543" s="78" t="b">
        <f>IF(VLOOKUP(C1543,Projetos!A:L,12,false)=TRUE,TRUE,FALSE)</f>
        <v>0</v>
      </c>
      <c r="I1543" s="68">
        <v>21.669365196608947</v>
      </c>
      <c r="J1543" s="68">
        <f t="shared" si="1"/>
        <v>0</v>
      </c>
      <c r="K1543" s="68" t="b">
        <v>0</v>
      </c>
    </row>
    <row r="1544">
      <c r="A1544" s="75">
        <v>1538.0</v>
      </c>
      <c r="B1544" s="62" t="s">
        <v>755</v>
      </c>
      <c r="C1544" s="62" t="s">
        <v>90</v>
      </c>
      <c r="D1544" s="62" t="s">
        <v>968</v>
      </c>
      <c r="E1544" s="76">
        <v>44035.0</v>
      </c>
      <c r="F1544" s="77">
        <v>0.041666666666666664</v>
      </c>
      <c r="G1544" s="62" t="b">
        <v>1</v>
      </c>
      <c r="H1544" s="78" t="b">
        <f>IF(VLOOKUP(C1544,Projetos!A:L,12,false)=TRUE,TRUE,FALSE)</f>
        <v>1</v>
      </c>
      <c r="I1544" s="68">
        <v>21.669365196608947</v>
      </c>
      <c r="J1544" s="68">
        <f t="shared" si="1"/>
        <v>21.6693652</v>
      </c>
      <c r="K1544" s="68" t="b">
        <v>1</v>
      </c>
    </row>
    <row r="1545">
      <c r="A1545" s="75">
        <v>1539.0</v>
      </c>
      <c r="B1545" s="62" t="s">
        <v>755</v>
      </c>
      <c r="C1545" s="62" t="s">
        <v>90</v>
      </c>
      <c r="D1545" s="62" t="s">
        <v>969</v>
      </c>
      <c r="E1545" s="76">
        <v>44035.0</v>
      </c>
      <c r="F1545" s="77">
        <v>0.020833333333333332</v>
      </c>
      <c r="G1545" s="62" t="b">
        <v>1</v>
      </c>
      <c r="H1545" s="78" t="b">
        <f>IF(VLOOKUP(C1545,Projetos!A:L,12,false)=TRUE,TRUE,FALSE)</f>
        <v>1</v>
      </c>
      <c r="I1545" s="68">
        <v>21.669365196608947</v>
      </c>
      <c r="J1545" s="68">
        <f t="shared" si="1"/>
        <v>10.8346826</v>
      </c>
      <c r="K1545" s="68" t="b">
        <v>1</v>
      </c>
    </row>
    <row r="1546">
      <c r="A1546" s="75">
        <v>1540.0</v>
      </c>
      <c r="B1546" s="62" t="s">
        <v>755</v>
      </c>
      <c r="C1546" s="62" t="s">
        <v>103</v>
      </c>
      <c r="D1546" s="62" t="s">
        <v>970</v>
      </c>
      <c r="E1546" s="76">
        <v>44035.0</v>
      </c>
      <c r="F1546" s="77">
        <v>0.08333333333333333</v>
      </c>
      <c r="G1546" s="62" t="b">
        <v>1</v>
      </c>
      <c r="H1546" s="78" t="b">
        <f>IF(VLOOKUP(C1546,Projetos!A:L,12,false)=TRUE,TRUE,FALSE)</f>
        <v>1</v>
      </c>
      <c r="I1546" s="68">
        <v>21.669365196608947</v>
      </c>
      <c r="J1546" s="68">
        <f t="shared" si="1"/>
        <v>43.33873039</v>
      </c>
      <c r="K1546" s="68" t="b">
        <v>1</v>
      </c>
    </row>
    <row r="1547">
      <c r="A1547" s="75">
        <v>1541.0</v>
      </c>
      <c r="B1547" s="62" t="s">
        <v>755</v>
      </c>
      <c r="C1547" s="62" t="s">
        <v>90</v>
      </c>
      <c r="D1547" s="62" t="s">
        <v>874</v>
      </c>
      <c r="E1547" s="76">
        <v>44035.0</v>
      </c>
      <c r="F1547" s="77">
        <v>0.041666666666666664</v>
      </c>
      <c r="G1547" s="62" t="b">
        <v>1</v>
      </c>
      <c r="H1547" s="78" t="b">
        <f>IF(VLOOKUP(C1547,Projetos!A:L,12,false)=TRUE,TRUE,FALSE)</f>
        <v>1</v>
      </c>
      <c r="I1547" s="68">
        <v>21.669365196608947</v>
      </c>
      <c r="J1547" s="68">
        <f t="shared" si="1"/>
        <v>21.6693652</v>
      </c>
      <c r="K1547" s="68" t="b">
        <v>1</v>
      </c>
    </row>
    <row r="1548">
      <c r="A1548" s="75">
        <v>1542.0</v>
      </c>
      <c r="B1548" s="62" t="s">
        <v>755</v>
      </c>
      <c r="C1548" s="62" t="s">
        <v>90</v>
      </c>
      <c r="D1548" s="62" t="s">
        <v>971</v>
      </c>
      <c r="E1548" s="76">
        <v>44036.0</v>
      </c>
      <c r="F1548" s="77">
        <v>0.020833333333333332</v>
      </c>
      <c r="G1548" s="62" t="b">
        <v>1</v>
      </c>
      <c r="H1548" s="78" t="b">
        <f>IF(VLOOKUP(C1548,Projetos!A:L,12,false)=TRUE,TRUE,FALSE)</f>
        <v>1</v>
      </c>
      <c r="I1548" s="68">
        <v>21.669365196608947</v>
      </c>
      <c r="J1548" s="68">
        <f t="shared" si="1"/>
        <v>10.8346826</v>
      </c>
      <c r="K1548" s="68" t="b">
        <v>1</v>
      </c>
    </row>
    <row r="1549">
      <c r="A1549" s="75">
        <v>1543.0</v>
      </c>
      <c r="B1549" s="62" t="s">
        <v>755</v>
      </c>
      <c r="C1549" s="62" t="s">
        <v>103</v>
      </c>
      <c r="D1549" s="62" t="s">
        <v>972</v>
      </c>
      <c r="E1549" s="76">
        <v>44036.0</v>
      </c>
      <c r="F1549" s="77">
        <v>0.125</v>
      </c>
      <c r="G1549" s="62" t="b">
        <v>1</v>
      </c>
      <c r="H1549" s="78" t="b">
        <f>IF(VLOOKUP(C1549,Projetos!A:L,12,false)=TRUE,TRUE,FALSE)</f>
        <v>1</v>
      </c>
      <c r="I1549" s="68">
        <v>21.669365196608947</v>
      </c>
      <c r="J1549" s="68">
        <f t="shared" si="1"/>
        <v>65.00809559</v>
      </c>
      <c r="K1549" s="68" t="b">
        <v>1</v>
      </c>
    </row>
    <row r="1550">
      <c r="A1550" s="75">
        <v>1544.0</v>
      </c>
      <c r="B1550" s="62" t="s">
        <v>755</v>
      </c>
      <c r="C1550" s="62" t="s">
        <v>90</v>
      </c>
      <c r="D1550" s="62" t="s">
        <v>874</v>
      </c>
      <c r="E1550" s="76">
        <v>44039.0</v>
      </c>
      <c r="F1550" s="77">
        <v>0.041666666666666664</v>
      </c>
      <c r="G1550" s="62" t="b">
        <v>1</v>
      </c>
      <c r="H1550" s="78" t="b">
        <f>IF(VLOOKUP(C1550,Projetos!A:L,12,false)=TRUE,TRUE,FALSE)</f>
        <v>1</v>
      </c>
      <c r="I1550" s="68">
        <v>21.669365196608947</v>
      </c>
      <c r="J1550" s="68">
        <f t="shared" si="1"/>
        <v>21.6693652</v>
      </c>
      <c r="K1550" s="68" t="b">
        <v>1</v>
      </c>
    </row>
    <row r="1551">
      <c r="A1551" s="75">
        <v>1545.0</v>
      </c>
      <c r="B1551" s="62" t="s">
        <v>755</v>
      </c>
      <c r="C1551" s="62" t="s">
        <v>115</v>
      </c>
      <c r="D1551" s="62" t="s">
        <v>973</v>
      </c>
      <c r="E1551" s="76">
        <v>44039.0</v>
      </c>
      <c r="F1551" s="77">
        <v>0.0625</v>
      </c>
      <c r="G1551" s="62" t="b">
        <v>1</v>
      </c>
      <c r="H1551" s="78" t="b">
        <f>IF(VLOOKUP(C1551,Projetos!A:L,12,false)=TRUE,TRUE,FALSE)</f>
        <v>1</v>
      </c>
      <c r="I1551" s="68">
        <v>21.669365196608947</v>
      </c>
      <c r="J1551" s="68">
        <f t="shared" si="1"/>
        <v>32.50404779</v>
      </c>
      <c r="K1551" s="68" t="b">
        <v>1</v>
      </c>
    </row>
    <row r="1552">
      <c r="A1552" s="75">
        <v>1546.0</v>
      </c>
      <c r="B1552" s="62" t="s">
        <v>755</v>
      </c>
      <c r="C1552" s="62" t="s">
        <v>115</v>
      </c>
      <c r="D1552" s="62" t="s">
        <v>974</v>
      </c>
      <c r="E1552" s="76">
        <v>44039.0</v>
      </c>
      <c r="F1552" s="77">
        <v>0.0625</v>
      </c>
      <c r="G1552" s="62" t="b">
        <v>1</v>
      </c>
      <c r="H1552" s="78" t="b">
        <f>IF(VLOOKUP(C1552,Projetos!A:L,12,false)=TRUE,TRUE,FALSE)</f>
        <v>1</v>
      </c>
      <c r="I1552" s="68">
        <v>21.669365196608947</v>
      </c>
      <c r="J1552" s="68">
        <f t="shared" si="1"/>
        <v>32.50404779</v>
      </c>
      <c r="K1552" s="68" t="b">
        <v>1</v>
      </c>
    </row>
    <row r="1553">
      <c r="A1553" s="75">
        <v>1547.0</v>
      </c>
      <c r="B1553" s="62" t="s">
        <v>755</v>
      </c>
      <c r="C1553" s="62" t="s">
        <v>90</v>
      </c>
      <c r="D1553" s="62" t="s">
        <v>975</v>
      </c>
      <c r="E1553" s="76">
        <v>44040.0</v>
      </c>
      <c r="F1553" s="77">
        <v>0.0625</v>
      </c>
      <c r="G1553" s="62" t="b">
        <v>1</v>
      </c>
      <c r="H1553" s="78" t="b">
        <f>IF(VLOOKUP(C1553,Projetos!A:L,12,false)=TRUE,TRUE,FALSE)</f>
        <v>1</v>
      </c>
      <c r="I1553" s="68">
        <v>21.669365196608947</v>
      </c>
      <c r="J1553" s="68">
        <f t="shared" si="1"/>
        <v>32.50404779</v>
      </c>
      <c r="K1553" s="68" t="b">
        <v>1</v>
      </c>
    </row>
    <row r="1554">
      <c r="A1554" s="75">
        <v>1548.0</v>
      </c>
      <c r="B1554" s="62" t="s">
        <v>755</v>
      </c>
      <c r="C1554" s="62" t="s">
        <v>90</v>
      </c>
      <c r="D1554" s="62" t="s">
        <v>976</v>
      </c>
      <c r="E1554" s="76">
        <v>44040.0</v>
      </c>
      <c r="F1554" s="77">
        <v>0.041666666666666664</v>
      </c>
      <c r="G1554" s="62" t="b">
        <v>1</v>
      </c>
      <c r="H1554" s="78" t="b">
        <f>IF(VLOOKUP(C1554,Projetos!A:L,12,false)=TRUE,TRUE,FALSE)</f>
        <v>1</v>
      </c>
      <c r="I1554" s="68">
        <v>21.669365196608947</v>
      </c>
      <c r="J1554" s="68">
        <f t="shared" si="1"/>
        <v>21.6693652</v>
      </c>
      <c r="K1554" s="68" t="b">
        <v>1</v>
      </c>
    </row>
    <row r="1555">
      <c r="A1555" s="75">
        <v>1549.0</v>
      </c>
      <c r="B1555" s="62" t="s">
        <v>755</v>
      </c>
      <c r="C1555" s="62" t="s">
        <v>90</v>
      </c>
      <c r="D1555" s="62" t="s">
        <v>977</v>
      </c>
      <c r="E1555" s="76">
        <v>44040.0</v>
      </c>
      <c r="F1555" s="77">
        <v>0.020833333333333332</v>
      </c>
      <c r="G1555" s="62" t="b">
        <v>1</v>
      </c>
      <c r="H1555" s="78" t="b">
        <f>IF(VLOOKUP(C1555,Projetos!A:L,12,false)=TRUE,TRUE,FALSE)</f>
        <v>1</v>
      </c>
      <c r="I1555" s="68">
        <v>21.669365196608947</v>
      </c>
      <c r="J1555" s="68">
        <f t="shared" si="1"/>
        <v>10.8346826</v>
      </c>
      <c r="K1555" s="68" t="b">
        <v>1</v>
      </c>
    </row>
    <row r="1556">
      <c r="A1556" s="75">
        <v>1550.0</v>
      </c>
      <c r="B1556" s="62" t="s">
        <v>755</v>
      </c>
      <c r="C1556" s="62" t="s">
        <v>104</v>
      </c>
      <c r="D1556" s="62" t="s">
        <v>978</v>
      </c>
      <c r="E1556" s="76">
        <v>44040.0</v>
      </c>
      <c r="F1556" s="77">
        <v>0.041666666666666664</v>
      </c>
      <c r="G1556" s="62" t="b">
        <v>1</v>
      </c>
      <c r="H1556" s="78" t="b">
        <f>IF(VLOOKUP(C1556,Projetos!A:L,12,false)=TRUE,TRUE,FALSE)</f>
        <v>1</v>
      </c>
      <c r="I1556" s="68">
        <v>21.669365196608947</v>
      </c>
      <c r="J1556" s="68">
        <f t="shared" si="1"/>
        <v>21.6693652</v>
      </c>
      <c r="K1556" s="68" t="b">
        <v>1</v>
      </c>
    </row>
    <row r="1557" hidden="1">
      <c r="A1557" s="75">
        <v>1551.0</v>
      </c>
      <c r="B1557" s="62" t="s">
        <v>755</v>
      </c>
      <c r="C1557" s="62" t="s">
        <v>104</v>
      </c>
      <c r="D1557" s="62" t="s">
        <v>979</v>
      </c>
      <c r="E1557" s="76">
        <v>44042.0</v>
      </c>
      <c r="F1557" s="77">
        <v>0.0625</v>
      </c>
      <c r="G1557" s="62" t="b">
        <v>0</v>
      </c>
      <c r="H1557" s="78" t="b">
        <f>IF(VLOOKUP(C1557,Projetos!A:L,12,false)=TRUE,TRUE,FALSE)</f>
        <v>1</v>
      </c>
      <c r="I1557" s="68">
        <v>21.669365196608947</v>
      </c>
      <c r="J1557" s="68">
        <f t="shared" si="1"/>
        <v>0</v>
      </c>
      <c r="K1557" s="68" t="b">
        <v>1</v>
      </c>
    </row>
    <row r="1558">
      <c r="A1558" s="75">
        <v>1552.0</v>
      </c>
      <c r="B1558" s="62" t="s">
        <v>755</v>
      </c>
      <c r="C1558" s="62" t="s">
        <v>90</v>
      </c>
      <c r="D1558" s="62" t="s">
        <v>980</v>
      </c>
      <c r="E1558" s="76">
        <v>44043.0</v>
      </c>
      <c r="F1558" s="77">
        <v>0.020833333333333332</v>
      </c>
      <c r="G1558" s="62" t="b">
        <v>1</v>
      </c>
      <c r="H1558" s="78" t="b">
        <f>IF(VLOOKUP(C1558,Projetos!A:L,12,false)=TRUE,TRUE,FALSE)</f>
        <v>1</v>
      </c>
      <c r="I1558" s="68">
        <v>21.669365196608947</v>
      </c>
      <c r="J1558" s="68">
        <f t="shared" si="1"/>
        <v>10.8346826</v>
      </c>
      <c r="K1558" s="68" t="b">
        <v>1</v>
      </c>
    </row>
    <row r="1559">
      <c r="A1559" s="75">
        <v>1553.0</v>
      </c>
      <c r="B1559" s="62" t="s">
        <v>755</v>
      </c>
      <c r="C1559" s="62" t="s">
        <v>115</v>
      </c>
      <c r="D1559" s="62" t="s">
        <v>981</v>
      </c>
      <c r="E1559" s="76">
        <v>44046.0</v>
      </c>
      <c r="F1559" s="77">
        <v>0.041666666666666664</v>
      </c>
      <c r="G1559" s="62" t="b">
        <v>1</v>
      </c>
      <c r="H1559" s="78" t="b">
        <f>IF(VLOOKUP(C1559,Projetos!A:L,12,false)=TRUE,TRUE,FALSE)</f>
        <v>1</v>
      </c>
      <c r="I1559" s="68">
        <v>21.669365196608947</v>
      </c>
      <c r="J1559" s="68">
        <f t="shared" si="1"/>
        <v>21.6693652</v>
      </c>
      <c r="K1559" s="68" t="b">
        <v>1</v>
      </c>
    </row>
    <row r="1560">
      <c r="A1560" s="75">
        <v>1554.0</v>
      </c>
      <c r="B1560" s="62" t="s">
        <v>755</v>
      </c>
      <c r="C1560" s="62" t="s">
        <v>90</v>
      </c>
      <c r="D1560" s="62" t="s">
        <v>874</v>
      </c>
      <c r="E1560" s="76">
        <v>44046.0</v>
      </c>
      <c r="F1560" s="77">
        <v>0.041666666666666664</v>
      </c>
      <c r="G1560" s="62" t="b">
        <v>1</v>
      </c>
      <c r="H1560" s="78" t="b">
        <f>IF(VLOOKUP(C1560,Projetos!A:L,12,false)=TRUE,TRUE,FALSE)</f>
        <v>1</v>
      </c>
      <c r="I1560" s="68">
        <v>21.669365196608947</v>
      </c>
      <c r="J1560" s="68">
        <f t="shared" si="1"/>
        <v>21.6693652</v>
      </c>
      <c r="K1560" s="68" t="b">
        <v>1</v>
      </c>
    </row>
    <row r="1561">
      <c r="A1561" s="75">
        <v>1555.0</v>
      </c>
      <c r="B1561" s="62" t="s">
        <v>755</v>
      </c>
      <c r="C1561" s="62" t="s">
        <v>90</v>
      </c>
      <c r="D1561" s="62" t="s">
        <v>874</v>
      </c>
      <c r="E1561" s="76">
        <v>44047.0</v>
      </c>
      <c r="F1561" s="77">
        <v>0.041666666666666664</v>
      </c>
      <c r="G1561" s="62" t="b">
        <v>1</v>
      </c>
      <c r="H1561" s="78" t="b">
        <f>IF(VLOOKUP(C1561,Projetos!A:L,12,false)=TRUE,TRUE,FALSE)</f>
        <v>1</v>
      </c>
      <c r="I1561" s="68">
        <v>21.669365196608947</v>
      </c>
      <c r="J1561" s="68">
        <f t="shared" si="1"/>
        <v>21.6693652</v>
      </c>
      <c r="K1561" s="68" t="b">
        <v>1</v>
      </c>
    </row>
    <row r="1562" hidden="1">
      <c r="A1562" s="75">
        <v>1556.0</v>
      </c>
      <c r="B1562" s="62" t="s">
        <v>755</v>
      </c>
      <c r="C1562" s="62" t="s">
        <v>109</v>
      </c>
      <c r="D1562" s="62" t="s">
        <v>982</v>
      </c>
      <c r="E1562" s="76">
        <v>44047.0</v>
      </c>
      <c r="F1562" s="77">
        <v>0.041666666666666664</v>
      </c>
      <c r="G1562" s="62" t="b">
        <v>0</v>
      </c>
      <c r="H1562" s="78" t="b">
        <f>IF(VLOOKUP(C1562,Projetos!A:L,12,false)=TRUE,TRUE,FALSE)</f>
        <v>0</v>
      </c>
      <c r="I1562" s="68">
        <v>21.669365196608947</v>
      </c>
      <c r="J1562" s="68">
        <f t="shared" si="1"/>
        <v>0</v>
      </c>
      <c r="K1562" s="68" t="b">
        <v>0</v>
      </c>
    </row>
    <row r="1563">
      <c r="A1563" s="75">
        <v>1557.0</v>
      </c>
      <c r="B1563" s="62" t="s">
        <v>755</v>
      </c>
      <c r="C1563" s="62" t="s">
        <v>104</v>
      </c>
      <c r="D1563" s="62" t="s">
        <v>983</v>
      </c>
      <c r="E1563" s="76">
        <v>44048.0</v>
      </c>
      <c r="F1563" s="77">
        <v>0.041666666666666664</v>
      </c>
      <c r="G1563" s="62" t="b">
        <v>1</v>
      </c>
      <c r="H1563" s="78" t="b">
        <f>IF(VLOOKUP(C1563,Projetos!A:L,12,false)=TRUE,TRUE,FALSE)</f>
        <v>1</v>
      </c>
      <c r="I1563" s="68">
        <v>21.669365196608947</v>
      </c>
      <c r="J1563" s="68">
        <f t="shared" si="1"/>
        <v>21.6693652</v>
      </c>
      <c r="K1563" s="68" t="b">
        <v>1</v>
      </c>
    </row>
    <row r="1564">
      <c r="A1564" s="75">
        <v>1558.0</v>
      </c>
      <c r="B1564" s="62" t="s">
        <v>755</v>
      </c>
      <c r="C1564" s="62" t="s">
        <v>98</v>
      </c>
      <c r="D1564" s="62" t="s">
        <v>984</v>
      </c>
      <c r="E1564" s="76">
        <v>44048.0</v>
      </c>
      <c r="F1564" s="77">
        <v>0.0625</v>
      </c>
      <c r="G1564" s="62" t="b">
        <v>1</v>
      </c>
      <c r="H1564" s="78" t="b">
        <f>IF(VLOOKUP(C1564,Projetos!A:L,12,false)=TRUE,TRUE,FALSE)</f>
        <v>1</v>
      </c>
      <c r="I1564" s="68">
        <v>21.669365196608947</v>
      </c>
      <c r="J1564" s="68">
        <f t="shared" si="1"/>
        <v>32.50404779</v>
      </c>
      <c r="K1564" s="68" t="b">
        <v>1</v>
      </c>
    </row>
    <row r="1565">
      <c r="A1565" s="75">
        <v>1559.0</v>
      </c>
      <c r="B1565" s="62" t="s">
        <v>755</v>
      </c>
      <c r="C1565" s="62" t="s">
        <v>90</v>
      </c>
      <c r="D1565" s="62" t="s">
        <v>985</v>
      </c>
      <c r="E1565" s="76">
        <v>44048.0</v>
      </c>
      <c r="F1565" s="77">
        <v>0.041666666666666664</v>
      </c>
      <c r="G1565" s="62" t="b">
        <v>1</v>
      </c>
      <c r="H1565" s="78" t="b">
        <f>IF(VLOOKUP(C1565,Projetos!A:L,12,false)=TRUE,TRUE,FALSE)</f>
        <v>1</v>
      </c>
      <c r="I1565" s="68">
        <v>21.669365196608947</v>
      </c>
      <c r="J1565" s="68">
        <f t="shared" si="1"/>
        <v>21.6693652</v>
      </c>
      <c r="K1565" s="68" t="b">
        <v>1</v>
      </c>
    </row>
    <row r="1566">
      <c r="A1566" s="75">
        <v>1560.0</v>
      </c>
      <c r="B1566" s="62" t="s">
        <v>755</v>
      </c>
      <c r="C1566" s="62" t="s">
        <v>90</v>
      </c>
      <c r="D1566" s="62" t="s">
        <v>986</v>
      </c>
      <c r="E1566" s="76">
        <v>44048.0</v>
      </c>
      <c r="F1566" s="77">
        <v>0.0625</v>
      </c>
      <c r="G1566" s="62" t="b">
        <v>1</v>
      </c>
      <c r="H1566" s="78" t="b">
        <f>IF(VLOOKUP(C1566,Projetos!A:L,12,false)=TRUE,TRUE,FALSE)</f>
        <v>1</v>
      </c>
      <c r="I1566" s="68">
        <v>21.669365196608947</v>
      </c>
      <c r="J1566" s="68">
        <f t="shared" si="1"/>
        <v>32.50404779</v>
      </c>
      <c r="K1566" s="68" t="b">
        <v>1</v>
      </c>
    </row>
    <row r="1567" hidden="1">
      <c r="A1567" s="75">
        <v>1561.0</v>
      </c>
      <c r="B1567" s="62" t="s">
        <v>755</v>
      </c>
      <c r="C1567" s="62" t="s">
        <v>102</v>
      </c>
      <c r="D1567" s="62" t="s">
        <v>987</v>
      </c>
      <c r="E1567" s="76">
        <v>44049.0</v>
      </c>
      <c r="F1567" s="77">
        <v>0.10416666666666667</v>
      </c>
      <c r="G1567" s="62" t="b">
        <v>0</v>
      </c>
      <c r="H1567" s="78" t="b">
        <f>IF(VLOOKUP(C1567,Projetos!A:L,12,false)=TRUE,TRUE,FALSE)</f>
        <v>0</v>
      </c>
      <c r="I1567" s="68">
        <v>21.669365196608947</v>
      </c>
      <c r="J1567" s="68">
        <f t="shared" si="1"/>
        <v>0</v>
      </c>
      <c r="K1567" s="68" t="b">
        <v>0</v>
      </c>
    </row>
    <row r="1568">
      <c r="A1568" s="75">
        <v>1562.0</v>
      </c>
      <c r="B1568" s="62" t="s">
        <v>755</v>
      </c>
      <c r="C1568" s="62" t="s">
        <v>98</v>
      </c>
      <c r="D1568" s="62" t="s">
        <v>988</v>
      </c>
      <c r="E1568" s="76">
        <v>44049.0</v>
      </c>
      <c r="F1568" s="77">
        <v>0.041666666666666664</v>
      </c>
      <c r="G1568" s="62" t="b">
        <v>1</v>
      </c>
      <c r="H1568" s="78" t="b">
        <f>IF(VLOOKUP(C1568,Projetos!A:L,12,false)=TRUE,TRUE,FALSE)</f>
        <v>1</v>
      </c>
      <c r="I1568" s="68">
        <v>21.669365196608947</v>
      </c>
      <c r="J1568" s="68">
        <f t="shared" si="1"/>
        <v>21.6693652</v>
      </c>
      <c r="K1568" s="68" t="b">
        <v>1</v>
      </c>
    </row>
    <row r="1569">
      <c r="A1569" s="75">
        <v>1563.0</v>
      </c>
      <c r="B1569" s="62" t="s">
        <v>755</v>
      </c>
      <c r="C1569" s="62" t="s">
        <v>104</v>
      </c>
      <c r="D1569" s="62" t="s">
        <v>989</v>
      </c>
      <c r="E1569" s="76">
        <v>44049.0</v>
      </c>
      <c r="F1569" s="77">
        <v>0.041666666666666664</v>
      </c>
      <c r="G1569" s="62" t="b">
        <v>1</v>
      </c>
      <c r="H1569" s="78" t="b">
        <f>IF(VLOOKUP(C1569,Projetos!A:L,12,false)=TRUE,TRUE,FALSE)</f>
        <v>1</v>
      </c>
      <c r="I1569" s="68">
        <v>21.669365196608947</v>
      </c>
      <c r="J1569" s="68">
        <f t="shared" si="1"/>
        <v>21.6693652</v>
      </c>
      <c r="K1569" s="68" t="b">
        <v>1</v>
      </c>
    </row>
    <row r="1570">
      <c r="A1570" s="75">
        <v>1564.0</v>
      </c>
      <c r="B1570" s="62" t="s">
        <v>755</v>
      </c>
      <c r="C1570" s="62" t="s">
        <v>90</v>
      </c>
      <c r="D1570" s="62" t="s">
        <v>990</v>
      </c>
      <c r="E1570" s="76">
        <v>44050.0</v>
      </c>
      <c r="F1570" s="77">
        <v>0.020833333333333332</v>
      </c>
      <c r="G1570" s="62" t="b">
        <v>1</v>
      </c>
      <c r="H1570" s="78" t="b">
        <f>IF(VLOOKUP(C1570,Projetos!A:L,12,false)=TRUE,TRUE,FALSE)</f>
        <v>1</v>
      </c>
      <c r="I1570" s="68">
        <v>21.669365196608947</v>
      </c>
      <c r="J1570" s="68">
        <f t="shared" si="1"/>
        <v>10.8346826</v>
      </c>
      <c r="K1570" s="68" t="b">
        <v>1</v>
      </c>
    </row>
    <row r="1571" hidden="1">
      <c r="A1571" s="75">
        <v>1565.0</v>
      </c>
      <c r="B1571" s="62" t="s">
        <v>755</v>
      </c>
      <c r="C1571" s="62" t="s">
        <v>102</v>
      </c>
      <c r="D1571" s="62" t="s">
        <v>987</v>
      </c>
      <c r="E1571" s="76">
        <v>44050.0</v>
      </c>
      <c r="F1571" s="77">
        <v>0.0625</v>
      </c>
      <c r="G1571" s="62" t="b">
        <v>0</v>
      </c>
      <c r="H1571" s="78" t="b">
        <f>IF(VLOOKUP(C1571,Projetos!A:L,12,false)=TRUE,TRUE,FALSE)</f>
        <v>0</v>
      </c>
      <c r="I1571" s="68">
        <v>21.669365196608947</v>
      </c>
      <c r="J1571" s="68">
        <f t="shared" si="1"/>
        <v>0</v>
      </c>
      <c r="K1571" s="68" t="b">
        <v>0</v>
      </c>
    </row>
    <row r="1572">
      <c r="A1572" s="75">
        <v>1566.0</v>
      </c>
      <c r="B1572" s="62" t="s">
        <v>755</v>
      </c>
      <c r="C1572" s="62" t="s">
        <v>90</v>
      </c>
      <c r="D1572" s="62" t="s">
        <v>991</v>
      </c>
      <c r="E1572" s="76">
        <v>44050.0</v>
      </c>
      <c r="F1572" s="77">
        <v>0.041666666666666664</v>
      </c>
      <c r="G1572" s="62" t="b">
        <v>1</v>
      </c>
      <c r="H1572" s="78" t="b">
        <f>IF(VLOOKUP(C1572,Projetos!A:L,12,false)=TRUE,TRUE,FALSE)</f>
        <v>1</v>
      </c>
      <c r="I1572" s="68">
        <v>21.669365196608947</v>
      </c>
      <c r="J1572" s="68">
        <f t="shared" si="1"/>
        <v>21.6693652</v>
      </c>
      <c r="K1572" s="68" t="b">
        <v>1</v>
      </c>
    </row>
    <row r="1573">
      <c r="A1573" s="75">
        <v>1567.0</v>
      </c>
      <c r="B1573" s="62" t="s">
        <v>755</v>
      </c>
      <c r="C1573" s="62" t="s">
        <v>90</v>
      </c>
      <c r="D1573" s="62" t="s">
        <v>992</v>
      </c>
      <c r="E1573" s="76">
        <v>44050.0</v>
      </c>
      <c r="F1573" s="77">
        <v>0.020833333333333332</v>
      </c>
      <c r="G1573" s="62" t="b">
        <v>1</v>
      </c>
      <c r="H1573" s="78" t="b">
        <f>IF(VLOOKUP(C1573,Projetos!A:L,12,false)=TRUE,TRUE,FALSE)</f>
        <v>1</v>
      </c>
      <c r="I1573" s="68">
        <v>21.669365196608947</v>
      </c>
      <c r="J1573" s="68">
        <f t="shared" si="1"/>
        <v>10.8346826</v>
      </c>
      <c r="K1573" s="68" t="b">
        <v>1</v>
      </c>
    </row>
    <row r="1574" hidden="1">
      <c r="A1574" s="75">
        <v>1568.0</v>
      </c>
      <c r="B1574" s="62" t="s">
        <v>755</v>
      </c>
      <c r="C1574" s="62" t="s">
        <v>109</v>
      </c>
      <c r="D1574" s="62" t="s">
        <v>993</v>
      </c>
      <c r="E1574" s="76">
        <v>44050.0</v>
      </c>
      <c r="F1574" s="77">
        <v>0.041666666666666664</v>
      </c>
      <c r="G1574" s="62" t="b">
        <v>0</v>
      </c>
      <c r="H1574" s="78" t="b">
        <f>IF(VLOOKUP(C1574,Projetos!A:L,12,false)=TRUE,TRUE,FALSE)</f>
        <v>0</v>
      </c>
      <c r="I1574" s="68">
        <v>21.669365196608947</v>
      </c>
      <c r="J1574" s="68">
        <f t="shared" si="1"/>
        <v>0</v>
      </c>
      <c r="K1574" s="68" t="b">
        <v>0</v>
      </c>
    </row>
    <row r="1575">
      <c r="A1575" s="75">
        <v>1569.0</v>
      </c>
      <c r="B1575" s="62" t="s">
        <v>755</v>
      </c>
      <c r="C1575" s="62" t="s">
        <v>90</v>
      </c>
      <c r="D1575" s="62" t="s">
        <v>874</v>
      </c>
      <c r="E1575" s="76">
        <v>44053.0</v>
      </c>
      <c r="F1575" s="77">
        <v>0.041666666666666664</v>
      </c>
      <c r="G1575" s="62" t="b">
        <v>1</v>
      </c>
      <c r="H1575" s="78" t="b">
        <f>IF(VLOOKUP(C1575,Projetos!A:L,12,false)=TRUE,TRUE,FALSE)</f>
        <v>1</v>
      </c>
      <c r="I1575" s="68">
        <v>21.669365196608947</v>
      </c>
      <c r="J1575" s="68">
        <f t="shared" si="1"/>
        <v>21.6693652</v>
      </c>
      <c r="K1575" s="68" t="b">
        <v>1</v>
      </c>
    </row>
    <row r="1576">
      <c r="A1576" s="75">
        <v>1570.0</v>
      </c>
      <c r="B1576" s="62" t="s">
        <v>755</v>
      </c>
      <c r="C1576" s="62" t="s">
        <v>90</v>
      </c>
      <c r="D1576" s="62" t="s">
        <v>874</v>
      </c>
      <c r="E1576" s="76">
        <v>44054.0</v>
      </c>
      <c r="F1576" s="77">
        <v>0.041666666666666664</v>
      </c>
      <c r="G1576" s="62" t="b">
        <v>1</v>
      </c>
      <c r="H1576" s="78" t="b">
        <f>IF(VLOOKUP(C1576,Projetos!A:L,12,false)=TRUE,TRUE,FALSE)</f>
        <v>1</v>
      </c>
      <c r="I1576" s="68">
        <v>21.669365196608947</v>
      </c>
      <c r="J1576" s="68">
        <f t="shared" si="1"/>
        <v>21.6693652</v>
      </c>
      <c r="K1576" s="68" t="b">
        <v>1</v>
      </c>
    </row>
    <row r="1577">
      <c r="A1577" s="75">
        <v>1571.0</v>
      </c>
      <c r="B1577" s="62" t="s">
        <v>755</v>
      </c>
      <c r="C1577" s="62" t="s">
        <v>90</v>
      </c>
      <c r="D1577" s="62" t="s">
        <v>994</v>
      </c>
      <c r="E1577" s="76">
        <v>44054.0</v>
      </c>
      <c r="F1577" s="77">
        <v>0.16666666666666666</v>
      </c>
      <c r="G1577" s="62" t="b">
        <v>1</v>
      </c>
      <c r="H1577" s="78" t="b">
        <f>IF(VLOOKUP(C1577,Projetos!A:L,12,false)=TRUE,TRUE,FALSE)</f>
        <v>1</v>
      </c>
      <c r="I1577" s="68">
        <v>21.669365196608947</v>
      </c>
      <c r="J1577" s="68">
        <f t="shared" si="1"/>
        <v>86.67746079</v>
      </c>
      <c r="K1577" s="68" t="b">
        <v>1</v>
      </c>
    </row>
    <row r="1578">
      <c r="A1578" s="75">
        <v>1572.0</v>
      </c>
      <c r="B1578" s="62" t="s">
        <v>755</v>
      </c>
      <c r="C1578" s="62" t="s">
        <v>90</v>
      </c>
      <c r="D1578" s="62" t="s">
        <v>994</v>
      </c>
      <c r="E1578" s="76">
        <v>44055.0</v>
      </c>
      <c r="F1578" s="77">
        <v>0.10416666666666667</v>
      </c>
      <c r="G1578" s="62" t="b">
        <v>1</v>
      </c>
      <c r="H1578" s="78" t="b">
        <f>IF(VLOOKUP(C1578,Projetos!A:L,12,false)=TRUE,TRUE,FALSE)</f>
        <v>1</v>
      </c>
      <c r="I1578" s="68">
        <v>21.669365196608947</v>
      </c>
      <c r="J1578" s="68">
        <f t="shared" si="1"/>
        <v>54.17341299</v>
      </c>
      <c r="K1578" s="68" t="b">
        <v>1</v>
      </c>
    </row>
    <row r="1579" hidden="1">
      <c r="A1579" s="75">
        <v>1573.0</v>
      </c>
      <c r="B1579" s="62" t="s">
        <v>755</v>
      </c>
      <c r="C1579" s="62" t="s">
        <v>98</v>
      </c>
      <c r="D1579" s="62" t="s">
        <v>995</v>
      </c>
      <c r="E1579" s="76">
        <v>44055.0</v>
      </c>
      <c r="F1579" s="77">
        <v>0.041666666666666664</v>
      </c>
      <c r="G1579" s="62" t="b">
        <v>0</v>
      </c>
      <c r="H1579" s="78" t="b">
        <f>IF(VLOOKUP(C1579,Projetos!A:L,12,false)=TRUE,TRUE,FALSE)</f>
        <v>1</v>
      </c>
      <c r="I1579" s="68">
        <v>21.669365196608947</v>
      </c>
      <c r="J1579" s="68">
        <f t="shared" si="1"/>
        <v>0</v>
      </c>
      <c r="K1579" s="68" t="b">
        <v>1</v>
      </c>
    </row>
    <row r="1580">
      <c r="A1580" s="75">
        <v>1574.0</v>
      </c>
      <c r="B1580" s="62" t="s">
        <v>755</v>
      </c>
      <c r="C1580" s="62" t="s">
        <v>98</v>
      </c>
      <c r="D1580" s="62" t="s">
        <v>996</v>
      </c>
      <c r="E1580" s="76">
        <v>44055.0</v>
      </c>
      <c r="F1580" s="77">
        <v>0.020833333333333332</v>
      </c>
      <c r="G1580" s="62" t="b">
        <v>1</v>
      </c>
      <c r="H1580" s="78" t="b">
        <f>IF(VLOOKUP(C1580,Projetos!A:L,12,false)=TRUE,TRUE,FALSE)</f>
        <v>1</v>
      </c>
      <c r="I1580" s="68">
        <v>21.669365196608947</v>
      </c>
      <c r="J1580" s="68">
        <f t="shared" si="1"/>
        <v>10.8346826</v>
      </c>
      <c r="K1580" s="68" t="b">
        <v>1</v>
      </c>
    </row>
    <row r="1581" hidden="1">
      <c r="A1581" s="75">
        <v>1575.0</v>
      </c>
      <c r="B1581" s="62" t="s">
        <v>755</v>
      </c>
      <c r="C1581" s="62" t="s">
        <v>102</v>
      </c>
      <c r="D1581" s="62" t="s">
        <v>997</v>
      </c>
      <c r="E1581" s="76">
        <v>44055.0</v>
      </c>
      <c r="F1581" s="77">
        <v>0.020833333333333332</v>
      </c>
      <c r="G1581" s="62" t="b">
        <v>0</v>
      </c>
      <c r="H1581" s="78" t="b">
        <f>IF(VLOOKUP(C1581,Projetos!A:L,12,false)=TRUE,TRUE,FALSE)</f>
        <v>0</v>
      </c>
      <c r="I1581" s="68">
        <v>21.669365196608947</v>
      </c>
      <c r="J1581" s="68">
        <f t="shared" si="1"/>
        <v>0</v>
      </c>
      <c r="K1581" s="68" t="b">
        <v>0</v>
      </c>
    </row>
    <row r="1582">
      <c r="A1582" s="75">
        <v>1576.0</v>
      </c>
      <c r="B1582" s="62" t="s">
        <v>755</v>
      </c>
      <c r="C1582" s="62" t="s">
        <v>90</v>
      </c>
      <c r="D1582" s="62" t="s">
        <v>998</v>
      </c>
      <c r="E1582" s="76">
        <v>44055.0</v>
      </c>
      <c r="F1582" s="77">
        <v>0.020833333333333332</v>
      </c>
      <c r="G1582" s="62" t="b">
        <v>1</v>
      </c>
      <c r="H1582" s="78" t="b">
        <f>IF(VLOOKUP(C1582,Projetos!A:L,12,false)=TRUE,TRUE,FALSE)</f>
        <v>1</v>
      </c>
      <c r="I1582" s="68">
        <v>21.669365196608947</v>
      </c>
      <c r="J1582" s="68">
        <f t="shared" si="1"/>
        <v>10.8346826</v>
      </c>
      <c r="K1582" s="68" t="b">
        <v>1</v>
      </c>
    </row>
    <row r="1583" hidden="1">
      <c r="A1583" s="75">
        <v>1577.0</v>
      </c>
      <c r="B1583" s="62" t="s">
        <v>755</v>
      </c>
      <c r="C1583" s="62" t="s">
        <v>102</v>
      </c>
      <c r="D1583" s="62" t="s">
        <v>999</v>
      </c>
      <c r="E1583" s="76">
        <v>44055.0</v>
      </c>
      <c r="F1583" s="77">
        <v>0.041666666666666664</v>
      </c>
      <c r="G1583" s="62" t="b">
        <v>0</v>
      </c>
      <c r="H1583" s="78" t="b">
        <f>IF(VLOOKUP(C1583,Projetos!A:L,12,false)=TRUE,TRUE,FALSE)</f>
        <v>0</v>
      </c>
      <c r="I1583" s="68">
        <v>21.669365196608947</v>
      </c>
      <c r="J1583" s="68">
        <f t="shared" si="1"/>
        <v>0</v>
      </c>
      <c r="K1583" s="68" t="b">
        <v>0</v>
      </c>
    </row>
    <row r="1584">
      <c r="A1584" s="75">
        <v>1578.0</v>
      </c>
      <c r="B1584" s="62" t="s">
        <v>755</v>
      </c>
      <c r="C1584" s="62" t="s">
        <v>98</v>
      </c>
      <c r="D1584" s="62" t="s">
        <v>1000</v>
      </c>
      <c r="E1584" s="76">
        <v>44056.0</v>
      </c>
      <c r="F1584" s="77">
        <v>0.020833333333333332</v>
      </c>
      <c r="G1584" s="62" t="b">
        <v>1</v>
      </c>
      <c r="H1584" s="78" t="b">
        <f>IF(VLOOKUP(C1584,Projetos!A:L,12,false)=TRUE,TRUE,FALSE)</f>
        <v>1</v>
      </c>
      <c r="I1584" s="68">
        <v>21.669365196608947</v>
      </c>
      <c r="J1584" s="68">
        <f t="shared" si="1"/>
        <v>10.8346826</v>
      </c>
      <c r="K1584" s="68" t="b">
        <v>1</v>
      </c>
    </row>
    <row r="1585" hidden="1">
      <c r="A1585" s="75">
        <v>1579.0</v>
      </c>
      <c r="B1585" s="62" t="s">
        <v>755</v>
      </c>
      <c r="C1585" s="62" t="s">
        <v>102</v>
      </c>
      <c r="D1585" s="62" t="s">
        <v>1001</v>
      </c>
      <c r="E1585" s="76">
        <v>44056.0</v>
      </c>
      <c r="F1585" s="77">
        <v>0.020833333333333332</v>
      </c>
      <c r="G1585" s="62" t="b">
        <v>0</v>
      </c>
      <c r="H1585" s="78" t="b">
        <f>IF(VLOOKUP(C1585,Projetos!A:L,12,false)=TRUE,TRUE,FALSE)</f>
        <v>0</v>
      </c>
      <c r="I1585" s="68">
        <v>21.669365196608947</v>
      </c>
      <c r="J1585" s="68">
        <f t="shared" si="1"/>
        <v>0</v>
      </c>
      <c r="K1585" s="68" t="b">
        <v>0</v>
      </c>
    </row>
    <row r="1586">
      <c r="A1586" s="75">
        <v>1580.0</v>
      </c>
      <c r="B1586" s="62" t="s">
        <v>755</v>
      </c>
      <c r="C1586" s="62" t="s">
        <v>90</v>
      </c>
      <c r="D1586" s="62" t="s">
        <v>1002</v>
      </c>
      <c r="E1586" s="76">
        <v>44057.0</v>
      </c>
      <c r="F1586" s="77">
        <v>0.020833333333333332</v>
      </c>
      <c r="G1586" s="62" t="b">
        <v>1</v>
      </c>
      <c r="H1586" s="78" t="b">
        <f>IF(VLOOKUP(C1586,Projetos!A:L,12,false)=TRUE,TRUE,FALSE)</f>
        <v>1</v>
      </c>
      <c r="I1586" s="68">
        <v>21.669365196608947</v>
      </c>
      <c r="J1586" s="68">
        <f t="shared" si="1"/>
        <v>10.8346826</v>
      </c>
      <c r="K1586" s="68" t="b">
        <v>1</v>
      </c>
    </row>
    <row r="1587">
      <c r="A1587" s="75">
        <v>1581.0</v>
      </c>
      <c r="B1587" s="62" t="s">
        <v>755</v>
      </c>
      <c r="C1587" s="62" t="s">
        <v>90</v>
      </c>
      <c r="D1587" s="62" t="s">
        <v>874</v>
      </c>
      <c r="E1587" s="76">
        <v>44057.0</v>
      </c>
      <c r="F1587" s="77">
        <v>0.041666666666666664</v>
      </c>
      <c r="G1587" s="62" t="b">
        <v>1</v>
      </c>
      <c r="H1587" s="78" t="b">
        <f>IF(VLOOKUP(C1587,Projetos!A:L,12,false)=TRUE,TRUE,FALSE)</f>
        <v>1</v>
      </c>
      <c r="I1587" s="68">
        <v>21.669365196608947</v>
      </c>
      <c r="J1587" s="68">
        <f t="shared" si="1"/>
        <v>21.6693652</v>
      </c>
      <c r="K1587" s="68" t="b">
        <v>1</v>
      </c>
    </row>
    <row r="1588" hidden="1">
      <c r="A1588" s="75">
        <v>1582.0</v>
      </c>
      <c r="B1588" s="62" t="s">
        <v>755</v>
      </c>
      <c r="C1588" s="62" t="s">
        <v>102</v>
      </c>
      <c r="D1588" s="62" t="s">
        <v>1003</v>
      </c>
      <c r="E1588" s="76">
        <v>44060.0</v>
      </c>
      <c r="F1588" s="77">
        <v>0.125</v>
      </c>
      <c r="G1588" s="62" t="b">
        <v>0</v>
      </c>
      <c r="H1588" s="78" t="b">
        <f>IF(VLOOKUP(C1588,Projetos!A:L,12,false)=TRUE,TRUE,FALSE)</f>
        <v>0</v>
      </c>
      <c r="I1588" s="68">
        <v>21.669365196608947</v>
      </c>
      <c r="J1588" s="68">
        <f t="shared" si="1"/>
        <v>0</v>
      </c>
      <c r="K1588" s="68" t="b">
        <v>0</v>
      </c>
    </row>
    <row r="1589">
      <c r="A1589" s="75">
        <v>1583.0</v>
      </c>
      <c r="B1589" s="62" t="s">
        <v>755</v>
      </c>
      <c r="C1589" s="62" t="s">
        <v>90</v>
      </c>
      <c r="D1589" s="62" t="s">
        <v>1004</v>
      </c>
      <c r="E1589" s="76">
        <v>44060.0</v>
      </c>
      <c r="F1589" s="77">
        <v>0.0625</v>
      </c>
      <c r="G1589" s="62" t="b">
        <v>1</v>
      </c>
      <c r="H1589" s="78" t="b">
        <f>IF(VLOOKUP(C1589,Projetos!A:L,12,false)=TRUE,TRUE,FALSE)</f>
        <v>1</v>
      </c>
      <c r="I1589" s="68">
        <v>21.669365196608947</v>
      </c>
      <c r="J1589" s="68">
        <f t="shared" si="1"/>
        <v>32.50404779</v>
      </c>
      <c r="K1589" s="68" t="b">
        <v>1</v>
      </c>
    </row>
    <row r="1590">
      <c r="A1590" s="75">
        <v>1584.0</v>
      </c>
      <c r="B1590" s="62" t="s">
        <v>755</v>
      </c>
      <c r="C1590" s="62" t="s">
        <v>104</v>
      </c>
      <c r="D1590" s="62" t="s">
        <v>1005</v>
      </c>
      <c r="E1590" s="76">
        <v>44060.0</v>
      </c>
      <c r="F1590" s="77">
        <v>0.020833333333333332</v>
      </c>
      <c r="G1590" s="62" t="b">
        <v>1</v>
      </c>
      <c r="H1590" s="78" t="b">
        <f>IF(VLOOKUP(C1590,Projetos!A:L,12,false)=TRUE,TRUE,FALSE)</f>
        <v>1</v>
      </c>
      <c r="I1590" s="68">
        <v>21.669365196608947</v>
      </c>
      <c r="J1590" s="68">
        <f t="shared" si="1"/>
        <v>10.8346826</v>
      </c>
      <c r="K1590" s="68" t="b">
        <v>1</v>
      </c>
    </row>
    <row r="1591">
      <c r="A1591" s="75">
        <v>1585.0</v>
      </c>
      <c r="B1591" s="62" t="s">
        <v>755</v>
      </c>
      <c r="C1591" s="62" t="s">
        <v>88</v>
      </c>
      <c r="D1591" s="62" t="s">
        <v>1006</v>
      </c>
      <c r="E1591" s="76">
        <v>44060.0</v>
      </c>
      <c r="F1591" s="77">
        <v>0.020833333333333332</v>
      </c>
      <c r="G1591" s="62" t="b">
        <v>1</v>
      </c>
      <c r="H1591" s="78" t="b">
        <f>IF(VLOOKUP(C1591,Projetos!A:L,12,false)=TRUE,TRUE,FALSE)</f>
        <v>1</v>
      </c>
      <c r="I1591" s="68">
        <v>21.669365196608947</v>
      </c>
      <c r="J1591" s="68">
        <f t="shared" si="1"/>
        <v>10.8346826</v>
      </c>
      <c r="K1591" s="68" t="b">
        <v>1</v>
      </c>
    </row>
    <row r="1592">
      <c r="A1592" s="75">
        <v>1586.0</v>
      </c>
      <c r="B1592" s="62" t="s">
        <v>755</v>
      </c>
      <c r="C1592" s="62" t="s">
        <v>104</v>
      </c>
      <c r="D1592" s="62" t="s">
        <v>1007</v>
      </c>
      <c r="E1592" s="76">
        <v>44061.0</v>
      </c>
      <c r="F1592" s="77">
        <v>0.041666666666666664</v>
      </c>
      <c r="G1592" s="62" t="b">
        <v>1</v>
      </c>
      <c r="H1592" s="78" t="b">
        <f>IF(VLOOKUP(C1592,Projetos!A:L,12,false)=TRUE,TRUE,FALSE)</f>
        <v>1</v>
      </c>
      <c r="I1592" s="68">
        <v>21.669365196608947</v>
      </c>
      <c r="J1592" s="68">
        <f t="shared" si="1"/>
        <v>21.6693652</v>
      </c>
      <c r="K1592" s="68" t="b">
        <v>1</v>
      </c>
    </row>
    <row r="1593" hidden="1">
      <c r="A1593" s="75">
        <v>1587.0</v>
      </c>
      <c r="B1593" s="62" t="s">
        <v>755</v>
      </c>
      <c r="C1593" s="62" t="s">
        <v>90</v>
      </c>
      <c r="D1593" s="62" t="s">
        <v>1008</v>
      </c>
      <c r="E1593" s="76">
        <v>44061.0</v>
      </c>
      <c r="F1593" s="77">
        <v>0.08333333333333333</v>
      </c>
      <c r="G1593" s="62" t="b">
        <v>0</v>
      </c>
      <c r="H1593" s="78" t="b">
        <f>IF(VLOOKUP(C1593,Projetos!A:L,12,false)=TRUE,TRUE,FALSE)</f>
        <v>1</v>
      </c>
      <c r="I1593" s="68">
        <v>21.669365196608947</v>
      </c>
      <c r="J1593" s="68">
        <f t="shared" si="1"/>
        <v>0</v>
      </c>
      <c r="K1593" s="68" t="b">
        <v>1</v>
      </c>
    </row>
    <row r="1594" hidden="1">
      <c r="A1594" s="75">
        <v>1588.0</v>
      </c>
      <c r="B1594" s="62" t="s">
        <v>755</v>
      </c>
      <c r="C1594" s="62" t="s">
        <v>102</v>
      </c>
      <c r="D1594" s="62" t="s">
        <v>1009</v>
      </c>
      <c r="E1594" s="76">
        <v>44061.0</v>
      </c>
      <c r="F1594" s="77">
        <v>0.020833333333333332</v>
      </c>
      <c r="G1594" s="62" t="b">
        <v>0</v>
      </c>
      <c r="H1594" s="78" t="b">
        <f>IF(VLOOKUP(C1594,Projetos!A:L,12,false)=TRUE,TRUE,FALSE)</f>
        <v>0</v>
      </c>
      <c r="I1594" s="68">
        <v>21.669365196608947</v>
      </c>
      <c r="J1594" s="68">
        <f t="shared" si="1"/>
        <v>0</v>
      </c>
      <c r="K1594" s="68" t="b">
        <v>0</v>
      </c>
    </row>
    <row r="1595">
      <c r="A1595" s="75">
        <v>1589.0</v>
      </c>
      <c r="B1595" s="62" t="s">
        <v>755</v>
      </c>
      <c r="C1595" s="62" t="s">
        <v>90</v>
      </c>
      <c r="D1595" s="62" t="s">
        <v>874</v>
      </c>
      <c r="E1595" s="76">
        <v>44061.0</v>
      </c>
      <c r="F1595" s="77">
        <v>0.041666666666666664</v>
      </c>
      <c r="G1595" s="62" t="b">
        <v>1</v>
      </c>
      <c r="H1595" s="78" t="b">
        <f>IF(VLOOKUP(C1595,Projetos!A:L,12,false)=TRUE,TRUE,FALSE)</f>
        <v>1</v>
      </c>
      <c r="I1595" s="68">
        <v>21.669365196608947</v>
      </c>
      <c r="J1595" s="68">
        <f t="shared" si="1"/>
        <v>21.6693652</v>
      </c>
      <c r="K1595" s="68" t="b">
        <v>1</v>
      </c>
    </row>
    <row r="1596">
      <c r="A1596" s="75">
        <v>1590.0</v>
      </c>
      <c r="B1596" s="62" t="s">
        <v>755</v>
      </c>
      <c r="C1596" s="62" t="s">
        <v>90</v>
      </c>
      <c r="D1596" s="62" t="s">
        <v>1010</v>
      </c>
      <c r="E1596" s="76">
        <v>44062.0</v>
      </c>
      <c r="F1596" s="77">
        <v>0.041666666666666664</v>
      </c>
      <c r="G1596" s="62" t="b">
        <v>1</v>
      </c>
      <c r="H1596" s="78" t="b">
        <f>IF(VLOOKUP(C1596,Projetos!A:L,12,false)=TRUE,TRUE,FALSE)</f>
        <v>1</v>
      </c>
      <c r="I1596" s="68">
        <v>21.669365196608947</v>
      </c>
      <c r="J1596" s="68">
        <f t="shared" si="1"/>
        <v>21.6693652</v>
      </c>
      <c r="K1596" s="68" t="b">
        <v>1</v>
      </c>
    </row>
    <row r="1597" hidden="1">
      <c r="A1597" s="75">
        <v>1591.0</v>
      </c>
      <c r="B1597" s="62" t="s">
        <v>755</v>
      </c>
      <c r="C1597" s="62" t="s">
        <v>102</v>
      </c>
      <c r="D1597" s="62" t="s">
        <v>1011</v>
      </c>
      <c r="E1597" s="76">
        <v>44062.0</v>
      </c>
      <c r="F1597" s="77">
        <v>0.020833333333333332</v>
      </c>
      <c r="G1597" s="62" t="b">
        <v>0</v>
      </c>
      <c r="H1597" s="78" t="b">
        <f>IF(VLOOKUP(C1597,Projetos!A:L,12,false)=TRUE,TRUE,FALSE)</f>
        <v>0</v>
      </c>
      <c r="I1597" s="68">
        <v>21.669365196608947</v>
      </c>
      <c r="J1597" s="68">
        <f t="shared" si="1"/>
        <v>0</v>
      </c>
      <c r="K1597" s="68" t="b">
        <v>0</v>
      </c>
    </row>
    <row r="1598">
      <c r="A1598" s="75">
        <v>1592.0</v>
      </c>
      <c r="B1598" s="62" t="s">
        <v>755</v>
      </c>
      <c r="C1598" s="62" t="s">
        <v>116</v>
      </c>
      <c r="D1598" s="62" t="s">
        <v>1012</v>
      </c>
      <c r="E1598" s="76">
        <v>44062.0</v>
      </c>
      <c r="F1598" s="77">
        <v>0.0625</v>
      </c>
      <c r="G1598" s="62" t="b">
        <v>1</v>
      </c>
      <c r="H1598" s="78" t="b">
        <f>IF(VLOOKUP(C1598,Projetos!A:L,12,false)=TRUE,TRUE,FALSE)</f>
        <v>1</v>
      </c>
      <c r="I1598" s="68">
        <v>21.669365196608947</v>
      </c>
      <c r="J1598" s="68">
        <f t="shared" si="1"/>
        <v>32.50404779</v>
      </c>
      <c r="K1598" s="68" t="b">
        <v>1</v>
      </c>
    </row>
    <row r="1599">
      <c r="A1599" s="75">
        <v>1593.0</v>
      </c>
      <c r="B1599" s="62" t="s">
        <v>755</v>
      </c>
      <c r="C1599" s="62" t="s">
        <v>90</v>
      </c>
      <c r="D1599" s="62" t="s">
        <v>1013</v>
      </c>
      <c r="E1599" s="76">
        <v>44062.0</v>
      </c>
      <c r="F1599" s="77">
        <v>0.08333333333333333</v>
      </c>
      <c r="G1599" s="62" t="b">
        <v>1</v>
      </c>
      <c r="H1599" s="78" t="b">
        <f>IF(VLOOKUP(C1599,Projetos!A:L,12,false)=TRUE,TRUE,FALSE)</f>
        <v>1</v>
      </c>
      <c r="I1599" s="68">
        <v>21.669365196608947</v>
      </c>
      <c r="J1599" s="68">
        <f t="shared" si="1"/>
        <v>43.33873039</v>
      </c>
      <c r="K1599" s="68" t="b">
        <v>1</v>
      </c>
    </row>
    <row r="1600">
      <c r="A1600" s="75">
        <v>1594.0</v>
      </c>
      <c r="B1600" s="62" t="s">
        <v>755</v>
      </c>
      <c r="C1600" s="62" t="s">
        <v>115</v>
      </c>
      <c r="D1600" s="62" t="s">
        <v>1014</v>
      </c>
      <c r="E1600" s="76">
        <v>44063.0</v>
      </c>
      <c r="F1600" s="77">
        <v>0.041666666666666664</v>
      </c>
      <c r="G1600" s="62" t="b">
        <v>1</v>
      </c>
      <c r="H1600" s="78" t="b">
        <f>IF(VLOOKUP(C1600,Projetos!A:L,12,false)=TRUE,TRUE,FALSE)</f>
        <v>1</v>
      </c>
      <c r="I1600" s="68">
        <v>21.669365196608947</v>
      </c>
      <c r="J1600" s="68">
        <f t="shared" si="1"/>
        <v>21.6693652</v>
      </c>
      <c r="K1600" s="68" t="b">
        <v>1</v>
      </c>
    </row>
    <row r="1601">
      <c r="A1601" s="75">
        <v>1595.0</v>
      </c>
      <c r="B1601" s="62" t="s">
        <v>755</v>
      </c>
      <c r="C1601" s="62" t="s">
        <v>90</v>
      </c>
      <c r="D1601" s="62" t="s">
        <v>1013</v>
      </c>
      <c r="E1601" s="76">
        <v>44063.0</v>
      </c>
      <c r="F1601" s="77">
        <v>0.08333333333333333</v>
      </c>
      <c r="G1601" s="62" t="b">
        <v>1</v>
      </c>
      <c r="H1601" s="78" t="b">
        <f>IF(VLOOKUP(C1601,Projetos!A:L,12,false)=TRUE,TRUE,FALSE)</f>
        <v>1</v>
      </c>
      <c r="I1601" s="68">
        <v>21.669365196608947</v>
      </c>
      <c r="J1601" s="68">
        <f t="shared" si="1"/>
        <v>43.33873039</v>
      </c>
      <c r="K1601" s="68" t="b">
        <v>1</v>
      </c>
    </row>
    <row r="1602">
      <c r="A1602" s="75">
        <v>1596.0</v>
      </c>
      <c r="B1602" s="62" t="s">
        <v>755</v>
      </c>
      <c r="C1602" s="62" t="s">
        <v>115</v>
      </c>
      <c r="D1602" s="62" t="s">
        <v>1015</v>
      </c>
      <c r="E1602" s="76">
        <v>44063.0</v>
      </c>
      <c r="F1602" s="77">
        <v>0.041666666666666664</v>
      </c>
      <c r="G1602" s="62" t="b">
        <v>1</v>
      </c>
      <c r="H1602" s="78" t="b">
        <f>IF(VLOOKUP(C1602,Projetos!A:L,12,false)=TRUE,TRUE,FALSE)</f>
        <v>1</v>
      </c>
      <c r="I1602" s="68">
        <v>21.669365196608947</v>
      </c>
      <c r="J1602" s="68">
        <f t="shared" si="1"/>
        <v>21.6693652</v>
      </c>
      <c r="K1602" s="68" t="b">
        <v>1</v>
      </c>
    </row>
    <row r="1603">
      <c r="A1603" s="75">
        <v>1597.0</v>
      </c>
      <c r="B1603" s="62" t="s">
        <v>755</v>
      </c>
      <c r="C1603" s="62" t="s">
        <v>90</v>
      </c>
      <c r="D1603" s="62" t="s">
        <v>1002</v>
      </c>
      <c r="E1603" s="76">
        <v>44064.0</v>
      </c>
      <c r="F1603" s="77">
        <v>0.020833333333333332</v>
      </c>
      <c r="G1603" s="62" t="b">
        <v>1</v>
      </c>
      <c r="H1603" s="78" t="b">
        <f>IF(VLOOKUP(C1603,Projetos!A:L,12,false)=TRUE,TRUE,FALSE)</f>
        <v>1</v>
      </c>
      <c r="I1603" s="68">
        <v>21.669365196608947</v>
      </c>
      <c r="J1603" s="68">
        <f t="shared" si="1"/>
        <v>10.8346826</v>
      </c>
      <c r="K1603" s="68" t="b">
        <v>1</v>
      </c>
    </row>
    <row r="1604" hidden="1">
      <c r="A1604" s="75">
        <v>1598.0</v>
      </c>
      <c r="B1604" s="62" t="s">
        <v>755</v>
      </c>
      <c r="C1604" s="62" t="s">
        <v>102</v>
      </c>
      <c r="D1604" s="62" t="s">
        <v>1016</v>
      </c>
      <c r="E1604" s="76">
        <v>44064.0</v>
      </c>
      <c r="F1604" s="77">
        <v>0.020833333333333332</v>
      </c>
      <c r="G1604" s="62" t="b">
        <v>0</v>
      </c>
      <c r="H1604" s="78" t="b">
        <f>IF(VLOOKUP(C1604,Projetos!A:L,12,false)=TRUE,TRUE,FALSE)</f>
        <v>0</v>
      </c>
      <c r="I1604" s="68">
        <v>21.669365196608947</v>
      </c>
      <c r="J1604" s="68">
        <f t="shared" si="1"/>
        <v>0</v>
      </c>
      <c r="K1604" s="68" t="b">
        <v>0</v>
      </c>
    </row>
    <row r="1605" hidden="1">
      <c r="A1605" s="75">
        <v>1599.0</v>
      </c>
      <c r="B1605" s="62" t="s">
        <v>755</v>
      </c>
      <c r="C1605" s="62" t="s">
        <v>102</v>
      </c>
      <c r="D1605" s="62" t="s">
        <v>1017</v>
      </c>
      <c r="E1605" s="76">
        <v>44064.0</v>
      </c>
      <c r="F1605" s="77">
        <v>0.020833333333333332</v>
      </c>
      <c r="G1605" s="62" t="b">
        <v>0</v>
      </c>
      <c r="H1605" s="78" t="b">
        <f>IF(VLOOKUP(C1605,Projetos!A:L,12,false)=TRUE,TRUE,FALSE)</f>
        <v>0</v>
      </c>
      <c r="I1605" s="68">
        <v>21.669365196608947</v>
      </c>
      <c r="J1605" s="68">
        <f t="shared" si="1"/>
        <v>0</v>
      </c>
      <c r="K1605" s="68" t="b">
        <v>0</v>
      </c>
    </row>
    <row r="1606" hidden="1">
      <c r="A1606" s="75">
        <v>1600.0</v>
      </c>
      <c r="B1606" s="62" t="s">
        <v>755</v>
      </c>
      <c r="C1606" s="62" t="s">
        <v>102</v>
      </c>
      <c r="D1606" s="62" t="s">
        <v>1018</v>
      </c>
      <c r="E1606" s="76">
        <v>44064.0</v>
      </c>
      <c r="F1606" s="77">
        <v>0.020833333333333332</v>
      </c>
      <c r="G1606" s="62" t="b">
        <v>0</v>
      </c>
      <c r="H1606" s="78" t="b">
        <f>IF(VLOOKUP(C1606,Projetos!A:L,12,false)=TRUE,TRUE,FALSE)</f>
        <v>0</v>
      </c>
      <c r="I1606" s="68">
        <v>21.669365196608947</v>
      </c>
      <c r="J1606" s="68">
        <f t="shared" si="1"/>
        <v>0</v>
      </c>
      <c r="K1606" s="68" t="b">
        <v>0</v>
      </c>
    </row>
    <row r="1607">
      <c r="A1607" s="75">
        <v>1601.0</v>
      </c>
      <c r="B1607" s="62" t="s">
        <v>755</v>
      </c>
      <c r="C1607" s="62" t="s">
        <v>90</v>
      </c>
      <c r="D1607" s="62" t="s">
        <v>1019</v>
      </c>
      <c r="E1607" s="76">
        <v>44064.0</v>
      </c>
      <c r="F1607" s="77">
        <v>0.0625</v>
      </c>
      <c r="G1607" s="62" t="b">
        <v>1</v>
      </c>
      <c r="H1607" s="78" t="b">
        <f>IF(VLOOKUP(C1607,Projetos!A:L,12,false)=TRUE,TRUE,FALSE)</f>
        <v>1</v>
      </c>
      <c r="I1607" s="68">
        <v>21.669365196608947</v>
      </c>
      <c r="J1607" s="68">
        <f t="shared" si="1"/>
        <v>32.50404779</v>
      </c>
      <c r="K1607" s="68" t="b">
        <v>1</v>
      </c>
    </row>
    <row r="1608">
      <c r="A1608" s="75">
        <v>1602.0</v>
      </c>
      <c r="B1608" s="62" t="s">
        <v>755</v>
      </c>
      <c r="C1608" s="62" t="s">
        <v>104</v>
      </c>
      <c r="D1608" s="62" t="s">
        <v>1020</v>
      </c>
      <c r="E1608" s="76">
        <v>44064.0</v>
      </c>
      <c r="F1608" s="77">
        <v>0.041666666666666664</v>
      </c>
      <c r="G1608" s="62" t="b">
        <v>1</v>
      </c>
      <c r="H1608" s="78" t="b">
        <f>IF(VLOOKUP(C1608,Projetos!A:L,12,false)=TRUE,TRUE,FALSE)</f>
        <v>1</v>
      </c>
      <c r="I1608" s="68">
        <v>21.669365196608947</v>
      </c>
      <c r="J1608" s="68">
        <f t="shared" si="1"/>
        <v>21.6693652</v>
      </c>
      <c r="K1608" s="68" t="b">
        <v>1</v>
      </c>
    </row>
    <row r="1609">
      <c r="A1609" s="75">
        <v>1603.0</v>
      </c>
      <c r="B1609" s="62" t="s">
        <v>755</v>
      </c>
      <c r="C1609" s="62" t="s">
        <v>90</v>
      </c>
      <c r="D1609" s="62" t="s">
        <v>1021</v>
      </c>
      <c r="E1609" s="76">
        <v>44067.0</v>
      </c>
      <c r="F1609" s="77">
        <v>0.041666666666666664</v>
      </c>
      <c r="G1609" s="62" t="b">
        <v>1</v>
      </c>
      <c r="H1609" s="78" t="b">
        <f>IF(VLOOKUP(C1609,Projetos!A:L,12,false)=TRUE,TRUE,FALSE)</f>
        <v>1</v>
      </c>
      <c r="I1609" s="68">
        <v>21.669365196608947</v>
      </c>
      <c r="J1609" s="68">
        <f t="shared" si="1"/>
        <v>21.6693652</v>
      </c>
      <c r="K1609" s="68" t="b">
        <v>1</v>
      </c>
    </row>
    <row r="1610">
      <c r="A1610" s="75">
        <v>1604.0</v>
      </c>
      <c r="B1610" s="62" t="s">
        <v>755</v>
      </c>
      <c r="C1610" s="62" t="s">
        <v>90</v>
      </c>
      <c r="D1610" s="62" t="s">
        <v>1022</v>
      </c>
      <c r="E1610" s="76">
        <v>44067.0</v>
      </c>
      <c r="F1610" s="77">
        <v>0.020833333333333332</v>
      </c>
      <c r="G1610" s="62" t="b">
        <v>1</v>
      </c>
      <c r="H1610" s="78" t="b">
        <f>IF(VLOOKUP(C1610,Projetos!A:L,12,false)=TRUE,TRUE,FALSE)</f>
        <v>1</v>
      </c>
      <c r="I1610" s="68">
        <v>21.669365196608947</v>
      </c>
      <c r="J1610" s="68">
        <f t="shared" si="1"/>
        <v>10.8346826</v>
      </c>
      <c r="K1610" s="68" t="b">
        <v>1</v>
      </c>
    </row>
    <row r="1611">
      <c r="A1611" s="75">
        <v>1605.0</v>
      </c>
      <c r="B1611" s="62" t="s">
        <v>755</v>
      </c>
      <c r="C1611" s="62" t="s">
        <v>104</v>
      </c>
      <c r="D1611" s="62" t="s">
        <v>1023</v>
      </c>
      <c r="E1611" s="76">
        <v>44067.0</v>
      </c>
      <c r="F1611" s="77">
        <v>0.041666666666666664</v>
      </c>
      <c r="G1611" s="62" t="b">
        <v>1</v>
      </c>
      <c r="H1611" s="78" t="b">
        <f>IF(VLOOKUP(C1611,Projetos!A:L,12,false)=TRUE,TRUE,FALSE)</f>
        <v>1</v>
      </c>
      <c r="I1611" s="68">
        <v>21.669365196608947</v>
      </c>
      <c r="J1611" s="68">
        <f t="shared" si="1"/>
        <v>21.6693652</v>
      </c>
      <c r="K1611" s="68" t="b">
        <v>1</v>
      </c>
    </row>
    <row r="1612">
      <c r="A1612" s="75">
        <v>1606.0</v>
      </c>
      <c r="B1612" s="62" t="s">
        <v>755</v>
      </c>
      <c r="C1612" s="62" t="s">
        <v>90</v>
      </c>
      <c r="D1612" s="62" t="s">
        <v>874</v>
      </c>
      <c r="E1612" s="76">
        <v>44067.0</v>
      </c>
      <c r="F1612" s="77">
        <v>0.041666666666666664</v>
      </c>
      <c r="G1612" s="62" t="b">
        <v>1</v>
      </c>
      <c r="H1612" s="78" t="b">
        <f>IF(VLOOKUP(C1612,Projetos!A:L,12,false)=TRUE,TRUE,FALSE)</f>
        <v>1</v>
      </c>
      <c r="I1612" s="68">
        <v>21.669365196608947</v>
      </c>
      <c r="J1612" s="68">
        <f t="shared" si="1"/>
        <v>21.6693652</v>
      </c>
      <c r="K1612" s="68" t="b">
        <v>1</v>
      </c>
    </row>
    <row r="1613">
      <c r="A1613" s="75">
        <v>1607.0</v>
      </c>
      <c r="B1613" s="62" t="s">
        <v>755</v>
      </c>
      <c r="C1613" s="62" t="s">
        <v>115</v>
      </c>
      <c r="D1613" s="62" t="s">
        <v>1024</v>
      </c>
      <c r="E1613" s="76">
        <v>44068.0</v>
      </c>
      <c r="F1613" s="77">
        <v>0.041666666666666664</v>
      </c>
      <c r="G1613" s="62" t="b">
        <v>1</v>
      </c>
      <c r="H1613" s="78" t="b">
        <f>IF(VLOOKUP(C1613,Projetos!A:L,12,false)=TRUE,TRUE,FALSE)</f>
        <v>1</v>
      </c>
      <c r="I1613" s="68">
        <v>21.669365196608947</v>
      </c>
      <c r="J1613" s="68">
        <f t="shared" si="1"/>
        <v>21.6693652</v>
      </c>
      <c r="K1613" s="68" t="b">
        <v>1</v>
      </c>
    </row>
    <row r="1614">
      <c r="A1614" s="75">
        <v>1608.0</v>
      </c>
      <c r="B1614" s="62" t="s">
        <v>755</v>
      </c>
      <c r="C1614" s="62" t="s">
        <v>90</v>
      </c>
      <c r="D1614" s="62" t="s">
        <v>1025</v>
      </c>
      <c r="E1614" s="76">
        <v>44068.0</v>
      </c>
      <c r="F1614" s="77">
        <v>0.020833333333333332</v>
      </c>
      <c r="G1614" s="62" t="b">
        <v>1</v>
      </c>
      <c r="H1614" s="78" t="b">
        <f>IF(VLOOKUP(C1614,Projetos!A:L,12,false)=TRUE,TRUE,FALSE)</f>
        <v>1</v>
      </c>
      <c r="I1614" s="68">
        <v>21.669365196608947</v>
      </c>
      <c r="J1614" s="68">
        <f t="shared" si="1"/>
        <v>10.8346826</v>
      </c>
      <c r="K1614" s="68" t="b">
        <v>1</v>
      </c>
    </row>
    <row r="1615">
      <c r="A1615" s="75">
        <v>1609.0</v>
      </c>
      <c r="B1615" s="62" t="s">
        <v>755</v>
      </c>
      <c r="C1615" s="62" t="s">
        <v>90</v>
      </c>
      <c r="D1615" s="62" t="s">
        <v>1026</v>
      </c>
      <c r="E1615" s="76">
        <v>44068.0</v>
      </c>
      <c r="F1615" s="77">
        <v>0.14583333333333334</v>
      </c>
      <c r="G1615" s="62" t="b">
        <v>1</v>
      </c>
      <c r="H1615" s="78" t="b">
        <f>IF(VLOOKUP(C1615,Projetos!A:L,12,false)=TRUE,TRUE,FALSE)</f>
        <v>1</v>
      </c>
      <c r="I1615" s="68">
        <v>21.669365196608947</v>
      </c>
      <c r="J1615" s="68">
        <f t="shared" si="1"/>
        <v>75.84277819</v>
      </c>
      <c r="K1615" s="68" t="b">
        <v>1</v>
      </c>
    </row>
    <row r="1616">
      <c r="A1616" s="75">
        <v>1610.0</v>
      </c>
      <c r="B1616" s="62" t="s">
        <v>755</v>
      </c>
      <c r="C1616" s="62" t="s">
        <v>90</v>
      </c>
      <c r="D1616" s="62" t="s">
        <v>874</v>
      </c>
      <c r="E1616" s="76">
        <v>44068.0</v>
      </c>
      <c r="F1616" s="77">
        <v>0.041666666666666664</v>
      </c>
      <c r="G1616" s="62" t="b">
        <v>1</v>
      </c>
      <c r="H1616" s="78" t="b">
        <f>IF(VLOOKUP(C1616,Projetos!A:L,12,false)=TRUE,TRUE,FALSE)</f>
        <v>1</v>
      </c>
      <c r="I1616" s="68">
        <v>21.669365196608947</v>
      </c>
      <c r="J1616" s="68">
        <f t="shared" si="1"/>
        <v>21.6693652</v>
      </c>
      <c r="K1616" s="68" t="b">
        <v>1</v>
      </c>
    </row>
    <row r="1617">
      <c r="A1617" s="75">
        <v>1611.0</v>
      </c>
      <c r="B1617" s="62" t="s">
        <v>755</v>
      </c>
      <c r="C1617" s="62" t="s">
        <v>90</v>
      </c>
      <c r="D1617" s="62" t="s">
        <v>1027</v>
      </c>
      <c r="E1617" s="76">
        <v>44069.0</v>
      </c>
      <c r="F1617" s="77">
        <v>0.041666666666666664</v>
      </c>
      <c r="G1617" s="62" t="b">
        <v>1</v>
      </c>
      <c r="H1617" s="78" t="b">
        <f>IF(VLOOKUP(C1617,Projetos!A:L,12,false)=TRUE,TRUE,FALSE)</f>
        <v>1</v>
      </c>
      <c r="I1617" s="68">
        <v>21.669365196608947</v>
      </c>
      <c r="J1617" s="68">
        <f t="shared" si="1"/>
        <v>21.6693652</v>
      </c>
      <c r="K1617" s="68" t="b">
        <v>1</v>
      </c>
    </row>
    <row r="1618">
      <c r="A1618" s="75">
        <v>1612.0</v>
      </c>
      <c r="B1618" s="62" t="s">
        <v>755</v>
      </c>
      <c r="C1618" s="62" t="s">
        <v>90</v>
      </c>
      <c r="D1618" s="62" t="s">
        <v>1028</v>
      </c>
      <c r="E1618" s="76">
        <v>44069.0</v>
      </c>
      <c r="F1618" s="77">
        <v>0.041666666666666664</v>
      </c>
      <c r="G1618" s="62" t="b">
        <v>1</v>
      </c>
      <c r="H1618" s="78" t="b">
        <f>IF(VLOOKUP(C1618,Projetos!A:L,12,false)=TRUE,TRUE,FALSE)</f>
        <v>1</v>
      </c>
      <c r="I1618" s="68">
        <v>21.669365196608947</v>
      </c>
      <c r="J1618" s="68">
        <f t="shared" si="1"/>
        <v>21.6693652</v>
      </c>
      <c r="K1618" s="68" t="b">
        <v>1</v>
      </c>
    </row>
    <row r="1619">
      <c r="A1619" s="75">
        <v>1613.0</v>
      </c>
      <c r="B1619" s="62" t="s">
        <v>755</v>
      </c>
      <c r="C1619" s="62" t="s">
        <v>90</v>
      </c>
      <c r="D1619" s="62" t="s">
        <v>1029</v>
      </c>
      <c r="E1619" s="76">
        <v>44069.0</v>
      </c>
      <c r="F1619" s="77">
        <v>0.041666666666666664</v>
      </c>
      <c r="G1619" s="62" t="b">
        <v>1</v>
      </c>
      <c r="H1619" s="78" t="b">
        <f>IF(VLOOKUP(C1619,Projetos!A:L,12,false)=TRUE,TRUE,FALSE)</f>
        <v>1</v>
      </c>
      <c r="I1619" s="68">
        <v>21.669365196608947</v>
      </c>
      <c r="J1619" s="68">
        <f t="shared" si="1"/>
        <v>21.6693652</v>
      </c>
      <c r="K1619" s="68" t="b">
        <v>1</v>
      </c>
    </row>
    <row r="1620">
      <c r="A1620" s="75">
        <v>1614.0</v>
      </c>
      <c r="B1620" s="62" t="s">
        <v>755</v>
      </c>
      <c r="C1620" s="62" t="s">
        <v>110</v>
      </c>
      <c r="D1620" s="62" t="s">
        <v>1030</v>
      </c>
      <c r="E1620" s="76">
        <v>44069.0</v>
      </c>
      <c r="F1620" s="77">
        <v>0.125</v>
      </c>
      <c r="G1620" s="62" t="b">
        <v>1</v>
      </c>
      <c r="H1620" s="78" t="b">
        <f>IF(VLOOKUP(C1620,Projetos!A:L,12,false)=TRUE,TRUE,FALSE)</f>
        <v>1</v>
      </c>
      <c r="I1620" s="68">
        <v>21.669365196608947</v>
      </c>
      <c r="J1620" s="68">
        <f t="shared" si="1"/>
        <v>65.00809559</v>
      </c>
      <c r="K1620" s="68" t="b">
        <v>1</v>
      </c>
    </row>
    <row r="1621" hidden="1">
      <c r="A1621" s="75">
        <v>1615.0</v>
      </c>
      <c r="B1621" s="62" t="s">
        <v>755</v>
      </c>
      <c r="C1621" s="62" t="s">
        <v>109</v>
      </c>
      <c r="D1621" s="62" t="s">
        <v>1031</v>
      </c>
      <c r="E1621" s="76">
        <v>44069.0</v>
      </c>
      <c r="F1621" s="77">
        <v>0.041666666666666664</v>
      </c>
      <c r="G1621" s="62" t="b">
        <v>0</v>
      </c>
      <c r="H1621" s="78" t="b">
        <f>IF(VLOOKUP(C1621,Projetos!A:L,12,false)=TRUE,TRUE,FALSE)</f>
        <v>0</v>
      </c>
      <c r="I1621" s="68">
        <v>21.669365196608947</v>
      </c>
      <c r="J1621" s="68">
        <f t="shared" si="1"/>
        <v>0</v>
      </c>
      <c r="K1621" s="68" t="b">
        <v>0</v>
      </c>
    </row>
    <row r="1622">
      <c r="A1622" s="75">
        <v>1616.0</v>
      </c>
      <c r="B1622" s="62" t="s">
        <v>755</v>
      </c>
      <c r="C1622" s="62" t="s">
        <v>90</v>
      </c>
      <c r="D1622" s="62" t="s">
        <v>1032</v>
      </c>
      <c r="E1622" s="76">
        <v>44070.0</v>
      </c>
      <c r="F1622" s="77">
        <v>0.08333333333333333</v>
      </c>
      <c r="G1622" s="62" t="b">
        <v>1</v>
      </c>
      <c r="H1622" s="78" t="b">
        <f>IF(VLOOKUP(C1622,Projetos!A:L,12,false)=TRUE,TRUE,FALSE)</f>
        <v>1</v>
      </c>
      <c r="I1622" s="68">
        <v>21.669365196608947</v>
      </c>
      <c r="J1622" s="68">
        <f t="shared" si="1"/>
        <v>43.33873039</v>
      </c>
      <c r="K1622" s="68" t="b">
        <v>1</v>
      </c>
    </row>
    <row r="1623">
      <c r="A1623" s="75">
        <v>1617.0</v>
      </c>
      <c r="B1623" s="62" t="s">
        <v>755</v>
      </c>
      <c r="C1623" s="62" t="s">
        <v>115</v>
      </c>
      <c r="D1623" s="62" t="s">
        <v>1033</v>
      </c>
      <c r="E1623" s="76">
        <v>44070.0</v>
      </c>
      <c r="F1623" s="77">
        <v>0.041666666666666664</v>
      </c>
      <c r="G1623" s="62" t="b">
        <v>1</v>
      </c>
      <c r="H1623" s="78" t="b">
        <f>IF(VLOOKUP(C1623,Projetos!A:L,12,false)=TRUE,TRUE,FALSE)</f>
        <v>1</v>
      </c>
      <c r="I1623" s="68">
        <v>21.669365196608947</v>
      </c>
      <c r="J1623" s="68">
        <f t="shared" si="1"/>
        <v>21.6693652</v>
      </c>
      <c r="K1623" s="68" t="b">
        <v>1</v>
      </c>
    </row>
    <row r="1624">
      <c r="A1624" s="75">
        <v>1618.0</v>
      </c>
      <c r="B1624" s="62" t="s">
        <v>755</v>
      </c>
      <c r="C1624" s="62" t="s">
        <v>90</v>
      </c>
      <c r="D1624" s="62" t="s">
        <v>990</v>
      </c>
      <c r="E1624" s="76">
        <v>44071.0</v>
      </c>
      <c r="F1624" s="77">
        <v>0.020833333333333332</v>
      </c>
      <c r="G1624" s="62" t="b">
        <v>1</v>
      </c>
      <c r="H1624" s="78" t="b">
        <f>IF(VLOOKUP(C1624,Projetos!A:L,12,false)=TRUE,TRUE,FALSE)</f>
        <v>1</v>
      </c>
      <c r="I1624" s="68">
        <v>21.669365196608947</v>
      </c>
      <c r="J1624" s="68">
        <f t="shared" si="1"/>
        <v>10.8346826</v>
      </c>
      <c r="K1624" s="68" t="b">
        <v>1</v>
      </c>
    </row>
    <row r="1625" hidden="1">
      <c r="A1625" s="75">
        <v>1619.0</v>
      </c>
      <c r="B1625" s="62" t="s">
        <v>755</v>
      </c>
      <c r="C1625" s="62" t="s">
        <v>102</v>
      </c>
      <c r="D1625" s="62" t="s">
        <v>1034</v>
      </c>
      <c r="E1625" s="76">
        <v>44071.0</v>
      </c>
      <c r="F1625" s="77">
        <v>0.041666666666666664</v>
      </c>
      <c r="G1625" s="62" t="b">
        <v>0</v>
      </c>
      <c r="H1625" s="78" t="b">
        <f>IF(VLOOKUP(C1625,Projetos!A:L,12,false)=TRUE,TRUE,FALSE)</f>
        <v>0</v>
      </c>
      <c r="I1625" s="68">
        <v>21.669365196608947</v>
      </c>
      <c r="J1625" s="68">
        <f t="shared" si="1"/>
        <v>0</v>
      </c>
      <c r="K1625" s="68" t="b">
        <v>0</v>
      </c>
    </row>
    <row r="1626">
      <c r="A1626" s="75">
        <v>1620.0</v>
      </c>
      <c r="B1626" s="62" t="s">
        <v>755</v>
      </c>
      <c r="C1626" s="62" t="s">
        <v>90</v>
      </c>
      <c r="D1626" s="62" t="s">
        <v>1035</v>
      </c>
      <c r="E1626" s="76">
        <v>44071.0</v>
      </c>
      <c r="F1626" s="77">
        <v>0.10416666666666667</v>
      </c>
      <c r="G1626" s="62" t="b">
        <v>1</v>
      </c>
      <c r="H1626" s="78" t="b">
        <f>IF(VLOOKUP(C1626,Projetos!A:L,12,false)=TRUE,TRUE,FALSE)</f>
        <v>1</v>
      </c>
      <c r="I1626" s="68">
        <v>21.669365196608947</v>
      </c>
      <c r="J1626" s="68">
        <f t="shared" si="1"/>
        <v>54.17341299</v>
      </c>
      <c r="K1626" s="68" t="b">
        <v>1</v>
      </c>
    </row>
    <row r="1627">
      <c r="A1627" s="75">
        <v>1621.0</v>
      </c>
      <c r="B1627" s="62" t="s">
        <v>755</v>
      </c>
      <c r="C1627" s="62" t="s">
        <v>90</v>
      </c>
      <c r="D1627" s="62" t="s">
        <v>1036</v>
      </c>
      <c r="E1627" s="76">
        <v>44071.0</v>
      </c>
      <c r="F1627" s="77">
        <v>0.020833333333333332</v>
      </c>
      <c r="G1627" s="62" t="b">
        <v>1</v>
      </c>
      <c r="H1627" s="78" t="b">
        <f>IF(VLOOKUP(C1627,Projetos!A:L,12,false)=TRUE,TRUE,FALSE)</f>
        <v>1</v>
      </c>
      <c r="I1627" s="68">
        <v>21.669365196608947</v>
      </c>
      <c r="J1627" s="68">
        <f t="shared" si="1"/>
        <v>10.8346826</v>
      </c>
      <c r="K1627" s="68" t="b">
        <v>1</v>
      </c>
    </row>
    <row r="1628">
      <c r="A1628" s="75">
        <v>1622.0</v>
      </c>
      <c r="B1628" s="62" t="s">
        <v>755</v>
      </c>
      <c r="C1628" s="62" t="s">
        <v>104</v>
      </c>
      <c r="D1628" s="62" t="s">
        <v>841</v>
      </c>
      <c r="E1628" s="76">
        <v>44074.0</v>
      </c>
      <c r="F1628" s="77">
        <v>0.08333333333333333</v>
      </c>
      <c r="G1628" s="62" t="b">
        <v>1</v>
      </c>
      <c r="H1628" s="78" t="b">
        <f>IF(VLOOKUP(C1628,Projetos!A:L,12,false)=TRUE,TRUE,FALSE)</f>
        <v>1</v>
      </c>
      <c r="I1628" s="68">
        <v>21.669365196608947</v>
      </c>
      <c r="J1628" s="68">
        <f t="shared" si="1"/>
        <v>43.33873039</v>
      </c>
      <c r="K1628" s="68" t="b">
        <v>1</v>
      </c>
    </row>
    <row r="1629">
      <c r="A1629" s="75">
        <v>1623.0</v>
      </c>
      <c r="B1629" s="62" t="s">
        <v>755</v>
      </c>
      <c r="C1629" s="62" t="s">
        <v>90</v>
      </c>
      <c r="D1629" s="62" t="s">
        <v>1037</v>
      </c>
      <c r="E1629" s="76">
        <v>44074.0</v>
      </c>
      <c r="F1629" s="77">
        <v>0.041666666666666664</v>
      </c>
      <c r="G1629" s="62" t="b">
        <v>1</v>
      </c>
      <c r="H1629" s="78" t="b">
        <f>IF(VLOOKUP(C1629,Projetos!A:L,12,false)=TRUE,TRUE,FALSE)</f>
        <v>1</v>
      </c>
      <c r="I1629" s="68">
        <v>21.669365196608947</v>
      </c>
      <c r="J1629" s="68">
        <f t="shared" si="1"/>
        <v>21.6693652</v>
      </c>
      <c r="K1629" s="68" t="b">
        <v>1</v>
      </c>
    </row>
    <row r="1630">
      <c r="A1630" s="75">
        <v>1624.0</v>
      </c>
      <c r="B1630" s="62" t="s">
        <v>755</v>
      </c>
      <c r="C1630" s="62" t="s">
        <v>90</v>
      </c>
      <c r="D1630" s="62" t="s">
        <v>1026</v>
      </c>
      <c r="E1630" s="76">
        <v>44074.0</v>
      </c>
      <c r="F1630" s="77">
        <v>0.16666666666666666</v>
      </c>
      <c r="G1630" s="62" t="b">
        <v>1</v>
      </c>
      <c r="H1630" s="78" t="b">
        <f>IF(VLOOKUP(C1630,Projetos!A:L,12,false)=TRUE,TRUE,FALSE)</f>
        <v>1</v>
      </c>
      <c r="I1630" s="68">
        <v>21.669365196608947</v>
      </c>
      <c r="J1630" s="68">
        <f t="shared" si="1"/>
        <v>86.67746079</v>
      </c>
      <c r="K1630" s="68" t="b">
        <v>1</v>
      </c>
    </row>
    <row r="1631">
      <c r="A1631" s="75">
        <v>1625.0</v>
      </c>
      <c r="B1631" s="62" t="s">
        <v>755</v>
      </c>
      <c r="C1631" s="62" t="s">
        <v>104</v>
      </c>
      <c r="D1631" s="62" t="s">
        <v>1038</v>
      </c>
      <c r="E1631" s="76">
        <v>44075.0</v>
      </c>
      <c r="F1631" s="77">
        <v>0.041666666666666664</v>
      </c>
      <c r="G1631" s="62" t="b">
        <v>1</v>
      </c>
      <c r="H1631" s="78" t="b">
        <f>IF(VLOOKUP(C1631,Projetos!A:L,12,false)=TRUE,TRUE,FALSE)</f>
        <v>1</v>
      </c>
      <c r="I1631" s="68">
        <v>22.992671636822767</v>
      </c>
      <c r="J1631" s="68">
        <f t="shared" si="1"/>
        <v>22.99267164</v>
      </c>
      <c r="K1631" s="68" t="b">
        <v>1</v>
      </c>
    </row>
    <row r="1632">
      <c r="A1632" s="75">
        <v>1626.0</v>
      </c>
      <c r="B1632" s="62" t="s">
        <v>755</v>
      </c>
      <c r="C1632" s="62" t="s">
        <v>110</v>
      </c>
      <c r="D1632" s="62" t="s">
        <v>1039</v>
      </c>
      <c r="E1632" s="76">
        <v>44076.0</v>
      </c>
      <c r="F1632" s="77">
        <v>0.0625</v>
      </c>
      <c r="G1632" s="62" t="b">
        <v>1</v>
      </c>
      <c r="H1632" s="78" t="b">
        <f>IF(VLOOKUP(C1632,Projetos!A:L,12,false)=TRUE,TRUE,FALSE)</f>
        <v>1</v>
      </c>
      <c r="I1632" s="68">
        <v>22.992671636822767</v>
      </c>
      <c r="J1632" s="68">
        <f t="shared" si="1"/>
        <v>34.48900746</v>
      </c>
      <c r="K1632" s="68" t="b">
        <v>1</v>
      </c>
    </row>
    <row r="1633">
      <c r="A1633" s="75">
        <v>1627.0</v>
      </c>
      <c r="B1633" s="62" t="s">
        <v>755</v>
      </c>
      <c r="C1633" s="62" t="s">
        <v>104</v>
      </c>
      <c r="D1633" s="62" t="s">
        <v>1040</v>
      </c>
      <c r="E1633" s="76">
        <v>44077.0</v>
      </c>
      <c r="F1633" s="77">
        <v>0.041666666666666664</v>
      </c>
      <c r="G1633" s="62" t="b">
        <v>1</v>
      </c>
      <c r="H1633" s="78" t="b">
        <f>IF(VLOOKUP(C1633,Projetos!A:L,12,false)=TRUE,TRUE,FALSE)</f>
        <v>1</v>
      </c>
      <c r="I1633" s="68">
        <v>22.992671636822767</v>
      </c>
      <c r="J1633" s="68">
        <f t="shared" si="1"/>
        <v>22.99267164</v>
      </c>
      <c r="K1633" s="68" t="b">
        <v>1</v>
      </c>
    </row>
    <row r="1634">
      <c r="A1634" s="75">
        <v>1628.0</v>
      </c>
      <c r="B1634" s="62" t="s">
        <v>755</v>
      </c>
      <c r="C1634" s="62" t="s">
        <v>90</v>
      </c>
      <c r="D1634" s="62" t="s">
        <v>874</v>
      </c>
      <c r="E1634" s="76">
        <v>44077.0</v>
      </c>
      <c r="F1634" s="77">
        <v>0.041666666666666664</v>
      </c>
      <c r="G1634" s="62" t="b">
        <v>1</v>
      </c>
      <c r="H1634" s="78" t="b">
        <f>IF(VLOOKUP(C1634,Projetos!A:L,12,false)=TRUE,TRUE,FALSE)</f>
        <v>1</v>
      </c>
      <c r="I1634" s="68">
        <v>22.992671636822767</v>
      </c>
      <c r="J1634" s="68">
        <f t="shared" si="1"/>
        <v>22.99267164</v>
      </c>
      <c r="K1634" s="68" t="b">
        <v>1</v>
      </c>
    </row>
    <row r="1635">
      <c r="A1635" s="75">
        <v>1629.0</v>
      </c>
      <c r="B1635" s="62" t="s">
        <v>755</v>
      </c>
      <c r="C1635" s="62" t="s">
        <v>90</v>
      </c>
      <c r="D1635" s="62" t="s">
        <v>1041</v>
      </c>
      <c r="E1635" s="76">
        <v>44077.0</v>
      </c>
      <c r="F1635" s="77">
        <v>0.020833333333333332</v>
      </c>
      <c r="G1635" s="62" t="b">
        <v>1</v>
      </c>
      <c r="H1635" s="78" t="b">
        <f>IF(VLOOKUP(C1635,Projetos!A:L,12,false)=TRUE,TRUE,FALSE)</f>
        <v>1</v>
      </c>
      <c r="I1635" s="68">
        <v>22.992671636822767</v>
      </c>
      <c r="J1635" s="68">
        <f t="shared" si="1"/>
        <v>11.49633582</v>
      </c>
      <c r="K1635" s="68" t="b">
        <v>1</v>
      </c>
    </row>
    <row r="1636">
      <c r="A1636" s="75">
        <v>1630.0</v>
      </c>
      <c r="B1636" s="62" t="s">
        <v>755</v>
      </c>
      <c r="C1636" s="62" t="s">
        <v>90</v>
      </c>
      <c r="D1636" s="62" t="s">
        <v>897</v>
      </c>
      <c r="E1636" s="76">
        <v>44078.0</v>
      </c>
      <c r="F1636" s="77">
        <v>0.020833333333333332</v>
      </c>
      <c r="G1636" s="62" t="b">
        <v>1</v>
      </c>
      <c r="H1636" s="78" t="b">
        <f>IF(VLOOKUP(C1636,Projetos!A:L,12,false)=TRUE,TRUE,FALSE)</f>
        <v>1</v>
      </c>
      <c r="I1636" s="68">
        <v>22.992671636822767</v>
      </c>
      <c r="J1636" s="68">
        <f t="shared" si="1"/>
        <v>11.49633582</v>
      </c>
      <c r="K1636" s="68" t="b">
        <v>1</v>
      </c>
    </row>
    <row r="1637">
      <c r="A1637" s="75">
        <v>1631.0</v>
      </c>
      <c r="B1637" s="62" t="s">
        <v>755</v>
      </c>
      <c r="C1637" s="62" t="s">
        <v>110</v>
      </c>
      <c r="D1637" s="62" t="s">
        <v>1042</v>
      </c>
      <c r="E1637" s="76">
        <v>44078.0</v>
      </c>
      <c r="F1637" s="77">
        <v>0.041666666666666664</v>
      </c>
      <c r="G1637" s="62" t="b">
        <v>1</v>
      </c>
      <c r="H1637" s="78" t="b">
        <f>IF(VLOOKUP(C1637,Projetos!A:L,12,false)=TRUE,TRUE,FALSE)</f>
        <v>1</v>
      </c>
      <c r="I1637" s="68">
        <v>22.992671636822767</v>
      </c>
      <c r="J1637" s="68">
        <f t="shared" si="1"/>
        <v>22.99267164</v>
      </c>
      <c r="K1637" s="68" t="b">
        <v>1</v>
      </c>
    </row>
    <row r="1638">
      <c r="A1638" s="75">
        <v>1632.0</v>
      </c>
      <c r="B1638" s="62" t="s">
        <v>755</v>
      </c>
      <c r="C1638" s="62" t="s">
        <v>90</v>
      </c>
      <c r="D1638" s="62" t="s">
        <v>874</v>
      </c>
      <c r="E1638" s="76">
        <v>44083.0</v>
      </c>
      <c r="F1638" s="77">
        <v>0.041666666666666664</v>
      </c>
      <c r="G1638" s="62" t="b">
        <v>1</v>
      </c>
      <c r="H1638" s="78" t="b">
        <f>IF(VLOOKUP(C1638,Projetos!A:L,12,false)=TRUE,TRUE,FALSE)</f>
        <v>1</v>
      </c>
      <c r="I1638" s="68">
        <v>22.992671636822767</v>
      </c>
      <c r="J1638" s="68">
        <f t="shared" si="1"/>
        <v>22.99267164</v>
      </c>
      <c r="K1638" s="68" t="b">
        <v>1</v>
      </c>
    </row>
    <row r="1639" hidden="1">
      <c r="A1639" s="75">
        <v>1633.0</v>
      </c>
      <c r="B1639" s="62" t="s">
        <v>755</v>
      </c>
      <c r="C1639" s="62" t="s">
        <v>102</v>
      </c>
      <c r="D1639" s="62" t="s">
        <v>1043</v>
      </c>
      <c r="E1639" s="76">
        <v>44083.0</v>
      </c>
      <c r="F1639" s="77">
        <v>0.020833333333333332</v>
      </c>
      <c r="G1639" s="62" t="b">
        <v>0</v>
      </c>
      <c r="H1639" s="78" t="b">
        <f>IF(VLOOKUP(C1639,Projetos!A:L,12,false)=TRUE,TRUE,FALSE)</f>
        <v>0</v>
      </c>
      <c r="I1639" s="68">
        <v>22.992671636822767</v>
      </c>
      <c r="J1639" s="68">
        <f t="shared" si="1"/>
        <v>0</v>
      </c>
      <c r="K1639" s="68" t="b">
        <v>0</v>
      </c>
    </row>
    <row r="1640">
      <c r="A1640" s="75">
        <v>1634.0</v>
      </c>
      <c r="B1640" s="62" t="s">
        <v>755</v>
      </c>
      <c r="C1640" s="62" t="s">
        <v>104</v>
      </c>
      <c r="D1640" s="62" t="s">
        <v>1044</v>
      </c>
      <c r="E1640" s="76">
        <v>44083.0</v>
      </c>
      <c r="F1640" s="77">
        <v>0.041666666666666664</v>
      </c>
      <c r="G1640" s="62" t="b">
        <v>1</v>
      </c>
      <c r="H1640" s="78" t="b">
        <f>IF(VLOOKUP(C1640,Projetos!A:L,12,false)=TRUE,TRUE,FALSE)</f>
        <v>1</v>
      </c>
      <c r="I1640" s="68">
        <v>22.992671636822767</v>
      </c>
      <c r="J1640" s="68">
        <f t="shared" si="1"/>
        <v>22.99267164</v>
      </c>
      <c r="K1640" s="68" t="b">
        <v>1</v>
      </c>
    </row>
    <row r="1641">
      <c r="A1641" s="75">
        <v>1635.0</v>
      </c>
      <c r="B1641" s="62" t="s">
        <v>755</v>
      </c>
      <c r="C1641" s="62" t="s">
        <v>90</v>
      </c>
      <c r="D1641" s="62" t="s">
        <v>1045</v>
      </c>
      <c r="E1641" s="76">
        <v>44084.0</v>
      </c>
      <c r="F1641" s="77">
        <v>0.041666666666666664</v>
      </c>
      <c r="G1641" s="62" t="b">
        <v>1</v>
      </c>
      <c r="H1641" s="78" t="b">
        <f>IF(VLOOKUP(C1641,Projetos!A:L,12,false)=TRUE,TRUE,FALSE)</f>
        <v>1</v>
      </c>
      <c r="I1641" s="68">
        <v>22.992671636822767</v>
      </c>
      <c r="J1641" s="68">
        <f t="shared" si="1"/>
        <v>22.99267164</v>
      </c>
      <c r="K1641" s="68" t="b">
        <v>1</v>
      </c>
    </row>
    <row r="1642">
      <c r="A1642" s="75">
        <v>1636.0</v>
      </c>
      <c r="B1642" s="62" t="s">
        <v>755</v>
      </c>
      <c r="C1642" s="62" t="s">
        <v>110</v>
      </c>
      <c r="D1642" s="62" t="s">
        <v>1046</v>
      </c>
      <c r="E1642" s="76">
        <v>44084.0</v>
      </c>
      <c r="F1642" s="77">
        <v>0.041666666666666664</v>
      </c>
      <c r="G1642" s="62" t="b">
        <v>1</v>
      </c>
      <c r="H1642" s="78" t="b">
        <f>IF(VLOOKUP(C1642,Projetos!A:L,12,false)=TRUE,TRUE,FALSE)</f>
        <v>1</v>
      </c>
      <c r="I1642" s="68">
        <v>22.992671636822767</v>
      </c>
      <c r="J1642" s="68">
        <f t="shared" si="1"/>
        <v>22.99267164</v>
      </c>
      <c r="K1642" s="68" t="b">
        <v>1</v>
      </c>
    </row>
    <row r="1643" hidden="1">
      <c r="A1643" s="75">
        <v>1637.0</v>
      </c>
      <c r="B1643" s="62" t="s">
        <v>755</v>
      </c>
      <c r="C1643" s="62" t="s">
        <v>102</v>
      </c>
      <c r="D1643" s="62" t="s">
        <v>1047</v>
      </c>
      <c r="E1643" s="76">
        <v>44085.0</v>
      </c>
      <c r="F1643" s="77">
        <v>0.020833333333333332</v>
      </c>
      <c r="G1643" s="62" t="b">
        <v>0</v>
      </c>
      <c r="H1643" s="78" t="b">
        <f>IF(VLOOKUP(C1643,Projetos!A:L,12,false)=TRUE,TRUE,FALSE)</f>
        <v>0</v>
      </c>
      <c r="I1643" s="68">
        <v>22.992671636822767</v>
      </c>
      <c r="J1643" s="68">
        <f t="shared" si="1"/>
        <v>0</v>
      </c>
      <c r="K1643" s="68" t="b">
        <v>0</v>
      </c>
    </row>
    <row r="1644">
      <c r="A1644" s="75">
        <v>1638.0</v>
      </c>
      <c r="B1644" s="62" t="s">
        <v>755</v>
      </c>
      <c r="C1644" s="62" t="s">
        <v>104</v>
      </c>
      <c r="D1644" s="62" t="s">
        <v>1048</v>
      </c>
      <c r="E1644" s="76">
        <v>44085.0</v>
      </c>
      <c r="F1644" s="77">
        <v>0.020833333333333332</v>
      </c>
      <c r="G1644" s="62" t="b">
        <v>1</v>
      </c>
      <c r="H1644" s="78" t="b">
        <f>IF(VLOOKUP(C1644,Projetos!A:L,12,false)=TRUE,TRUE,FALSE)</f>
        <v>1</v>
      </c>
      <c r="I1644" s="68">
        <v>22.992671636822767</v>
      </c>
      <c r="J1644" s="68">
        <f t="shared" si="1"/>
        <v>11.49633582</v>
      </c>
      <c r="K1644" s="68" t="b">
        <v>1</v>
      </c>
    </row>
    <row r="1645" hidden="1">
      <c r="A1645" s="75">
        <v>1639.0</v>
      </c>
      <c r="B1645" s="62" t="s">
        <v>755</v>
      </c>
      <c r="C1645" s="62" t="s">
        <v>109</v>
      </c>
      <c r="D1645" s="62" t="s">
        <v>1049</v>
      </c>
      <c r="E1645" s="76">
        <v>44085.0</v>
      </c>
      <c r="F1645" s="77">
        <v>0.020833333333333332</v>
      </c>
      <c r="G1645" s="62" t="b">
        <v>0</v>
      </c>
      <c r="H1645" s="78" t="b">
        <f>IF(VLOOKUP(C1645,Projetos!A:L,12,false)=TRUE,TRUE,FALSE)</f>
        <v>0</v>
      </c>
      <c r="I1645" s="68">
        <v>22.992671636822767</v>
      </c>
      <c r="J1645" s="68">
        <f t="shared" si="1"/>
        <v>0</v>
      </c>
      <c r="K1645" s="68" t="b">
        <v>0</v>
      </c>
    </row>
    <row r="1646">
      <c r="A1646" s="75">
        <v>1640.0</v>
      </c>
      <c r="B1646" s="62" t="s">
        <v>755</v>
      </c>
      <c r="C1646" s="62" t="s">
        <v>90</v>
      </c>
      <c r="D1646" s="62" t="s">
        <v>1050</v>
      </c>
      <c r="E1646" s="76">
        <v>44085.0</v>
      </c>
      <c r="F1646" s="77">
        <v>0.020833333333333332</v>
      </c>
      <c r="G1646" s="62" t="b">
        <v>1</v>
      </c>
      <c r="H1646" s="78" t="b">
        <f>IF(VLOOKUP(C1646,Projetos!A:L,12,false)=TRUE,TRUE,FALSE)</f>
        <v>1</v>
      </c>
      <c r="I1646" s="68">
        <v>22.992671636822767</v>
      </c>
      <c r="J1646" s="68">
        <f t="shared" si="1"/>
        <v>11.49633582</v>
      </c>
      <c r="K1646" s="68" t="b">
        <v>1</v>
      </c>
    </row>
    <row r="1647" hidden="1">
      <c r="A1647" s="75">
        <v>1641.0</v>
      </c>
      <c r="B1647" s="62" t="s">
        <v>755</v>
      </c>
      <c r="C1647" s="62" t="s">
        <v>102</v>
      </c>
      <c r="D1647" s="62" t="s">
        <v>1011</v>
      </c>
      <c r="E1647" s="76">
        <v>44085.0</v>
      </c>
      <c r="F1647" s="77">
        <v>0.041666666666666664</v>
      </c>
      <c r="G1647" s="62" t="b">
        <v>0</v>
      </c>
      <c r="H1647" s="78" t="b">
        <f>IF(VLOOKUP(C1647,Projetos!A:L,12,false)=TRUE,TRUE,FALSE)</f>
        <v>0</v>
      </c>
      <c r="I1647" s="68">
        <v>22.992671636822767</v>
      </c>
      <c r="J1647" s="68">
        <f t="shared" si="1"/>
        <v>0</v>
      </c>
      <c r="K1647" s="68" t="b">
        <v>0</v>
      </c>
    </row>
    <row r="1648">
      <c r="A1648" s="75">
        <v>1642.0</v>
      </c>
      <c r="B1648" s="62" t="s">
        <v>755</v>
      </c>
      <c r="C1648" s="62" t="s">
        <v>138</v>
      </c>
      <c r="D1648" s="62" t="s">
        <v>1051</v>
      </c>
      <c r="E1648" s="76">
        <v>44088.0</v>
      </c>
      <c r="F1648" s="77">
        <v>0.020833333333333332</v>
      </c>
      <c r="G1648" s="62" t="b">
        <v>1</v>
      </c>
      <c r="H1648" s="78" t="b">
        <f>IF(VLOOKUP(C1648,Projetos!A:L,12,false)=TRUE,TRUE,FALSE)</f>
        <v>1</v>
      </c>
      <c r="I1648" s="68">
        <v>22.992671636822767</v>
      </c>
      <c r="J1648" s="68">
        <f t="shared" si="1"/>
        <v>11.49633582</v>
      </c>
      <c r="K1648" s="68" t="b">
        <v>1</v>
      </c>
    </row>
    <row r="1649">
      <c r="A1649" s="75">
        <v>1643.0</v>
      </c>
      <c r="B1649" s="62" t="s">
        <v>755</v>
      </c>
      <c r="C1649" s="62" t="s">
        <v>104</v>
      </c>
      <c r="D1649" s="62" t="s">
        <v>1052</v>
      </c>
      <c r="E1649" s="76">
        <v>44088.0</v>
      </c>
      <c r="F1649" s="77">
        <v>0.041666666666666664</v>
      </c>
      <c r="G1649" s="62" t="b">
        <v>1</v>
      </c>
      <c r="H1649" s="78" t="b">
        <f>IF(VLOOKUP(C1649,Projetos!A:L,12,false)=TRUE,TRUE,FALSE)</f>
        <v>1</v>
      </c>
      <c r="I1649" s="68">
        <v>22.992671636822767</v>
      </c>
      <c r="J1649" s="68">
        <f t="shared" si="1"/>
        <v>22.99267164</v>
      </c>
      <c r="K1649" s="68" t="b">
        <v>1</v>
      </c>
    </row>
    <row r="1650">
      <c r="A1650" s="75">
        <v>1644.0</v>
      </c>
      <c r="B1650" s="62" t="s">
        <v>755</v>
      </c>
      <c r="C1650" s="62" t="s">
        <v>90</v>
      </c>
      <c r="D1650" s="62" t="s">
        <v>1053</v>
      </c>
      <c r="E1650" s="76">
        <v>44088.0</v>
      </c>
      <c r="F1650" s="77">
        <v>0.041666666666666664</v>
      </c>
      <c r="G1650" s="62" t="b">
        <v>1</v>
      </c>
      <c r="H1650" s="78" t="b">
        <f>IF(VLOOKUP(C1650,Projetos!A:L,12,false)=TRUE,TRUE,FALSE)</f>
        <v>1</v>
      </c>
      <c r="I1650" s="68">
        <v>22.992671636822767</v>
      </c>
      <c r="J1650" s="68">
        <f t="shared" si="1"/>
        <v>22.99267164</v>
      </c>
      <c r="K1650" s="68" t="b">
        <v>1</v>
      </c>
    </row>
    <row r="1651">
      <c r="A1651" s="75">
        <v>1645.0</v>
      </c>
      <c r="B1651" s="62" t="s">
        <v>755</v>
      </c>
      <c r="C1651" s="62" t="s">
        <v>98</v>
      </c>
      <c r="D1651" s="62" t="s">
        <v>1054</v>
      </c>
      <c r="E1651" s="76">
        <v>44088.0</v>
      </c>
      <c r="F1651" s="77">
        <v>0.08333333333333333</v>
      </c>
      <c r="G1651" s="62" t="b">
        <v>1</v>
      </c>
      <c r="H1651" s="78" t="b">
        <f>IF(VLOOKUP(C1651,Projetos!A:L,12,false)=TRUE,TRUE,FALSE)</f>
        <v>1</v>
      </c>
      <c r="I1651" s="68">
        <v>22.992671636822767</v>
      </c>
      <c r="J1651" s="68">
        <f t="shared" si="1"/>
        <v>45.98534327</v>
      </c>
      <c r="K1651" s="68" t="b">
        <v>1</v>
      </c>
    </row>
    <row r="1652">
      <c r="A1652" s="75">
        <v>1646.0</v>
      </c>
      <c r="B1652" s="62" t="s">
        <v>755</v>
      </c>
      <c r="C1652" s="62" t="s">
        <v>138</v>
      </c>
      <c r="D1652" s="62" t="s">
        <v>1055</v>
      </c>
      <c r="E1652" s="76">
        <v>44089.0</v>
      </c>
      <c r="F1652" s="77">
        <v>0.041666666666666664</v>
      </c>
      <c r="G1652" s="62" t="b">
        <v>1</v>
      </c>
      <c r="H1652" s="78" t="b">
        <f>IF(VLOOKUP(C1652,Projetos!A:L,12,false)=TRUE,TRUE,FALSE)</f>
        <v>1</v>
      </c>
      <c r="I1652" s="68">
        <v>22.992671636822767</v>
      </c>
      <c r="J1652" s="68">
        <f t="shared" si="1"/>
        <v>22.99267164</v>
      </c>
      <c r="K1652" s="68" t="b">
        <v>1</v>
      </c>
    </row>
    <row r="1653" hidden="1">
      <c r="A1653" s="75">
        <v>1647.0</v>
      </c>
      <c r="B1653" s="62" t="s">
        <v>755</v>
      </c>
      <c r="C1653" s="62" t="s">
        <v>109</v>
      </c>
      <c r="D1653" s="62" t="s">
        <v>1056</v>
      </c>
      <c r="E1653" s="76">
        <v>44089.0</v>
      </c>
      <c r="F1653" s="77">
        <v>0.041666666666666664</v>
      </c>
      <c r="G1653" s="62" t="b">
        <v>0</v>
      </c>
      <c r="H1653" s="78" t="b">
        <f>IF(VLOOKUP(C1653,Projetos!A:L,12,false)=TRUE,TRUE,FALSE)</f>
        <v>0</v>
      </c>
      <c r="I1653" s="68">
        <v>22.992671636822767</v>
      </c>
      <c r="J1653" s="68">
        <f t="shared" si="1"/>
        <v>0</v>
      </c>
      <c r="K1653" s="68" t="b">
        <v>0</v>
      </c>
    </row>
    <row r="1654">
      <c r="A1654" s="75">
        <v>1648.0</v>
      </c>
      <c r="B1654" s="62" t="s">
        <v>755</v>
      </c>
      <c r="C1654" s="62" t="s">
        <v>90</v>
      </c>
      <c r="D1654" s="62" t="s">
        <v>1057</v>
      </c>
      <c r="E1654" s="76">
        <v>44089.0</v>
      </c>
      <c r="F1654" s="77">
        <v>0.020833333333333332</v>
      </c>
      <c r="G1654" s="62" t="b">
        <v>1</v>
      </c>
      <c r="H1654" s="78" t="b">
        <f>IF(VLOOKUP(C1654,Projetos!A:L,12,false)=TRUE,TRUE,FALSE)</f>
        <v>1</v>
      </c>
      <c r="I1654" s="68">
        <v>22.992671636822767</v>
      </c>
      <c r="J1654" s="68">
        <f t="shared" si="1"/>
        <v>11.49633582</v>
      </c>
      <c r="K1654" s="68" t="b">
        <v>1</v>
      </c>
    </row>
    <row r="1655">
      <c r="A1655" s="75">
        <v>1649.0</v>
      </c>
      <c r="B1655" s="62" t="s">
        <v>755</v>
      </c>
      <c r="C1655" s="62" t="s">
        <v>104</v>
      </c>
      <c r="D1655" s="62" t="s">
        <v>1058</v>
      </c>
      <c r="E1655" s="76">
        <v>44089.0</v>
      </c>
      <c r="F1655" s="77">
        <v>0.020833333333333332</v>
      </c>
      <c r="G1655" s="62" t="b">
        <v>1</v>
      </c>
      <c r="H1655" s="78" t="b">
        <f>IF(VLOOKUP(C1655,Projetos!A:L,12,false)=TRUE,TRUE,FALSE)</f>
        <v>1</v>
      </c>
      <c r="I1655" s="68">
        <v>22.992671636822767</v>
      </c>
      <c r="J1655" s="68">
        <f t="shared" si="1"/>
        <v>11.49633582</v>
      </c>
      <c r="K1655" s="68" t="b">
        <v>1</v>
      </c>
    </row>
    <row r="1656" hidden="1">
      <c r="A1656" s="75">
        <v>1650.0</v>
      </c>
      <c r="B1656" s="62" t="s">
        <v>755</v>
      </c>
      <c r="C1656" s="62" t="s">
        <v>102</v>
      </c>
      <c r="D1656" s="62" t="s">
        <v>1059</v>
      </c>
      <c r="E1656" s="76">
        <v>44090.0</v>
      </c>
      <c r="F1656" s="77">
        <v>0.3958333333333333</v>
      </c>
      <c r="G1656" s="62" t="b">
        <v>0</v>
      </c>
      <c r="H1656" s="78" t="b">
        <f>IF(VLOOKUP(C1656,Projetos!A:L,12,false)=TRUE,TRUE,FALSE)</f>
        <v>0</v>
      </c>
      <c r="I1656" s="68">
        <v>22.992671636822767</v>
      </c>
      <c r="J1656" s="68">
        <f t="shared" si="1"/>
        <v>0</v>
      </c>
      <c r="K1656" s="68" t="b">
        <v>0</v>
      </c>
    </row>
    <row r="1657" hidden="1">
      <c r="A1657" s="75">
        <v>1651.0</v>
      </c>
      <c r="B1657" s="62" t="s">
        <v>755</v>
      </c>
      <c r="C1657" s="62" t="s">
        <v>102</v>
      </c>
      <c r="D1657" s="62" t="s">
        <v>1060</v>
      </c>
      <c r="E1657" s="76">
        <v>44091.0</v>
      </c>
      <c r="F1657" s="77">
        <v>0.041666666666666664</v>
      </c>
      <c r="G1657" s="62" t="b">
        <v>0</v>
      </c>
      <c r="H1657" s="78" t="b">
        <f>IF(VLOOKUP(C1657,Projetos!A:L,12,false)=TRUE,TRUE,FALSE)</f>
        <v>0</v>
      </c>
      <c r="I1657" s="68">
        <v>22.992671636822767</v>
      </c>
      <c r="J1657" s="68">
        <f t="shared" si="1"/>
        <v>0</v>
      </c>
      <c r="K1657" s="68" t="b">
        <v>0</v>
      </c>
    </row>
    <row r="1658">
      <c r="A1658" s="75">
        <v>1652.0</v>
      </c>
      <c r="B1658" s="62" t="s">
        <v>755</v>
      </c>
      <c r="C1658" s="62" t="s">
        <v>90</v>
      </c>
      <c r="D1658" s="62" t="s">
        <v>1061</v>
      </c>
      <c r="E1658" s="76">
        <v>44091.0</v>
      </c>
      <c r="F1658" s="77">
        <v>0.08333333333333333</v>
      </c>
      <c r="G1658" s="62" t="b">
        <v>1</v>
      </c>
      <c r="H1658" s="78" t="b">
        <f>IF(VLOOKUP(C1658,Projetos!A:L,12,false)=TRUE,TRUE,FALSE)</f>
        <v>1</v>
      </c>
      <c r="I1658" s="68">
        <v>22.992671636822767</v>
      </c>
      <c r="J1658" s="68">
        <f t="shared" si="1"/>
        <v>45.98534327</v>
      </c>
      <c r="K1658" s="68" t="b">
        <v>1</v>
      </c>
    </row>
    <row r="1659">
      <c r="A1659" s="75">
        <v>1653.0</v>
      </c>
      <c r="B1659" s="62" t="s">
        <v>755</v>
      </c>
      <c r="C1659" s="62" t="s">
        <v>104</v>
      </c>
      <c r="D1659" s="62" t="s">
        <v>1062</v>
      </c>
      <c r="E1659" s="76">
        <v>44092.0</v>
      </c>
      <c r="F1659" s="77">
        <v>0.041666666666666664</v>
      </c>
      <c r="G1659" s="62" t="b">
        <v>1</v>
      </c>
      <c r="H1659" s="78" t="b">
        <f>IF(VLOOKUP(C1659,Projetos!A:L,12,false)=TRUE,TRUE,FALSE)</f>
        <v>1</v>
      </c>
      <c r="I1659" s="68">
        <v>22.992671636822767</v>
      </c>
      <c r="J1659" s="68">
        <f t="shared" si="1"/>
        <v>22.99267164</v>
      </c>
      <c r="K1659" s="68" t="b">
        <v>1</v>
      </c>
    </row>
    <row r="1660" hidden="1">
      <c r="A1660" s="75">
        <v>1654.0</v>
      </c>
      <c r="B1660" s="62" t="s">
        <v>755</v>
      </c>
      <c r="C1660" s="62" t="s">
        <v>102</v>
      </c>
      <c r="D1660" s="62" t="s">
        <v>1063</v>
      </c>
      <c r="E1660" s="76">
        <v>44092.0</v>
      </c>
      <c r="F1660" s="77">
        <v>0.08333333333333333</v>
      </c>
      <c r="G1660" s="62" t="b">
        <v>0</v>
      </c>
      <c r="H1660" s="78" t="b">
        <f>IF(VLOOKUP(C1660,Projetos!A:L,12,false)=TRUE,TRUE,FALSE)</f>
        <v>0</v>
      </c>
      <c r="I1660" s="68">
        <v>22.992671636822767</v>
      </c>
      <c r="J1660" s="68">
        <f t="shared" si="1"/>
        <v>0</v>
      </c>
      <c r="K1660" s="68" t="b">
        <v>0</v>
      </c>
    </row>
    <row r="1661" hidden="1">
      <c r="A1661" s="75">
        <v>1655.0</v>
      </c>
      <c r="B1661" s="62" t="s">
        <v>755</v>
      </c>
      <c r="C1661" s="62" t="s">
        <v>102</v>
      </c>
      <c r="D1661" s="62" t="s">
        <v>1064</v>
      </c>
      <c r="E1661" s="76">
        <v>44092.0</v>
      </c>
      <c r="F1661" s="77">
        <v>0.020833333333333332</v>
      </c>
      <c r="G1661" s="62" t="b">
        <v>0</v>
      </c>
      <c r="H1661" s="78" t="b">
        <f>IF(VLOOKUP(C1661,Projetos!A:L,12,false)=TRUE,TRUE,FALSE)</f>
        <v>0</v>
      </c>
      <c r="I1661" s="68">
        <v>22.992671636822767</v>
      </c>
      <c r="J1661" s="68">
        <f t="shared" si="1"/>
        <v>0</v>
      </c>
      <c r="K1661" s="68" t="b">
        <v>0</v>
      </c>
    </row>
    <row r="1662">
      <c r="A1662" s="75">
        <v>1656.0</v>
      </c>
      <c r="B1662" s="62" t="s">
        <v>755</v>
      </c>
      <c r="C1662" s="62" t="s">
        <v>90</v>
      </c>
      <c r="D1662" s="62" t="s">
        <v>874</v>
      </c>
      <c r="E1662" s="76">
        <v>44095.0</v>
      </c>
      <c r="F1662" s="77">
        <v>0.041666666666666664</v>
      </c>
      <c r="G1662" s="62" t="b">
        <v>1</v>
      </c>
      <c r="H1662" s="78" t="b">
        <f>IF(VLOOKUP(C1662,Projetos!A:L,12,false)=TRUE,TRUE,FALSE)</f>
        <v>1</v>
      </c>
      <c r="I1662" s="68">
        <v>22.992671636822767</v>
      </c>
      <c r="J1662" s="68">
        <f t="shared" si="1"/>
        <v>22.99267164</v>
      </c>
      <c r="K1662" s="68" t="b">
        <v>1</v>
      </c>
    </row>
    <row r="1663" hidden="1">
      <c r="A1663" s="75">
        <v>1657.0</v>
      </c>
      <c r="B1663" s="62" t="s">
        <v>755</v>
      </c>
      <c r="C1663" s="62" t="s">
        <v>102</v>
      </c>
      <c r="D1663" s="62" t="s">
        <v>1065</v>
      </c>
      <c r="E1663" s="76">
        <v>44095.0</v>
      </c>
      <c r="F1663" s="77">
        <v>0.020833333333333332</v>
      </c>
      <c r="G1663" s="62" t="b">
        <v>0</v>
      </c>
      <c r="H1663" s="78" t="b">
        <f>IF(VLOOKUP(C1663,Projetos!A:L,12,false)=TRUE,TRUE,FALSE)</f>
        <v>0</v>
      </c>
      <c r="I1663" s="68">
        <v>22.992671636822767</v>
      </c>
      <c r="J1663" s="68">
        <f t="shared" si="1"/>
        <v>0</v>
      </c>
      <c r="K1663" s="68" t="b">
        <v>0</v>
      </c>
    </row>
    <row r="1664">
      <c r="A1664" s="75">
        <v>1658.0</v>
      </c>
      <c r="B1664" s="62" t="s">
        <v>755</v>
      </c>
      <c r="C1664" s="62" t="s">
        <v>103</v>
      </c>
      <c r="D1664" s="62" t="s">
        <v>1066</v>
      </c>
      <c r="E1664" s="76">
        <v>44095.0</v>
      </c>
      <c r="F1664" s="77">
        <v>0.08333333333333333</v>
      </c>
      <c r="G1664" s="62" t="b">
        <v>1</v>
      </c>
      <c r="H1664" s="78" t="b">
        <f>IF(VLOOKUP(C1664,Projetos!A:L,12,false)=TRUE,TRUE,FALSE)</f>
        <v>1</v>
      </c>
      <c r="I1664" s="68">
        <v>22.992671636822767</v>
      </c>
      <c r="J1664" s="68">
        <f t="shared" si="1"/>
        <v>45.98534327</v>
      </c>
      <c r="K1664" s="68" t="b">
        <v>1</v>
      </c>
    </row>
    <row r="1665">
      <c r="A1665" s="75">
        <v>1659.0</v>
      </c>
      <c r="B1665" s="62" t="s">
        <v>755</v>
      </c>
      <c r="C1665" s="62" t="s">
        <v>103</v>
      </c>
      <c r="D1665" s="62" t="s">
        <v>1067</v>
      </c>
      <c r="E1665" s="76">
        <v>44096.0</v>
      </c>
      <c r="F1665" s="77">
        <v>0.10416666666666667</v>
      </c>
      <c r="G1665" s="62" t="b">
        <v>1</v>
      </c>
      <c r="H1665" s="78" t="b">
        <f>IF(VLOOKUP(C1665,Projetos!A:L,12,false)=TRUE,TRUE,FALSE)</f>
        <v>1</v>
      </c>
      <c r="I1665" s="68">
        <v>22.992671636822767</v>
      </c>
      <c r="J1665" s="68">
        <f t="shared" si="1"/>
        <v>57.48167909</v>
      </c>
      <c r="K1665" s="68" t="b">
        <v>1</v>
      </c>
    </row>
    <row r="1666" hidden="1">
      <c r="A1666" s="75">
        <v>1660.0</v>
      </c>
      <c r="B1666" s="62" t="s">
        <v>755</v>
      </c>
      <c r="C1666" s="62" t="s">
        <v>109</v>
      </c>
      <c r="D1666" s="62" t="s">
        <v>1068</v>
      </c>
      <c r="E1666" s="76">
        <v>44096.0</v>
      </c>
      <c r="F1666" s="77">
        <v>0.08333333333333333</v>
      </c>
      <c r="G1666" s="62" t="b">
        <v>0</v>
      </c>
      <c r="H1666" s="78" t="b">
        <f>IF(VLOOKUP(C1666,Projetos!A:L,12,false)=TRUE,TRUE,FALSE)</f>
        <v>0</v>
      </c>
      <c r="I1666" s="68">
        <v>22.992671636822767</v>
      </c>
      <c r="J1666" s="68">
        <f t="shared" si="1"/>
        <v>0</v>
      </c>
      <c r="K1666" s="68" t="b">
        <v>0</v>
      </c>
    </row>
    <row r="1667">
      <c r="A1667" s="75">
        <v>1661.0</v>
      </c>
      <c r="B1667" s="62" t="s">
        <v>755</v>
      </c>
      <c r="C1667" s="62" t="s">
        <v>104</v>
      </c>
      <c r="D1667" s="62" t="s">
        <v>1069</v>
      </c>
      <c r="E1667" s="76">
        <v>44097.0</v>
      </c>
      <c r="F1667" s="77">
        <v>0.020833333333333332</v>
      </c>
      <c r="G1667" s="62" t="b">
        <v>1</v>
      </c>
      <c r="H1667" s="78" t="b">
        <f>IF(VLOOKUP(C1667,Projetos!A:L,12,false)=TRUE,TRUE,FALSE)</f>
        <v>1</v>
      </c>
      <c r="I1667" s="68">
        <v>22.992671636822767</v>
      </c>
      <c r="J1667" s="68">
        <f t="shared" si="1"/>
        <v>11.49633582</v>
      </c>
      <c r="K1667" s="68" t="b">
        <v>1</v>
      </c>
    </row>
    <row r="1668">
      <c r="A1668" s="75">
        <v>1662.0</v>
      </c>
      <c r="B1668" s="62" t="s">
        <v>755</v>
      </c>
      <c r="C1668" s="62" t="s">
        <v>104</v>
      </c>
      <c r="D1668" s="62" t="s">
        <v>1070</v>
      </c>
      <c r="E1668" s="76">
        <v>44097.0</v>
      </c>
      <c r="F1668" s="77">
        <v>0.041666666666666664</v>
      </c>
      <c r="G1668" s="62" t="b">
        <v>1</v>
      </c>
      <c r="H1668" s="78" t="b">
        <f>IF(VLOOKUP(C1668,Projetos!A:L,12,false)=TRUE,TRUE,FALSE)</f>
        <v>1</v>
      </c>
      <c r="I1668" s="68">
        <v>22.992671636822767</v>
      </c>
      <c r="J1668" s="68">
        <f t="shared" si="1"/>
        <v>22.99267164</v>
      </c>
      <c r="K1668" s="68" t="b">
        <v>1</v>
      </c>
    </row>
    <row r="1669">
      <c r="A1669" s="75">
        <v>1663.0</v>
      </c>
      <c r="B1669" s="62" t="s">
        <v>755</v>
      </c>
      <c r="C1669" s="62" t="s">
        <v>90</v>
      </c>
      <c r="D1669" s="62" t="s">
        <v>1071</v>
      </c>
      <c r="E1669" s="76">
        <v>44097.0</v>
      </c>
      <c r="F1669" s="77">
        <v>0.020833333333333332</v>
      </c>
      <c r="G1669" s="62" t="b">
        <v>1</v>
      </c>
      <c r="H1669" s="78" t="b">
        <f>IF(VLOOKUP(C1669,Projetos!A:L,12,false)=TRUE,TRUE,FALSE)</f>
        <v>1</v>
      </c>
      <c r="I1669" s="68">
        <v>22.992671636822767</v>
      </c>
      <c r="J1669" s="68">
        <f t="shared" si="1"/>
        <v>11.49633582</v>
      </c>
      <c r="K1669" s="68" t="b">
        <v>1</v>
      </c>
    </row>
    <row r="1670" hidden="1">
      <c r="A1670" s="75">
        <v>1664.0</v>
      </c>
      <c r="B1670" s="62" t="s">
        <v>755</v>
      </c>
      <c r="C1670" s="62" t="s">
        <v>97</v>
      </c>
      <c r="D1670" s="62" t="s">
        <v>1072</v>
      </c>
      <c r="E1670" s="76">
        <v>44097.0</v>
      </c>
      <c r="F1670" s="77">
        <v>0.041666666666666664</v>
      </c>
      <c r="G1670" s="62" t="b">
        <v>0</v>
      </c>
      <c r="H1670" s="78" t="b">
        <f>IF(VLOOKUP(C1670,Projetos!A:L,12,false)=TRUE,TRUE,FALSE)</f>
        <v>1</v>
      </c>
      <c r="I1670" s="68">
        <v>22.992671636822767</v>
      </c>
      <c r="J1670" s="68">
        <f t="shared" si="1"/>
        <v>0</v>
      </c>
      <c r="K1670" s="68" t="b">
        <v>1</v>
      </c>
    </row>
    <row r="1671">
      <c r="A1671" s="75">
        <v>1665.0</v>
      </c>
      <c r="B1671" s="62" t="s">
        <v>755</v>
      </c>
      <c r="C1671" s="62" t="s">
        <v>100</v>
      </c>
      <c r="D1671" s="62" t="s">
        <v>1073</v>
      </c>
      <c r="E1671" s="76">
        <v>44097.0</v>
      </c>
      <c r="F1671" s="77">
        <v>0.020833333333333332</v>
      </c>
      <c r="G1671" s="62" t="b">
        <v>1</v>
      </c>
      <c r="H1671" s="78" t="b">
        <f>IF(VLOOKUP(C1671,Projetos!A:L,12,false)=TRUE,TRUE,FALSE)</f>
        <v>1</v>
      </c>
      <c r="I1671" s="68">
        <v>22.992671636822767</v>
      </c>
      <c r="J1671" s="68">
        <f t="shared" si="1"/>
        <v>11.49633582</v>
      </c>
      <c r="K1671" s="68" t="b">
        <v>1</v>
      </c>
    </row>
    <row r="1672">
      <c r="A1672" s="75">
        <v>1666.0</v>
      </c>
      <c r="B1672" s="62" t="s">
        <v>755</v>
      </c>
      <c r="C1672" s="62" t="s">
        <v>90</v>
      </c>
      <c r="D1672" s="62" t="s">
        <v>1074</v>
      </c>
      <c r="E1672" s="76">
        <v>44097.0</v>
      </c>
      <c r="F1672" s="77">
        <v>0.020833333333333332</v>
      </c>
      <c r="G1672" s="62" t="b">
        <v>1</v>
      </c>
      <c r="H1672" s="78" t="b">
        <f>IF(VLOOKUP(C1672,Projetos!A:L,12,false)=TRUE,TRUE,FALSE)</f>
        <v>1</v>
      </c>
      <c r="I1672" s="68">
        <v>22.992671636822767</v>
      </c>
      <c r="J1672" s="68">
        <f t="shared" si="1"/>
        <v>11.49633582</v>
      </c>
      <c r="K1672" s="68" t="b">
        <v>1</v>
      </c>
    </row>
    <row r="1673">
      <c r="A1673" s="75">
        <v>1667.0</v>
      </c>
      <c r="B1673" s="62" t="s">
        <v>755</v>
      </c>
      <c r="C1673" s="62" t="s">
        <v>104</v>
      </c>
      <c r="D1673" s="62" t="s">
        <v>1075</v>
      </c>
      <c r="E1673" s="76">
        <v>44097.0</v>
      </c>
      <c r="F1673" s="77">
        <v>0.020833333333333332</v>
      </c>
      <c r="G1673" s="62" t="b">
        <v>1</v>
      </c>
      <c r="H1673" s="78" t="b">
        <f>IF(VLOOKUP(C1673,Projetos!A:L,12,false)=TRUE,TRUE,FALSE)</f>
        <v>1</v>
      </c>
      <c r="I1673" s="68">
        <v>22.992671636822767</v>
      </c>
      <c r="J1673" s="68">
        <f t="shared" si="1"/>
        <v>11.49633582</v>
      </c>
      <c r="K1673" s="68" t="b">
        <v>1</v>
      </c>
    </row>
    <row r="1674">
      <c r="A1674" s="75">
        <v>1668.0</v>
      </c>
      <c r="B1674" s="62" t="s">
        <v>755</v>
      </c>
      <c r="C1674" s="62" t="s">
        <v>98</v>
      </c>
      <c r="D1674" s="62" t="s">
        <v>1076</v>
      </c>
      <c r="E1674" s="76">
        <v>44097.0</v>
      </c>
      <c r="F1674" s="77">
        <v>0.041666666666666664</v>
      </c>
      <c r="G1674" s="62" t="b">
        <v>1</v>
      </c>
      <c r="H1674" s="78" t="b">
        <f>IF(VLOOKUP(C1674,Projetos!A:L,12,false)=TRUE,TRUE,FALSE)</f>
        <v>1</v>
      </c>
      <c r="I1674" s="68">
        <v>22.992671636822767</v>
      </c>
      <c r="J1674" s="68">
        <f t="shared" si="1"/>
        <v>22.99267164</v>
      </c>
      <c r="K1674" s="68" t="b">
        <v>1</v>
      </c>
    </row>
    <row r="1675" hidden="1">
      <c r="A1675" s="75">
        <v>1669.0</v>
      </c>
      <c r="B1675" s="62" t="s">
        <v>755</v>
      </c>
      <c r="C1675" s="62" t="s">
        <v>108</v>
      </c>
      <c r="D1675" s="62" t="s">
        <v>1077</v>
      </c>
      <c r="E1675" s="76">
        <v>44098.0</v>
      </c>
      <c r="F1675" s="77">
        <v>0.041666666666666664</v>
      </c>
      <c r="G1675" s="62" t="b">
        <v>0</v>
      </c>
      <c r="H1675" s="78" t="b">
        <f>IF(VLOOKUP(C1675,Projetos!A:L,12,false)=TRUE,TRUE,FALSE)</f>
        <v>1</v>
      </c>
      <c r="I1675" s="68">
        <v>22.992671636822767</v>
      </c>
      <c r="J1675" s="68">
        <f t="shared" si="1"/>
        <v>0</v>
      </c>
      <c r="K1675" s="68" t="b">
        <v>1</v>
      </c>
    </row>
    <row r="1676" hidden="1">
      <c r="A1676" s="75">
        <v>1670.0</v>
      </c>
      <c r="B1676" s="62" t="s">
        <v>755</v>
      </c>
      <c r="C1676" s="62" t="s">
        <v>109</v>
      </c>
      <c r="D1676" s="62" t="s">
        <v>1078</v>
      </c>
      <c r="E1676" s="76">
        <v>44098.0</v>
      </c>
      <c r="F1676" s="77">
        <v>0.08333333333333333</v>
      </c>
      <c r="G1676" s="62" t="b">
        <v>0</v>
      </c>
      <c r="H1676" s="78" t="b">
        <f>IF(VLOOKUP(C1676,Projetos!A:L,12,false)=TRUE,TRUE,FALSE)</f>
        <v>0</v>
      </c>
      <c r="I1676" s="68">
        <v>22.992671636822767</v>
      </c>
      <c r="J1676" s="68">
        <f t="shared" si="1"/>
        <v>0</v>
      </c>
      <c r="K1676" s="68" t="b">
        <v>0</v>
      </c>
    </row>
    <row r="1677">
      <c r="A1677" s="75">
        <v>1671.0</v>
      </c>
      <c r="B1677" s="62" t="s">
        <v>755</v>
      </c>
      <c r="C1677" s="62" t="s">
        <v>103</v>
      </c>
      <c r="D1677" s="62" t="s">
        <v>1067</v>
      </c>
      <c r="E1677" s="76">
        <v>44098.0</v>
      </c>
      <c r="F1677" s="77">
        <v>0.08333333333333333</v>
      </c>
      <c r="G1677" s="62" t="b">
        <v>1</v>
      </c>
      <c r="H1677" s="78" t="b">
        <f>IF(VLOOKUP(C1677,Projetos!A:L,12,false)=TRUE,TRUE,FALSE)</f>
        <v>1</v>
      </c>
      <c r="I1677" s="68">
        <v>22.992671636822767</v>
      </c>
      <c r="J1677" s="68">
        <f t="shared" si="1"/>
        <v>45.98534327</v>
      </c>
      <c r="K1677" s="68" t="b">
        <v>1</v>
      </c>
    </row>
    <row r="1678" hidden="1">
      <c r="A1678" s="75">
        <v>1672.0</v>
      </c>
      <c r="B1678" s="62" t="s">
        <v>755</v>
      </c>
      <c r="C1678" s="62" t="s">
        <v>109</v>
      </c>
      <c r="D1678" s="62" t="s">
        <v>1078</v>
      </c>
      <c r="E1678" s="76">
        <v>44099.0</v>
      </c>
      <c r="F1678" s="77">
        <v>0.041666666666666664</v>
      </c>
      <c r="G1678" s="62" t="b">
        <v>0</v>
      </c>
      <c r="H1678" s="78" t="b">
        <f>IF(VLOOKUP(C1678,Projetos!A:L,12,false)=TRUE,TRUE,FALSE)</f>
        <v>0</v>
      </c>
      <c r="I1678" s="68">
        <v>22.992671636822767</v>
      </c>
      <c r="J1678" s="68">
        <f t="shared" si="1"/>
        <v>0</v>
      </c>
      <c r="K1678" s="68" t="b">
        <v>0</v>
      </c>
    </row>
    <row r="1679">
      <c r="A1679" s="75">
        <v>1673.0</v>
      </c>
      <c r="B1679" s="62" t="s">
        <v>755</v>
      </c>
      <c r="C1679" s="62" t="s">
        <v>138</v>
      </c>
      <c r="D1679" s="62" t="s">
        <v>1055</v>
      </c>
      <c r="E1679" s="76">
        <v>44099.0</v>
      </c>
      <c r="F1679" s="77">
        <v>0.020833333333333332</v>
      </c>
      <c r="G1679" s="62" t="b">
        <v>1</v>
      </c>
      <c r="H1679" s="78" t="b">
        <f>IF(VLOOKUP(C1679,Projetos!A:L,12,false)=TRUE,TRUE,FALSE)</f>
        <v>1</v>
      </c>
      <c r="I1679" s="68">
        <v>22.992671636822767</v>
      </c>
      <c r="J1679" s="68">
        <f t="shared" si="1"/>
        <v>11.49633582</v>
      </c>
      <c r="K1679" s="68" t="b">
        <v>1</v>
      </c>
    </row>
    <row r="1680">
      <c r="A1680" s="75">
        <v>1674.0</v>
      </c>
      <c r="B1680" s="62" t="s">
        <v>755</v>
      </c>
      <c r="C1680" s="62" t="s">
        <v>100</v>
      </c>
      <c r="D1680" s="62" t="s">
        <v>1079</v>
      </c>
      <c r="E1680" s="76">
        <v>44099.0</v>
      </c>
      <c r="F1680" s="77">
        <v>0.041666666666666664</v>
      </c>
      <c r="G1680" s="62" t="b">
        <v>1</v>
      </c>
      <c r="H1680" s="78" t="b">
        <f>IF(VLOOKUP(C1680,Projetos!A:L,12,false)=TRUE,TRUE,FALSE)</f>
        <v>1</v>
      </c>
      <c r="I1680" s="68">
        <v>22.992671636822767</v>
      </c>
      <c r="J1680" s="68">
        <f t="shared" si="1"/>
        <v>22.99267164</v>
      </c>
      <c r="K1680" s="68" t="b">
        <v>1</v>
      </c>
    </row>
    <row r="1681">
      <c r="A1681" s="75">
        <v>1675.0</v>
      </c>
      <c r="B1681" s="62" t="s">
        <v>755</v>
      </c>
      <c r="C1681" s="62" t="s">
        <v>100</v>
      </c>
      <c r="D1681" s="62" t="s">
        <v>1080</v>
      </c>
      <c r="E1681" s="76">
        <v>44099.0</v>
      </c>
      <c r="F1681" s="77">
        <v>0.041666666666666664</v>
      </c>
      <c r="G1681" s="62" t="b">
        <v>1</v>
      </c>
      <c r="H1681" s="78" t="b">
        <f>IF(VLOOKUP(C1681,Projetos!A:L,12,false)=TRUE,TRUE,FALSE)</f>
        <v>1</v>
      </c>
      <c r="I1681" s="68">
        <v>22.992671636822767</v>
      </c>
      <c r="J1681" s="68">
        <f t="shared" si="1"/>
        <v>22.99267164</v>
      </c>
      <c r="K1681" s="68" t="b">
        <v>1</v>
      </c>
    </row>
    <row r="1682">
      <c r="A1682" s="75">
        <v>1676.0</v>
      </c>
      <c r="B1682" s="62" t="s">
        <v>755</v>
      </c>
      <c r="C1682" s="62" t="s">
        <v>104</v>
      </c>
      <c r="D1682" s="62" t="s">
        <v>1081</v>
      </c>
      <c r="E1682" s="76">
        <v>44099.0</v>
      </c>
      <c r="F1682" s="77">
        <v>0.041666666666666664</v>
      </c>
      <c r="G1682" s="62" t="b">
        <v>1</v>
      </c>
      <c r="H1682" s="78" t="b">
        <f>IF(VLOOKUP(C1682,Projetos!A:L,12,false)=TRUE,TRUE,FALSE)</f>
        <v>1</v>
      </c>
      <c r="I1682" s="68">
        <v>22.992671636822767</v>
      </c>
      <c r="J1682" s="68">
        <f t="shared" si="1"/>
        <v>22.99267164</v>
      </c>
      <c r="K1682" s="68" t="b">
        <v>1</v>
      </c>
    </row>
    <row r="1683">
      <c r="A1683" s="75">
        <v>1677.0</v>
      </c>
      <c r="B1683" s="62" t="s">
        <v>755</v>
      </c>
      <c r="C1683" s="62" t="s">
        <v>104</v>
      </c>
      <c r="D1683" s="62" t="s">
        <v>1082</v>
      </c>
      <c r="E1683" s="76">
        <v>44099.0</v>
      </c>
      <c r="F1683" s="77">
        <v>0.020833333333333332</v>
      </c>
      <c r="G1683" s="62" t="b">
        <v>1</v>
      </c>
      <c r="H1683" s="78" t="b">
        <f>IF(VLOOKUP(C1683,Projetos!A:L,12,false)=TRUE,TRUE,FALSE)</f>
        <v>1</v>
      </c>
      <c r="I1683" s="68">
        <v>22.992671636822767</v>
      </c>
      <c r="J1683" s="68">
        <f t="shared" si="1"/>
        <v>11.49633582</v>
      </c>
      <c r="K1683" s="68" t="b">
        <v>1</v>
      </c>
    </row>
    <row r="1684" hidden="1">
      <c r="A1684" s="75">
        <v>1678.0</v>
      </c>
      <c r="B1684" s="62" t="s">
        <v>755</v>
      </c>
      <c r="C1684" s="62" t="s">
        <v>108</v>
      </c>
      <c r="D1684" s="62" t="s">
        <v>1083</v>
      </c>
      <c r="E1684" s="76">
        <v>44102.0</v>
      </c>
      <c r="F1684" s="77">
        <v>0.08333333333333333</v>
      </c>
      <c r="G1684" s="62" t="b">
        <v>1</v>
      </c>
      <c r="H1684" s="78" t="b">
        <f>IF(VLOOKUP(C1684,Projetos!A:L,12,false)=TRUE,TRUE,FALSE)</f>
        <v>1</v>
      </c>
      <c r="I1684" s="68">
        <v>22.992671636822767</v>
      </c>
      <c r="J1684" s="68">
        <f t="shared" si="1"/>
        <v>45.98534327</v>
      </c>
      <c r="K1684" s="68" t="b">
        <v>1</v>
      </c>
    </row>
    <row r="1685">
      <c r="A1685" s="75">
        <v>1679.0</v>
      </c>
      <c r="B1685" s="62" t="s">
        <v>755</v>
      </c>
      <c r="C1685" s="62" t="s">
        <v>90</v>
      </c>
      <c r="D1685" s="62" t="s">
        <v>874</v>
      </c>
      <c r="E1685" s="76">
        <v>44102.0</v>
      </c>
      <c r="F1685" s="77">
        <v>0.041666666666666664</v>
      </c>
      <c r="G1685" s="62" t="b">
        <v>1</v>
      </c>
      <c r="H1685" s="78" t="b">
        <f>IF(VLOOKUP(C1685,Projetos!A:L,12,false)=TRUE,TRUE,FALSE)</f>
        <v>1</v>
      </c>
      <c r="I1685" s="68">
        <v>22.992671636822767</v>
      </c>
      <c r="J1685" s="68">
        <f t="shared" si="1"/>
        <v>22.99267164</v>
      </c>
      <c r="K1685" s="68" t="b">
        <v>1</v>
      </c>
    </row>
    <row r="1686">
      <c r="A1686" s="75">
        <v>1680.0</v>
      </c>
      <c r="B1686" s="62" t="s">
        <v>755</v>
      </c>
      <c r="C1686" s="62" t="s">
        <v>104</v>
      </c>
      <c r="D1686" s="62" t="s">
        <v>1084</v>
      </c>
      <c r="E1686" s="76">
        <v>44102.0</v>
      </c>
      <c r="F1686" s="77">
        <v>0.041666666666666664</v>
      </c>
      <c r="G1686" s="62" t="b">
        <v>1</v>
      </c>
      <c r="H1686" s="78" t="b">
        <f>IF(VLOOKUP(C1686,Projetos!A:L,12,false)=TRUE,TRUE,FALSE)</f>
        <v>1</v>
      </c>
      <c r="I1686" s="68">
        <v>22.992671636822767</v>
      </c>
      <c r="J1686" s="68">
        <f t="shared" si="1"/>
        <v>22.99267164</v>
      </c>
      <c r="K1686" s="68" t="b">
        <v>1</v>
      </c>
    </row>
    <row r="1687">
      <c r="A1687" s="75">
        <v>1681.0</v>
      </c>
      <c r="B1687" s="62" t="s">
        <v>755</v>
      </c>
      <c r="C1687" s="62" t="s">
        <v>110</v>
      </c>
      <c r="D1687" s="62" t="s">
        <v>1085</v>
      </c>
      <c r="E1687" s="76">
        <v>44102.0</v>
      </c>
      <c r="F1687" s="77">
        <v>0.08333333333333333</v>
      </c>
      <c r="G1687" s="62" t="b">
        <v>1</v>
      </c>
      <c r="H1687" s="78" t="b">
        <f>IF(VLOOKUP(C1687,Projetos!A:L,12,false)=TRUE,TRUE,FALSE)</f>
        <v>1</v>
      </c>
      <c r="I1687" s="68">
        <v>22.992671636822767</v>
      </c>
      <c r="J1687" s="68">
        <f t="shared" si="1"/>
        <v>45.98534327</v>
      </c>
      <c r="K1687" s="68" t="b">
        <v>1</v>
      </c>
    </row>
    <row r="1688">
      <c r="A1688" s="75">
        <v>1682.0</v>
      </c>
      <c r="B1688" s="62" t="s">
        <v>755</v>
      </c>
      <c r="C1688" s="62" t="s">
        <v>103</v>
      </c>
      <c r="D1688" s="62" t="s">
        <v>1086</v>
      </c>
      <c r="E1688" s="76">
        <v>44103.0</v>
      </c>
      <c r="F1688" s="77">
        <v>0.041666666666666664</v>
      </c>
      <c r="G1688" s="62" t="b">
        <v>1</v>
      </c>
      <c r="H1688" s="78" t="b">
        <f>IF(VLOOKUP(C1688,Projetos!A:L,12,false)=TRUE,TRUE,FALSE)</f>
        <v>1</v>
      </c>
      <c r="I1688" s="68">
        <v>22.992671636822767</v>
      </c>
      <c r="J1688" s="68">
        <f t="shared" si="1"/>
        <v>22.99267164</v>
      </c>
      <c r="K1688" s="68" t="b">
        <v>1</v>
      </c>
    </row>
    <row r="1689">
      <c r="A1689" s="75">
        <v>1683.0</v>
      </c>
      <c r="B1689" s="62" t="s">
        <v>755</v>
      </c>
      <c r="C1689" s="62" t="s">
        <v>103</v>
      </c>
      <c r="D1689" s="62" t="s">
        <v>1087</v>
      </c>
      <c r="E1689" s="76">
        <v>44103.0</v>
      </c>
      <c r="F1689" s="77">
        <v>0.041666666666666664</v>
      </c>
      <c r="G1689" s="62" t="b">
        <v>1</v>
      </c>
      <c r="H1689" s="78" t="b">
        <f>IF(VLOOKUP(C1689,Projetos!A:L,12,false)=TRUE,TRUE,FALSE)</f>
        <v>1</v>
      </c>
      <c r="I1689" s="68">
        <v>22.992671636822767</v>
      </c>
      <c r="J1689" s="68">
        <f t="shared" si="1"/>
        <v>22.99267164</v>
      </c>
      <c r="K1689" s="68" t="b">
        <v>1</v>
      </c>
    </row>
    <row r="1690" hidden="1">
      <c r="A1690" s="75">
        <v>1684.0</v>
      </c>
      <c r="B1690" s="62" t="s">
        <v>755</v>
      </c>
      <c r="C1690" s="62" t="s">
        <v>102</v>
      </c>
      <c r="D1690" s="62" t="s">
        <v>1088</v>
      </c>
      <c r="E1690" s="76">
        <v>44103.0</v>
      </c>
      <c r="F1690" s="77">
        <v>0.10416666666666667</v>
      </c>
      <c r="G1690" s="62" t="b">
        <v>0</v>
      </c>
      <c r="H1690" s="78" t="b">
        <f>IF(VLOOKUP(C1690,Projetos!A:L,12,false)=TRUE,TRUE,FALSE)</f>
        <v>0</v>
      </c>
      <c r="I1690" s="68">
        <v>22.992671636822767</v>
      </c>
      <c r="J1690" s="68">
        <f t="shared" si="1"/>
        <v>0</v>
      </c>
      <c r="K1690" s="68" t="b">
        <v>0</v>
      </c>
    </row>
    <row r="1691" hidden="1">
      <c r="A1691" s="75">
        <v>1685.0</v>
      </c>
      <c r="B1691" s="62" t="s">
        <v>755</v>
      </c>
      <c r="C1691" s="62" t="s">
        <v>102</v>
      </c>
      <c r="D1691" s="62" t="s">
        <v>1089</v>
      </c>
      <c r="E1691" s="76">
        <v>44104.0</v>
      </c>
      <c r="F1691" s="77">
        <v>0.041666666666666664</v>
      </c>
      <c r="G1691" s="62" t="b">
        <v>0</v>
      </c>
      <c r="H1691" s="78" t="b">
        <f>IF(VLOOKUP(C1691,Projetos!A:L,12,false)=TRUE,TRUE,FALSE)</f>
        <v>0</v>
      </c>
      <c r="I1691" s="68">
        <v>22.992671636822767</v>
      </c>
      <c r="J1691" s="68">
        <f t="shared" si="1"/>
        <v>0</v>
      </c>
      <c r="K1691" s="68" t="b">
        <v>0</v>
      </c>
    </row>
    <row r="1692">
      <c r="A1692" s="75">
        <v>1686.0</v>
      </c>
      <c r="B1692" s="62" t="s">
        <v>755</v>
      </c>
      <c r="C1692" s="62" t="s">
        <v>103</v>
      </c>
      <c r="D1692" s="62" t="s">
        <v>1090</v>
      </c>
      <c r="E1692" s="76">
        <v>44104.0</v>
      </c>
      <c r="F1692" s="77">
        <v>0.041666666666666664</v>
      </c>
      <c r="G1692" s="62" t="b">
        <v>1</v>
      </c>
      <c r="H1692" s="78" t="b">
        <f>IF(VLOOKUP(C1692,Projetos!A:L,12,false)=TRUE,TRUE,FALSE)</f>
        <v>1</v>
      </c>
      <c r="I1692" s="68">
        <v>22.992671636822767</v>
      </c>
      <c r="J1692" s="68">
        <f t="shared" si="1"/>
        <v>22.99267164</v>
      </c>
      <c r="K1692" s="68" t="b">
        <v>1</v>
      </c>
    </row>
    <row r="1693">
      <c r="A1693" s="75">
        <v>1687.0</v>
      </c>
      <c r="B1693" s="62" t="s">
        <v>755</v>
      </c>
      <c r="C1693" s="62" t="s">
        <v>103</v>
      </c>
      <c r="D1693" s="62" t="s">
        <v>1091</v>
      </c>
      <c r="E1693" s="76">
        <v>44104.0</v>
      </c>
      <c r="F1693" s="77">
        <v>0.020833333333333332</v>
      </c>
      <c r="G1693" s="62" t="b">
        <v>1</v>
      </c>
      <c r="H1693" s="78" t="b">
        <f>IF(VLOOKUP(C1693,Projetos!A:L,12,false)=TRUE,TRUE,FALSE)</f>
        <v>1</v>
      </c>
      <c r="I1693" s="68">
        <v>22.992671636822767</v>
      </c>
      <c r="J1693" s="68">
        <f t="shared" si="1"/>
        <v>11.49633582</v>
      </c>
      <c r="K1693" s="68" t="b">
        <v>1</v>
      </c>
    </row>
    <row r="1694">
      <c r="A1694" s="75">
        <v>1688.0</v>
      </c>
      <c r="B1694" s="62" t="s">
        <v>755</v>
      </c>
      <c r="C1694" s="62" t="s">
        <v>98</v>
      </c>
      <c r="D1694" s="62" t="s">
        <v>1092</v>
      </c>
      <c r="E1694" s="76">
        <v>44104.0</v>
      </c>
      <c r="F1694" s="77">
        <v>0.020833333333333332</v>
      </c>
      <c r="G1694" s="62" t="b">
        <v>1</v>
      </c>
      <c r="H1694" s="78" t="b">
        <f>IF(VLOOKUP(C1694,Projetos!A:L,12,false)=TRUE,TRUE,FALSE)</f>
        <v>1</v>
      </c>
      <c r="I1694" s="68">
        <v>22.992671636822767</v>
      </c>
      <c r="J1694" s="68">
        <f t="shared" si="1"/>
        <v>11.49633582</v>
      </c>
      <c r="K1694" s="68" t="b">
        <v>1</v>
      </c>
    </row>
    <row r="1695" hidden="1">
      <c r="A1695" s="75">
        <v>1689.0</v>
      </c>
      <c r="B1695" s="62" t="s">
        <v>755</v>
      </c>
      <c r="C1695" s="62" t="s">
        <v>109</v>
      </c>
      <c r="D1695" s="62" t="s">
        <v>1093</v>
      </c>
      <c r="E1695" s="76">
        <v>44104.0</v>
      </c>
      <c r="F1695" s="77">
        <v>0.0625</v>
      </c>
      <c r="G1695" s="62" t="b">
        <v>0</v>
      </c>
      <c r="H1695" s="78" t="b">
        <f>IF(VLOOKUP(C1695,Projetos!A:L,12,false)=TRUE,TRUE,FALSE)</f>
        <v>0</v>
      </c>
      <c r="I1695" s="68">
        <v>22.992671636822767</v>
      </c>
      <c r="J1695" s="68">
        <f t="shared" si="1"/>
        <v>0</v>
      </c>
      <c r="K1695" s="68" t="b">
        <v>0</v>
      </c>
    </row>
    <row r="1696" hidden="1">
      <c r="A1696" s="75">
        <v>1690.0</v>
      </c>
      <c r="B1696" s="62" t="s">
        <v>755</v>
      </c>
      <c r="C1696" s="62" t="s">
        <v>102</v>
      </c>
      <c r="D1696" s="62" t="s">
        <v>1094</v>
      </c>
      <c r="E1696" s="76">
        <v>44104.0</v>
      </c>
      <c r="F1696" s="77">
        <v>0.0625</v>
      </c>
      <c r="G1696" s="62" t="b">
        <v>0</v>
      </c>
      <c r="H1696" s="78" t="b">
        <f>IF(VLOOKUP(C1696,Projetos!A:L,12,false)=TRUE,TRUE,FALSE)</f>
        <v>0</v>
      </c>
      <c r="I1696" s="68">
        <v>22.992671636822767</v>
      </c>
      <c r="J1696" s="68">
        <f t="shared" si="1"/>
        <v>0</v>
      </c>
      <c r="K1696" s="68" t="b">
        <v>0</v>
      </c>
    </row>
    <row r="1697">
      <c r="A1697" s="75">
        <v>1691.0</v>
      </c>
      <c r="B1697" s="62" t="s">
        <v>755</v>
      </c>
      <c r="C1697" s="62" t="s">
        <v>98</v>
      </c>
      <c r="D1697" s="62" t="s">
        <v>1095</v>
      </c>
      <c r="E1697" s="76">
        <v>44105.0</v>
      </c>
      <c r="F1697" s="77">
        <v>0.14583333333333334</v>
      </c>
      <c r="G1697" s="62" t="b">
        <v>1</v>
      </c>
      <c r="H1697" s="78" t="b">
        <f>IF(VLOOKUP(C1697,Projetos!A:L,12,false)=TRUE,TRUE,FALSE)</f>
        <v>1</v>
      </c>
      <c r="I1697" s="68">
        <v>24.08756076238576</v>
      </c>
      <c r="J1697" s="68">
        <f t="shared" si="1"/>
        <v>84.30646267</v>
      </c>
      <c r="K1697" s="68" t="b">
        <v>1</v>
      </c>
    </row>
    <row r="1698">
      <c r="A1698" s="75">
        <v>1692.0</v>
      </c>
      <c r="B1698" s="62" t="s">
        <v>755</v>
      </c>
      <c r="C1698" s="62" t="s">
        <v>98</v>
      </c>
      <c r="D1698" s="62" t="s">
        <v>1096</v>
      </c>
      <c r="E1698" s="76">
        <v>44105.0</v>
      </c>
      <c r="F1698" s="77">
        <v>0.20833333333333334</v>
      </c>
      <c r="G1698" s="62" t="b">
        <v>1</v>
      </c>
      <c r="H1698" s="78" t="b">
        <f>IF(VLOOKUP(C1698,Projetos!A:L,12,false)=TRUE,TRUE,FALSE)</f>
        <v>1</v>
      </c>
      <c r="I1698" s="68">
        <v>24.08756076238576</v>
      </c>
      <c r="J1698" s="68">
        <f t="shared" si="1"/>
        <v>120.4378038</v>
      </c>
      <c r="K1698" s="68" t="b">
        <v>1</v>
      </c>
    </row>
    <row r="1699">
      <c r="A1699" s="75">
        <v>1693.0</v>
      </c>
      <c r="B1699" s="62" t="s">
        <v>755</v>
      </c>
      <c r="C1699" s="62" t="s">
        <v>90</v>
      </c>
      <c r="D1699" s="62" t="s">
        <v>1097</v>
      </c>
      <c r="E1699" s="76">
        <v>44106.0</v>
      </c>
      <c r="F1699" s="77">
        <v>0.041666666666666664</v>
      </c>
      <c r="G1699" s="62" t="b">
        <v>1</v>
      </c>
      <c r="H1699" s="78" t="b">
        <f>IF(VLOOKUP(C1699,Projetos!A:L,12,false)=TRUE,TRUE,FALSE)</f>
        <v>1</v>
      </c>
      <c r="I1699" s="68">
        <v>24.08756076238576</v>
      </c>
      <c r="J1699" s="68">
        <f t="shared" si="1"/>
        <v>24.08756076</v>
      </c>
      <c r="K1699" s="68" t="b">
        <v>1</v>
      </c>
    </row>
    <row r="1700">
      <c r="A1700" s="75">
        <v>1694.0</v>
      </c>
      <c r="B1700" s="62" t="s">
        <v>755</v>
      </c>
      <c r="C1700" s="62" t="s">
        <v>90</v>
      </c>
      <c r="D1700" s="62" t="s">
        <v>1098</v>
      </c>
      <c r="E1700" s="76">
        <v>44106.0</v>
      </c>
      <c r="F1700" s="77">
        <v>0.0625</v>
      </c>
      <c r="G1700" s="62" t="b">
        <v>1</v>
      </c>
      <c r="H1700" s="78" t="b">
        <f>IF(VLOOKUP(C1700,Projetos!A:L,12,false)=TRUE,TRUE,FALSE)</f>
        <v>1</v>
      </c>
      <c r="I1700" s="68">
        <v>24.08756076238576</v>
      </c>
      <c r="J1700" s="68">
        <f t="shared" si="1"/>
        <v>36.13134114</v>
      </c>
      <c r="K1700" s="68" t="b">
        <v>1</v>
      </c>
    </row>
    <row r="1701">
      <c r="A1701" s="75">
        <v>1695.0</v>
      </c>
      <c r="B1701" s="62" t="s">
        <v>755</v>
      </c>
      <c r="C1701" s="62" t="s">
        <v>90</v>
      </c>
      <c r="D1701" s="62" t="s">
        <v>1002</v>
      </c>
      <c r="E1701" s="76">
        <v>44106.0</v>
      </c>
      <c r="F1701" s="77">
        <v>0.020833333333333332</v>
      </c>
      <c r="G1701" s="62" t="b">
        <v>1</v>
      </c>
      <c r="H1701" s="78" t="b">
        <f>IF(VLOOKUP(C1701,Projetos!A:L,12,false)=TRUE,TRUE,FALSE)</f>
        <v>1</v>
      </c>
      <c r="I1701" s="68">
        <v>24.08756076238576</v>
      </c>
      <c r="J1701" s="68">
        <f t="shared" si="1"/>
        <v>12.04378038</v>
      </c>
      <c r="K1701" s="68" t="b">
        <v>1</v>
      </c>
    </row>
    <row r="1702">
      <c r="A1702" s="75">
        <v>1696.0</v>
      </c>
      <c r="B1702" s="62" t="s">
        <v>755</v>
      </c>
      <c r="C1702" s="62" t="s">
        <v>90</v>
      </c>
      <c r="D1702" s="62" t="s">
        <v>1099</v>
      </c>
      <c r="E1702" s="76">
        <v>44106.0</v>
      </c>
      <c r="F1702" s="77">
        <v>0.020833333333333332</v>
      </c>
      <c r="G1702" s="62" t="b">
        <v>1</v>
      </c>
      <c r="H1702" s="78" t="b">
        <f>IF(VLOOKUP(C1702,Projetos!A:L,12,false)=TRUE,TRUE,FALSE)</f>
        <v>1</v>
      </c>
      <c r="I1702" s="68">
        <v>24.08756076238576</v>
      </c>
      <c r="J1702" s="68">
        <f t="shared" si="1"/>
        <v>12.04378038</v>
      </c>
      <c r="K1702" s="68" t="b">
        <v>1</v>
      </c>
    </row>
    <row r="1703">
      <c r="A1703" s="75">
        <v>1697.0</v>
      </c>
      <c r="B1703" s="62" t="s">
        <v>755</v>
      </c>
      <c r="C1703" s="62" t="s">
        <v>98</v>
      </c>
      <c r="D1703" s="62" t="s">
        <v>1100</v>
      </c>
      <c r="E1703" s="76">
        <v>44106.0</v>
      </c>
      <c r="F1703" s="77">
        <v>0.0625</v>
      </c>
      <c r="G1703" s="62" t="b">
        <v>1</v>
      </c>
      <c r="H1703" s="78" t="b">
        <f>IF(VLOOKUP(C1703,Projetos!A:L,12,false)=TRUE,TRUE,FALSE)</f>
        <v>1</v>
      </c>
      <c r="I1703" s="68">
        <v>24.08756076238576</v>
      </c>
      <c r="J1703" s="68">
        <f t="shared" si="1"/>
        <v>36.13134114</v>
      </c>
      <c r="K1703" s="68" t="b">
        <v>1</v>
      </c>
    </row>
    <row r="1704">
      <c r="A1704" s="75">
        <v>1698.0</v>
      </c>
      <c r="B1704" s="62" t="s">
        <v>755</v>
      </c>
      <c r="C1704" s="62" t="s">
        <v>110</v>
      </c>
      <c r="D1704" s="62" t="s">
        <v>1101</v>
      </c>
      <c r="E1704" s="76">
        <v>44107.0</v>
      </c>
      <c r="F1704" s="77">
        <v>0.020833333333333332</v>
      </c>
      <c r="G1704" s="62" t="b">
        <v>1</v>
      </c>
      <c r="H1704" s="78" t="b">
        <f>IF(VLOOKUP(C1704,Projetos!A:L,12,false)=TRUE,TRUE,FALSE)</f>
        <v>1</v>
      </c>
      <c r="I1704" s="68">
        <v>24.08756076238576</v>
      </c>
      <c r="J1704" s="68">
        <f t="shared" si="1"/>
        <v>12.04378038</v>
      </c>
      <c r="K1704" s="68" t="b">
        <v>1</v>
      </c>
    </row>
    <row r="1705">
      <c r="A1705" s="75">
        <v>1699.0</v>
      </c>
      <c r="B1705" s="62" t="s">
        <v>755</v>
      </c>
      <c r="C1705" s="62" t="s">
        <v>104</v>
      </c>
      <c r="D1705" s="62" t="s">
        <v>1102</v>
      </c>
      <c r="E1705" s="76">
        <v>44110.0</v>
      </c>
      <c r="F1705" s="77">
        <v>0.020833333333333332</v>
      </c>
      <c r="G1705" s="62" t="b">
        <v>1</v>
      </c>
      <c r="H1705" s="78" t="b">
        <f>IF(VLOOKUP(C1705,Projetos!A:L,12,false)=TRUE,TRUE,FALSE)</f>
        <v>1</v>
      </c>
      <c r="I1705" s="68">
        <v>24.08756076238576</v>
      </c>
      <c r="J1705" s="68">
        <f t="shared" si="1"/>
        <v>12.04378038</v>
      </c>
      <c r="K1705" s="68" t="b">
        <v>1</v>
      </c>
    </row>
    <row r="1706">
      <c r="A1706" s="75">
        <v>1700.0</v>
      </c>
      <c r="B1706" s="62" t="s">
        <v>755</v>
      </c>
      <c r="C1706" s="62" t="s">
        <v>103</v>
      </c>
      <c r="D1706" s="62" t="s">
        <v>1103</v>
      </c>
      <c r="E1706" s="76">
        <v>44110.0</v>
      </c>
      <c r="F1706" s="77">
        <v>0.041666666666666664</v>
      </c>
      <c r="G1706" s="62" t="b">
        <v>1</v>
      </c>
      <c r="H1706" s="78" t="b">
        <f>IF(VLOOKUP(C1706,Projetos!A:L,12,false)=TRUE,TRUE,FALSE)</f>
        <v>1</v>
      </c>
      <c r="I1706" s="68">
        <v>24.08756076238576</v>
      </c>
      <c r="J1706" s="68">
        <f t="shared" si="1"/>
        <v>24.08756076</v>
      </c>
      <c r="K1706" s="68" t="b">
        <v>1</v>
      </c>
    </row>
    <row r="1707" hidden="1">
      <c r="A1707" s="75">
        <v>1701.0</v>
      </c>
      <c r="B1707" s="62" t="s">
        <v>755</v>
      </c>
      <c r="C1707" s="62" t="s">
        <v>109</v>
      </c>
      <c r="D1707" s="62" t="s">
        <v>1104</v>
      </c>
      <c r="E1707" s="76">
        <v>44110.0</v>
      </c>
      <c r="F1707" s="77">
        <v>0.20833333333333334</v>
      </c>
      <c r="G1707" s="62" t="b">
        <v>0</v>
      </c>
      <c r="H1707" s="78" t="b">
        <f>IF(VLOOKUP(C1707,Projetos!A:L,12,false)=TRUE,TRUE,FALSE)</f>
        <v>0</v>
      </c>
      <c r="I1707" s="68">
        <v>24.08756076238576</v>
      </c>
      <c r="J1707" s="68">
        <f t="shared" si="1"/>
        <v>0</v>
      </c>
      <c r="K1707" s="68" t="b">
        <v>0</v>
      </c>
    </row>
    <row r="1708">
      <c r="A1708" s="75">
        <v>1702.0</v>
      </c>
      <c r="B1708" s="62" t="s">
        <v>755</v>
      </c>
      <c r="C1708" s="62" t="s">
        <v>90</v>
      </c>
      <c r="D1708" s="62" t="s">
        <v>874</v>
      </c>
      <c r="E1708" s="76">
        <v>44111.0</v>
      </c>
      <c r="F1708" s="77">
        <v>0.020833333333333332</v>
      </c>
      <c r="G1708" s="62" t="b">
        <v>1</v>
      </c>
      <c r="H1708" s="78" t="b">
        <f>IF(VLOOKUP(C1708,Projetos!A:L,12,false)=TRUE,TRUE,FALSE)</f>
        <v>1</v>
      </c>
      <c r="I1708" s="68">
        <v>24.08756076238576</v>
      </c>
      <c r="J1708" s="68">
        <f t="shared" si="1"/>
        <v>12.04378038</v>
      </c>
      <c r="K1708" s="68" t="b">
        <v>1</v>
      </c>
    </row>
    <row r="1709">
      <c r="A1709" s="75">
        <v>1703.0</v>
      </c>
      <c r="B1709" s="62" t="s">
        <v>755</v>
      </c>
      <c r="C1709" s="62" t="s">
        <v>103</v>
      </c>
      <c r="D1709" s="62" t="s">
        <v>1105</v>
      </c>
      <c r="E1709" s="76">
        <v>44111.0</v>
      </c>
      <c r="F1709" s="77">
        <v>0.020833333333333332</v>
      </c>
      <c r="G1709" s="62" t="b">
        <v>1</v>
      </c>
      <c r="H1709" s="78" t="b">
        <f>IF(VLOOKUP(C1709,Projetos!A:L,12,false)=TRUE,TRUE,FALSE)</f>
        <v>1</v>
      </c>
      <c r="I1709" s="68">
        <v>24.08756076238576</v>
      </c>
      <c r="J1709" s="68">
        <f t="shared" si="1"/>
        <v>12.04378038</v>
      </c>
      <c r="K1709" s="68" t="b">
        <v>1</v>
      </c>
    </row>
    <row r="1710" hidden="1">
      <c r="A1710" s="75">
        <v>1704.0</v>
      </c>
      <c r="B1710" s="62" t="s">
        <v>755</v>
      </c>
      <c r="C1710" s="62" t="s">
        <v>109</v>
      </c>
      <c r="D1710" s="62" t="s">
        <v>1106</v>
      </c>
      <c r="E1710" s="76">
        <v>44111.0</v>
      </c>
      <c r="F1710" s="77">
        <v>0.0625</v>
      </c>
      <c r="G1710" s="62" t="b">
        <v>0</v>
      </c>
      <c r="H1710" s="78" t="b">
        <f>IF(VLOOKUP(C1710,Projetos!A:L,12,false)=TRUE,TRUE,FALSE)</f>
        <v>0</v>
      </c>
      <c r="I1710" s="68">
        <v>24.08756076238576</v>
      </c>
      <c r="J1710" s="68">
        <f t="shared" si="1"/>
        <v>0</v>
      </c>
      <c r="K1710" s="68" t="b">
        <v>0</v>
      </c>
    </row>
    <row r="1711" hidden="1">
      <c r="A1711" s="75">
        <v>1705.0</v>
      </c>
      <c r="B1711" s="62" t="s">
        <v>755</v>
      </c>
      <c r="C1711" s="62" t="s">
        <v>102</v>
      </c>
      <c r="D1711" s="62" t="s">
        <v>1107</v>
      </c>
      <c r="E1711" s="76">
        <v>44111.0</v>
      </c>
      <c r="F1711" s="77">
        <v>0.020833333333333332</v>
      </c>
      <c r="G1711" s="62" t="b">
        <v>0</v>
      </c>
      <c r="H1711" s="78" t="b">
        <f>IF(VLOOKUP(C1711,Projetos!A:L,12,false)=TRUE,TRUE,FALSE)</f>
        <v>0</v>
      </c>
      <c r="I1711" s="68">
        <v>24.08756076238576</v>
      </c>
      <c r="J1711" s="68">
        <f t="shared" si="1"/>
        <v>0</v>
      </c>
      <c r="K1711" s="68" t="b">
        <v>0</v>
      </c>
    </row>
    <row r="1712" hidden="1">
      <c r="A1712" s="75">
        <v>1706.0</v>
      </c>
      <c r="B1712" s="62" t="s">
        <v>755</v>
      </c>
      <c r="C1712" s="62" t="s">
        <v>109</v>
      </c>
      <c r="D1712" s="62" t="s">
        <v>1104</v>
      </c>
      <c r="E1712" s="76">
        <v>44112.0</v>
      </c>
      <c r="F1712" s="77">
        <v>0.08333333333333333</v>
      </c>
      <c r="G1712" s="62" t="b">
        <v>0</v>
      </c>
      <c r="H1712" s="78" t="b">
        <f>IF(VLOOKUP(C1712,Projetos!A:L,12,false)=TRUE,TRUE,FALSE)</f>
        <v>0</v>
      </c>
      <c r="I1712" s="68">
        <v>24.08756076238576</v>
      </c>
      <c r="J1712" s="68">
        <f t="shared" si="1"/>
        <v>0</v>
      </c>
      <c r="K1712" s="68" t="b">
        <v>0</v>
      </c>
    </row>
    <row r="1713">
      <c r="A1713" s="75">
        <v>1707.0</v>
      </c>
      <c r="B1713" s="62" t="s">
        <v>755</v>
      </c>
      <c r="C1713" s="62" t="s">
        <v>104</v>
      </c>
      <c r="D1713" s="62" t="s">
        <v>1108</v>
      </c>
      <c r="E1713" s="76">
        <v>44112.0</v>
      </c>
      <c r="F1713" s="77">
        <v>0.041666666666666664</v>
      </c>
      <c r="G1713" s="62" t="b">
        <v>1</v>
      </c>
      <c r="H1713" s="78" t="b">
        <f>IF(VLOOKUP(C1713,Projetos!A:L,12,false)=TRUE,TRUE,FALSE)</f>
        <v>1</v>
      </c>
      <c r="I1713" s="68">
        <v>24.08756076238576</v>
      </c>
      <c r="J1713" s="68">
        <f t="shared" si="1"/>
        <v>24.08756076</v>
      </c>
      <c r="K1713" s="68" t="b">
        <v>1</v>
      </c>
    </row>
    <row r="1714">
      <c r="A1714" s="75">
        <v>1708.0</v>
      </c>
      <c r="B1714" s="62" t="s">
        <v>755</v>
      </c>
      <c r="C1714" s="62" t="s">
        <v>104</v>
      </c>
      <c r="D1714" s="62" t="s">
        <v>1109</v>
      </c>
      <c r="E1714" s="76">
        <v>44113.0</v>
      </c>
      <c r="F1714" s="77">
        <v>0.041666666666666664</v>
      </c>
      <c r="G1714" s="62" t="b">
        <v>1</v>
      </c>
      <c r="H1714" s="78" t="b">
        <f>IF(VLOOKUP(C1714,Projetos!A:L,12,false)=TRUE,TRUE,FALSE)</f>
        <v>1</v>
      </c>
      <c r="I1714" s="68">
        <v>24.08756076238576</v>
      </c>
      <c r="J1714" s="68">
        <f t="shared" si="1"/>
        <v>24.08756076</v>
      </c>
      <c r="K1714" s="68" t="b">
        <v>1</v>
      </c>
    </row>
    <row r="1715">
      <c r="A1715" s="75">
        <v>1709.0</v>
      </c>
      <c r="B1715" s="62" t="s">
        <v>755</v>
      </c>
      <c r="C1715" s="62" t="s">
        <v>90</v>
      </c>
      <c r="D1715" s="62" t="s">
        <v>874</v>
      </c>
      <c r="E1715" s="76">
        <v>44113.0</v>
      </c>
      <c r="F1715" s="77">
        <v>0.020833333333333332</v>
      </c>
      <c r="G1715" s="62" t="b">
        <v>1</v>
      </c>
      <c r="H1715" s="78" t="b">
        <f>IF(VLOOKUP(C1715,Projetos!A:L,12,false)=TRUE,TRUE,FALSE)</f>
        <v>1</v>
      </c>
      <c r="I1715" s="68">
        <v>24.08756076238576</v>
      </c>
      <c r="J1715" s="68">
        <f t="shared" si="1"/>
        <v>12.04378038</v>
      </c>
      <c r="K1715" s="68" t="b">
        <v>1</v>
      </c>
    </row>
    <row r="1716">
      <c r="A1716" s="75">
        <v>1710.0</v>
      </c>
      <c r="B1716" s="62" t="s">
        <v>755</v>
      </c>
      <c r="C1716" s="62" t="s">
        <v>100</v>
      </c>
      <c r="D1716" s="62" t="s">
        <v>1110</v>
      </c>
      <c r="E1716" s="76">
        <v>44113.0</v>
      </c>
      <c r="F1716" s="77">
        <v>0.020833333333333332</v>
      </c>
      <c r="G1716" s="62" t="b">
        <v>1</v>
      </c>
      <c r="H1716" s="78" t="b">
        <f>IF(VLOOKUP(C1716,Projetos!A:L,12,false)=TRUE,TRUE,FALSE)</f>
        <v>1</v>
      </c>
      <c r="I1716" s="68">
        <v>24.08756076238576</v>
      </c>
      <c r="J1716" s="68">
        <f t="shared" si="1"/>
        <v>12.04378038</v>
      </c>
      <c r="K1716" s="68" t="b">
        <v>1</v>
      </c>
    </row>
    <row r="1717">
      <c r="A1717" s="75">
        <v>1711.0</v>
      </c>
      <c r="B1717" s="62" t="s">
        <v>755</v>
      </c>
      <c r="C1717" s="62" t="s">
        <v>98</v>
      </c>
      <c r="D1717" s="62" t="s">
        <v>1111</v>
      </c>
      <c r="E1717" s="76">
        <v>44113.0</v>
      </c>
      <c r="F1717" s="77">
        <v>0.020833333333333332</v>
      </c>
      <c r="G1717" s="62" t="b">
        <v>1</v>
      </c>
      <c r="H1717" s="78" t="b">
        <f>IF(VLOOKUP(C1717,Projetos!A:L,12,false)=TRUE,TRUE,FALSE)</f>
        <v>1</v>
      </c>
      <c r="I1717" s="68">
        <v>24.08756076238576</v>
      </c>
      <c r="J1717" s="68">
        <f t="shared" si="1"/>
        <v>12.04378038</v>
      </c>
      <c r="K1717" s="68" t="b">
        <v>1</v>
      </c>
    </row>
    <row r="1718">
      <c r="A1718" s="75">
        <v>1712.0</v>
      </c>
      <c r="B1718" s="62" t="s">
        <v>755</v>
      </c>
      <c r="C1718" s="62" t="s">
        <v>98</v>
      </c>
      <c r="D1718" s="62" t="s">
        <v>1112</v>
      </c>
      <c r="E1718" s="76">
        <v>44113.0</v>
      </c>
      <c r="F1718" s="77">
        <v>0.125</v>
      </c>
      <c r="G1718" s="62" t="b">
        <v>1</v>
      </c>
      <c r="H1718" s="78" t="b">
        <f>IF(VLOOKUP(C1718,Projetos!A:L,12,false)=TRUE,TRUE,FALSE)</f>
        <v>1</v>
      </c>
      <c r="I1718" s="68">
        <v>24.08756076238576</v>
      </c>
      <c r="J1718" s="68">
        <f t="shared" si="1"/>
        <v>72.26268229</v>
      </c>
      <c r="K1718" s="68" t="b">
        <v>1</v>
      </c>
    </row>
    <row r="1719">
      <c r="A1719" s="75">
        <v>1713.0</v>
      </c>
      <c r="B1719" s="62" t="s">
        <v>755</v>
      </c>
      <c r="C1719" s="62" t="s">
        <v>90</v>
      </c>
      <c r="D1719" s="62" t="s">
        <v>874</v>
      </c>
      <c r="E1719" s="76">
        <v>44117.0</v>
      </c>
      <c r="F1719" s="77">
        <v>0.020833333333333332</v>
      </c>
      <c r="G1719" s="62" t="b">
        <v>1</v>
      </c>
      <c r="H1719" s="78" t="b">
        <f>IF(VLOOKUP(C1719,Projetos!A:L,12,false)=TRUE,TRUE,FALSE)</f>
        <v>1</v>
      </c>
      <c r="I1719" s="68">
        <v>24.08756076238576</v>
      </c>
      <c r="J1719" s="68">
        <f t="shared" si="1"/>
        <v>12.04378038</v>
      </c>
      <c r="K1719" s="68" t="b">
        <v>1</v>
      </c>
    </row>
    <row r="1720">
      <c r="A1720" s="75">
        <v>1714.0</v>
      </c>
      <c r="B1720" s="62" t="s">
        <v>755</v>
      </c>
      <c r="C1720" s="62" t="s">
        <v>98</v>
      </c>
      <c r="D1720" s="62" t="s">
        <v>1113</v>
      </c>
      <c r="E1720" s="76">
        <v>44117.0</v>
      </c>
      <c r="F1720" s="77">
        <v>0.041666666666666664</v>
      </c>
      <c r="G1720" s="62" t="b">
        <v>1</v>
      </c>
      <c r="H1720" s="78" t="b">
        <f>IF(VLOOKUP(C1720,Projetos!A:L,12,false)=TRUE,TRUE,FALSE)</f>
        <v>1</v>
      </c>
      <c r="I1720" s="68">
        <v>24.08756076238576</v>
      </c>
      <c r="J1720" s="68">
        <f t="shared" si="1"/>
        <v>24.08756076</v>
      </c>
      <c r="K1720" s="68" t="b">
        <v>1</v>
      </c>
    </row>
    <row r="1721">
      <c r="A1721" s="75">
        <v>1715.0</v>
      </c>
      <c r="B1721" s="62" t="s">
        <v>755</v>
      </c>
      <c r="C1721" s="62" t="s">
        <v>90</v>
      </c>
      <c r="D1721" s="62" t="s">
        <v>874</v>
      </c>
      <c r="E1721" s="76">
        <v>44118.0</v>
      </c>
      <c r="F1721" s="77">
        <v>0.020833333333333332</v>
      </c>
      <c r="G1721" s="62" t="b">
        <v>1</v>
      </c>
      <c r="H1721" s="78" t="b">
        <f>IF(VLOOKUP(C1721,Projetos!A:L,12,false)=TRUE,TRUE,FALSE)</f>
        <v>1</v>
      </c>
      <c r="I1721" s="68">
        <v>24.08756076238576</v>
      </c>
      <c r="J1721" s="68">
        <f t="shared" si="1"/>
        <v>12.04378038</v>
      </c>
      <c r="K1721" s="68" t="b">
        <v>1</v>
      </c>
    </row>
    <row r="1722">
      <c r="A1722" s="75">
        <v>1716.0</v>
      </c>
      <c r="B1722" s="62" t="s">
        <v>755</v>
      </c>
      <c r="C1722" s="62" t="s">
        <v>98</v>
      </c>
      <c r="D1722" s="62" t="s">
        <v>1114</v>
      </c>
      <c r="E1722" s="76">
        <v>44118.0</v>
      </c>
      <c r="F1722" s="77">
        <v>0.125</v>
      </c>
      <c r="G1722" s="62" t="b">
        <v>1</v>
      </c>
      <c r="H1722" s="78" t="b">
        <f>IF(VLOOKUP(C1722,Projetos!A:L,12,false)=TRUE,TRUE,FALSE)</f>
        <v>1</v>
      </c>
      <c r="I1722" s="68">
        <v>24.08756076238576</v>
      </c>
      <c r="J1722" s="68">
        <f t="shared" si="1"/>
        <v>72.26268229</v>
      </c>
      <c r="K1722" s="68" t="b">
        <v>1</v>
      </c>
    </row>
    <row r="1723">
      <c r="A1723" s="75">
        <v>1717.0</v>
      </c>
      <c r="B1723" s="62" t="s">
        <v>755</v>
      </c>
      <c r="C1723" s="62" t="s">
        <v>98</v>
      </c>
      <c r="D1723" s="62" t="s">
        <v>1115</v>
      </c>
      <c r="E1723" s="76">
        <v>44118.0</v>
      </c>
      <c r="F1723" s="77">
        <v>0.08333333333333333</v>
      </c>
      <c r="G1723" s="62" t="b">
        <v>1</v>
      </c>
      <c r="H1723" s="78" t="b">
        <f>IF(VLOOKUP(C1723,Projetos!A:L,12,false)=TRUE,TRUE,FALSE)</f>
        <v>1</v>
      </c>
      <c r="I1723" s="68">
        <v>24.08756076238576</v>
      </c>
      <c r="J1723" s="68">
        <f t="shared" si="1"/>
        <v>48.17512152</v>
      </c>
      <c r="K1723" s="68" t="b">
        <v>1</v>
      </c>
    </row>
    <row r="1724">
      <c r="A1724" s="75">
        <v>1718.0</v>
      </c>
      <c r="B1724" s="62" t="s">
        <v>755</v>
      </c>
      <c r="C1724" s="62" t="s">
        <v>90</v>
      </c>
      <c r="D1724" s="62" t="s">
        <v>1116</v>
      </c>
      <c r="E1724" s="76">
        <v>44118.0</v>
      </c>
      <c r="F1724" s="77">
        <v>0.020833333333333332</v>
      </c>
      <c r="G1724" s="62" t="b">
        <v>1</v>
      </c>
      <c r="H1724" s="78" t="b">
        <f>IF(VLOOKUP(C1724,Projetos!A:L,12,false)=TRUE,TRUE,FALSE)</f>
        <v>1</v>
      </c>
      <c r="I1724" s="68">
        <v>24.08756076238576</v>
      </c>
      <c r="J1724" s="68">
        <f t="shared" si="1"/>
        <v>12.04378038</v>
      </c>
      <c r="K1724" s="68" t="b">
        <v>1</v>
      </c>
    </row>
    <row r="1725">
      <c r="A1725" s="75">
        <v>1719.0</v>
      </c>
      <c r="B1725" s="62" t="s">
        <v>755</v>
      </c>
      <c r="C1725" s="62" t="s">
        <v>90</v>
      </c>
      <c r="D1725" s="62" t="s">
        <v>1117</v>
      </c>
      <c r="E1725" s="76">
        <v>44118.0</v>
      </c>
      <c r="F1725" s="77">
        <v>0.020833333333333332</v>
      </c>
      <c r="G1725" s="62" t="b">
        <v>1</v>
      </c>
      <c r="H1725" s="78" t="b">
        <f>IF(VLOOKUP(C1725,Projetos!A:L,12,false)=TRUE,TRUE,FALSE)</f>
        <v>1</v>
      </c>
      <c r="I1725" s="68">
        <v>24.08756076238576</v>
      </c>
      <c r="J1725" s="68">
        <f t="shared" si="1"/>
        <v>12.04378038</v>
      </c>
      <c r="K1725" s="68" t="b">
        <v>1</v>
      </c>
    </row>
    <row r="1726">
      <c r="A1726" s="75">
        <v>1720.0</v>
      </c>
      <c r="B1726" s="62" t="s">
        <v>755</v>
      </c>
      <c r="C1726" s="62" t="s">
        <v>104</v>
      </c>
      <c r="D1726" s="62" t="s">
        <v>1118</v>
      </c>
      <c r="E1726" s="76">
        <v>44118.0</v>
      </c>
      <c r="F1726" s="77">
        <v>0.020833333333333332</v>
      </c>
      <c r="G1726" s="62" t="b">
        <v>1</v>
      </c>
      <c r="H1726" s="78" t="b">
        <f>IF(VLOOKUP(C1726,Projetos!A:L,12,false)=TRUE,TRUE,FALSE)</f>
        <v>1</v>
      </c>
      <c r="I1726" s="68">
        <v>24.08756076238576</v>
      </c>
      <c r="J1726" s="68">
        <f t="shared" si="1"/>
        <v>12.04378038</v>
      </c>
      <c r="K1726" s="68" t="b">
        <v>1</v>
      </c>
    </row>
    <row r="1727">
      <c r="A1727" s="75">
        <v>1721.0</v>
      </c>
      <c r="B1727" s="62" t="s">
        <v>755</v>
      </c>
      <c r="C1727" s="62" t="s">
        <v>90</v>
      </c>
      <c r="D1727" s="62" t="s">
        <v>874</v>
      </c>
      <c r="E1727" s="76">
        <v>44119.0</v>
      </c>
      <c r="F1727" s="77">
        <v>0.020833333333333332</v>
      </c>
      <c r="G1727" s="62" t="b">
        <v>1</v>
      </c>
      <c r="H1727" s="78" t="b">
        <f>IF(VLOOKUP(C1727,Projetos!A:L,12,false)=TRUE,TRUE,FALSE)</f>
        <v>1</v>
      </c>
      <c r="I1727" s="68">
        <v>24.08756076238576</v>
      </c>
      <c r="J1727" s="68">
        <f t="shared" si="1"/>
        <v>12.04378038</v>
      </c>
      <c r="K1727" s="68" t="b">
        <v>1</v>
      </c>
    </row>
    <row r="1728">
      <c r="A1728" s="75">
        <v>1722.0</v>
      </c>
      <c r="B1728" s="62" t="s">
        <v>755</v>
      </c>
      <c r="C1728" s="62" t="s">
        <v>98</v>
      </c>
      <c r="D1728" s="62" t="s">
        <v>1119</v>
      </c>
      <c r="E1728" s="76">
        <v>44120.0</v>
      </c>
      <c r="F1728" s="77">
        <v>0.041666666666666664</v>
      </c>
      <c r="G1728" s="62" t="b">
        <v>1</v>
      </c>
      <c r="H1728" s="78" t="b">
        <f>IF(VLOOKUP(C1728,Projetos!A:L,12,false)=TRUE,TRUE,FALSE)</f>
        <v>1</v>
      </c>
      <c r="I1728" s="68">
        <v>24.08756076238576</v>
      </c>
      <c r="J1728" s="68">
        <f t="shared" si="1"/>
        <v>24.08756076</v>
      </c>
      <c r="K1728" s="68" t="b">
        <v>1</v>
      </c>
    </row>
    <row r="1729">
      <c r="A1729" s="75">
        <v>1723.0</v>
      </c>
      <c r="B1729" s="62" t="s">
        <v>755</v>
      </c>
      <c r="C1729" s="62" t="s">
        <v>98</v>
      </c>
      <c r="D1729" s="62" t="s">
        <v>1115</v>
      </c>
      <c r="E1729" s="76">
        <v>44120.0</v>
      </c>
      <c r="F1729" s="77">
        <v>0.11458333333333333</v>
      </c>
      <c r="G1729" s="62" t="b">
        <v>1</v>
      </c>
      <c r="H1729" s="78" t="b">
        <f>IF(VLOOKUP(C1729,Projetos!A:L,12,false)=TRUE,TRUE,FALSE)</f>
        <v>1</v>
      </c>
      <c r="I1729" s="68">
        <v>24.08756076238576</v>
      </c>
      <c r="J1729" s="68">
        <f t="shared" si="1"/>
        <v>66.2407921</v>
      </c>
      <c r="K1729" s="68" t="b">
        <v>1</v>
      </c>
    </row>
    <row r="1730">
      <c r="A1730" s="75">
        <v>1724.0</v>
      </c>
      <c r="B1730" s="62" t="s">
        <v>755</v>
      </c>
      <c r="C1730" s="62" t="s">
        <v>98</v>
      </c>
      <c r="D1730" s="62" t="s">
        <v>1120</v>
      </c>
      <c r="E1730" s="76">
        <v>44120.0</v>
      </c>
      <c r="F1730" s="77">
        <v>0.010416666666666666</v>
      </c>
      <c r="G1730" s="62" t="b">
        <v>1</v>
      </c>
      <c r="H1730" s="78" t="b">
        <f>IF(VLOOKUP(C1730,Projetos!A:L,12,false)=TRUE,TRUE,FALSE)</f>
        <v>1</v>
      </c>
      <c r="I1730" s="68">
        <v>24.08756076238576</v>
      </c>
      <c r="J1730" s="68">
        <f t="shared" si="1"/>
        <v>6.021890191</v>
      </c>
      <c r="K1730" s="68" t="b">
        <v>1</v>
      </c>
    </row>
    <row r="1731">
      <c r="A1731" s="75">
        <v>1725.0</v>
      </c>
      <c r="B1731" s="62" t="s">
        <v>755</v>
      </c>
      <c r="C1731" s="62" t="s">
        <v>90</v>
      </c>
      <c r="D1731" s="62" t="s">
        <v>1121</v>
      </c>
      <c r="E1731" s="76">
        <v>44120.0</v>
      </c>
      <c r="F1731" s="77">
        <v>0.020833333333333332</v>
      </c>
      <c r="G1731" s="62" t="b">
        <v>1</v>
      </c>
      <c r="H1731" s="78" t="b">
        <f>IF(VLOOKUP(C1731,Projetos!A:L,12,false)=TRUE,TRUE,FALSE)</f>
        <v>1</v>
      </c>
      <c r="I1731" s="68">
        <v>24.08756076238576</v>
      </c>
      <c r="J1731" s="68">
        <f t="shared" si="1"/>
        <v>12.04378038</v>
      </c>
      <c r="K1731" s="68" t="b">
        <v>1</v>
      </c>
    </row>
    <row r="1732">
      <c r="A1732" s="75">
        <v>1726.0</v>
      </c>
      <c r="B1732" s="62" t="s">
        <v>755</v>
      </c>
      <c r="C1732" s="62" t="s">
        <v>90</v>
      </c>
      <c r="D1732" s="62" t="s">
        <v>1122</v>
      </c>
      <c r="E1732" s="76">
        <v>44120.0</v>
      </c>
      <c r="F1732" s="77">
        <v>0.020833333333333332</v>
      </c>
      <c r="G1732" s="62" t="b">
        <v>1</v>
      </c>
      <c r="H1732" s="78" t="b">
        <f>IF(VLOOKUP(C1732,Projetos!A:L,12,false)=TRUE,TRUE,FALSE)</f>
        <v>1</v>
      </c>
      <c r="I1732" s="68">
        <v>24.08756076238576</v>
      </c>
      <c r="J1732" s="68">
        <f t="shared" si="1"/>
        <v>12.04378038</v>
      </c>
      <c r="K1732" s="68" t="b">
        <v>1</v>
      </c>
    </row>
    <row r="1733">
      <c r="A1733" s="75">
        <v>1727.0</v>
      </c>
      <c r="B1733" s="62" t="s">
        <v>755</v>
      </c>
      <c r="C1733" s="62" t="s">
        <v>98</v>
      </c>
      <c r="D1733" s="62" t="s">
        <v>1123</v>
      </c>
      <c r="E1733" s="76">
        <v>44123.0</v>
      </c>
      <c r="F1733" s="77">
        <v>0.16666666666666666</v>
      </c>
      <c r="G1733" s="62" t="b">
        <v>1</v>
      </c>
      <c r="H1733" s="78" t="b">
        <f>IF(VLOOKUP(C1733,Projetos!A:L,12,false)=TRUE,TRUE,FALSE)</f>
        <v>1</v>
      </c>
      <c r="I1733" s="68">
        <v>24.08756076238576</v>
      </c>
      <c r="J1733" s="68">
        <f t="shared" si="1"/>
        <v>96.35024305</v>
      </c>
      <c r="K1733" s="68" t="b">
        <v>1</v>
      </c>
    </row>
    <row r="1734" hidden="1">
      <c r="A1734" s="75">
        <v>1728.0</v>
      </c>
      <c r="B1734" s="62" t="s">
        <v>755</v>
      </c>
      <c r="C1734" s="62" t="s">
        <v>104</v>
      </c>
      <c r="D1734" s="62" t="s">
        <v>1124</v>
      </c>
      <c r="E1734" s="76">
        <v>44123.0</v>
      </c>
      <c r="F1734" s="77">
        <v>0.08333333333333333</v>
      </c>
      <c r="G1734" s="62" t="b">
        <v>0</v>
      </c>
      <c r="H1734" s="78" t="b">
        <f>IF(VLOOKUP(C1734,Projetos!A:L,12,false)=TRUE,TRUE,FALSE)</f>
        <v>1</v>
      </c>
      <c r="I1734" s="68">
        <v>24.08756076238576</v>
      </c>
      <c r="J1734" s="68">
        <f t="shared" si="1"/>
        <v>0</v>
      </c>
      <c r="K1734" s="68" t="b">
        <v>1</v>
      </c>
    </row>
    <row r="1735">
      <c r="A1735" s="75">
        <v>1729.0</v>
      </c>
      <c r="B1735" s="62" t="s">
        <v>755</v>
      </c>
      <c r="C1735" s="62" t="s">
        <v>90</v>
      </c>
      <c r="D1735" s="62" t="s">
        <v>874</v>
      </c>
      <c r="E1735" s="76">
        <v>44124.0</v>
      </c>
      <c r="F1735" s="77">
        <v>0.020833333333333332</v>
      </c>
      <c r="G1735" s="62" t="b">
        <v>1</v>
      </c>
      <c r="H1735" s="78" t="b">
        <f>IF(VLOOKUP(C1735,Projetos!A:L,12,false)=TRUE,TRUE,FALSE)</f>
        <v>1</v>
      </c>
      <c r="I1735" s="68">
        <v>24.08756076238576</v>
      </c>
      <c r="J1735" s="68">
        <f t="shared" si="1"/>
        <v>12.04378038</v>
      </c>
      <c r="K1735" s="68" t="b">
        <v>1</v>
      </c>
    </row>
    <row r="1736" hidden="1">
      <c r="A1736" s="75">
        <v>1730.0</v>
      </c>
      <c r="B1736" s="62" t="s">
        <v>755</v>
      </c>
      <c r="C1736" s="62" t="s">
        <v>109</v>
      </c>
      <c r="D1736" s="62" t="s">
        <v>1125</v>
      </c>
      <c r="E1736" s="76">
        <v>44124.0</v>
      </c>
      <c r="F1736" s="77">
        <v>0.041666666666666664</v>
      </c>
      <c r="G1736" s="62" t="b">
        <v>0</v>
      </c>
      <c r="H1736" s="78" t="b">
        <f>IF(VLOOKUP(C1736,Projetos!A:L,12,false)=TRUE,TRUE,FALSE)</f>
        <v>0</v>
      </c>
      <c r="I1736" s="68">
        <v>24.08756076238576</v>
      </c>
      <c r="J1736" s="68">
        <f t="shared" si="1"/>
        <v>0</v>
      </c>
      <c r="K1736" s="68" t="b">
        <v>0</v>
      </c>
    </row>
    <row r="1737">
      <c r="A1737" s="75">
        <v>1731.0</v>
      </c>
      <c r="B1737" s="62" t="s">
        <v>755</v>
      </c>
      <c r="C1737" s="62" t="s">
        <v>100</v>
      </c>
      <c r="D1737" s="62" t="s">
        <v>1126</v>
      </c>
      <c r="E1737" s="76">
        <v>44125.0</v>
      </c>
      <c r="F1737" s="77">
        <v>0.375</v>
      </c>
      <c r="G1737" s="62" t="b">
        <v>1</v>
      </c>
      <c r="H1737" s="78" t="b">
        <f>IF(VLOOKUP(C1737,Projetos!A:L,12,false)=TRUE,TRUE,FALSE)</f>
        <v>1</v>
      </c>
      <c r="I1737" s="68">
        <v>24.08756076238576</v>
      </c>
      <c r="J1737" s="68">
        <f t="shared" si="1"/>
        <v>216.7880469</v>
      </c>
      <c r="K1737" s="68" t="b">
        <v>1</v>
      </c>
    </row>
    <row r="1738">
      <c r="A1738" s="75">
        <v>1732.0</v>
      </c>
      <c r="B1738" s="62" t="s">
        <v>755</v>
      </c>
      <c r="C1738" s="62" t="s">
        <v>100</v>
      </c>
      <c r="D1738" s="62" t="s">
        <v>1126</v>
      </c>
      <c r="E1738" s="76">
        <v>44126.0</v>
      </c>
      <c r="F1738" s="77">
        <v>0.375</v>
      </c>
      <c r="G1738" s="62" t="b">
        <v>1</v>
      </c>
      <c r="H1738" s="78" t="b">
        <f>IF(VLOOKUP(C1738,Projetos!A:L,12,false)=TRUE,TRUE,FALSE)</f>
        <v>1</v>
      </c>
      <c r="I1738" s="68">
        <v>24.08756076238576</v>
      </c>
      <c r="J1738" s="68">
        <f t="shared" si="1"/>
        <v>216.7880469</v>
      </c>
      <c r="K1738" s="68" t="b">
        <v>1</v>
      </c>
    </row>
    <row r="1739">
      <c r="A1739" s="75">
        <v>1733.0</v>
      </c>
      <c r="B1739" s="62" t="s">
        <v>755</v>
      </c>
      <c r="C1739" s="62" t="s">
        <v>98</v>
      </c>
      <c r="D1739" s="62" t="s">
        <v>1120</v>
      </c>
      <c r="E1739" s="76">
        <v>44127.0</v>
      </c>
      <c r="F1739" s="77">
        <v>0.010416666666666666</v>
      </c>
      <c r="G1739" s="62" t="b">
        <v>1</v>
      </c>
      <c r="H1739" s="78" t="b">
        <f>IF(VLOOKUP(C1739,Projetos!A:L,12,false)=TRUE,TRUE,FALSE)</f>
        <v>1</v>
      </c>
      <c r="I1739" s="68">
        <v>24.08756076238576</v>
      </c>
      <c r="J1739" s="68">
        <f t="shared" si="1"/>
        <v>6.021890191</v>
      </c>
      <c r="K1739" s="68" t="b">
        <v>1</v>
      </c>
    </row>
    <row r="1740">
      <c r="A1740" s="75">
        <v>1734.0</v>
      </c>
      <c r="B1740" s="62" t="s">
        <v>755</v>
      </c>
      <c r="C1740" s="62" t="s">
        <v>90</v>
      </c>
      <c r="D1740" s="62" t="s">
        <v>1127</v>
      </c>
      <c r="E1740" s="76">
        <v>44127.0</v>
      </c>
      <c r="F1740" s="77">
        <v>0.03125</v>
      </c>
      <c r="G1740" s="62" t="b">
        <v>1</v>
      </c>
      <c r="H1740" s="78" t="b">
        <f>IF(VLOOKUP(C1740,Projetos!A:L,12,false)=TRUE,TRUE,FALSE)</f>
        <v>1</v>
      </c>
      <c r="I1740" s="68">
        <v>24.08756076238576</v>
      </c>
      <c r="J1740" s="68">
        <f t="shared" si="1"/>
        <v>18.06567057</v>
      </c>
      <c r="K1740" s="68" t="b">
        <v>1</v>
      </c>
    </row>
    <row r="1741">
      <c r="A1741" s="75">
        <v>1735.0</v>
      </c>
      <c r="B1741" s="62" t="s">
        <v>755</v>
      </c>
      <c r="C1741" s="62" t="s">
        <v>98</v>
      </c>
      <c r="D1741" s="62" t="s">
        <v>1128</v>
      </c>
      <c r="E1741" s="76">
        <v>44130.0</v>
      </c>
      <c r="F1741" s="77">
        <v>0.041666666666666664</v>
      </c>
      <c r="G1741" s="62" t="b">
        <v>1</v>
      </c>
      <c r="H1741" s="78" t="b">
        <f>IF(VLOOKUP(C1741,Projetos!A:L,12,false)=TRUE,TRUE,FALSE)</f>
        <v>1</v>
      </c>
      <c r="I1741" s="68">
        <v>24.08756076238576</v>
      </c>
      <c r="J1741" s="68">
        <f t="shared" si="1"/>
        <v>24.08756076</v>
      </c>
      <c r="K1741" s="68" t="b">
        <v>1</v>
      </c>
    </row>
    <row r="1742">
      <c r="A1742" s="75">
        <v>1736.0</v>
      </c>
      <c r="B1742" s="62" t="s">
        <v>755</v>
      </c>
      <c r="C1742" s="62" t="s">
        <v>110</v>
      </c>
      <c r="D1742" s="62" t="s">
        <v>1129</v>
      </c>
      <c r="E1742" s="76">
        <v>44130.0</v>
      </c>
      <c r="F1742" s="77">
        <v>0.010416666666666666</v>
      </c>
      <c r="G1742" s="62" t="b">
        <v>1</v>
      </c>
      <c r="H1742" s="78" t="b">
        <f>IF(VLOOKUP(C1742,Projetos!A:L,12,false)=TRUE,TRUE,FALSE)</f>
        <v>1</v>
      </c>
      <c r="I1742" s="68">
        <v>24.08756076238576</v>
      </c>
      <c r="J1742" s="68">
        <f t="shared" si="1"/>
        <v>6.021890191</v>
      </c>
      <c r="K1742" s="68" t="b">
        <v>1</v>
      </c>
    </row>
    <row r="1743">
      <c r="A1743" s="75">
        <v>1737.0</v>
      </c>
      <c r="B1743" s="62" t="s">
        <v>755</v>
      </c>
      <c r="C1743" s="62" t="s">
        <v>90</v>
      </c>
      <c r="D1743" s="62" t="s">
        <v>874</v>
      </c>
      <c r="E1743" s="76">
        <v>44130.0</v>
      </c>
      <c r="F1743" s="77">
        <v>0.020833333333333332</v>
      </c>
      <c r="G1743" s="62" t="b">
        <v>1</v>
      </c>
      <c r="H1743" s="78" t="b">
        <f>IF(VLOOKUP(C1743,Projetos!A:L,12,false)=TRUE,TRUE,FALSE)</f>
        <v>1</v>
      </c>
      <c r="I1743" s="68">
        <v>24.08756076238576</v>
      </c>
      <c r="J1743" s="68">
        <f t="shared" si="1"/>
        <v>12.04378038</v>
      </c>
      <c r="K1743" s="68" t="b">
        <v>1</v>
      </c>
    </row>
    <row r="1744">
      <c r="A1744" s="75">
        <v>1738.0</v>
      </c>
      <c r="B1744" s="62" t="s">
        <v>755</v>
      </c>
      <c r="C1744" s="62" t="s">
        <v>90</v>
      </c>
      <c r="D1744" s="62" t="s">
        <v>1130</v>
      </c>
      <c r="E1744" s="76">
        <v>44130.0</v>
      </c>
      <c r="F1744" s="77">
        <v>0.03125</v>
      </c>
      <c r="G1744" s="62" t="b">
        <v>1</v>
      </c>
      <c r="H1744" s="78" t="b">
        <f>IF(VLOOKUP(C1744,Projetos!A:L,12,false)=TRUE,TRUE,FALSE)</f>
        <v>1</v>
      </c>
      <c r="I1744" s="68">
        <v>24.08756076238576</v>
      </c>
      <c r="J1744" s="68">
        <f t="shared" si="1"/>
        <v>18.06567057</v>
      </c>
      <c r="K1744" s="68" t="b">
        <v>1</v>
      </c>
    </row>
    <row r="1745">
      <c r="A1745" s="75">
        <v>1739.0</v>
      </c>
      <c r="B1745" s="62" t="s">
        <v>755</v>
      </c>
      <c r="C1745" s="62" t="s">
        <v>90</v>
      </c>
      <c r="D1745" s="62" t="s">
        <v>874</v>
      </c>
      <c r="E1745" s="76">
        <v>44131.0</v>
      </c>
      <c r="F1745" s="77">
        <v>0.020833333333333332</v>
      </c>
      <c r="G1745" s="62" t="b">
        <v>1</v>
      </c>
      <c r="H1745" s="78" t="b">
        <f>IF(VLOOKUP(C1745,Projetos!A:L,12,false)=TRUE,TRUE,FALSE)</f>
        <v>1</v>
      </c>
      <c r="I1745" s="68">
        <v>24.08756076238576</v>
      </c>
      <c r="J1745" s="68">
        <f t="shared" si="1"/>
        <v>12.04378038</v>
      </c>
      <c r="K1745" s="68" t="b">
        <v>1</v>
      </c>
    </row>
    <row r="1746" hidden="1">
      <c r="A1746" s="75">
        <v>1740.0</v>
      </c>
      <c r="B1746" s="62" t="s">
        <v>755</v>
      </c>
      <c r="C1746" s="62" t="s">
        <v>109</v>
      </c>
      <c r="D1746" s="62" t="s">
        <v>1131</v>
      </c>
      <c r="E1746" s="76">
        <v>44131.0</v>
      </c>
      <c r="F1746" s="77">
        <v>0.08333333333333333</v>
      </c>
      <c r="G1746" s="62" t="b">
        <v>0</v>
      </c>
      <c r="H1746" s="78" t="b">
        <f>IF(VLOOKUP(C1746,Projetos!A:L,12,false)=TRUE,TRUE,FALSE)</f>
        <v>0</v>
      </c>
      <c r="I1746" s="68">
        <v>24.08756076238576</v>
      </c>
      <c r="J1746" s="68">
        <f t="shared" si="1"/>
        <v>0</v>
      </c>
      <c r="K1746" s="68" t="b">
        <v>0</v>
      </c>
    </row>
    <row r="1747">
      <c r="A1747" s="75">
        <v>1741.0</v>
      </c>
      <c r="B1747" s="62" t="s">
        <v>755</v>
      </c>
      <c r="C1747" s="62" t="s">
        <v>97</v>
      </c>
      <c r="D1747" s="62" t="s">
        <v>1132</v>
      </c>
      <c r="E1747" s="76">
        <v>44132.0</v>
      </c>
      <c r="F1747" s="77">
        <v>0.0625</v>
      </c>
      <c r="G1747" s="62" t="b">
        <v>1</v>
      </c>
      <c r="H1747" s="78" t="b">
        <f>IF(VLOOKUP(C1747,Projetos!A:L,12,false)=TRUE,TRUE,FALSE)</f>
        <v>1</v>
      </c>
      <c r="I1747" s="68">
        <v>24.08756076238576</v>
      </c>
      <c r="J1747" s="68">
        <f t="shared" si="1"/>
        <v>36.13134114</v>
      </c>
      <c r="K1747" s="68" t="b">
        <v>1</v>
      </c>
    </row>
    <row r="1748">
      <c r="A1748" s="75">
        <v>1742.0</v>
      </c>
      <c r="B1748" s="62" t="s">
        <v>755</v>
      </c>
      <c r="C1748" s="62" t="s">
        <v>90</v>
      </c>
      <c r="D1748" s="62" t="s">
        <v>1133</v>
      </c>
      <c r="E1748" s="76">
        <v>44132.0</v>
      </c>
      <c r="F1748" s="77">
        <v>0.020833333333333332</v>
      </c>
      <c r="G1748" s="62" t="b">
        <v>1</v>
      </c>
      <c r="H1748" s="78" t="b">
        <f>IF(VLOOKUP(C1748,Projetos!A:L,12,false)=TRUE,TRUE,FALSE)</f>
        <v>1</v>
      </c>
      <c r="I1748" s="68">
        <v>24.08756076238576</v>
      </c>
      <c r="J1748" s="68">
        <f t="shared" si="1"/>
        <v>12.04378038</v>
      </c>
      <c r="K1748" s="68" t="b">
        <v>1</v>
      </c>
    </row>
    <row r="1749">
      <c r="A1749" s="75">
        <v>1743.0</v>
      </c>
      <c r="B1749" s="62" t="s">
        <v>755</v>
      </c>
      <c r="C1749" s="62" t="s">
        <v>98</v>
      </c>
      <c r="D1749" s="62" t="s">
        <v>1134</v>
      </c>
      <c r="E1749" s="76">
        <v>44132.0</v>
      </c>
      <c r="F1749" s="77">
        <v>0.041666666666666664</v>
      </c>
      <c r="G1749" s="62" t="b">
        <v>1</v>
      </c>
      <c r="H1749" s="78" t="b">
        <f>IF(VLOOKUP(C1749,Projetos!A:L,12,false)=TRUE,TRUE,FALSE)</f>
        <v>1</v>
      </c>
      <c r="I1749" s="68">
        <v>24.08756076238576</v>
      </c>
      <c r="J1749" s="68">
        <f t="shared" si="1"/>
        <v>24.08756076</v>
      </c>
      <c r="K1749" s="68" t="b">
        <v>1</v>
      </c>
    </row>
    <row r="1750" hidden="1">
      <c r="A1750" s="75">
        <v>1744.0</v>
      </c>
      <c r="B1750" s="62" t="s">
        <v>755</v>
      </c>
      <c r="C1750" s="62" t="s">
        <v>102</v>
      </c>
      <c r="D1750" s="62" t="s">
        <v>1135</v>
      </c>
      <c r="E1750" s="76">
        <v>44132.0</v>
      </c>
      <c r="F1750" s="77">
        <v>0.08333333333333333</v>
      </c>
      <c r="G1750" s="62" t="b">
        <v>0</v>
      </c>
      <c r="H1750" s="78" t="b">
        <f>IF(VLOOKUP(C1750,Projetos!A:L,12,false)=TRUE,TRUE,FALSE)</f>
        <v>0</v>
      </c>
      <c r="I1750" s="68">
        <v>24.08756076238576</v>
      </c>
      <c r="J1750" s="68">
        <f t="shared" si="1"/>
        <v>0</v>
      </c>
      <c r="K1750" s="68" t="b">
        <v>0</v>
      </c>
    </row>
    <row r="1751">
      <c r="A1751" s="75">
        <v>1745.0</v>
      </c>
      <c r="B1751" s="62" t="s">
        <v>755</v>
      </c>
      <c r="C1751" s="62" t="s">
        <v>90</v>
      </c>
      <c r="D1751" s="62" t="s">
        <v>874</v>
      </c>
      <c r="E1751" s="76">
        <v>44133.0</v>
      </c>
      <c r="F1751" s="77">
        <v>0.041666666666666664</v>
      </c>
      <c r="G1751" s="62" t="b">
        <v>1</v>
      </c>
      <c r="H1751" s="78" t="b">
        <f>IF(VLOOKUP(C1751,Projetos!A:L,12,false)=TRUE,TRUE,FALSE)</f>
        <v>1</v>
      </c>
      <c r="I1751" s="68">
        <v>24.08756076238576</v>
      </c>
      <c r="J1751" s="68">
        <f t="shared" si="1"/>
        <v>24.08756076</v>
      </c>
      <c r="K1751" s="68" t="b">
        <v>1</v>
      </c>
    </row>
    <row r="1752" hidden="1">
      <c r="A1752" s="75">
        <v>1746.0</v>
      </c>
      <c r="B1752" s="62" t="s">
        <v>755</v>
      </c>
      <c r="C1752" s="62" t="s">
        <v>104</v>
      </c>
      <c r="D1752" s="62" t="s">
        <v>1136</v>
      </c>
      <c r="E1752" s="76">
        <v>44133.0</v>
      </c>
      <c r="F1752" s="77">
        <v>0.08333333333333333</v>
      </c>
      <c r="G1752" s="62" t="b">
        <v>0</v>
      </c>
      <c r="H1752" s="78" t="b">
        <f>IF(VLOOKUP(C1752,Projetos!A:L,12,false)=TRUE,TRUE,FALSE)</f>
        <v>1</v>
      </c>
      <c r="I1752" s="68">
        <v>24.08756076238576</v>
      </c>
      <c r="J1752" s="68">
        <f t="shared" si="1"/>
        <v>0</v>
      </c>
      <c r="K1752" s="68" t="b">
        <v>1</v>
      </c>
    </row>
    <row r="1753" hidden="1">
      <c r="A1753" s="75">
        <v>1747.0</v>
      </c>
      <c r="B1753" s="62" t="s">
        <v>755</v>
      </c>
      <c r="C1753" s="62" t="s">
        <v>109</v>
      </c>
      <c r="D1753" s="62" t="s">
        <v>1137</v>
      </c>
      <c r="E1753" s="76">
        <v>44134.0</v>
      </c>
      <c r="F1753" s="77">
        <v>0.041666666666666664</v>
      </c>
      <c r="G1753" s="62" t="b">
        <v>0</v>
      </c>
      <c r="H1753" s="78" t="b">
        <f>IF(VLOOKUP(C1753,Projetos!A:L,12,false)=TRUE,TRUE,FALSE)</f>
        <v>0</v>
      </c>
      <c r="I1753" s="68">
        <v>24.08756076238576</v>
      </c>
      <c r="J1753" s="68">
        <f t="shared" si="1"/>
        <v>0</v>
      </c>
      <c r="K1753" s="68" t="b">
        <v>0</v>
      </c>
    </row>
    <row r="1754" hidden="1">
      <c r="A1754" s="75">
        <v>1748.0</v>
      </c>
      <c r="B1754" s="62" t="s">
        <v>755</v>
      </c>
      <c r="C1754" s="62" t="s">
        <v>109</v>
      </c>
      <c r="D1754" s="62" t="s">
        <v>1138</v>
      </c>
      <c r="E1754" s="76">
        <v>44134.0</v>
      </c>
      <c r="F1754" s="77">
        <v>0.010416666666666666</v>
      </c>
      <c r="G1754" s="62" t="b">
        <v>0</v>
      </c>
      <c r="H1754" s="78" t="b">
        <f>IF(VLOOKUP(C1754,Projetos!A:L,12,false)=TRUE,TRUE,FALSE)</f>
        <v>0</v>
      </c>
      <c r="I1754" s="68">
        <v>24.08756076238576</v>
      </c>
      <c r="J1754" s="68">
        <f t="shared" si="1"/>
        <v>0</v>
      </c>
      <c r="K1754" s="68" t="b">
        <v>0</v>
      </c>
    </row>
    <row r="1755">
      <c r="A1755" s="75">
        <v>1749.0</v>
      </c>
      <c r="B1755" s="62" t="s">
        <v>755</v>
      </c>
      <c r="C1755" s="62" t="s">
        <v>98</v>
      </c>
      <c r="D1755" s="62" t="s">
        <v>1120</v>
      </c>
      <c r="E1755" s="76">
        <v>44134.0</v>
      </c>
      <c r="F1755" s="77">
        <v>0.03125</v>
      </c>
      <c r="G1755" s="62" t="b">
        <v>1</v>
      </c>
      <c r="H1755" s="78" t="b">
        <f>IF(VLOOKUP(C1755,Projetos!A:L,12,false)=TRUE,TRUE,FALSE)</f>
        <v>1</v>
      </c>
      <c r="I1755" s="68">
        <v>24.08756076238576</v>
      </c>
      <c r="J1755" s="68">
        <f t="shared" si="1"/>
        <v>18.06567057</v>
      </c>
      <c r="K1755" s="68" t="b">
        <v>1</v>
      </c>
    </row>
    <row r="1756">
      <c r="A1756" s="75">
        <v>1750.0</v>
      </c>
      <c r="B1756" s="62" t="s">
        <v>755</v>
      </c>
      <c r="C1756" s="62" t="s">
        <v>90</v>
      </c>
      <c r="D1756" s="62" t="s">
        <v>1139</v>
      </c>
      <c r="E1756" s="76">
        <v>44134.0</v>
      </c>
      <c r="F1756" s="77">
        <v>0.03125</v>
      </c>
      <c r="G1756" s="62" t="b">
        <v>1</v>
      </c>
      <c r="H1756" s="78" t="b">
        <f>IF(VLOOKUP(C1756,Projetos!A:L,12,false)=TRUE,TRUE,FALSE)</f>
        <v>1</v>
      </c>
      <c r="I1756" s="68">
        <v>24.08756076238576</v>
      </c>
      <c r="J1756" s="68">
        <f t="shared" si="1"/>
        <v>18.06567057</v>
      </c>
      <c r="K1756" s="68" t="b">
        <v>1</v>
      </c>
    </row>
    <row r="1757" hidden="1">
      <c r="A1757" s="75">
        <v>1751.0</v>
      </c>
      <c r="B1757" s="62" t="s">
        <v>755</v>
      </c>
      <c r="C1757" s="62" t="s">
        <v>102</v>
      </c>
      <c r="D1757" s="62" t="s">
        <v>1140</v>
      </c>
      <c r="E1757" s="76">
        <v>44138.0</v>
      </c>
      <c r="F1757" s="77">
        <v>0.041666666666666664</v>
      </c>
      <c r="G1757" s="62" t="b">
        <v>0</v>
      </c>
      <c r="H1757" s="78" t="b">
        <f>IF(VLOOKUP(C1757,Projetos!A:L,12,false)=TRUE,TRUE,FALSE)</f>
        <v>0</v>
      </c>
      <c r="I1757" s="68">
        <v>23.36976525769054</v>
      </c>
      <c r="J1757" s="68">
        <f t="shared" si="1"/>
        <v>0</v>
      </c>
      <c r="K1757" s="68" t="b">
        <v>0</v>
      </c>
    </row>
    <row r="1758">
      <c r="A1758" s="75">
        <v>1752.0</v>
      </c>
      <c r="B1758" s="62" t="s">
        <v>755</v>
      </c>
      <c r="C1758" s="62" t="s">
        <v>104</v>
      </c>
      <c r="D1758" s="62" t="s">
        <v>1141</v>
      </c>
      <c r="E1758" s="76">
        <v>44138.0</v>
      </c>
      <c r="F1758" s="77">
        <v>0.041666666666666664</v>
      </c>
      <c r="G1758" s="62" t="b">
        <v>1</v>
      </c>
      <c r="H1758" s="78" t="b">
        <f>IF(VLOOKUP(C1758,Projetos!A:L,12,false)=TRUE,TRUE,FALSE)</f>
        <v>1</v>
      </c>
      <c r="I1758" s="68">
        <v>23.36976525769054</v>
      </c>
      <c r="J1758" s="68">
        <f t="shared" si="1"/>
        <v>23.36976526</v>
      </c>
      <c r="K1758" s="68" t="b">
        <v>1</v>
      </c>
    </row>
    <row r="1759">
      <c r="A1759" s="75">
        <v>1753.0</v>
      </c>
      <c r="B1759" s="62" t="s">
        <v>755</v>
      </c>
      <c r="C1759" s="62" t="s">
        <v>90</v>
      </c>
      <c r="D1759" s="62" t="s">
        <v>1142</v>
      </c>
      <c r="E1759" s="76">
        <v>44139.0</v>
      </c>
      <c r="F1759" s="77">
        <v>0.020833333333333332</v>
      </c>
      <c r="G1759" s="62" t="b">
        <v>1</v>
      </c>
      <c r="H1759" s="78" t="b">
        <f>IF(VLOOKUP(C1759,Projetos!A:L,12,false)=TRUE,TRUE,FALSE)</f>
        <v>1</v>
      </c>
      <c r="I1759" s="68">
        <v>23.36976525769054</v>
      </c>
      <c r="J1759" s="68">
        <f t="shared" si="1"/>
        <v>11.68488263</v>
      </c>
      <c r="K1759" s="68" t="b">
        <v>1</v>
      </c>
    </row>
    <row r="1760">
      <c r="A1760" s="75">
        <v>1754.0</v>
      </c>
      <c r="B1760" s="62" t="s">
        <v>755</v>
      </c>
      <c r="C1760" s="62" t="s">
        <v>90</v>
      </c>
      <c r="D1760" s="62" t="s">
        <v>1143</v>
      </c>
      <c r="E1760" s="76">
        <v>44139.0</v>
      </c>
      <c r="F1760" s="77">
        <v>0.020833333333333332</v>
      </c>
      <c r="G1760" s="62" t="b">
        <v>1</v>
      </c>
      <c r="H1760" s="78" t="b">
        <f>IF(VLOOKUP(C1760,Projetos!A:L,12,false)=TRUE,TRUE,FALSE)</f>
        <v>1</v>
      </c>
      <c r="I1760" s="68">
        <v>23.36976525769054</v>
      </c>
      <c r="J1760" s="68">
        <f t="shared" si="1"/>
        <v>11.68488263</v>
      </c>
      <c r="K1760" s="68" t="b">
        <v>1</v>
      </c>
    </row>
    <row r="1761">
      <c r="A1761" s="75">
        <v>1755.0</v>
      </c>
      <c r="B1761" s="62" t="s">
        <v>755</v>
      </c>
      <c r="C1761" s="62" t="s">
        <v>104</v>
      </c>
      <c r="D1761" s="62" t="s">
        <v>1144</v>
      </c>
      <c r="E1761" s="76">
        <v>44139.0</v>
      </c>
      <c r="F1761" s="77">
        <v>0.0625</v>
      </c>
      <c r="G1761" s="62" t="b">
        <v>1</v>
      </c>
      <c r="H1761" s="78" t="b">
        <f>IF(VLOOKUP(C1761,Projetos!A:L,12,false)=TRUE,TRUE,FALSE)</f>
        <v>1</v>
      </c>
      <c r="I1761" s="68">
        <v>23.36976525769054</v>
      </c>
      <c r="J1761" s="68">
        <f t="shared" si="1"/>
        <v>35.05464789</v>
      </c>
      <c r="K1761" s="68" t="b">
        <v>1</v>
      </c>
    </row>
    <row r="1762" hidden="1">
      <c r="A1762" s="75">
        <v>1756.0</v>
      </c>
      <c r="B1762" s="62" t="s">
        <v>755</v>
      </c>
      <c r="C1762" s="62" t="s">
        <v>109</v>
      </c>
      <c r="D1762" s="62" t="s">
        <v>1145</v>
      </c>
      <c r="E1762" s="76">
        <v>44141.0</v>
      </c>
      <c r="F1762" s="77">
        <v>0.0625</v>
      </c>
      <c r="G1762" s="62" t="b">
        <v>0</v>
      </c>
      <c r="H1762" s="78" t="b">
        <f>IF(VLOOKUP(C1762,Projetos!A:L,12,false)=TRUE,TRUE,FALSE)</f>
        <v>0</v>
      </c>
      <c r="I1762" s="68">
        <v>23.36976525769054</v>
      </c>
      <c r="J1762" s="68">
        <f t="shared" si="1"/>
        <v>0</v>
      </c>
      <c r="K1762" s="68" t="b">
        <v>0</v>
      </c>
    </row>
    <row r="1763">
      <c r="A1763" s="75">
        <v>1757.0</v>
      </c>
      <c r="B1763" s="62" t="s">
        <v>755</v>
      </c>
      <c r="C1763" s="62" t="s">
        <v>90</v>
      </c>
      <c r="D1763" s="62" t="s">
        <v>1146</v>
      </c>
      <c r="E1763" s="76">
        <v>44141.0</v>
      </c>
      <c r="F1763" s="77">
        <v>0.125</v>
      </c>
      <c r="G1763" s="62" t="b">
        <v>1</v>
      </c>
      <c r="H1763" s="78" t="b">
        <f>IF(VLOOKUP(C1763,Projetos!A:L,12,false)=TRUE,TRUE,FALSE)</f>
        <v>1</v>
      </c>
      <c r="I1763" s="68">
        <v>23.36976525769054</v>
      </c>
      <c r="J1763" s="68">
        <f t="shared" si="1"/>
        <v>70.10929577</v>
      </c>
      <c r="K1763" s="68" t="b">
        <v>1</v>
      </c>
    </row>
    <row r="1764">
      <c r="A1764" s="75">
        <v>1758.0</v>
      </c>
      <c r="B1764" s="62" t="s">
        <v>755</v>
      </c>
      <c r="C1764" s="62" t="s">
        <v>90</v>
      </c>
      <c r="D1764" s="62" t="s">
        <v>1147</v>
      </c>
      <c r="E1764" s="76">
        <v>44141.0</v>
      </c>
      <c r="F1764" s="77">
        <v>0.08333333333333333</v>
      </c>
      <c r="G1764" s="62" t="b">
        <v>1</v>
      </c>
      <c r="H1764" s="78" t="b">
        <f>IF(VLOOKUP(C1764,Projetos!A:L,12,false)=TRUE,TRUE,FALSE)</f>
        <v>1</v>
      </c>
      <c r="I1764" s="68">
        <v>23.36976525769054</v>
      </c>
      <c r="J1764" s="68">
        <f t="shared" si="1"/>
        <v>46.73953052</v>
      </c>
      <c r="K1764" s="68" t="b">
        <v>1</v>
      </c>
    </row>
    <row r="1765" hidden="1">
      <c r="A1765" s="75">
        <v>1759.0</v>
      </c>
      <c r="B1765" s="62" t="s">
        <v>755</v>
      </c>
      <c r="C1765" s="62" t="s">
        <v>109</v>
      </c>
      <c r="D1765" s="62" t="s">
        <v>1148</v>
      </c>
      <c r="E1765" s="76">
        <v>44141.0</v>
      </c>
      <c r="F1765" s="77">
        <v>0.0625</v>
      </c>
      <c r="G1765" s="62" t="b">
        <v>0</v>
      </c>
      <c r="H1765" s="78" t="b">
        <f>IF(VLOOKUP(C1765,Projetos!A:L,12,false)=TRUE,TRUE,FALSE)</f>
        <v>0</v>
      </c>
      <c r="I1765" s="68">
        <v>23.36976525769054</v>
      </c>
      <c r="J1765" s="68">
        <f t="shared" si="1"/>
        <v>0</v>
      </c>
      <c r="K1765" s="68" t="b">
        <v>0</v>
      </c>
    </row>
    <row r="1766">
      <c r="A1766" s="75">
        <v>1760.0</v>
      </c>
      <c r="B1766" s="62" t="s">
        <v>755</v>
      </c>
      <c r="C1766" s="62" t="s">
        <v>90</v>
      </c>
      <c r="D1766" s="62" t="s">
        <v>874</v>
      </c>
      <c r="E1766" s="76">
        <v>44144.0</v>
      </c>
      <c r="F1766" s="77">
        <v>0.041666666666666664</v>
      </c>
      <c r="G1766" s="62" t="b">
        <v>1</v>
      </c>
      <c r="H1766" s="78" t="b">
        <f>IF(VLOOKUP(C1766,Projetos!A:L,12,false)=TRUE,TRUE,FALSE)</f>
        <v>1</v>
      </c>
      <c r="I1766" s="68">
        <v>23.36976525769054</v>
      </c>
      <c r="J1766" s="68">
        <f t="shared" si="1"/>
        <v>23.36976526</v>
      </c>
      <c r="K1766" s="68" t="b">
        <v>1</v>
      </c>
    </row>
    <row r="1767">
      <c r="A1767" s="75">
        <v>1761.0</v>
      </c>
      <c r="B1767" s="62" t="s">
        <v>755</v>
      </c>
      <c r="C1767" s="62" t="s">
        <v>98</v>
      </c>
      <c r="D1767" s="62" t="s">
        <v>1149</v>
      </c>
      <c r="E1767" s="76">
        <v>44144.0</v>
      </c>
      <c r="F1767" s="77">
        <v>0.20833333333333334</v>
      </c>
      <c r="G1767" s="62" t="b">
        <v>1</v>
      </c>
      <c r="H1767" s="78" t="b">
        <f>IF(VLOOKUP(C1767,Projetos!A:L,12,false)=TRUE,TRUE,FALSE)</f>
        <v>1</v>
      </c>
      <c r="I1767" s="68">
        <v>23.36976525769054</v>
      </c>
      <c r="J1767" s="68">
        <f t="shared" si="1"/>
        <v>116.8488263</v>
      </c>
      <c r="K1767" s="68" t="b">
        <v>1</v>
      </c>
    </row>
    <row r="1768">
      <c r="A1768" s="75">
        <v>1762.0</v>
      </c>
      <c r="B1768" s="62" t="s">
        <v>755</v>
      </c>
      <c r="C1768" s="62" t="s">
        <v>90</v>
      </c>
      <c r="D1768" s="62" t="s">
        <v>874</v>
      </c>
      <c r="E1768" s="76">
        <v>44145.0</v>
      </c>
      <c r="F1768" s="77">
        <v>0.041666666666666664</v>
      </c>
      <c r="G1768" s="62" t="b">
        <v>1</v>
      </c>
      <c r="H1768" s="78" t="b">
        <f>IF(VLOOKUP(C1768,Projetos!A:L,12,false)=TRUE,TRUE,FALSE)</f>
        <v>1</v>
      </c>
      <c r="I1768" s="68">
        <v>23.36976525769054</v>
      </c>
      <c r="J1768" s="68">
        <f t="shared" si="1"/>
        <v>23.36976526</v>
      </c>
      <c r="K1768" s="68" t="b">
        <v>1</v>
      </c>
    </row>
    <row r="1769" hidden="1">
      <c r="A1769" s="75">
        <v>1763.0</v>
      </c>
      <c r="B1769" s="62" t="s">
        <v>755</v>
      </c>
      <c r="C1769" s="62" t="s">
        <v>97</v>
      </c>
      <c r="D1769" s="62" t="s">
        <v>1150</v>
      </c>
      <c r="E1769" s="76">
        <v>44145.0</v>
      </c>
      <c r="F1769" s="77">
        <v>0.0625</v>
      </c>
      <c r="G1769" s="62" t="b">
        <v>0</v>
      </c>
      <c r="H1769" s="78" t="b">
        <f>IF(VLOOKUP(C1769,Projetos!A:L,12,false)=TRUE,TRUE,FALSE)</f>
        <v>1</v>
      </c>
      <c r="I1769" s="68">
        <v>23.36976525769054</v>
      </c>
      <c r="J1769" s="68">
        <f t="shared" si="1"/>
        <v>0</v>
      </c>
      <c r="K1769" s="68" t="b">
        <v>1</v>
      </c>
    </row>
    <row r="1770" hidden="1">
      <c r="A1770" s="75">
        <v>1764.0</v>
      </c>
      <c r="B1770" s="62" t="s">
        <v>755</v>
      </c>
      <c r="C1770" s="62" t="s">
        <v>109</v>
      </c>
      <c r="D1770" s="62" t="s">
        <v>1151</v>
      </c>
      <c r="E1770" s="76">
        <v>44145.0</v>
      </c>
      <c r="F1770" s="77">
        <v>0.041666666666666664</v>
      </c>
      <c r="G1770" s="62" t="b">
        <v>0</v>
      </c>
      <c r="H1770" s="78" t="b">
        <f>IF(VLOOKUP(C1770,Projetos!A:L,12,false)=TRUE,TRUE,FALSE)</f>
        <v>0</v>
      </c>
      <c r="I1770" s="68">
        <v>23.36976525769054</v>
      </c>
      <c r="J1770" s="68">
        <f t="shared" si="1"/>
        <v>0</v>
      </c>
      <c r="K1770" s="68" t="b">
        <v>0</v>
      </c>
    </row>
    <row r="1771">
      <c r="A1771" s="75">
        <v>1765.0</v>
      </c>
      <c r="B1771" s="62" t="s">
        <v>755</v>
      </c>
      <c r="C1771" s="62" t="s">
        <v>90</v>
      </c>
      <c r="D1771" s="62" t="s">
        <v>1152</v>
      </c>
      <c r="E1771" s="76">
        <v>44145.0</v>
      </c>
      <c r="F1771" s="77">
        <v>0.020833333333333332</v>
      </c>
      <c r="G1771" s="62" t="b">
        <v>1</v>
      </c>
      <c r="H1771" s="78" t="b">
        <f>IF(VLOOKUP(C1771,Projetos!A:L,12,false)=TRUE,TRUE,FALSE)</f>
        <v>1</v>
      </c>
      <c r="I1771" s="68">
        <v>23.36976525769054</v>
      </c>
      <c r="J1771" s="68">
        <f t="shared" si="1"/>
        <v>11.68488263</v>
      </c>
      <c r="K1771" s="68" t="b">
        <v>1</v>
      </c>
    </row>
    <row r="1772">
      <c r="A1772" s="75">
        <v>1766.0</v>
      </c>
      <c r="B1772" s="62" t="s">
        <v>755</v>
      </c>
      <c r="C1772" s="62" t="s">
        <v>90</v>
      </c>
      <c r="D1772" s="62" t="s">
        <v>1153</v>
      </c>
      <c r="E1772" s="76">
        <v>44145.0</v>
      </c>
      <c r="F1772" s="77">
        <v>0.041666666666666664</v>
      </c>
      <c r="G1772" s="62" t="b">
        <v>1</v>
      </c>
      <c r="H1772" s="78" t="b">
        <f>IF(VLOOKUP(C1772,Projetos!A:L,12,false)=TRUE,TRUE,FALSE)</f>
        <v>1</v>
      </c>
      <c r="I1772" s="68">
        <v>23.36976525769054</v>
      </c>
      <c r="J1772" s="68">
        <f t="shared" si="1"/>
        <v>23.36976526</v>
      </c>
      <c r="K1772" s="68" t="b">
        <v>1</v>
      </c>
    </row>
    <row r="1773">
      <c r="A1773" s="75">
        <v>1767.0</v>
      </c>
      <c r="B1773" s="62" t="s">
        <v>755</v>
      </c>
      <c r="C1773" s="62" t="s">
        <v>90</v>
      </c>
      <c r="D1773" s="62" t="s">
        <v>1153</v>
      </c>
      <c r="E1773" s="76">
        <v>44146.0</v>
      </c>
      <c r="F1773" s="77">
        <v>0.041666666666666664</v>
      </c>
      <c r="G1773" s="62" t="b">
        <v>1</v>
      </c>
      <c r="H1773" s="78" t="b">
        <f>IF(VLOOKUP(C1773,Projetos!A:L,12,false)=TRUE,TRUE,FALSE)</f>
        <v>1</v>
      </c>
      <c r="I1773" s="68">
        <v>23.36976525769054</v>
      </c>
      <c r="J1773" s="68">
        <f t="shared" si="1"/>
        <v>23.36976526</v>
      </c>
      <c r="K1773" s="68" t="b">
        <v>1</v>
      </c>
    </row>
    <row r="1774">
      <c r="A1774" s="75">
        <v>1768.0</v>
      </c>
      <c r="B1774" s="62" t="s">
        <v>755</v>
      </c>
      <c r="C1774" s="62" t="s">
        <v>90</v>
      </c>
      <c r="D1774" s="62" t="s">
        <v>1154</v>
      </c>
      <c r="E1774" s="76">
        <v>44146.0</v>
      </c>
      <c r="F1774" s="77">
        <v>0.08333333333333333</v>
      </c>
      <c r="G1774" s="62" t="b">
        <v>1</v>
      </c>
      <c r="H1774" s="78" t="b">
        <f>IF(VLOOKUP(C1774,Projetos!A:L,12,false)=TRUE,TRUE,FALSE)</f>
        <v>1</v>
      </c>
      <c r="I1774" s="68">
        <v>23.36976525769054</v>
      </c>
      <c r="J1774" s="68">
        <f t="shared" si="1"/>
        <v>46.73953052</v>
      </c>
      <c r="K1774" s="68" t="b">
        <v>1</v>
      </c>
    </row>
    <row r="1775">
      <c r="A1775" s="75">
        <v>1769.0</v>
      </c>
      <c r="B1775" s="62" t="s">
        <v>755</v>
      </c>
      <c r="C1775" s="62" t="s">
        <v>90</v>
      </c>
      <c r="D1775" s="62" t="s">
        <v>1155</v>
      </c>
      <c r="E1775" s="76">
        <v>44146.0</v>
      </c>
      <c r="F1775" s="77">
        <v>0.08333333333333333</v>
      </c>
      <c r="G1775" s="62" t="b">
        <v>1</v>
      </c>
      <c r="H1775" s="78" t="b">
        <f>IF(VLOOKUP(C1775,Projetos!A:L,12,false)=TRUE,TRUE,FALSE)</f>
        <v>1</v>
      </c>
      <c r="I1775" s="68">
        <v>23.36976525769054</v>
      </c>
      <c r="J1775" s="68">
        <f t="shared" si="1"/>
        <v>46.73953052</v>
      </c>
      <c r="K1775" s="68" t="b">
        <v>1</v>
      </c>
    </row>
    <row r="1776">
      <c r="A1776" s="75">
        <v>1770.0</v>
      </c>
      <c r="B1776" s="62" t="s">
        <v>755</v>
      </c>
      <c r="C1776" s="62" t="s">
        <v>104</v>
      </c>
      <c r="D1776" s="62" t="s">
        <v>1156</v>
      </c>
      <c r="E1776" s="76">
        <v>44146.0</v>
      </c>
      <c r="F1776" s="77">
        <v>0.020833333333333332</v>
      </c>
      <c r="G1776" s="62" t="b">
        <v>1</v>
      </c>
      <c r="H1776" s="78" t="b">
        <f>IF(VLOOKUP(C1776,Projetos!A:L,12,false)=TRUE,TRUE,FALSE)</f>
        <v>1</v>
      </c>
      <c r="I1776" s="68">
        <v>23.36976525769054</v>
      </c>
      <c r="J1776" s="68">
        <f t="shared" si="1"/>
        <v>11.68488263</v>
      </c>
      <c r="K1776" s="68" t="b">
        <v>1</v>
      </c>
    </row>
    <row r="1777">
      <c r="A1777" s="75">
        <v>1771.0</v>
      </c>
      <c r="B1777" s="62" t="s">
        <v>755</v>
      </c>
      <c r="C1777" s="62" t="s">
        <v>98</v>
      </c>
      <c r="D1777" s="62" t="s">
        <v>1157</v>
      </c>
      <c r="E1777" s="76">
        <v>44146.0</v>
      </c>
      <c r="F1777" s="77">
        <v>0.020833333333333332</v>
      </c>
      <c r="G1777" s="62" t="b">
        <v>1</v>
      </c>
      <c r="H1777" s="78" t="b">
        <f>IF(VLOOKUP(C1777,Projetos!A:L,12,false)=TRUE,TRUE,FALSE)</f>
        <v>1</v>
      </c>
      <c r="I1777" s="68">
        <v>23.36976525769054</v>
      </c>
      <c r="J1777" s="68">
        <f t="shared" si="1"/>
        <v>11.68488263</v>
      </c>
      <c r="K1777" s="68" t="b">
        <v>1</v>
      </c>
    </row>
    <row r="1778">
      <c r="A1778" s="75">
        <v>1772.0</v>
      </c>
      <c r="B1778" s="62" t="s">
        <v>755</v>
      </c>
      <c r="C1778" s="62" t="s">
        <v>138</v>
      </c>
      <c r="D1778" s="62" t="s">
        <v>1158</v>
      </c>
      <c r="E1778" s="76">
        <v>44146.0</v>
      </c>
      <c r="F1778" s="77">
        <v>0.020833333333333332</v>
      </c>
      <c r="G1778" s="62" t="b">
        <v>1</v>
      </c>
      <c r="H1778" s="78" t="b">
        <f>IF(VLOOKUP(C1778,Projetos!A:L,12,false)=TRUE,TRUE,FALSE)</f>
        <v>1</v>
      </c>
      <c r="I1778" s="68">
        <v>23.36976525769054</v>
      </c>
      <c r="J1778" s="68">
        <f t="shared" si="1"/>
        <v>11.68488263</v>
      </c>
      <c r="K1778" s="68" t="b">
        <v>1</v>
      </c>
    </row>
    <row r="1779">
      <c r="A1779" s="75">
        <v>1773.0</v>
      </c>
      <c r="B1779" s="62" t="s">
        <v>755</v>
      </c>
      <c r="C1779" s="62" t="s">
        <v>104</v>
      </c>
      <c r="D1779" s="62" t="s">
        <v>1159</v>
      </c>
      <c r="E1779" s="76">
        <v>44146.0</v>
      </c>
      <c r="F1779" s="77">
        <v>0.0625</v>
      </c>
      <c r="G1779" s="62" t="b">
        <v>1</v>
      </c>
      <c r="H1779" s="78" t="b">
        <f>IF(VLOOKUP(C1779,Projetos!A:L,12,false)=TRUE,TRUE,FALSE)</f>
        <v>1</v>
      </c>
      <c r="I1779" s="68">
        <v>23.36976525769054</v>
      </c>
      <c r="J1779" s="68">
        <f t="shared" si="1"/>
        <v>35.05464789</v>
      </c>
      <c r="K1779" s="68" t="b">
        <v>1</v>
      </c>
    </row>
    <row r="1780">
      <c r="A1780" s="75">
        <v>1774.0</v>
      </c>
      <c r="B1780" s="62" t="s">
        <v>755</v>
      </c>
      <c r="C1780" s="62" t="s">
        <v>90</v>
      </c>
      <c r="D1780" s="62" t="s">
        <v>874</v>
      </c>
      <c r="E1780" s="76">
        <v>44147.0</v>
      </c>
      <c r="F1780" s="77">
        <v>0.041666666666666664</v>
      </c>
      <c r="G1780" s="62" t="b">
        <v>1</v>
      </c>
      <c r="H1780" s="78" t="b">
        <f>IF(VLOOKUP(C1780,Projetos!A:L,12,false)=TRUE,TRUE,FALSE)</f>
        <v>1</v>
      </c>
      <c r="I1780" s="68">
        <v>23.36976525769054</v>
      </c>
      <c r="J1780" s="68">
        <f t="shared" si="1"/>
        <v>23.36976526</v>
      </c>
      <c r="K1780" s="68" t="b">
        <v>1</v>
      </c>
    </row>
    <row r="1781">
      <c r="A1781" s="75">
        <v>1775.0</v>
      </c>
      <c r="B1781" s="62" t="s">
        <v>755</v>
      </c>
      <c r="C1781" s="62" t="s">
        <v>104</v>
      </c>
      <c r="D1781" s="62" t="s">
        <v>1160</v>
      </c>
      <c r="E1781" s="76">
        <v>44147.0</v>
      </c>
      <c r="F1781" s="77">
        <v>0.10416666666666667</v>
      </c>
      <c r="G1781" s="62" t="b">
        <v>1</v>
      </c>
      <c r="H1781" s="78" t="b">
        <f>IF(VLOOKUP(C1781,Projetos!A:L,12,false)=TRUE,TRUE,FALSE)</f>
        <v>1</v>
      </c>
      <c r="I1781" s="68">
        <v>23.36976525769054</v>
      </c>
      <c r="J1781" s="68">
        <f t="shared" si="1"/>
        <v>58.42441314</v>
      </c>
      <c r="K1781" s="68" t="b">
        <v>1</v>
      </c>
    </row>
    <row r="1782">
      <c r="A1782" s="75">
        <v>1776.0</v>
      </c>
      <c r="B1782" s="62" t="s">
        <v>755</v>
      </c>
      <c r="C1782" s="62" t="s">
        <v>98</v>
      </c>
      <c r="D1782" s="62" t="s">
        <v>1161</v>
      </c>
      <c r="E1782" s="76">
        <v>44147.0</v>
      </c>
      <c r="F1782" s="77">
        <v>0.20833333333333334</v>
      </c>
      <c r="G1782" s="62" t="b">
        <v>1</v>
      </c>
      <c r="H1782" s="78" t="b">
        <f>IF(VLOOKUP(C1782,Projetos!A:L,12,false)=TRUE,TRUE,FALSE)</f>
        <v>1</v>
      </c>
      <c r="I1782" s="68">
        <v>23.36976525769054</v>
      </c>
      <c r="J1782" s="68">
        <f t="shared" si="1"/>
        <v>116.8488263</v>
      </c>
      <c r="K1782" s="68" t="b">
        <v>1</v>
      </c>
    </row>
    <row r="1783">
      <c r="A1783" s="75">
        <v>1777.0</v>
      </c>
      <c r="B1783" s="62" t="s">
        <v>755</v>
      </c>
      <c r="C1783" s="62" t="s">
        <v>104</v>
      </c>
      <c r="D1783" s="62" t="s">
        <v>1162</v>
      </c>
      <c r="E1783" s="76">
        <v>44148.0</v>
      </c>
      <c r="F1783" s="77">
        <v>0.041666666666666664</v>
      </c>
      <c r="G1783" s="62" t="b">
        <v>1</v>
      </c>
      <c r="H1783" s="78" t="b">
        <f>IF(VLOOKUP(C1783,Projetos!A:L,12,false)=TRUE,TRUE,FALSE)</f>
        <v>1</v>
      </c>
      <c r="I1783" s="68">
        <v>23.36976525769054</v>
      </c>
      <c r="J1783" s="68">
        <f t="shared" si="1"/>
        <v>23.36976526</v>
      </c>
      <c r="K1783" s="68" t="b">
        <v>1</v>
      </c>
    </row>
    <row r="1784">
      <c r="A1784" s="75">
        <v>1778.0</v>
      </c>
      <c r="B1784" s="62" t="s">
        <v>755</v>
      </c>
      <c r="C1784" s="62" t="s">
        <v>138</v>
      </c>
      <c r="D1784" s="62" t="s">
        <v>1163</v>
      </c>
      <c r="E1784" s="76">
        <v>44148.0</v>
      </c>
      <c r="F1784" s="77">
        <v>0.0625</v>
      </c>
      <c r="G1784" s="62" t="b">
        <v>1</v>
      </c>
      <c r="H1784" s="78" t="b">
        <f>IF(VLOOKUP(C1784,Projetos!A:L,12,false)=TRUE,TRUE,FALSE)</f>
        <v>1</v>
      </c>
      <c r="I1784" s="68">
        <v>23.36976525769054</v>
      </c>
      <c r="J1784" s="68">
        <f t="shared" si="1"/>
        <v>35.05464789</v>
      </c>
      <c r="K1784" s="68" t="b">
        <v>1</v>
      </c>
    </row>
    <row r="1785" hidden="1">
      <c r="A1785" s="75">
        <v>1779.0</v>
      </c>
      <c r="B1785" s="62" t="s">
        <v>755</v>
      </c>
      <c r="C1785" s="62" t="s">
        <v>109</v>
      </c>
      <c r="D1785" s="62" t="s">
        <v>1164</v>
      </c>
      <c r="E1785" s="76">
        <v>44148.0</v>
      </c>
      <c r="F1785" s="77">
        <v>0.020833333333333332</v>
      </c>
      <c r="G1785" s="62" t="b">
        <v>0</v>
      </c>
      <c r="H1785" s="78" t="b">
        <f>IF(VLOOKUP(C1785,Projetos!A:L,12,false)=TRUE,TRUE,FALSE)</f>
        <v>0</v>
      </c>
      <c r="I1785" s="68">
        <v>23.36976525769054</v>
      </c>
      <c r="J1785" s="68">
        <f t="shared" si="1"/>
        <v>0</v>
      </c>
      <c r="K1785" s="68" t="b">
        <v>0</v>
      </c>
    </row>
    <row r="1786">
      <c r="A1786" s="75">
        <v>1780.0</v>
      </c>
      <c r="B1786" s="62" t="s">
        <v>755</v>
      </c>
      <c r="C1786" s="62" t="s">
        <v>90</v>
      </c>
      <c r="D1786" s="62" t="s">
        <v>1165</v>
      </c>
      <c r="E1786" s="76">
        <v>44148.0</v>
      </c>
      <c r="F1786" s="77">
        <v>0.020833333333333332</v>
      </c>
      <c r="G1786" s="62" t="b">
        <v>1</v>
      </c>
      <c r="H1786" s="78" t="b">
        <f>IF(VLOOKUP(C1786,Projetos!A:L,12,false)=TRUE,TRUE,FALSE)</f>
        <v>1</v>
      </c>
      <c r="I1786" s="68">
        <v>23.36976525769054</v>
      </c>
      <c r="J1786" s="68">
        <f t="shared" si="1"/>
        <v>11.68488263</v>
      </c>
      <c r="K1786" s="68" t="b">
        <v>1</v>
      </c>
    </row>
    <row r="1787">
      <c r="A1787" s="75">
        <v>1781.0</v>
      </c>
      <c r="B1787" s="62" t="s">
        <v>755</v>
      </c>
      <c r="C1787" s="62" t="s">
        <v>90</v>
      </c>
      <c r="D1787" s="62" t="s">
        <v>1166</v>
      </c>
      <c r="E1787" s="76">
        <v>44148.0</v>
      </c>
      <c r="F1787" s="77">
        <v>0.0625</v>
      </c>
      <c r="G1787" s="62" t="b">
        <v>1</v>
      </c>
      <c r="H1787" s="78" t="b">
        <f>IF(VLOOKUP(C1787,Projetos!A:L,12,false)=TRUE,TRUE,FALSE)</f>
        <v>1</v>
      </c>
      <c r="I1787" s="68">
        <v>23.36976525769054</v>
      </c>
      <c r="J1787" s="68">
        <f t="shared" si="1"/>
        <v>35.05464789</v>
      </c>
      <c r="K1787" s="68" t="b">
        <v>1</v>
      </c>
    </row>
    <row r="1788">
      <c r="A1788" s="75">
        <v>1782.0</v>
      </c>
      <c r="B1788" s="62" t="s">
        <v>755</v>
      </c>
      <c r="C1788" s="62" t="s">
        <v>98</v>
      </c>
      <c r="D1788" s="62" t="s">
        <v>1111</v>
      </c>
      <c r="E1788" s="76">
        <v>44148.0</v>
      </c>
      <c r="F1788" s="77">
        <v>0.020833333333333332</v>
      </c>
      <c r="G1788" s="62" t="b">
        <v>1</v>
      </c>
      <c r="H1788" s="78" t="b">
        <f>IF(VLOOKUP(C1788,Projetos!A:L,12,false)=TRUE,TRUE,FALSE)</f>
        <v>1</v>
      </c>
      <c r="I1788" s="68">
        <v>23.36976525769054</v>
      </c>
      <c r="J1788" s="68">
        <f t="shared" si="1"/>
        <v>11.68488263</v>
      </c>
      <c r="K1788" s="68" t="b">
        <v>1</v>
      </c>
    </row>
    <row r="1789">
      <c r="A1789" s="75">
        <v>1783.0</v>
      </c>
      <c r="B1789" s="62" t="s">
        <v>755</v>
      </c>
      <c r="C1789" s="62" t="s">
        <v>110</v>
      </c>
      <c r="D1789" s="62" t="s">
        <v>1111</v>
      </c>
      <c r="E1789" s="76">
        <v>44151.0</v>
      </c>
      <c r="F1789" s="77">
        <v>0.08333333333333333</v>
      </c>
      <c r="G1789" s="62" t="b">
        <v>1</v>
      </c>
      <c r="H1789" s="78" t="b">
        <f>IF(VLOOKUP(C1789,Projetos!A:L,12,false)=TRUE,TRUE,FALSE)</f>
        <v>1</v>
      </c>
      <c r="I1789" s="68">
        <v>23.36976525769054</v>
      </c>
      <c r="J1789" s="68">
        <f t="shared" si="1"/>
        <v>46.73953052</v>
      </c>
      <c r="K1789" s="68" t="b">
        <v>1</v>
      </c>
    </row>
    <row r="1790">
      <c r="A1790" s="75">
        <v>1784.0</v>
      </c>
      <c r="B1790" s="62" t="s">
        <v>755</v>
      </c>
      <c r="C1790" s="62" t="s">
        <v>138</v>
      </c>
      <c r="D1790" s="62" t="s">
        <v>1167</v>
      </c>
      <c r="E1790" s="76">
        <v>44151.0</v>
      </c>
      <c r="F1790" s="77">
        <v>0.08333333333333333</v>
      </c>
      <c r="G1790" s="62" t="b">
        <v>1</v>
      </c>
      <c r="H1790" s="78" t="b">
        <f>IF(VLOOKUP(C1790,Projetos!A:L,12,false)=TRUE,TRUE,FALSE)</f>
        <v>1</v>
      </c>
      <c r="I1790" s="68">
        <v>23.36976525769054</v>
      </c>
      <c r="J1790" s="68">
        <f t="shared" si="1"/>
        <v>46.73953052</v>
      </c>
      <c r="K1790" s="68" t="b">
        <v>1</v>
      </c>
    </row>
    <row r="1791">
      <c r="A1791" s="75">
        <v>1785.0</v>
      </c>
      <c r="B1791" s="62" t="s">
        <v>755</v>
      </c>
      <c r="C1791" s="62" t="s">
        <v>90</v>
      </c>
      <c r="D1791" s="62" t="s">
        <v>1168</v>
      </c>
      <c r="E1791" s="76">
        <v>44152.0</v>
      </c>
      <c r="F1791" s="77">
        <v>0.041666666666666664</v>
      </c>
      <c r="G1791" s="62" t="b">
        <v>1</v>
      </c>
      <c r="H1791" s="78" t="b">
        <f>IF(VLOOKUP(C1791,Projetos!A:L,12,false)=TRUE,TRUE,FALSE)</f>
        <v>1</v>
      </c>
      <c r="I1791" s="68">
        <v>23.36976525769054</v>
      </c>
      <c r="J1791" s="68">
        <f t="shared" si="1"/>
        <v>23.36976526</v>
      </c>
      <c r="K1791" s="68" t="b">
        <v>1</v>
      </c>
    </row>
    <row r="1792">
      <c r="A1792" s="75">
        <v>1786.0</v>
      </c>
      <c r="B1792" s="62" t="s">
        <v>755</v>
      </c>
      <c r="C1792" s="62" t="s">
        <v>104</v>
      </c>
      <c r="D1792" s="62" t="s">
        <v>1169</v>
      </c>
      <c r="E1792" s="76">
        <v>44152.0</v>
      </c>
      <c r="F1792" s="77">
        <v>0.0625</v>
      </c>
      <c r="G1792" s="62" t="b">
        <v>1</v>
      </c>
      <c r="H1792" s="78" t="b">
        <f>IF(VLOOKUP(C1792,Projetos!A:L,12,false)=TRUE,TRUE,FALSE)</f>
        <v>1</v>
      </c>
      <c r="I1792" s="68">
        <v>23.36976525769054</v>
      </c>
      <c r="J1792" s="68">
        <f t="shared" si="1"/>
        <v>35.05464789</v>
      </c>
      <c r="K1792" s="68" t="b">
        <v>1</v>
      </c>
    </row>
    <row r="1793">
      <c r="A1793" s="75">
        <v>1787.0</v>
      </c>
      <c r="B1793" s="62" t="s">
        <v>755</v>
      </c>
      <c r="C1793" s="62" t="s">
        <v>90</v>
      </c>
      <c r="D1793" s="62" t="s">
        <v>1170</v>
      </c>
      <c r="E1793" s="76">
        <v>44152.0</v>
      </c>
      <c r="F1793" s="77">
        <v>0.041666666666666664</v>
      </c>
      <c r="G1793" s="62" t="b">
        <v>1</v>
      </c>
      <c r="H1793" s="78" t="b">
        <f>IF(VLOOKUP(C1793,Projetos!A:L,12,false)=TRUE,TRUE,FALSE)</f>
        <v>1</v>
      </c>
      <c r="I1793" s="68">
        <v>23.36976525769054</v>
      </c>
      <c r="J1793" s="68">
        <f t="shared" si="1"/>
        <v>23.36976526</v>
      </c>
      <c r="K1793" s="68" t="b">
        <v>1</v>
      </c>
    </row>
    <row r="1794">
      <c r="A1794" s="75">
        <v>1788.0</v>
      </c>
      <c r="B1794" s="62" t="s">
        <v>755</v>
      </c>
      <c r="C1794" s="62" t="s">
        <v>98</v>
      </c>
      <c r="D1794" s="62" t="s">
        <v>1171</v>
      </c>
      <c r="E1794" s="76">
        <v>44152.0</v>
      </c>
      <c r="F1794" s="77">
        <v>0.041666666666666664</v>
      </c>
      <c r="G1794" s="62" t="b">
        <v>1</v>
      </c>
      <c r="H1794" s="78" t="b">
        <f>IF(VLOOKUP(C1794,Projetos!A:L,12,false)=TRUE,TRUE,FALSE)</f>
        <v>1</v>
      </c>
      <c r="I1794" s="68">
        <v>23.36976525769054</v>
      </c>
      <c r="J1794" s="68">
        <f t="shared" si="1"/>
        <v>23.36976526</v>
      </c>
      <c r="K1794" s="68" t="b">
        <v>1</v>
      </c>
    </row>
    <row r="1795">
      <c r="A1795" s="75">
        <v>1789.0</v>
      </c>
      <c r="B1795" s="62" t="s">
        <v>755</v>
      </c>
      <c r="C1795" s="62" t="s">
        <v>90</v>
      </c>
      <c r="D1795" s="62" t="s">
        <v>874</v>
      </c>
      <c r="E1795" s="76">
        <v>44154.0</v>
      </c>
      <c r="F1795" s="77">
        <v>0.041666666666666664</v>
      </c>
      <c r="G1795" s="62" t="b">
        <v>1</v>
      </c>
      <c r="H1795" s="78" t="b">
        <f>IF(VLOOKUP(C1795,Projetos!A:L,12,false)=TRUE,TRUE,FALSE)</f>
        <v>1</v>
      </c>
      <c r="I1795" s="68">
        <v>23.36976525769054</v>
      </c>
      <c r="J1795" s="68">
        <f t="shared" si="1"/>
        <v>23.36976526</v>
      </c>
      <c r="K1795" s="68" t="b">
        <v>1</v>
      </c>
    </row>
    <row r="1796">
      <c r="A1796" s="75">
        <v>1790.0</v>
      </c>
      <c r="B1796" s="62" t="s">
        <v>755</v>
      </c>
      <c r="C1796" s="62" t="s">
        <v>90</v>
      </c>
      <c r="D1796" s="62" t="s">
        <v>1172</v>
      </c>
      <c r="E1796" s="76">
        <v>44154.0</v>
      </c>
      <c r="F1796" s="77">
        <v>0.0625</v>
      </c>
      <c r="G1796" s="62" t="b">
        <v>1</v>
      </c>
      <c r="H1796" s="78" t="b">
        <f>IF(VLOOKUP(C1796,Projetos!A:L,12,false)=TRUE,TRUE,FALSE)</f>
        <v>1</v>
      </c>
      <c r="I1796" s="68">
        <v>23.36976525769054</v>
      </c>
      <c r="J1796" s="68">
        <f t="shared" si="1"/>
        <v>35.05464789</v>
      </c>
      <c r="K1796" s="68" t="b">
        <v>1</v>
      </c>
    </row>
    <row r="1797">
      <c r="A1797" s="75">
        <v>1791.0</v>
      </c>
      <c r="B1797" s="62" t="s">
        <v>755</v>
      </c>
      <c r="C1797" s="62" t="s">
        <v>97</v>
      </c>
      <c r="D1797" s="62" t="s">
        <v>1173</v>
      </c>
      <c r="E1797" s="76">
        <v>44154.0</v>
      </c>
      <c r="F1797" s="77">
        <v>0.08333333333333333</v>
      </c>
      <c r="G1797" s="62" t="b">
        <v>1</v>
      </c>
      <c r="H1797" s="78" t="b">
        <f>IF(VLOOKUP(C1797,Projetos!A:L,12,false)=TRUE,TRUE,FALSE)</f>
        <v>1</v>
      </c>
      <c r="I1797" s="68">
        <v>23.36976525769054</v>
      </c>
      <c r="J1797" s="68">
        <f t="shared" si="1"/>
        <v>46.73953052</v>
      </c>
      <c r="K1797" s="68" t="b">
        <v>1</v>
      </c>
    </row>
    <row r="1798">
      <c r="A1798" s="75">
        <v>1792.0</v>
      </c>
      <c r="B1798" s="62" t="s">
        <v>755</v>
      </c>
      <c r="C1798" s="62" t="s">
        <v>104</v>
      </c>
      <c r="D1798" s="62" t="s">
        <v>1174</v>
      </c>
      <c r="E1798" s="76">
        <v>44154.0</v>
      </c>
      <c r="F1798" s="77">
        <v>0.020833333333333332</v>
      </c>
      <c r="G1798" s="62" t="b">
        <v>1</v>
      </c>
      <c r="H1798" s="78" t="b">
        <f>IF(VLOOKUP(C1798,Projetos!A:L,12,false)=TRUE,TRUE,FALSE)</f>
        <v>1</v>
      </c>
      <c r="I1798" s="68">
        <v>23.36976525769054</v>
      </c>
      <c r="J1798" s="68">
        <f t="shared" si="1"/>
        <v>11.68488263</v>
      </c>
      <c r="K1798" s="68" t="b">
        <v>1</v>
      </c>
    </row>
    <row r="1799">
      <c r="A1799" s="75">
        <v>1793.0</v>
      </c>
      <c r="B1799" s="62" t="s">
        <v>755</v>
      </c>
      <c r="C1799" s="62" t="s">
        <v>90</v>
      </c>
      <c r="D1799" s="62" t="s">
        <v>1175</v>
      </c>
      <c r="E1799" s="76">
        <v>44155.0</v>
      </c>
      <c r="F1799" s="77">
        <v>0.041666666666666664</v>
      </c>
      <c r="G1799" s="62" t="b">
        <v>1</v>
      </c>
      <c r="H1799" s="78" t="b">
        <f>IF(VLOOKUP(C1799,Projetos!A:L,12,false)=TRUE,TRUE,FALSE)</f>
        <v>1</v>
      </c>
      <c r="I1799" s="68">
        <v>23.36976525769054</v>
      </c>
      <c r="J1799" s="68">
        <f t="shared" si="1"/>
        <v>23.36976526</v>
      </c>
      <c r="K1799" s="68" t="b">
        <v>1</v>
      </c>
    </row>
    <row r="1800">
      <c r="A1800" s="75">
        <v>1794.0</v>
      </c>
      <c r="B1800" s="62" t="s">
        <v>755</v>
      </c>
      <c r="C1800" s="62" t="s">
        <v>90</v>
      </c>
      <c r="D1800" s="62" t="s">
        <v>1176</v>
      </c>
      <c r="E1800" s="76">
        <v>44155.0</v>
      </c>
      <c r="F1800" s="77">
        <v>0.041666666666666664</v>
      </c>
      <c r="G1800" s="62" t="b">
        <v>1</v>
      </c>
      <c r="H1800" s="78" t="b">
        <f>IF(VLOOKUP(C1800,Projetos!A:L,12,false)=TRUE,TRUE,FALSE)</f>
        <v>1</v>
      </c>
      <c r="I1800" s="68">
        <v>23.36976525769054</v>
      </c>
      <c r="J1800" s="68">
        <f t="shared" si="1"/>
        <v>23.36976526</v>
      </c>
      <c r="K1800" s="68" t="b">
        <v>1</v>
      </c>
    </row>
    <row r="1801">
      <c r="A1801" s="75">
        <v>1795.0</v>
      </c>
      <c r="B1801" s="62" t="s">
        <v>755</v>
      </c>
      <c r="C1801" s="62" t="s">
        <v>138</v>
      </c>
      <c r="D1801" s="62" t="s">
        <v>1177</v>
      </c>
      <c r="E1801" s="76">
        <v>44155.0</v>
      </c>
      <c r="F1801" s="77">
        <v>0.041666666666666664</v>
      </c>
      <c r="G1801" s="62" t="b">
        <v>1</v>
      </c>
      <c r="H1801" s="78" t="b">
        <f>IF(VLOOKUP(C1801,Projetos!A:L,12,false)=TRUE,TRUE,FALSE)</f>
        <v>1</v>
      </c>
      <c r="I1801" s="68">
        <v>23.36976525769054</v>
      </c>
      <c r="J1801" s="68">
        <f t="shared" si="1"/>
        <v>23.36976526</v>
      </c>
      <c r="K1801" s="68" t="b">
        <v>1</v>
      </c>
    </row>
    <row r="1802">
      <c r="A1802" s="75">
        <v>1796.0</v>
      </c>
      <c r="B1802" s="62" t="s">
        <v>755</v>
      </c>
      <c r="C1802" s="62" t="s">
        <v>90</v>
      </c>
      <c r="D1802" s="62" t="s">
        <v>874</v>
      </c>
      <c r="E1802" s="76">
        <v>44158.0</v>
      </c>
      <c r="F1802" s="77">
        <v>0.041666666666666664</v>
      </c>
      <c r="G1802" s="62" t="b">
        <v>1</v>
      </c>
      <c r="H1802" s="78" t="b">
        <f>IF(VLOOKUP(C1802,Projetos!A:L,12,false)=TRUE,TRUE,FALSE)</f>
        <v>1</v>
      </c>
      <c r="I1802" s="68">
        <v>23.36976525769054</v>
      </c>
      <c r="J1802" s="68">
        <f t="shared" si="1"/>
        <v>23.36976526</v>
      </c>
      <c r="K1802" s="68" t="b">
        <v>1</v>
      </c>
    </row>
    <row r="1803" hidden="1">
      <c r="A1803" s="75">
        <v>1797.0</v>
      </c>
      <c r="B1803" s="62" t="s">
        <v>755</v>
      </c>
      <c r="C1803" s="62" t="s">
        <v>108</v>
      </c>
      <c r="D1803" s="62" t="s">
        <v>1178</v>
      </c>
      <c r="E1803" s="76">
        <v>44158.0</v>
      </c>
      <c r="F1803" s="77">
        <v>0.0625</v>
      </c>
      <c r="G1803" s="62" t="b">
        <v>0</v>
      </c>
      <c r="H1803" s="78" t="b">
        <f>IF(VLOOKUP(C1803,Projetos!A:L,12,false)=TRUE,TRUE,FALSE)</f>
        <v>1</v>
      </c>
      <c r="I1803" s="68">
        <v>23.36976525769054</v>
      </c>
      <c r="J1803" s="68">
        <f t="shared" si="1"/>
        <v>0</v>
      </c>
      <c r="K1803" s="68" t="b">
        <v>1</v>
      </c>
    </row>
    <row r="1804">
      <c r="A1804" s="75">
        <v>1798.0</v>
      </c>
      <c r="B1804" s="62" t="s">
        <v>755</v>
      </c>
      <c r="C1804" s="62" t="s">
        <v>90</v>
      </c>
      <c r="D1804" s="62" t="s">
        <v>1179</v>
      </c>
      <c r="E1804" s="76">
        <v>44158.0</v>
      </c>
      <c r="F1804" s="77">
        <v>0.125</v>
      </c>
      <c r="G1804" s="62" t="b">
        <v>1</v>
      </c>
      <c r="H1804" s="78" t="b">
        <f>IF(VLOOKUP(C1804,Projetos!A:L,12,false)=TRUE,TRUE,FALSE)</f>
        <v>1</v>
      </c>
      <c r="I1804" s="68">
        <v>23.36976525769054</v>
      </c>
      <c r="J1804" s="68">
        <f t="shared" si="1"/>
        <v>70.10929577</v>
      </c>
      <c r="K1804" s="68" t="b">
        <v>1</v>
      </c>
    </row>
    <row r="1805">
      <c r="A1805" s="75">
        <v>1799.0</v>
      </c>
      <c r="B1805" s="62" t="s">
        <v>755</v>
      </c>
      <c r="C1805" s="62" t="s">
        <v>90</v>
      </c>
      <c r="D1805" s="62" t="s">
        <v>1179</v>
      </c>
      <c r="E1805" s="76">
        <v>44159.0</v>
      </c>
      <c r="F1805" s="77">
        <v>0.125</v>
      </c>
      <c r="G1805" s="62" t="b">
        <v>1</v>
      </c>
      <c r="H1805" s="78" t="b">
        <f>IF(VLOOKUP(C1805,Projetos!A:L,12,false)=TRUE,TRUE,FALSE)</f>
        <v>1</v>
      </c>
      <c r="I1805" s="68">
        <v>23.36976525769054</v>
      </c>
      <c r="J1805" s="68">
        <f t="shared" si="1"/>
        <v>70.10929577</v>
      </c>
      <c r="K1805" s="68" t="b">
        <v>1</v>
      </c>
    </row>
    <row r="1806" hidden="1">
      <c r="A1806" s="75">
        <v>1800.0</v>
      </c>
      <c r="B1806" s="62" t="s">
        <v>755</v>
      </c>
      <c r="C1806" s="62" t="s">
        <v>108</v>
      </c>
      <c r="D1806" s="62" t="s">
        <v>1180</v>
      </c>
      <c r="E1806" s="76">
        <v>44160.0</v>
      </c>
      <c r="F1806" s="77">
        <v>0.0625</v>
      </c>
      <c r="G1806" s="62" t="b">
        <v>1</v>
      </c>
      <c r="H1806" s="78" t="b">
        <f>IF(VLOOKUP(C1806,Projetos!A:L,12,false)=TRUE,TRUE,FALSE)</f>
        <v>1</v>
      </c>
      <c r="I1806" s="68">
        <v>23.36976525769054</v>
      </c>
      <c r="J1806" s="68">
        <f t="shared" si="1"/>
        <v>35.05464789</v>
      </c>
      <c r="K1806" s="68" t="b">
        <v>1</v>
      </c>
    </row>
    <row r="1807" hidden="1">
      <c r="A1807" s="75">
        <v>1801.0</v>
      </c>
      <c r="B1807" s="62" t="s">
        <v>755</v>
      </c>
      <c r="C1807" s="62" t="s">
        <v>108</v>
      </c>
      <c r="D1807" s="62" t="s">
        <v>1181</v>
      </c>
      <c r="E1807" s="76">
        <v>44160.0</v>
      </c>
      <c r="F1807" s="77">
        <v>0.020833333333333332</v>
      </c>
      <c r="G1807" s="62" t="b">
        <v>1</v>
      </c>
      <c r="H1807" s="78" t="b">
        <f>IF(VLOOKUP(C1807,Projetos!A:L,12,false)=TRUE,TRUE,FALSE)</f>
        <v>1</v>
      </c>
      <c r="I1807" s="68">
        <v>23.36976525769054</v>
      </c>
      <c r="J1807" s="68">
        <f t="shared" si="1"/>
        <v>11.68488263</v>
      </c>
      <c r="K1807" s="68" t="b">
        <v>1</v>
      </c>
    </row>
    <row r="1808">
      <c r="A1808" s="75">
        <v>1802.0</v>
      </c>
      <c r="B1808" s="62" t="s">
        <v>755</v>
      </c>
      <c r="C1808" s="62" t="s">
        <v>104</v>
      </c>
      <c r="D1808" s="62" t="s">
        <v>1020</v>
      </c>
      <c r="E1808" s="76">
        <v>44160.0</v>
      </c>
      <c r="F1808" s="77">
        <v>0.0625</v>
      </c>
      <c r="G1808" s="62" t="b">
        <v>1</v>
      </c>
      <c r="H1808" s="78" t="b">
        <f>IF(VLOOKUP(C1808,Projetos!A:L,12,false)=TRUE,TRUE,FALSE)</f>
        <v>1</v>
      </c>
      <c r="I1808" s="68">
        <v>23.36976525769054</v>
      </c>
      <c r="J1808" s="68">
        <f t="shared" si="1"/>
        <v>35.05464789</v>
      </c>
      <c r="K1808" s="68" t="b">
        <v>1</v>
      </c>
    </row>
    <row r="1809">
      <c r="A1809" s="75">
        <v>1803.0</v>
      </c>
      <c r="B1809" s="62" t="s">
        <v>755</v>
      </c>
      <c r="C1809" s="62" t="s">
        <v>90</v>
      </c>
      <c r="D1809" s="62" t="s">
        <v>874</v>
      </c>
      <c r="E1809" s="76">
        <v>44161.0</v>
      </c>
      <c r="F1809" s="77">
        <v>0.041666666666666664</v>
      </c>
      <c r="G1809" s="62" t="b">
        <v>1</v>
      </c>
      <c r="H1809" s="78" t="b">
        <f>IF(VLOOKUP(C1809,Projetos!A:L,12,false)=TRUE,TRUE,FALSE)</f>
        <v>1</v>
      </c>
      <c r="I1809" s="68">
        <v>23.36976525769054</v>
      </c>
      <c r="J1809" s="68">
        <f t="shared" si="1"/>
        <v>23.36976526</v>
      </c>
      <c r="K1809" s="68" t="b">
        <v>1</v>
      </c>
    </row>
    <row r="1810">
      <c r="A1810" s="75">
        <v>1804.0</v>
      </c>
      <c r="B1810" s="62" t="s">
        <v>755</v>
      </c>
      <c r="C1810" s="62" t="s">
        <v>98</v>
      </c>
      <c r="D1810" s="62" t="s">
        <v>1182</v>
      </c>
      <c r="E1810" s="76">
        <v>44161.0</v>
      </c>
      <c r="F1810" s="77">
        <v>0.041666666666666664</v>
      </c>
      <c r="G1810" s="62" t="b">
        <v>1</v>
      </c>
      <c r="H1810" s="78" t="b">
        <f>IF(VLOOKUP(C1810,Projetos!A:L,12,false)=TRUE,TRUE,FALSE)</f>
        <v>1</v>
      </c>
      <c r="I1810" s="68">
        <v>23.36976525769054</v>
      </c>
      <c r="J1810" s="68">
        <f t="shared" si="1"/>
        <v>23.36976526</v>
      </c>
      <c r="K1810" s="68" t="b">
        <v>1</v>
      </c>
    </row>
    <row r="1811">
      <c r="A1811" s="75">
        <v>1805.0</v>
      </c>
      <c r="B1811" s="62" t="s">
        <v>755</v>
      </c>
      <c r="C1811" s="62" t="s">
        <v>90</v>
      </c>
      <c r="D1811" s="62" t="s">
        <v>1183</v>
      </c>
      <c r="E1811" s="76">
        <v>44162.0</v>
      </c>
      <c r="F1811" s="77">
        <v>0.020833333333333332</v>
      </c>
      <c r="G1811" s="62" t="b">
        <v>1</v>
      </c>
      <c r="H1811" s="78" t="b">
        <f>IF(VLOOKUP(C1811,Projetos!A:L,12,false)=TRUE,TRUE,FALSE)</f>
        <v>1</v>
      </c>
      <c r="I1811" s="68">
        <v>23.36976525769054</v>
      </c>
      <c r="J1811" s="68">
        <f t="shared" si="1"/>
        <v>11.68488263</v>
      </c>
      <c r="K1811" s="68" t="b">
        <v>1</v>
      </c>
    </row>
    <row r="1812">
      <c r="A1812" s="75">
        <v>1806.0</v>
      </c>
      <c r="B1812" s="62" t="s">
        <v>755</v>
      </c>
      <c r="C1812" s="62" t="s">
        <v>138</v>
      </c>
      <c r="D1812" s="62" t="s">
        <v>1184</v>
      </c>
      <c r="E1812" s="76">
        <v>44162.0</v>
      </c>
      <c r="F1812" s="77">
        <v>0.020833333333333332</v>
      </c>
      <c r="G1812" s="62" t="b">
        <v>1</v>
      </c>
      <c r="H1812" s="78" t="b">
        <f>IF(VLOOKUP(C1812,Projetos!A:L,12,false)=TRUE,TRUE,FALSE)</f>
        <v>1</v>
      </c>
      <c r="I1812" s="68">
        <v>23.36976525769054</v>
      </c>
      <c r="J1812" s="68">
        <f t="shared" si="1"/>
        <v>11.68488263</v>
      </c>
      <c r="K1812" s="68" t="b">
        <v>1</v>
      </c>
    </row>
    <row r="1813">
      <c r="A1813" s="75">
        <v>1807.0</v>
      </c>
      <c r="B1813" s="62" t="s">
        <v>755</v>
      </c>
      <c r="C1813" s="62" t="s">
        <v>90</v>
      </c>
      <c r="D1813" s="62" t="s">
        <v>1185</v>
      </c>
      <c r="E1813" s="76">
        <v>44162.0</v>
      </c>
      <c r="F1813" s="77">
        <v>0.041666666666666664</v>
      </c>
      <c r="G1813" s="62" t="b">
        <v>1</v>
      </c>
      <c r="H1813" s="78" t="b">
        <f>IF(VLOOKUP(C1813,Projetos!A:L,12,false)=TRUE,TRUE,FALSE)</f>
        <v>1</v>
      </c>
      <c r="I1813" s="68">
        <v>23.36976525769054</v>
      </c>
      <c r="J1813" s="68">
        <f t="shared" si="1"/>
        <v>23.36976526</v>
      </c>
      <c r="K1813" s="68" t="b">
        <v>1</v>
      </c>
    </row>
    <row r="1814">
      <c r="A1814" s="75">
        <v>1808.0</v>
      </c>
      <c r="B1814" s="62" t="s">
        <v>755</v>
      </c>
      <c r="C1814" s="62" t="s">
        <v>97</v>
      </c>
      <c r="D1814" s="62" t="s">
        <v>1186</v>
      </c>
      <c r="E1814" s="76">
        <v>44162.0</v>
      </c>
      <c r="F1814" s="77">
        <v>0.10416666666666667</v>
      </c>
      <c r="G1814" s="62" t="b">
        <v>1</v>
      </c>
      <c r="H1814" s="78" t="b">
        <f>IF(VLOOKUP(C1814,Projetos!A:L,12,false)=TRUE,TRUE,FALSE)</f>
        <v>1</v>
      </c>
      <c r="I1814" s="68">
        <v>23.36976525769054</v>
      </c>
      <c r="J1814" s="68">
        <f t="shared" si="1"/>
        <v>58.42441314</v>
      </c>
      <c r="K1814" s="68" t="b">
        <v>1</v>
      </c>
    </row>
    <row r="1815">
      <c r="A1815" s="75">
        <v>1809.0</v>
      </c>
      <c r="B1815" s="62" t="s">
        <v>755</v>
      </c>
      <c r="C1815" s="62" t="s">
        <v>97</v>
      </c>
      <c r="D1815" s="62" t="s">
        <v>1187</v>
      </c>
      <c r="E1815" s="76">
        <v>44162.0</v>
      </c>
      <c r="F1815" s="77">
        <v>0.020833333333333332</v>
      </c>
      <c r="G1815" s="62" t="b">
        <v>1</v>
      </c>
      <c r="H1815" s="78" t="b">
        <f>IF(VLOOKUP(C1815,Projetos!A:L,12,false)=TRUE,TRUE,FALSE)</f>
        <v>1</v>
      </c>
      <c r="I1815" s="68">
        <v>23.36976525769054</v>
      </c>
      <c r="J1815" s="68">
        <f t="shared" si="1"/>
        <v>11.68488263</v>
      </c>
      <c r="K1815" s="68" t="b">
        <v>1</v>
      </c>
    </row>
    <row r="1816">
      <c r="A1816" s="75">
        <v>1810.0</v>
      </c>
      <c r="B1816" s="62" t="s">
        <v>755</v>
      </c>
      <c r="C1816" s="62" t="s">
        <v>97</v>
      </c>
      <c r="D1816" s="62" t="s">
        <v>1188</v>
      </c>
      <c r="E1816" s="76">
        <v>44162.0</v>
      </c>
      <c r="F1816" s="77">
        <v>0.08333333333333333</v>
      </c>
      <c r="G1816" s="62" t="b">
        <v>1</v>
      </c>
      <c r="H1816" s="78" t="b">
        <f>IF(VLOOKUP(C1816,Projetos!A:L,12,false)=TRUE,TRUE,FALSE)</f>
        <v>1</v>
      </c>
      <c r="I1816" s="68">
        <v>23.36976525769054</v>
      </c>
      <c r="J1816" s="68">
        <f t="shared" si="1"/>
        <v>46.73953052</v>
      </c>
      <c r="K1816" s="68" t="b">
        <v>1</v>
      </c>
    </row>
    <row r="1817" hidden="1">
      <c r="A1817" s="75">
        <v>1811.0</v>
      </c>
      <c r="B1817" s="62" t="s">
        <v>755</v>
      </c>
      <c r="C1817" s="62" t="s">
        <v>109</v>
      </c>
      <c r="D1817" s="62" t="s">
        <v>1189</v>
      </c>
      <c r="E1817" s="76">
        <v>44165.0</v>
      </c>
      <c r="F1817" s="77">
        <v>0.0625</v>
      </c>
      <c r="G1817" s="62" t="b">
        <v>0</v>
      </c>
      <c r="H1817" s="78" t="b">
        <f>IF(VLOOKUP(C1817,Projetos!A:L,12,false)=TRUE,TRUE,FALSE)</f>
        <v>0</v>
      </c>
      <c r="I1817" s="68">
        <v>23.36976525769054</v>
      </c>
      <c r="J1817" s="68">
        <f t="shared" si="1"/>
        <v>0</v>
      </c>
      <c r="K1817" s="68" t="b">
        <v>0</v>
      </c>
    </row>
    <row r="1818">
      <c r="A1818" s="75">
        <v>1812.0</v>
      </c>
      <c r="B1818" s="62" t="s">
        <v>755</v>
      </c>
      <c r="C1818" s="62" t="s">
        <v>97</v>
      </c>
      <c r="D1818" s="62" t="s">
        <v>1190</v>
      </c>
      <c r="E1818" s="76">
        <v>44165.0</v>
      </c>
      <c r="F1818" s="77">
        <v>0.08333333333333333</v>
      </c>
      <c r="G1818" s="62" t="b">
        <v>1</v>
      </c>
      <c r="H1818" s="78" t="b">
        <f>IF(VLOOKUP(C1818,Projetos!A:L,12,false)=TRUE,TRUE,FALSE)</f>
        <v>1</v>
      </c>
      <c r="I1818" s="68">
        <v>23.36976525769054</v>
      </c>
      <c r="J1818" s="68">
        <f t="shared" si="1"/>
        <v>46.73953052</v>
      </c>
      <c r="K1818" s="68" t="b">
        <v>1</v>
      </c>
    </row>
    <row r="1819">
      <c r="A1819" s="75">
        <v>1813.0</v>
      </c>
      <c r="B1819" s="62" t="s">
        <v>755</v>
      </c>
      <c r="C1819" s="62" t="s">
        <v>97</v>
      </c>
      <c r="D1819" s="62" t="s">
        <v>1191</v>
      </c>
      <c r="E1819" s="76">
        <v>44165.0</v>
      </c>
      <c r="F1819" s="77">
        <v>0.20833333333333334</v>
      </c>
      <c r="G1819" s="62" t="b">
        <v>1</v>
      </c>
      <c r="H1819" s="78" t="b">
        <f>IF(VLOOKUP(C1819,Projetos!A:L,12,false)=TRUE,TRUE,FALSE)</f>
        <v>1</v>
      </c>
      <c r="I1819" s="68">
        <v>23.36976525769054</v>
      </c>
      <c r="J1819" s="68">
        <f t="shared" si="1"/>
        <v>116.8488263</v>
      </c>
      <c r="K1819" s="68" t="b">
        <v>1</v>
      </c>
    </row>
    <row r="1820" hidden="1">
      <c r="A1820" s="75">
        <v>1814.0</v>
      </c>
      <c r="B1820" s="62" t="s">
        <v>755</v>
      </c>
      <c r="C1820" s="62" t="s">
        <v>117</v>
      </c>
      <c r="D1820" s="62" t="s">
        <v>1192</v>
      </c>
      <c r="E1820" s="76">
        <v>44166.0</v>
      </c>
      <c r="F1820" s="77">
        <v>0.08333333333333333</v>
      </c>
      <c r="G1820" s="62" t="b">
        <v>0</v>
      </c>
      <c r="H1820" s="78" t="b">
        <f>IF(VLOOKUP(C1820,Projetos!A:L,12,false)=TRUE,TRUE,FALSE)</f>
        <v>0</v>
      </c>
      <c r="I1820" s="68">
        <v>24.48261122234247</v>
      </c>
      <c r="J1820" s="68">
        <f t="shared" si="1"/>
        <v>0</v>
      </c>
      <c r="K1820" s="68" t="b">
        <v>0</v>
      </c>
    </row>
    <row r="1821" hidden="1">
      <c r="A1821" s="75">
        <v>1815.0</v>
      </c>
      <c r="B1821" s="62" t="s">
        <v>755</v>
      </c>
      <c r="C1821" s="62" t="s">
        <v>88</v>
      </c>
      <c r="D1821" s="62" t="s">
        <v>1193</v>
      </c>
      <c r="E1821" s="76">
        <v>44166.0</v>
      </c>
      <c r="F1821" s="77">
        <v>0.08333333333333333</v>
      </c>
      <c r="G1821" s="62" t="b">
        <v>0</v>
      </c>
      <c r="H1821" s="78" t="b">
        <f>IF(VLOOKUP(C1821,Projetos!A:L,12,false)=TRUE,TRUE,FALSE)</f>
        <v>1</v>
      </c>
      <c r="I1821" s="68">
        <v>24.48261122234247</v>
      </c>
      <c r="J1821" s="68">
        <f t="shared" si="1"/>
        <v>0</v>
      </c>
      <c r="K1821" s="68" t="b">
        <v>1</v>
      </c>
    </row>
    <row r="1822">
      <c r="A1822" s="75">
        <v>1816.0</v>
      </c>
      <c r="B1822" s="62" t="s">
        <v>755</v>
      </c>
      <c r="C1822" s="62" t="s">
        <v>97</v>
      </c>
      <c r="D1822" s="62" t="s">
        <v>1194</v>
      </c>
      <c r="E1822" s="76">
        <v>44166.0</v>
      </c>
      <c r="F1822" s="77">
        <v>0.20833333333333334</v>
      </c>
      <c r="G1822" s="62" t="b">
        <v>1</v>
      </c>
      <c r="H1822" s="78" t="b">
        <f>IF(VLOOKUP(C1822,Projetos!A:L,12,false)=TRUE,TRUE,FALSE)</f>
        <v>1</v>
      </c>
      <c r="I1822" s="68">
        <v>24.48261122234247</v>
      </c>
      <c r="J1822" s="68">
        <f t="shared" si="1"/>
        <v>122.4130561</v>
      </c>
      <c r="K1822" s="68" t="b">
        <v>1</v>
      </c>
    </row>
    <row r="1823">
      <c r="A1823" s="75">
        <v>1817.0</v>
      </c>
      <c r="B1823" s="62" t="s">
        <v>755</v>
      </c>
      <c r="C1823" s="62" t="s">
        <v>104</v>
      </c>
      <c r="D1823" s="62" t="s">
        <v>1195</v>
      </c>
      <c r="E1823" s="76">
        <v>44167.0</v>
      </c>
      <c r="F1823" s="77">
        <v>0.020833333333333332</v>
      </c>
      <c r="G1823" s="62" t="b">
        <v>1</v>
      </c>
      <c r="H1823" s="78" t="b">
        <f>IF(VLOOKUP(C1823,Projetos!A:L,12,false)=TRUE,TRUE,FALSE)</f>
        <v>1</v>
      </c>
      <c r="I1823" s="68">
        <v>24.48261122234247</v>
      </c>
      <c r="J1823" s="68">
        <f t="shared" si="1"/>
        <v>12.24130561</v>
      </c>
      <c r="K1823" s="68" t="b">
        <v>1</v>
      </c>
    </row>
    <row r="1824">
      <c r="A1824" s="75">
        <v>1818.0</v>
      </c>
      <c r="B1824" s="62" t="s">
        <v>755</v>
      </c>
      <c r="C1824" s="62" t="s">
        <v>104</v>
      </c>
      <c r="D1824" s="62" t="s">
        <v>1196</v>
      </c>
      <c r="E1824" s="76">
        <v>44168.0</v>
      </c>
      <c r="F1824" s="77">
        <v>0.0625</v>
      </c>
      <c r="G1824" s="62" t="b">
        <v>1</v>
      </c>
      <c r="H1824" s="78" t="b">
        <f>IF(VLOOKUP(C1824,Projetos!A:L,12,false)=TRUE,TRUE,FALSE)</f>
        <v>1</v>
      </c>
      <c r="I1824" s="68">
        <v>24.48261122234247</v>
      </c>
      <c r="J1824" s="68">
        <f t="shared" si="1"/>
        <v>36.72391683</v>
      </c>
      <c r="K1824" s="68" t="b">
        <v>1</v>
      </c>
    </row>
    <row r="1825">
      <c r="A1825" s="75">
        <v>1819.0</v>
      </c>
      <c r="B1825" s="62" t="s">
        <v>755</v>
      </c>
      <c r="C1825" s="62" t="s">
        <v>90</v>
      </c>
      <c r="D1825" s="62" t="s">
        <v>1197</v>
      </c>
      <c r="E1825" s="76">
        <v>44169.0</v>
      </c>
      <c r="F1825" s="77">
        <v>0.10416666666666667</v>
      </c>
      <c r="G1825" s="62" t="b">
        <v>1</v>
      </c>
      <c r="H1825" s="78" t="b">
        <f>IF(VLOOKUP(C1825,Projetos!A:L,12,false)=TRUE,TRUE,FALSE)</f>
        <v>1</v>
      </c>
      <c r="I1825" s="68">
        <v>24.48261122234247</v>
      </c>
      <c r="J1825" s="68">
        <f t="shared" si="1"/>
        <v>61.20652806</v>
      </c>
      <c r="K1825" s="68" t="b">
        <v>1</v>
      </c>
    </row>
    <row r="1826">
      <c r="A1826" s="75">
        <v>1820.0</v>
      </c>
      <c r="B1826" s="62" t="s">
        <v>755</v>
      </c>
      <c r="C1826" s="62" t="s">
        <v>97</v>
      </c>
      <c r="D1826" s="62" t="s">
        <v>1198</v>
      </c>
      <c r="E1826" s="76">
        <v>44169.0</v>
      </c>
      <c r="F1826" s="77">
        <v>0.08333333333333333</v>
      </c>
      <c r="G1826" s="62" t="b">
        <v>1</v>
      </c>
      <c r="H1826" s="78" t="b">
        <f>IF(VLOOKUP(C1826,Projetos!A:L,12,false)=TRUE,TRUE,FALSE)</f>
        <v>1</v>
      </c>
      <c r="I1826" s="68">
        <v>24.48261122234247</v>
      </c>
      <c r="J1826" s="68">
        <f t="shared" si="1"/>
        <v>48.96522244</v>
      </c>
      <c r="K1826" s="68" t="b">
        <v>1</v>
      </c>
    </row>
    <row r="1827">
      <c r="A1827" s="75">
        <v>1821.0</v>
      </c>
      <c r="B1827" s="62" t="s">
        <v>755</v>
      </c>
      <c r="C1827" s="62" t="s">
        <v>97</v>
      </c>
      <c r="D1827" s="62" t="s">
        <v>1199</v>
      </c>
      <c r="E1827" s="76">
        <v>44169.0</v>
      </c>
      <c r="F1827" s="77">
        <v>0.020833333333333332</v>
      </c>
      <c r="G1827" s="62" t="b">
        <v>1</v>
      </c>
      <c r="H1827" s="78" t="b">
        <f>IF(VLOOKUP(C1827,Projetos!A:L,12,false)=TRUE,TRUE,FALSE)</f>
        <v>1</v>
      </c>
      <c r="I1827" s="68">
        <v>24.48261122234247</v>
      </c>
      <c r="J1827" s="68">
        <f t="shared" si="1"/>
        <v>12.24130561</v>
      </c>
      <c r="K1827" s="68" t="b">
        <v>1</v>
      </c>
    </row>
    <row r="1828">
      <c r="A1828" s="75">
        <v>1822.0</v>
      </c>
      <c r="B1828" s="62" t="s">
        <v>755</v>
      </c>
      <c r="C1828" s="62" t="s">
        <v>97</v>
      </c>
      <c r="D1828" s="62" t="s">
        <v>1200</v>
      </c>
      <c r="E1828" s="76">
        <v>44169.0</v>
      </c>
      <c r="F1828" s="77">
        <v>0.020833333333333332</v>
      </c>
      <c r="G1828" s="62" t="b">
        <v>1</v>
      </c>
      <c r="H1828" s="78" t="b">
        <f>IF(VLOOKUP(C1828,Projetos!A:L,12,false)=TRUE,TRUE,FALSE)</f>
        <v>1</v>
      </c>
      <c r="I1828" s="68">
        <v>24.48261122234247</v>
      </c>
      <c r="J1828" s="68">
        <f t="shared" si="1"/>
        <v>12.24130561</v>
      </c>
      <c r="K1828" s="68" t="b">
        <v>1</v>
      </c>
    </row>
    <row r="1829">
      <c r="A1829" s="75">
        <v>1823.0</v>
      </c>
      <c r="B1829" s="62" t="s">
        <v>755</v>
      </c>
      <c r="C1829" s="62" t="s">
        <v>97</v>
      </c>
      <c r="D1829" s="62" t="s">
        <v>1201</v>
      </c>
      <c r="E1829" s="76">
        <v>44169.0</v>
      </c>
      <c r="F1829" s="77">
        <v>0.041666666666666664</v>
      </c>
      <c r="G1829" s="62" t="b">
        <v>1</v>
      </c>
      <c r="H1829" s="78" t="b">
        <f>IF(VLOOKUP(C1829,Projetos!A:L,12,false)=TRUE,TRUE,FALSE)</f>
        <v>1</v>
      </c>
      <c r="I1829" s="68">
        <v>24.48261122234247</v>
      </c>
      <c r="J1829" s="68">
        <f t="shared" si="1"/>
        <v>24.48261122</v>
      </c>
      <c r="K1829" s="68" t="b">
        <v>1</v>
      </c>
    </row>
    <row r="1830">
      <c r="A1830" s="75">
        <v>1824.0</v>
      </c>
      <c r="B1830" s="62" t="s">
        <v>755</v>
      </c>
      <c r="C1830" s="62" t="s">
        <v>90</v>
      </c>
      <c r="D1830" s="62" t="s">
        <v>1202</v>
      </c>
      <c r="E1830" s="76">
        <v>44172.0</v>
      </c>
      <c r="F1830" s="77">
        <v>0.020833333333333332</v>
      </c>
      <c r="G1830" s="62" t="b">
        <v>1</v>
      </c>
      <c r="H1830" s="78" t="b">
        <f>IF(VLOOKUP(C1830,Projetos!A:L,12,false)=TRUE,TRUE,FALSE)</f>
        <v>1</v>
      </c>
      <c r="I1830" s="68">
        <v>24.48261122234247</v>
      </c>
      <c r="J1830" s="68">
        <f t="shared" si="1"/>
        <v>12.24130561</v>
      </c>
      <c r="K1830" s="68" t="b">
        <v>1</v>
      </c>
    </row>
    <row r="1831">
      <c r="A1831" s="75">
        <v>1825.0</v>
      </c>
      <c r="B1831" s="62" t="s">
        <v>755</v>
      </c>
      <c r="C1831" s="62" t="s">
        <v>90</v>
      </c>
      <c r="D1831" s="62" t="s">
        <v>874</v>
      </c>
      <c r="E1831" s="76">
        <v>44172.0</v>
      </c>
      <c r="F1831" s="77">
        <v>0.041666666666666664</v>
      </c>
      <c r="G1831" s="62" t="b">
        <v>1</v>
      </c>
      <c r="H1831" s="78" t="b">
        <f>IF(VLOOKUP(C1831,Projetos!A:L,12,false)=TRUE,TRUE,FALSE)</f>
        <v>1</v>
      </c>
      <c r="I1831" s="68">
        <v>24.48261122234247</v>
      </c>
      <c r="J1831" s="68">
        <f t="shared" si="1"/>
        <v>24.48261122</v>
      </c>
      <c r="K1831" s="68" t="b">
        <v>1</v>
      </c>
    </row>
    <row r="1832" hidden="1">
      <c r="A1832" s="75">
        <v>1826.0</v>
      </c>
      <c r="B1832" s="62" t="s">
        <v>755</v>
      </c>
      <c r="C1832" s="62" t="s">
        <v>89</v>
      </c>
      <c r="D1832" s="62" t="s">
        <v>1203</v>
      </c>
      <c r="E1832" s="76">
        <v>44172.0</v>
      </c>
      <c r="F1832" s="77">
        <v>0.0625</v>
      </c>
      <c r="G1832" s="62" t="b">
        <v>0</v>
      </c>
      <c r="H1832" s="78" t="b">
        <f>IF(VLOOKUP(C1832,Projetos!A:L,12,false)=TRUE,TRUE,FALSE)</f>
        <v>1</v>
      </c>
      <c r="I1832" s="68">
        <v>24.48261122234247</v>
      </c>
      <c r="J1832" s="68">
        <f t="shared" si="1"/>
        <v>0</v>
      </c>
      <c r="K1832" s="68" t="b">
        <v>1</v>
      </c>
    </row>
    <row r="1833" hidden="1">
      <c r="A1833" s="75">
        <v>1827.0</v>
      </c>
      <c r="B1833" s="62" t="s">
        <v>755</v>
      </c>
      <c r="C1833" s="62" t="s">
        <v>117</v>
      </c>
      <c r="D1833" s="62" t="s">
        <v>1204</v>
      </c>
      <c r="E1833" s="76">
        <v>44173.0</v>
      </c>
      <c r="F1833" s="77">
        <v>0.0625</v>
      </c>
      <c r="G1833" s="62" t="b">
        <v>0</v>
      </c>
      <c r="H1833" s="78" t="b">
        <f>IF(VLOOKUP(C1833,Projetos!A:L,12,false)=TRUE,TRUE,FALSE)</f>
        <v>0</v>
      </c>
      <c r="I1833" s="68">
        <v>24.48261122234247</v>
      </c>
      <c r="J1833" s="68">
        <f t="shared" si="1"/>
        <v>0</v>
      </c>
      <c r="K1833" s="68" t="b">
        <v>0</v>
      </c>
    </row>
    <row r="1834">
      <c r="A1834" s="75">
        <v>1828.0</v>
      </c>
      <c r="B1834" s="62" t="s">
        <v>755</v>
      </c>
      <c r="C1834" s="62" t="s">
        <v>104</v>
      </c>
      <c r="D1834" s="62" t="s">
        <v>1205</v>
      </c>
      <c r="E1834" s="76">
        <v>44173.0</v>
      </c>
      <c r="F1834" s="77">
        <v>0.125</v>
      </c>
      <c r="G1834" s="62" t="b">
        <v>1</v>
      </c>
      <c r="H1834" s="78" t="b">
        <f>IF(VLOOKUP(C1834,Projetos!A:L,12,false)=TRUE,TRUE,FALSE)</f>
        <v>1</v>
      </c>
      <c r="I1834" s="68">
        <v>24.48261122234247</v>
      </c>
      <c r="J1834" s="68">
        <f t="shared" si="1"/>
        <v>73.44783367</v>
      </c>
      <c r="K1834" s="68" t="b">
        <v>1</v>
      </c>
    </row>
    <row r="1835">
      <c r="A1835" s="75">
        <v>1829.0</v>
      </c>
      <c r="B1835" s="62" t="s">
        <v>755</v>
      </c>
      <c r="C1835" s="62" t="s">
        <v>90</v>
      </c>
      <c r="D1835" s="62" t="s">
        <v>874</v>
      </c>
      <c r="E1835" s="76">
        <v>44173.0</v>
      </c>
      <c r="F1835" s="77">
        <v>0.041666666666666664</v>
      </c>
      <c r="G1835" s="62" t="b">
        <v>1</v>
      </c>
      <c r="H1835" s="78" t="b">
        <f>IF(VLOOKUP(C1835,Projetos!A:L,12,false)=TRUE,TRUE,FALSE)</f>
        <v>1</v>
      </c>
      <c r="I1835" s="68">
        <v>24.48261122234247</v>
      </c>
      <c r="J1835" s="68">
        <f t="shared" si="1"/>
        <v>24.48261122</v>
      </c>
      <c r="K1835" s="68" t="b">
        <v>1</v>
      </c>
    </row>
    <row r="1836" hidden="1">
      <c r="A1836" s="75">
        <v>1830.0</v>
      </c>
      <c r="B1836" s="62" t="s">
        <v>755</v>
      </c>
      <c r="C1836" s="62" t="s">
        <v>109</v>
      </c>
      <c r="D1836" s="62" t="s">
        <v>1206</v>
      </c>
      <c r="E1836" s="76">
        <v>44174.0</v>
      </c>
      <c r="F1836" s="77">
        <v>0.020833333333333332</v>
      </c>
      <c r="G1836" s="62" t="b">
        <v>0</v>
      </c>
      <c r="H1836" s="78" t="b">
        <f>IF(VLOOKUP(C1836,Projetos!A:L,12,false)=TRUE,TRUE,FALSE)</f>
        <v>0</v>
      </c>
      <c r="I1836" s="68">
        <v>24.48261122234247</v>
      </c>
      <c r="J1836" s="68">
        <f t="shared" si="1"/>
        <v>0</v>
      </c>
      <c r="K1836" s="68" t="b">
        <v>0</v>
      </c>
    </row>
    <row r="1837">
      <c r="A1837" s="75">
        <v>1831.0</v>
      </c>
      <c r="B1837" s="62" t="s">
        <v>755</v>
      </c>
      <c r="C1837" s="62" t="s">
        <v>90</v>
      </c>
      <c r="D1837" s="62" t="s">
        <v>1207</v>
      </c>
      <c r="E1837" s="76">
        <v>44174.0</v>
      </c>
      <c r="F1837" s="77">
        <v>0.020833333333333332</v>
      </c>
      <c r="G1837" s="62" t="b">
        <v>1</v>
      </c>
      <c r="H1837" s="78" t="b">
        <f>IF(VLOOKUP(C1837,Projetos!A:L,12,false)=TRUE,TRUE,FALSE)</f>
        <v>1</v>
      </c>
      <c r="I1837" s="68">
        <v>24.48261122234247</v>
      </c>
      <c r="J1837" s="68">
        <f t="shared" si="1"/>
        <v>12.24130561</v>
      </c>
      <c r="K1837" s="68" t="b">
        <v>1</v>
      </c>
    </row>
    <row r="1838">
      <c r="A1838" s="75">
        <v>1832.0</v>
      </c>
      <c r="B1838" s="62" t="s">
        <v>755</v>
      </c>
      <c r="C1838" s="62" t="s">
        <v>90</v>
      </c>
      <c r="D1838" s="62" t="s">
        <v>874</v>
      </c>
      <c r="E1838" s="76">
        <v>44174.0</v>
      </c>
      <c r="F1838" s="77">
        <v>0.041666666666666664</v>
      </c>
      <c r="G1838" s="62" t="b">
        <v>1</v>
      </c>
      <c r="H1838" s="78" t="b">
        <f>IF(VLOOKUP(C1838,Projetos!A:L,12,false)=TRUE,TRUE,FALSE)</f>
        <v>1</v>
      </c>
      <c r="I1838" s="68">
        <v>24.48261122234247</v>
      </c>
      <c r="J1838" s="68">
        <f t="shared" si="1"/>
        <v>24.48261122</v>
      </c>
      <c r="K1838" s="68" t="b">
        <v>1</v>
      </c>
    </row>
    <row r="1839">
      <c r="A1839" s="75">
        <v>1833.0</v>
      </c>
      <c r="B1839" s="62" t="s">
        <v>755</v>
      </c>
      <c r="C1839" s="62" t="s">
        <v>90</v>
      </c>
      <c r="D1839" s="62" t="s">
        <v>1208</v>
      </c>
      <c r="E1839" s="76">
        <v>44175.0</v>
      </c>
      <c r="F1839" s="77">
        <v>0.041666666666666664</v>
      </c>
      <c r="G1839" s="62" t="b">
        <v>1</v>
      </c>
      <c r="H1839" s="78" t="b">
        <f>IF(VLOOKUP(C1839,Projetos!A:L,12,false)=TRUE,TRUE,FALSE)</f>
        <v>1</v>
      </c>
      <c r="I1839" s="68">
        <v>24.48261122234247</v>
      </c>
      <c r="J1839" s="68">
        <f t="shared" si="1"/>
        <v>24.48261122</v>
      </c>
      <c r="K1839" s="68" t="b">
        <v>1</v>
      </c>
    </row>
    <row r="1840">
      <c r="A1840" s="75">
        <v>1834.0</v>
      </c>
      <c r="B1840" s="62" t="s">
        <v>755</v>
      </c>
      <c r="C1840" s="62" t="s">
        <v>90</v>
      </c>
      <c r="D1840" s="62" t="s">
        <v>1209</v>
      </c>
      <c r="E1840" s="76">
        <v>44175.0</v>
      </c>
      <c r="F1840" s="77">
        <v>0.041666666666666664</v>
      </c>
      <c r="G1840" s="62" t="b">
        <v>1</v>
      </c>
      <c r="H1840" s="78" t="b">
        <f>IF(VLOOKUP(C1840,Projetos!A:L,12,false)=TRUE,TRUE,FALSE)</f>
        <v>1</v>
      </c>
      <c r="I1840" s="68">
        <v>24.48261122234247</v>
      </c>
      <c r="J1840" s="68">
        <f t="shared" si="1"/>
        <v>24.48261122</v>
      </c>
      <c r="K1840" s="68" t="b">
        <v>1</v>
      </c>
    </row>
    <row r="1841">
      <c r="A1841" s="75">
        <v>1835.0</v>
      </c>
      <c r="B1841" s="62" t="s">
        <v>755</v>
      </c>
      <c r="C1841" s="62" t="s">
        <v>90</v>
      </c>
      <c r="D1841" s="62" t="s">
        <v>1210</v>
      </c>
      <c r="E1841" s="76">
        <v>44175.0</v>
      </c>
      <c r="F1841" s="77">
        <v>0.041666666666666664</v>
      </c>
      <c r="G1841" s="62" t="b">
        <v>1</v>
      </c>
      <c r="H1841" s="78" t="b">
        <f>IF(VLOOKUP(C1841,Projetos!A:L,12,false)=TRUE,TRUE,FALSE)</f>
        <v>1</v>
      </c>
      <c r="I1841" s="68">
        <v>24.48261122234247</v>
      </c>
      <c r="J1841" s="68">
        <f t="shared" si="1"/>
        <v>24.48261122</v>
      </c>
      <c r="K1841" s="68" t="b">
        <v>1</v>
      </c>
    </row>
    <row r="1842">
      <c r="A1842" s="75">
        <v>1836.0</v>
      </c>
      <c r="B1842" s="62" t="s">
        <v>755</v>
      </c>
      <c r="C1842" s="62" t="s">
        <v>90</v>
      </c>
      <c r="D1842" s="62" t="s">
        <v>1211</v>
      </c>
      <c r="E1842" s="76">
        <v>44175.0</v>
      </c>
      <c r="F1842" s="77">
        <v>0.125</v>
      </c>
      <c r="G1842" s="62" t="b">
        <v>1</v>
      </c>
      <c r="H1842" s="78" t="b">
        <f>IF(VLOOKUP(C1842,Projetos!A:L,12,false)=TRUE,TRUE,FALSE)</f>
        <v>1</v>
      </c>
      <c r="I1842" s="68">
        <v>24.48261122234247</v>
      </c>
      <c r="J1842" s="68">
        <f t="shared" si="1"/>
        <v>73.44783367</v>
      </c>
      <c r="K1842" s="68" t="b">
        <v>1</v>
      </c>
    </row>
    <row r="1843" hidden="1">
      <c r="A1843" s="75">
        <v>1837.0</v>
      </c>
      <c r="B1843" s="62" t="s">
        <v>755</v>
      </c>
      <c r="C1843" s="62" t="s">
        <v>97</v>
      </c>
      <c r="D1843" s="62" t="s">
        <v>1212</v>
      </c>
      <c r="E1843" s="76">
        <v>44179.0</v>
      </c>
      <c r="F1843" s="77">
        <v>0.0625</v>
      </c>
      <c r="G1843" s="62" t="b">
        <v>0</v>
      </c>
      <c r="H1843" s="78" t="b">
        <f>IF(VLOOKUP(C1843,Projetos!A:L,12,false)=TRUE,TRUE,FALSE)</f>
        <v>1</v>
      </c>
      <c r="I1843" s="68">
        <v>24.48261122234247</v>
      </c>
      <c r="J1843" s="68">
        <f t="shared" si="1"/>
        <v>0</v>
      </c>
      <c r="K1843" s="68" t="b">
        <v>1</v>
      </c>
    </row>
    <row r="1844" hidden="1">
      <c r="A1844" s="75">
        <v>1838.0</v>
      </c>
      <c r="B1844" s="62" t="s">
        <v>755</v>
      </c>
      <c r="C1844" s="62" t="s">
        <v>104</v>
      </c>
      <c r="D1844" s="62" t="s">
        <v>1213</v>
      </c>
      <c r="E1844" s="76">
        <v>44179.0</v>
      </c>
      <c r="F1844" s="77">
        <v>0.041666666666666664</v>
      </c>
      <c r="G1844" s="62" t="b">
        <v>0</v>
      </c>
      <c r="H1844" s="78" t="b">
        <f>IF(VLOOKUP(C1844,Projetos!A:L,12,false)=TRUE,TRUE,FALSE)</f>
        <v>1</v>
      </c>
      <c r="I1844" s="68">
        <v>24.48261122234247</v>
      </c>
      <c r="J1844" s="68">
        <f t="shared" si="1"/>
        <v>0</v>
      </c>
      <c r="K1844" s="68" t="b">
        <v>1</v>
      </c>
    </row>
    <row r="1845">
      <c r="A1845" s="75">
        <v>1839.0</v>
      </c>
      <c r="B1845" s="62" t="s">
        <v>755</v>
      </c>
      <c r="C1845" s="62" t="s">
        <v>90</v>
      </c>
      <c r="D1845" s="62" t="s">
        <v>1214</v>
      </c>
      <c r="E1845" s="76">
        <v>44179.0</v>
      </c>
      <c r="F1845" s="77">
        <v>0.0625</v>
      </c>
      <c r="G1845" s="62" t="b">
        <v>1</v>
      </c>
      <c r="H1845" s="78" t="b">
        <f>IF(VLOOKUP(C1845,Projetos!A:L,12,false)=TRUE,TRUE,FALSE)</f>
        <v>1</v>
      </c>
      <c r="I1845" s="68">
        <v>24.48261122234247</v>
      </c>
      <c r="J1845" s="68">
        <f t="shared" si="1"/>
        <v>36.72391683</v>
      </c>
      <c r="K1845" s="68" t="b">
        <v>1</v>
      </c>
    </row>
    <row r="1846" hidden="1">
      <c r="A1846" s="75">
        <v>1840.0</v>
      </c>
      <c r="B1846" s="62" t="s">
        <v>755</v>
      </c>
      <c r="C1846" s="62" t="s">
        <v>109</v>
      </c>
      <c r="D1846" s="62" t="s">
        <v>1215</v>
      </c>
      <c r="E1846" s="76">
        <v>44180.0</v>
      </c>
      <c r="F1846" s="77">
        <v>0.020833333333333332</v>
      </c>
      <c r="G1846" s="62" t="b">
        <v>0</v>
      </c>
      <c r="H1846" s="78" t="b">
        <f>IF(VLOOKUP(C1846,Projetos!A:L,12,false)=TRUE,TRUE,FALSE)</f>
        <v>0</v>
      </c>
      <c r="I1846" s="68">
        <v>24.48261122234247</v>
      </c>
      <c r="J1846" s="68">
        <f t="shared" si="1"/>
        <v>0</v>
      </c>
      <c r="K1846" s="68" t="b">
        <v>0</v>
      </c>
    </row>
    <row r="1847">
      <c r="A1847" s="75">
        <v>1841.0</v>
      </c>
      <c r="B1847" s="62" t="s">
        <v>755</v>
      </c>
      <c r="C1847" s="62" t="s">
        <v>90</v>
      </c>
      <c r="D1847" s="62" t="s">
        <v>1216</v>
      </c>
      <c r="E1847" s="76">
        <v>44180.0</v>
      </c>
      <c r="F1847" s="77">
        <v>0.0625</v>
      </c>
      <c r="G1847" s="62" t="b">
        <v>1</v>
      </c>
      <c r="H1847" s="78" t="b">
        <f>IF(VLOOKUP(C1847,Projetos!A:L,12,false)=TRUE,TRUE,FALSE)</f>
        <v>1</v>
      </c>
      <c r="I1847" s="68">
        <v>24.48261122234247</v>
      </c>
      <c r="J1847" s="68">
        <f t="shared" si="1"/>
        <v>36.72391683</v>
      </c>
      <c r="K1847" s="68" t="b">
        <v>1</v>
      </c>
    </row>
    <row r="1848">
      <c r="A1848" s="75">
        <v>1842.0</v>
      </c>
      <c r="B1848" s="62" t="s">
        <v>755</v>
      </c>
      <c r="C1848" s="62" t="s">
        <v>90</v>
      </c>
      <c r="D1848" s="62" t="s">
        <v>1217</v>
      </c>
      <c r="E1848" s="76">
        <v>44180.0</v>
      </c>
      <c r="F1848" s="77">
        <v>0.020833333333333332</v>
      </c>
      <c r="G1848" s="62" t="b">
        <v>1</v>
      </c>
      <c r="H1848" s="78" t="b">
        <f>IF(VLOOKUP(C1848,Projetos!A:L,12,false)=TRUE,TRUE,FALSE)</f>
        <v>1</v>
      </c>
      <c r="I1848" s="68">
        <v>24.48261122234247</v>
      </c>
      <c r="J1848" s="68">
        <f t="shared" si="1"/>
        <v>12.24130561</v>
      </c>
      <c r="K1848" s="68" t="b">
        <v>1</v>
      </c>
    </row>
    <row r="1849">
      <c r="A1849" s="75">
        <v>1843.0</v>
      </c>
      <c r="B1849" s="62" t="s">
        <v>755</v>
      </c>
      <c r="C1849" s="62" t="s">
        <v>90</v>
      </c>
      <c r="D1849" s="62" t="s">
        <v>1218</v>
      </c>
      <c r="E1849" s="76">
        <v>44181.0</v>
      </c>
      <c r="F1849" s="77">
        <v>0.0625</v>
      </c>
      <c r="G1849" s="62" t="b">
        <v>1</v>
      </c>
      <c r="H1849" s="78" t="b">
        <f>IF(VLOOKUP(C1849,Projetos!A:L,12,false)=TRUE,TRUE,FALSE)</f>
        <v>1</v>
      </c>
      <c r="I1849" s="68">
        <v>24.48261122234247</v>
      </c>
      <c r="J1849" s="68">
        <f t="shared" si="1"/>
        <v>36.72391683</v>
      </c>
      <c r="K1849" s="68" t="b">
        <v>1</v>
      </c>
    </row>
    <row r="1850">
      <c r="A1850" s="75">
        <v>1844.0</v>
      </c>
      <c r="B1850" s="62" t="s">
        <v>755</v>
      </c>
      <c r="C1850" s="62" t="s">
        <v>90</v>
      </c>
      <c r="D1850" s="62" t="s">
        <v>1219</v>
      </c>
      <c r="E1850" s="76">
        <v>44181.0</v>
      </c>
      <c r="F1850" s="77">
        <v>0.0625</v>
      </c>
      <c r="G1850" s="62" t="b">
        <v>1</v>
      </c>
      <c r="H1850" s="78" t="b">
        <f>IF(VLOOKUP(C1850,Projetos!A:L,12,false)=TRUE,TRUE,FALSE)</f>
        <v>1</v>
      </c>
      <c r="I1850" s="68">
        <v>24.48261122234247</v>
      </c>
      <c r="J1850" s="68">
        <f t="shared" si="1"/>
        <v>36.72391683</v>
      </c>
      <c r="K1850" s="68" t="b">
        <v>1</v>
      </c>
    </row>
    <row r="1851">
      <c r="A1851" s="75">
        <v>1845.0</v>
      </c>
      <c r="B1851" s="62" t="s">
        <v>755</v>
      </c>
      <c r="C1851" s="62" t="s">
        <v>97</v>
      </c>
      <c r="D1851" s="62" t="s">
        <v>1220</v>
      </c>
      <c r="E1851" s="76">
        <v>44181.0</v>
      </c>
      <c r="F1851" s="77">
        <v>0.10416666666666667</v>
      </c>
      <c r="G1851" s="62" t="b">
        <v>1</v>
      </c>
      <c r="H1851" s="78" t="b">
        <f>IF(VLOOKUP(C1851,Projetos!A:L,12,false)=TRUE,TRUE,FALSE)</f>
        <v>1</v>
      </c>
      <c r="I1851" s="68">
        <v>24.48261122234247</v>
      </c>
      <c r="J1851" s="68">
        <f t="shared" si="1"/>
        <v>61.20652806</v>
      </c>
      <c r="K1851" s="68" t="b">
        <v>1</v>
      </c>
    </row>
    <row r="1852">
      <c r="A1852" s="75">
        <v>1846.0</v>
      </c>
      <c r="B1852" s="62" t="s">
        <v>755</v>
      </c>
      <c r="C1852" s="62" t="s">
        <v>90</v>
      </c>
      <c r="D1852" s="62" t="s">
        <v>1221</v>
      </c>
      <c r="E1852" s="76">
        <v>44181.0</v>
      </c>
      <c r="F1852" s="77">
        <v>0.020833333333333332</v>
      </c>
      <c r="G1852" s="62" t="b">
        <v>1</v>
      </c>
      <c r="H1852" s="78" t="b">
        <f>IF(VLOOKUP(C1852,Projetos!A:L,12,false)=TRUE,TRUE,FALSE)</f>
        <v>1</v>
      </c>
      <c r="I1852" s="68">
        <v>24.48261122234247</v>
      </c>
      <c r="J1852" s="68">
        <f t="shared" si="1"/>
        <v>12.24130561</v>
      </c>
      <c r="K1852" s="68" t="b">
        <v>1</v>
      </c>
    </row>
    <row r="1853">
      <c r="A1853" s="75">
        <v>1847.0</v>
      </c>
      <c r="B1853" s="62" t="s">
        <v>755</v>
      </c>
      <c r="C1853" s="62" t="s">
        <v>90</v>
      </c>
      <c r="D1853" s="62" t="s">
        <v>874</v>
      </c>
      <c r="E1853" s="76">
        <v>44181.0</v>
      </c>
      <c r="F1853" s="77">
        <v>0.041666666666666664</v>
      </c>
      <c r="G1853" s="62" t="b">
        <v>1</v>
      </c>
      <c r="H1853" s="78" t="b">
        <f>IF(VLOOKUP(C1853,Projetos!A:L,12,false)=TRUE,TRUE,FALSE)</f>
        <v>1</v>
      </c>
      <c r="I1853" s="68">
        <v>24.48261122234247</v>
      </c>
      <c r="J1853" s="68">
        <f t="shared" si="1"/>
        <v>24.48261122</v>
      </c>
      <c r="K1853" s="68" t="b">
        <v>1</v>
      </c>
    </row>
    <row r="1854" hidden="1">
      <c r="A1854" s="75">
        <v>1848.0</v>
      </c>
      <c r="B1854" s="62" t="s">
        <v>755</v>
      </c>
      <c r="C1854" s="62" t="s">
        <v>117</v>
      </c>
      <c r="D1854" s="62" t="s">
        <v>1222</v>
      </c>
      <c r="E1854" s="76">
        <v>44182.0</v>
      </c>
      <c r="F1854" s="77">
        <v>0.08333333333333333</v>
      </c>
      <c r="G1854" s="62" t="b">
        <v>0</v>
      </c>
      <c r="H1854" s="78" t="b">
        <f>IF(VLOOKUP(C1854,Projetos!A:L,12,false)=TRUE,TRUE,FALSE)</f>
        <v>0</v>
      </c>
      <c r="I1854" s="68">
        <v>24.48261122234247</v>
      </c>
      <c r="J1854" s="68">
        <f t="shared" si="1"/>
        <v>0</v>
      </c>
      <c r="K1854" s="68" t="b">
        <v>0</v>
      </c>
    </row>
    <row r="1855">
      <c r="A1855" s="75">
        <v>1849.0</v>
      </c>
      <c r="B1855" s="62" t="s">
        <v>755</v>
      </c>
      <c r="C1855" s="62" t="s">
        <v>116</v>
      </c>
      <c r="D1855" s="62" t="s">
        <v>1223</v>
      </c>
      <c r="E1855" s="76">
        <v>44182.0</v>
      </c>
      <c r="F1855" s="77">
        <v>0.0625</v>
      </c>
      <c r="G1855" s="62" t="b">
        <v>1</v>
      </c>
      <c r="H1855" s="78" t="b">
        <f>IF(VLOOKUP(C1855,Projetos!A:L,12,false)=TRUE,TRUE,FALSE)</f>
        <v>1</v>
      </c>
      <c r="I1855" s="68">
        <v>24.48261122234247</v>
      </c>
      <c r="J1855" s="68">
        <f t="shared" si="1"/>
        <v>36.72391683</v>
      </c>
      <c r="K1855" s="68" t="b">
        <v>1</v>
      </c>
    </row>
    <row r="1856">
      <c r="A1856" s="75">
        <v>1850.0</v>
      </c>
      <c r="B1856" s="62" t="s">
        <v>755</v>
      </c>
      <c r="C1856" s="62" t="s">
        <v>104</v>
      </c>
      <c r="D1856" s="62" t="s">
        <v>1044</v>
      </c>
      <c r="E1856" s="76">
        <v>44182.0</v>
      </c>
      <c r="F1856" s="77">
        <v>0.041666666666666664</v>
      </c>
      <c r="G1856" s="62" t="b">
        <v>1</v>
      </c>
      <c r="H1856" s="78" t="b">
        <f>IF(VLOOKUP(C1856,Projetos!A:L,12,false)=TRUE,TRUE,FALSE)</f>
        <v>1</v>
      </c>
      <c r="I1856" s="68">
        <v>24.48261122234247</v>
      </c>
      <c r="J1856" s="68">
        <f t="shared" si="1"/>
        <v>24.48261122</v>
      </c>
      <c r="K1856" s="68" t="b">
        <v>1</v>
      </c>
    </row>
    <row r="1857">
      <c r="A1857" s="75">
        <v>1851.0</v>
      </c>
      <c r="B1857" s="62" t="s">
        <v>755</v>
      </c>
      <c r="C1857" s="62" t="s">
        <v>104</v>
      </c>
      <c r="D1857" s="62" t="s">
        <v>1224</v>
      </c>
      <c r="E1857" s="76">
        <v>44182.0</v>
      </c>
      <c r="F1857" s="77">
        <v>0.041666666666666664</v>
      </c>
      <c r="G1857" s="62" t="b">
        <v>1</v>
      </c>
      <c r="H1857" s="78" t="b">
        <f>IF(VLOOKUP(C1857,Projetos!A:L,12,false)=TRUE,TRUE,FALSE)</f>
        <v>1</v>
      </c>
      <c r="I1857" s="68">
        <v>24.48261122234247</v>
      </c>
      <c r="J1857" s="68">
        <f t="shared" si="1"/>
        <v>24.48261122</v>
      </c>
      <c r="K1857" s="68" t="b">
        <v>1</v>
      </c>
    </row>
    <row r="1858">
      <c r="A1858" s="75">
        <v>1852.0</v>
      </c>
      <c r="B1858" s="62" t="s">
        <v>755</v>
      </c>
      <c r="C1858" s="62" t="s">
        <v>104</v>
      </c>
      <c r="D1858" s="62" t="s">
        <v>1225</v>
      </c>
      <c r="E1858" s="76">
        <v>44183.0</v>
      </c>
      <c r="F1858" s="77">
        <v>0.041666666666666664</v>
      </c>
      <c r="G1858" s="62" t="b">
        <v>1</v>
      </c>
      <c r="H1858" s="78" t="b">
        <f>IF(VLOOKUP(C1858,Projetos!A:L,12,false)=TRUE,TRUE,FALSE)</f>
        <v>1</v>
      </c>
      <c r="I1858" s="68">
        <v>24.48261122234247</v>
      </c>
      <c r="J1858" s="68">
        <f t="shared" si="1"/>
        <v>24.48261122</v>
      </c>
      <c r="K1858" s="68" t="b">
        <v>1</v>
      </c>
    </row>
    <row r="1859" hidden="1">
      <c r="A1859" s="75">
        <v>1853.0</v>
      </c>
      <c r="B1859" s="62" t="s">
        <v>755</v>
      </c>
      <c r="C1859" s="62" t="s">
        <v>109</v>
      </c>
      <c r="D1859" s="62" t="s">
        <v>1226</v>
      </c>
      <c r="E1859" s="76">
        <v>44183.0</v>
      </c>
      <c r="F1859" s="77">
        <v>0.020833333333333332</v>
      </c>
      <c r="G1859" s="62" t="b">
        <v>0</v>
      </c>
      <c r="H1859" s="78" t="b">
        <f>IF(VLOOKUP(C1859,Projetos!A:L,12,false)=TRUE,TRUE,FALSE)</f>
        <v>0</v>
      </c>
      <c r="I1859" s="68">
        <v>24.48261122234247</v>
      </c>
      <c r="J1859" s="68">
        <f t="shared" si="1"/>
        <v>0</v>
      </c>
      <c r="K1859" s="68" t="b">
        <v>0</v>
      </c>
    </row>
    <row r="1860">
      <c r="A1860" s="75">
        <v>1854.0</v>
      </c>
      <c r="B1860" s="62" t="s">
        <v>755</v>
      </c>
      <c r="C1860" s="62" t="s">
        <v>104</v>
      </c>
      <c r="D1860" s="62" t="s">
        <v>1227</v>
      </c>
      <c r="E1860" s="76">
        <v>44183.0</v>
      </c>
      <c r="F1860" s="77">
        <v>0.020833333333333332</v>
      </c>
      <c r="G1860" s="62" t="b">
        <v>1</v>
      </c>
      <c r="H1860" s="78" t="b">
        <f>IF(VLOOKUP(C1860,Projetos!A:L,12,false)=TRUE,TRUE,FALSE)</f>
        <v>1</v>
      </c>
      <c r="I1860" s="68">
        <v>24.48261122234247</v>
      </c>
      <c r="J1860" s="68">
        <f t="shared" si="1"/>
        <v>12.24130561</v>
      </c>
      <c r="K1860" s="68" t="b">
        <v>1</v>
      </c>
    </row>
    <row r="1861">
      <c r="A1861" s="75">
        <v>1855.0</v>
      </c>
      <c r="B1861" s="62" t="s">
        <v>755</v>
      </c>
      <c r="C1861" s="62" t="s">
        <v>90</v>
      </c>
      <c r="D1861" s="62" t="s">
        <v>1228</v>
      </c>
      <c r="E1861" s="76">
        <v>44183.0</v>
      </c>
      <c r="F1861" s="77">
        <v>0.041666666666666664</v>
      </c>
      <c r="G1861" s="62" t="b">
        <v>1</v>
      </c>
      <c r="H1861" s="78" t="b">
        <f>IF(VLOOKUP(C1861,Projetos!A:L,12,false)=TRUE,TRUE,FALSE)</f>
        <v>1</v>
      </c>
      <c r="I1861" s="68">
        <v>24.48261122234247</v>
      </c>
      <c r="J1861" s="68">
        <f t="shared" si="1"/>
        <v>24.48261122</v>
      </c>
      <c r="K1861" s="68" t="b">
        <v>1</v>
      </c>
    </row>
    <row r="1862" hidden="1">
      <c r="A1862" s="75">
        <v>1856.0</v>
      </c>
      <c r="B1862" s="62" t="s">
        <v>755</v>
      </c>
      <c r="C1862" s="62" t="s">
        <v>102</v>
      </c>
      <c r="D1862" s="62" t="s">
        <v>1229</v>
      </c>
      <c r="E1862" s="76">
        <v>44183.0</v>
      </c>
      <c r="F1862" s="77">
        <v>0.020833333333333332</v>
      </c>
      <c r="G1862" s="62" t="b">
        <v>0</v>
      </c>
      <c r="H1862" s="78" t="b">
        <f>IF(VLOOKUP(C1862,Projetos!A:L,12,false)=TRUE,TRUE,FALSE)</f>
        <v>0</v>
      </c>
      <c r="I1862" s="68">
        <v>24.48261122234247</v>
      </c>
      <c r="J1862" s="68">
        <f t="shared" si="1"/>
        <v>0</v>
      </c>
      <c r="K1862" s="68" t="b">
        <v>0</v>
      </c>
    </row>
    <row r="1863">
      <c r="A1863" s="75">
        <v>1857.0</v>
      </c>
      <c r="B1863" s="62" t="s">
        <v>755</v>
      </c>
      <c r="C1863" s="62" t="s">
        <v>90</v>
      </c>
      <c r="D1863" s="62" t="s">
        <v>874</v>
      </c>
      <c r="E1863" s="76">
        <v>44186.0</v>
      </c>
      <c r="F1863" s="77">
        <v>0.041666666666666664</v>
      </c>
      <c r="G1863" s="62" t="b">
        <v>1</v>
      </c>
      <c r="H1863" s="78" t="b">
        <f>IF(VLOOKUP(C1863,Projetos!A:L,12,false)=TRUE,TRUE,FALSE)</f>
        <v>1</v>
      </c>
      <c r="I1863" s="68">
        <v>24.48261122234247</v>
      </c>
      <c r="J1863" s="68">
        <f t="shared" si="1"/>
        <v>24.48261122</v>
      </c>
      <c r="K1863" s="68" t="b">
        <v>1</v>
      </c>
    </row>
    <row r="1864">
      <c r="A1864" s="75">
        <v>1858.0</v>
      </c>
      <c r="B1864" s="62" t="s">
        <v>755</v>
      </c>
      <c r="C1864" s="62" t="s">
        <v>90</v>
      </c>
      <c r="D1864" s="62" t="s">
        <v>1230</v>
      </c>
      <c r="E1864" s="76">
        <v>44186.0</v>
      </c>
      <c r="F1864" s="77">
        <v>0.020833333333333332</v>
      </c>
      <c r="G1864" s="62" t="b">
        <v>1</v>
      </c>
      <c r="H1864" s="78" t="b">
        <f>IF(VLOOKUP(C1864,Projetos!A:L,12,false)=TRUE,TRUE,FALSE)</f>
        <v>1</v>
      </c>
      <c r="I1864" s="68">
        <v>24.48261122234247</v>
      </c>
      <c r="J1864" s="68">
        <f t="shared" si="1"/>
        <v>12.24130561</v>
      </c>
      <c r="K1864" s="68" t="b">
        <v>1</v>
      </c>
    </row>
    <row r="1865" hidden="1">
      <c r="A1865" s="75">
        <v>1859.0</v>
      </c>
      <c r="B1865" s="62" t="s">
        <v>755</v>
      </c>
      <c r="C1865" s="62" t="s">
        <v>110</v>
      </c>
      <c r="D1865" s="62" t="s">
        <v>1231</v>
      </c>
      <c r="E1865" s="76">
        <v>44186.0</v>
      </c>
      <c r="F1865" s="77">
        <v>0.0625</v>
      </c>
      <c r="G1865" s="62" t="b">
        <v>0</v>
      </c>
      <c r="H1865" s="78" t="b">
        <f>IF(VLOOKUP(C1865,Projetos!A:L,12,false)=TRUE,TRUE,FALSE)</f>
        <v>1</v>
      </c>
      <c r="I1865" s="68">
        <v>24.48261122234247</v>
      </c>
      <c r="J1865" s="68">
        <f t="shared" si="1"/>
        <v>0</v>
      </c>
      <c r="K1865" s="68" t="b">
        <v>1</v>
      </c>
    </row>
    <row r="1866">
      <c r="A1866" s="75">
        <v>1860.0</v>
      </c>
      <c r="B1866" s="62" t="s">
        <v>755</v>
      </c>
      <c r="C1866" s="62" t="s">
        <v>104</v>
      </c>
      <c r="D1866" s="62" t="s">
        <v>1232</v>
      </c>
      <c r="E1866" s="76">
        <v>44186.0</v>
      </c>
      <c r="F1866" s="77">
        <v>0.041666666666666664</v>
      </c>
      <c r="G1866" s="62" t="b">
        <v>1</v>
      </c>
      <c r="H1866" s="78" t="b">
        <f>IF(VLOOKUP(C1866,Projetos!A:L,12,false)=TRUE,TRUE,FALSE)</f>
        <v>1</v>
      </c>
      <c r="I1866" s="68">
        <v>24.48261122234247</v>
      </c>
      <c r="J1866" s="68">
        <f t="shared" si="1"/>
        <v>24.48261122</v>
      </c>
      <c r="K1866" s="68" t="b">
        <v>1</v>
      </c>
    </row>
    <row r="1867">
      <c r="A1867" s="75">
        <v>1861.0</v>
      </c>
      <c r="B1867" s="62" t="s">
        <v>755</v>
      </c>
      <c r="C1867" s="62" t="s">
        <v>90</v>
      </c>
      <c r="D1867" s="62" t="s">
        <v>1233</v>
      </c>
      <c r="E1867" s="76">
        <v>44186.0</v>
      </c>
      <c r="F1867" s="77">
        <v>0.020833333333333332</v>
      </c>
      <c r="G1867" s="62" t="b">
        <v>1</v>
      </c>
      <c r="H1867" s="78" t="b">
        <f>IF(VLOOKUP(C1867,Projetos!A:L,12,false)=TRUE,TRUE,FALSE)</f>
        <v>1</v>
      </c>
      <c r="I1867" s="68">
        <v>24.48261122234247</v>
      </c>
      <c r="J1867" s="68">
        <f t="shared" si="1"/>
        <v>12.24130561</v>
      </c>
      <c r="K1867" s="68" t="b">
        <v>1</v>
      </c>
    </row>
    <row r="1868">
      <c r="A1868" s="75">
        <v>1862.0</v>
      </c>
      <c r="B1868" s="62" t="s">
        <v>755</v>
      </c>
      <c r="C1868" s="62" t="s">
        <v>90</v>
      </c>
      <c r="D1868" s="62" t="s">
        <v>1234</v>
      </c>
      <c r="E1868" s="76">
        <v>44187.0</v>
      </c>
      <c r="F1868" s="77">
        <v>0.041666666666666664</v>
      </c>
      <c r="G1868" s="62" t="b">
        <v>1</v>
      </c>
      <c r="H1868" s="78" t="b">
        <f>IF(VLOOKUP(C1868,Projetos!A:L,12,false)=TRUE,TRUE,FALSE)</f>
        <v>1</v>
      </c>
      <c r="I1868" s="68">
        <v>24.48261122234247</v>
      </c>
      <c r="J1868" s="68">
        <f t="shared" si="1"/>
        <v>24.48261122</v>
      </c>
      <c r="K1868" s="68" t="b">
        <v>1</v>
      </c>
    </row>
    <row r="1869">
      <c r="A1869" s="75">
        <v>1863.0</v>
      </c>
      <c r="B1869" s="62" t="s">
        <v>755</v>
      </c>
      <c r="C1869" s="62" t="s">
        <v>90</v>
      </c>
      <c r="D1869" s="62" t="s">
        <v>1235</v>
      </c>
      <c r="E1869" s="76">
        <v>44187.0</v>
      </c>
      <c r="F1869" s="77">
        <v>0.041666666666666664</v>
      </c>
      <c r="G1869" s="62" t="b">
        <v>1</v>
      </c>
      <c r="H1869" s="78" t="b">
        <f>IF(VLOOKUP(C1869,Projetos!A:L,12,false)=TRUE,TRUE,FALSE)</f>
        <v>1</v>
      </c>
      <c r="I1869" s="68">
        <v>24.48261122234247</v>
      </c>
      <c r="J1869" s="68">
        <f t="shared" si="1"/>
        <v>24.48261122</v>
      </c>
      <c r="K1869" s="68" t="b">
        <v>1</v>
      </c>
    </row>
    <row r="1870">
      <c r="A1870" s="75">
        <v>1864.0</v>
      </c>
      <c r="B1870" s="62" t="s">
        <v>755</v>
      </c>
      <c r="C1870" s="62" t="s">
        <v>90</v>
      </c>
      <c r="D1870" s="62" t="s">
        <v>1236</v>
      </c>
      <c r="E1870" s="76">
        <v>44187.0</v>
      </c>
      <c r="F1870" s="77">
        <v>0.041666666666666664</v>
      </c>
      <c r="G1870" s="62" t="b">
        <v>1</v>
      </c>
      <c r="H1870" s="78" t="b">
        <f>IF(VLOOKUP(C1870,Projetos!A:L,12,false)=TRUE,TRUE,FALSE)</f>
        <v>1</v>
      </c>
      <c r="I1870" s="68">
        <v>24.48261122234247</v>
      </c>
      <c r="J1870" s="68">
        <f t="shared" si="1"/>
        <v>24.48261122</v>
      </c>
      <c r="K1870" s="68" t="b">
        <v>1</v>
      </c>
    </row>
    <row r="1871">
      <c r="A1871" s="75">
        <v>1865.0</v>
      </c>
      <c r="B1871" s="62" t="s">
        <v>755</v>
      </c>
      <c r="C1871" s="62" t="s">
        <v>90</v>
      </c>
      <c r="D1871" s="62" t="s">
        <v>874</v>
      </c>
      <c r="E1871" s="76">
        <v>44187.0</v>
      </c>
      <c r="F1871" s="77">
        <v>0.041666666666666664</v>
      </c>
      <c r="G1871" s="62" t="b">
        <v>1</v>
      </c>
      <c r="H1871" s="78" t="b">
        <f>IF(VLOOKUP(C1871,Projetos!A:L,12,false)=TRUE,TRUE,FALSE)</f>
        <v>1</v>
      </c>
      <c r="I1871" s="68">
        <v>24.48261122234247</v>
      </c>
      <c r="J1871" s="68">
        <f t="shared" si="1"/>
        <v>24.48261122</v>
      </c>
      <c r="K1871" s="68" t="b">
        <v>1</v>
      </c>
    </row>
    <row r="1872">
      <c r="A1872" s="75">
        <v>1866.0</v>
      </c>
      <c r="B1872" s="62" t="s">
        <v>755</v>
      </c>
      <c r="C1872" s="62" t="s">
        <v>90</v>
      </c>
      <c r="D1872" s="62" t="s">
        <v>1214</v>
      </c>
      <c r="E1872" s="76">
        <v>44187.0</v>
      </c>
      <c r="F1872" s="77">
        <v>0.041666666666666664</v>
      </c>
      <c r="G1872" s="62" t="b">
        <v>1</v>
      </c>
      <c r="H1872" s="78" t="b">
        <f>IF(VLOOKUP(C1872,Projetos!A:L,12,false)=TRUE,TRUE,FALSE)</f>
        <v>1</v>
      </c>
      <c r="I1872" s="68">
        <v>24.48261122234247</v>
      </c>
      <c r="J1872" s="68">
        <f t="shared" si="1"/>
        <v>24.48261122</v>
      </c>
      <c r="K1872" s="68" t="b">
        <v>1</v>
      </c>
    </row>
    <row r="1873">
      <c r="A1873" s="75">
        <v>1867.0</v>
      </c>
      <c r="B1873" s="62" t="s">
        <v>755</v>
      </c>
      <c r="C1873" s="62" t="s">
        <v>104</v>
      </c>
      <c r="D1873" s="62" t="s">
        <v>1237</v>
      </c>
      <c r="E1873" s="76">
        <v>44187.0</v>
      </c>
      <c r="F1873" s="77">
        <v>0.020833333333333332</v>
      </c>
      <c r="G1873" s="62" t="b">
        <v>1</v>
      </c>
      <c r="H1873" s="78" t="b">
        <f>IF(VLOOKUP(C1873,Projetos!A:L,12,false)=TRUE,TRUE,FALSE)</f>
        <v>1</v>
      </c>
      <c r="I1873" s="68">
        <v>24.48261122234247</v>
      </c>
      <c r="J1873" s="68">
        <f t="shared" si="1"/>
        <v>12.24130561</v>
      </c>
      <c r="K1873" s="68" t="b">
        <v>1</v>
      </c>
    </row>
    <row r="1874">
      <c r="A1874" s="75">
        <v>1868.0</v>
      </c>
      <c r="B1874" s="62" t="s">
        <v>755</v>
      </c>
      <c r="C1874" s="62" t="s">
        <v>97</v>
      </c>
      <c r="D1874" s="62" t="s">
        <v>1238</v>
      </c>
      <c r="E1874" s="76">
        <v>44188.0</v>
      </c>
      <c r="F1874" s="77">
        <v>0.08333333333333333</v>
      </c>
      <c r="G1874" s="62" t="b">
        <v>1</v>
      </c>
      <c r="H1874" s="78" t="b">
        <f>IF(VLOOKUP(C1874,Projetos!A:L,12,false)=TRUE,TRUE,FALSE)</f>
        <v>1</v>
      </c>
      <c r="I1874" s="68">
        <v>24.48261122234247</v>
      </c>
      <c r="J1874" s="68">
        <f t="shared" si="1"/>
        <v>48.96522244</v>
      </c>
      <c r="K1874" s="68" t="b">
        <v>1</v>
      </c>
    </row>
    <row r="1875">
      <c r="A1875" s="75">
        <v>1869.0</v>
      </c>
      <c r="B1875" s="62" t="s">
        <v>755</v>
      </c>
      <c r="C1875" s="62" t="s">
        <v>90</v>
      </c>
      <c r="D1875" s="62" t="s">
        <v>1239</v>
      </c>
      <c r="E1875" s="76">
        <v>44188.0</v>
      </c>
      <c r="F1875" s="77">
        <v>0.020833333333333332</v>
      </c>
      <c r="G1875" s="62" t="b">
        <v>1</v>
      </c>
      <c r="H1875" s="78" t="b">
        <f>IF(VLOOKUP(C1875,Projetos!A:L,12,false)=TRUE,TRUE,FALSE)</f>
        <v>1</v>
      </c>
      <c r="I1875" s="68">
        <v>24.48261122234247</v>
      </c>
      <c r="J1875" s="68">
        <f t="shared" si="1"/>
        <v>12.24130561</v>
      </c>
      <c r="K1875" s="68" t="b">
        <v>1</v>
      </c>
    </row>
    <row r="1876">
      <c r="A1876" s="75">
        <v>1870.0</v>
      </c>
      <c r="B1876" s="62" t="s">
        <v>755</v>
      </c>
      <c r="C1876" s="62" t="s">
        <v>90</v>
      </c>
      <c r="D1876" s="62" t="s">
        <v>1240</v>
      </c>
      <c r="E1876" s="76">
        <v>44188.0</v>
      </c>
      <c r="F1876" s="77">
        <v>0.041666666666666664</v>
      </c>
      <c r="G1876" s="62" t="b">
        <v>1</v>
      </c>
      <c r="H1876" s="78" t="b">
        <f>IF(VLOOKUP(C1876,Projetos!A:L,12,false)=TRUE,TRUE,FALSE)</f>
        <v>1</v>
      </c>
      <c r="I1876" s="68">
        <v>24.48261122234247</v>
      </c>
      <c r="J1876" s="68">
        <f t="shared" si="1"/>
        <v>24.48261122</v>
      </c>
      <c r="K1876" s="68" t="b">
        <v>1</v>
      </c>
    </row>
    <row r="1877">
      <c r="A1877" s="75">
        <v>1871.0</v>
      </c>
      <c r="B1877" s="62" t="s">
        <v>755</v>
      </c>
      <c r="C1877" s="62" t="s">
        <v>104</v>
      </c>
      <c r="D1877" s="62" t="s">
        <v>1241</v>
      </c>
      <c r="E1877" s="76">
        <v>44188.0</v>
      </c>
      <c r="F1877" s="77">
        <v>0.041666666666666664</v>
      </c>
      <c r="G1877" s="62" t="b">
        <v>1</v>
      </c>
      <c r="H1877" s="78" t="b">
        <f>IF(VLOOKUP(C1877,Projetos!A:L,12,false)=TRUE,TRUE,FALSE)</f>
        <v>1</v>
      </c>
      <c r="I1877" s="68">
        <v>24.48261122234247</v>
      </c>
      <c r="J1877" s="68">
        <f t="shared" si="1"/>
        <v>24.48261122</v>
      </c>
      <c r="K1877" s="68" t="b">
        <v>1</v>
      </c>
    </row>
    <row r="1878">
      <c r="A1878" s="75">
        <v>1872.0</v>
      </c>
      <c r="B1878" s="62" t="s">
        <v>755</v>
      </c>
      <c r="C1878" s="62" t="s">
        <v>97</v>
      </c>
      <c r="D1878" s="62" t="s">
        <v>1242</v>
      </c>
      <c r="E1878" s="76">
        <v>44193.0</v>
      </c>
      <c r="F1878" s="77">
        <v>0.03125</v>
      </c>
      <c r="G1878" s="62" t="b">
        <v>1</v>
      </c>
      <c r="H1878" s="78" t="b">
        <f>IF(VLOOKUP(C1878,Projetos!A:L,12,false)=TRUE,TRUE,FALSE)</f>
        <v>1</v>
      </c>
      <c r="I1878" s="68">
        <v>24.48261122234247</v>
      </c>
      <c r="J1878" s="68">
        <f t="shared" si="1"/>
        <v>18.36195842</v>
      </c>
      <c r="K1878" s="68" t="b">
        <v>1</v>
      </c>
    </row>
    <row r="1879" hidden="1">
      <c r="A1879" s="75">
        <v>1873.0</v>
      </c>
      <c r="B1879" s="62" t="s">
        <v>755</v>
      </c>
      <c r="C1879" s="62" t="s">
        <v>102</v>
      </c>
      <c r="D1879" s="62" t="s">
        <v>1243</v>
      </c>
      <c r="E1879" s="76">
        <v>44193.0</v>
      </c>
      <c r="F1879" s="77">
        <v>0.020833333333333332</v>
      </c>
      <c r="G1879" s="62" t="b">
        <v>0</v>
      </c>
      <c r="H1879" s="78" t="b">
        <f>IF(VLOOKUP(C1879,Projetos!A:L,12,false)=TRUE,TRUE,FALSE)</f>
        <v>0</v>
      </c>
      <c r="I1879" s="68">
        <v>24.48261122234247</v>
      </c>
      <c r="J1879" s="68">
        <f t="shared" si="1"/>
        <v>0</v>
      </c>
      <c r="K1879" s="68" t="b">
        <v>0</v>
      </c>
    </row>
    <row r="1880" hidden="1">
      <c r="A1880" s="75">
        <v>1874.0</v>
      </c>
      <c r="B1880" s="62" t="s">
        <v>755</v>
      </c>
      <c r="C1880" s="62" t="s">
        <v>102</v>
      </c>
      <c r="D1880" s="62" t="s">
        <v>1244</v>
      </c>
      <c r="E1880" s="76">
        <v>44193.0</v>
      </c>
      <c r="F1880" s="77">
        <v>0.020833333333333332</v>
      </c>
      <c r="G1880" s="62" t="b">
        <v>0</v>
      </c>
      <c r="H1880" s="78" t="b">
        <f>IF(VLOOKUP(C1880,Projetos!A:L,12,false)=TRUE,TRUE,FALSE)</f>
        <v>0</v>
      </c>
      <c r="I1880" s="68">
        <v>24.48261122234247</v>
      </c>
      <c r="J1880" s="68">
        <f t="shared" si="1"/>
        <v>0</v>
      </c>
      <c r="K1880" s="68" t="b">
        <v>0</v>
      </c>
    </row>
    <row r="1881">
      <c r="A1881" s="75">
        <v>1875.0</v>
      </c>
      <c r="B1881" s="62" t="s">
        <v>755</v>
      </c>
      <c r="C1881" s="62" t="s">
        <v>90</v>
      </c>
      <c r="D1881" s="62" t="s">
        <v>1245</v>
      </c>
      <c r="E1881" s="76">
        <v>44193.0</v>
      </c>
      <c r="F1881" s="77">
        <v>0.020833333333333332</v>
      </c>
      <c r="G1881" s="62" t="b">
        <v>1</v>
      </c>
      <c r="H1881" s="78" t="b">
        <f>IF(VLOOKUP(C1881,Projetos!A:L,12,false)=TRUE,TRUE,FALSE)</f>
        <v>1</v>
      </c>
      <c r="I1881" s="68">
        <v>24.48261122234247</v>
      </c>
      <c r="J1881" s="68">
        <f t="shared" si="1"/>
        <v>12.24130561</v>
      </c>
      <c r="K1881" s="68" t="b">
        <v>1</v>
      </c>
    </row>
    <row r="1882" hidden="1">
      <c r="A1882" s="75">
        <v>1876.0</v>
      </c>
      <c r="B1882" s="62" t="s">
        <v>755</v>
      </c>
      <c r="C1882" s="62" t="s">
        <v>117</v>
      </c>
      <c r="D1882" s="62" t="s">
        <v>1246</v>
      </c>
      <c r="E1882" s="76">
        <v>44193.0</v>
      </c>
      <c r="F1882" s="77">
        <v>0.0625</v>
      </c>
      <c r="G1882" s="62" t="b">
        <v>0</v>
      </c>
      <c r="H1882" s="78" t="b">
        <f>IF(VLOOKUP(C1882,Projetos!A:L,12,false)=TRUE,TRUE,FALSE)</f>
        <v>0</v>
      </c>
      <c r="I1882" s="68">
        <v>24.48261122234247</v>
      </c>
      <c r="J1882" s="68">
        <f t="shared" si="1"/>
        <v>0</v>
      </c>
      <c r="K1882" s="68" t="b">
        <v>0</v>
      </c>
    </row>
    <row r="1883">
      <c r="A1883" s="75">
        <v>1877.0</v>
      </c>
      <c r="B1883" s="62" t="s">
        <v>755</v>
      </c>
      <c r="C1883" s="62" t="s">
        <v>104</v>
      </c>
      <c r="D1883" s="62" t="s">
        <v>1247</v>
      </c>
      <c r="E1883" s="76">
        <v>44193.0</v>
      </c>
      <c r="F1883" s="77">
        <v>0.020833333333333332</v>
      </c>
      <c r="G1883" s="62" t="b">
        <v>1</v>
      </c>
      <c r="H1883" s="78" t="b">
        <f>IF(VLOOKUP(C1883,Projetos!A:L,12,false)=TRUE,TRUE,FALSE)</f>
        <v>1</v>
      </c>
      <c r="I1883" s="68">
        <v>24.48261122234247</v>
      </c>
      <c r="J1883" s="68">
        <f t="shared" si="1"/>
        <v>12.24130561</v>
      </c>
      <c r="K1883" s="68" t="b">
        <v>1</v>
      </c>
    </row>
    <row r="1884">
      <c r="A1884" s="75">
        <v>1878.0</v>
      </c>
      <c r="B1884" s="62" t="s">
        <v>755</v>
      </c>
      <c r="C1884" s="62" t="s">
        <v>104</v>
      </c>
      <c r="D1884" s="62" t="s">
        <v>1248</v>
      </c>
      <c r="E1884" s="76">
        <v>44193.0</v>
      </c>
      <c r="F1884" s="77">
        <v>0.041666666666666664</v>
      </c>
      <c r="G1884" s="62" t="b">
        <v>1</v>
      </c>
      <c r="H1884" s="78" t="b">
        <f>IF(VLOOKUP(C1884,Projetos!A:L,12,false)=TRUE,TRUE,FALSE)</f>
        <v>1</v>
      </c>
      <c r="I1884" s="68">
        <v>24.48261122234247</v>
      </c>
      <c r="J1884" s="68">
        <f t="shared" si="1"/>
        <v>24.48261122</v>
      </c>
      <c r="K1884" s="68" t="b">
        <v>1</v>
      </c>
    </row>
    <row r="1885">
      <c r="A1885" s="75">
        <v>1879.0</v>
      </c>
      <c r="B1885" s="62" t="s">
        <v>755</v>
      </c>
      <c r="C1885" s="62" t="s">
        <v>104</v>
      </c>
      <c r="D1885" s="62" t="s">
        <v>1225</v>
      </c>
      <c r="E1885" s="76">
        <v>44194.0</v>
      </c>
      <c r="F1885" s="77">
        <v>0.041666666666666664</v>
      </c>
      <c r="G1885" s="62" t="b">
        <v>1</v>
      </c>
      <c r="H1885" s="78" t="b">
        <f>IF(VLOOKUP(C1885,Projetos!A:L,12,false)=TRUE,TRUE,FALSE)</f>
        <v>1</v>
      </c>
      <c r="I1885" s="68">
        <v>24.48261122234247</v>
      </c>
      <c r="J1885" s="68">
        <f t="shared" si="1"/>
        <v>24.48261122</v>
      </c>
      <c r="K1885" s="68" t="b">
        <v>1</v>
      </c>
    </row>
    <row r="1886" hidden="1">
      <c r="A1886" s="75">
        <v>1880.0</v>
      </c>
      <c r="B1886" s="62" t="s">
        <v>755</v>
      </c>
      <c r="C1886" s="62" t="s">
        <v>108</v>
      </c>
      <c r="D1886" s="62" t="s">
        <v>1249</v>
      </c>
      <c r="E1886" s="76">
        <v>44194.0</v>
      </c>
      <c r="F1886" s="77">
        <v>0.020833333333333332</v>
      </c>
      <c r="G1886" s="62" t="b">
        <v>1</v>
      </c>
      <c r="H1886" s="78" t="b">
        <f>IF(VLOOKUP(C1886,Projetos!A:L,12,false)=TRUE,TRUE,FALSE)</f>
        <v>1</v>
      </c>
      <c r="I1886" s="68">
        <v>24.48261122234247</v>
      </c>
      <c r="J1886" s="68">
        <f t="shared" si="1"/>
        <v>12.24130561</v>
      </c>
      <c r="K1886" s="68" t="b">
        <v>1</v>
      </c>
    </row>
    <row r="1887">
      <c r="A1887" s="75">
        <v>1881.0</v>
      </c>
      <c r="B1887" s="62" t="s">
        <v>755</v>
      </c>
      <c r="C1887" s="62" t="s">
        <v>104</v>
      </c>
      <c r="D1887" s="62" t="s">
        <v>1250</v>
      </c>
      <c r="E1887" s="76">
        <v>44194.0</v>
      </c>
      <c r="F1887" s="77">
        <v>0.16666666666666666</v>
      </c>
      <c r="G1887" s="62" t="b">
        <v>1</v>
      </c>
      <c r="H1887" s="78" t="b">
        <f>IF(VLOOKUP(C1887,Projetos!A:L,12,false)=TRUE,TRUE,FALSE)</f>
        <v>1</v>
      </c>
      <c r="I1887" s="68">
        <v>24.48261122234247</v>
      </c>
      <c r="J1887" s="68">
        <f t="shared" si="1"/>
        <v>97.93044489</v>
      </c>
      <c r="K1887" s="68" t="b">
        <v>1</v>
      </c>
    </row>
    <row r="1888" hidden="1">
      <c r="A1888" s="75">
        <v>1882.0</v>
      </c>
      <c r="B1888" s="62" t="s">
        <v>755</v>
      </c>
      <c r="C1888" s="62" t="s">
        <v>117</v>
      </c>
      <c r="D1888" s="62" t="s">
        <v>1251</v>
      </c>
      <c r="E1888" s="76">
        <v>44194.0</v>
      </c>
      <c r="F1888" s="77">
        <v>0.08333333333333333</v>
      </c>
      <c r="G1888" s="62" t="b">
        <v>0</v>
      </c>
      <c r="H1888" s="78" t="b">
        <f>IF(VLOOKUP(C1888,Projetos!A:L,12,false)=TRUE,TRUE,FALSE)</f>
        <v>0</v>
      </c>
      <c r="I1888" s="68">
        <v>24.48261122234247</v>
      </c>
      <c r="J1888" s="68">
        <f t="shared" si="1"/>
        <v>0</v>
      </c>
      <c r="K1888" s="68" t="b">
        <v>0</v>
      </c>
    </row>
    <row r="1889">
      <c r="A1889" s="75">
        <v>1883.0</v>
      </c>
      <c r="B1889" s="62" t="s">
        <v>755</v>
      </c>
      <c r="C1889" s="62" t="s">
        <v>104</v>
      </c>
      <c r="D1889" s="62" t="s">
        <v>1252</v>
      </c>
      <c r="E1889" s="76">
        <v>44195.0</v>
      </c>
      <c r="F1889" s="77">
        <v>0.0625</v>
      </c>
      <c r="G1889" s="62" t="b">
        <v>1</v>
      </c>
      <c r="H1889" s="78" t="b">
        <f>IF(VLOOKUP(C1889,Projetos!A:L,12,false)=TRUE,TRUE,FALSE)</f>
        <v>1</v>
      </c>
      <c r="I1889" s="68">
        <v>24.48261122234247</v>
      </c>
      <c r="J1889" s="68">
        <f t="shared" si="1"/>
        <v>36.72391683</v>
      </c>
      <c r="K1889" s="68" t="b">
        <v>1</v>
      </c>
    </row>
    <row r="1890" hidden="1">
      <c r="A1890" s="75">
        <v>1884.0</v>
      </c>
      <c r="B1890" s="62" t="s">
        <v>1253</v>
      </c>
      <c r="C1890" s="62" t="s">
        <v>108</v>
      </c>
      <c r="D1890" s="62" t="s">
        <v>1254</v>
      </c>
      <c r="E1890" s="76">
        <v>43864.0</v>
      </c>
      <c r="F1890" s="77">
        <v>0.16666666666666666</v>
      </c>
      <c r="G1890" s="62" t="b">
        <v>1</v>
      </c>
      <c r="H1890" s="78" t="b">
        <f>IF(VLOOKUP(C1890,Projetos!A:L,12,false)=TRUE,TRUE,FALSE)</f>
        <v>1</v>
      </c>
      <c r="I1890" s="68">
        <v>27.980014792814504</v>
      </c>
      <c r="J1890" s="68">
        <f t="shared" si="1"/>
        <v>111.9200592</v>
      </c>
      <c r="K1890" s="68" t="b">
        <v>1</v>
      </c>
    </row>
    <row r="1891">
      <c r="A1891" s="75">
        <v>1885.0</v>
      </c>
      <c r="B1891" s="62" t="s">
        <v>1253</v>
      </c>
      <c r="C1891" s="62" t="s">
        <v>89</v>
      </c>
      <c r="D1891" s="62" t="s">
        <v>1255</v>
      </c>
      <c r="E1891" s="76">
        <v>43865.0</v>
      </c>
      <c r="F1891" s="77">
        <v>0.1875</v>
      </c>
      <c r="G1891" s="62" t="b">
        <v>1</v>
      </c>
      <c r="H1891" s="78" t="b">
        <f>IF(VLOOKUP(C1891,Projetos!A:L,12,false)=TRUE,TRUE,FALSE)</f>
        <v>1</v>
      </c>
      <c r="I1891" s="68">
        <v>27.980014792814504</v>
      </c>
      <c r="J1891" s="68">
        <f t="shared" si="1"/>
        <v>125.9100666</v>
      </c>
      <c r="K1891" s="68" t="b">
        <v>1</v>
      </c>
    </row>
    <row r="1892">
      <c r="A1892" s="75">
        <v>1886.0</v>
      </c>
      <c r="B1892" s="62" t="s">
        <v>1253</v>
      </c>
      <c r="C1892" s="62" t="s">
        <v>89</v>
      </c>
      <c r="D1892" s="62" t="s">
        <v>1255</v>
      </c>
      <c r="E1892" s="76">
        <v>43868.0</v>
      </c>
      <c r="F1892" s="77">
        <v>0.10416666666666667</v>
      </c>
      <c r="G1892" s="62" t="b">
        <v>1</v>
      </c>
      <c r="H1892" s="78" t="b">
        <f>IF(VLOOKUP(C1892,Projetos!A:L,12,false)=TRUE,TRUE,FALSE)</f>
        <v>1</v>
      </c>
      <c r="I1892" s="68">
        <v>27.980014792814504</v>
      </c>
      <c r="J1892" s="68">
        <f t="shared" si="1"/>
        <v>69.95003698</v>
      </c>
      <c r="K1892" s="68" t="b">
        <v>1</v>
      </c>
    </row>
    <row r="1893">
      <c r="A1893" s="75">
        <v>1887.0</v>
      </c>
      <c r="B1893" s="62" t="s">
        <v>1253</v>
      </c>
      <c r="C1893" s="62" t="s">
        <v>89</v>
      </c>
      <c r="D1893" s="62" t="s">
        <v>1255</v>
      </c>
      <c r="E1893" s="76">
        <v>43871.0</v>
      </c>
      <c r="F1893" s="77">
        <v>0.10416666666666667</v>
      </c>
      <c r="G1893" s="62" t="b">
        <v>1</v>
      </c>
      <c r="H1893" s="78" t="b">
        <f>IF(VLOOKUP(C1893,Projetos!A:L,12,false)=TRUE,TRUE,FALSE)</f>
        <v>1</v>
      </c>
      <c r="I1893" s="68">
        <v>27.980014792814504</v>
      </c>
      <c r="J1893" s="68">
        <f t="shared" si="1"/>
        <v>69.95003698</v>
      </c>
      <c r="K1893" s="68" t="b">
        <v>1</v>
      </c>
    </row>
    <row r="1894">
      <c r="A1894" s="75">
        <v>1888.0</v>
      </c>
      <c r="B1894" s="62" t="s">
        <v>1253</v>
      </c>
      <c r="C1894" s="62" t="s">
        <v>103</v>
      </c>
      <c r="D1894" s="62" t="s">
        <v>1256</v>
      </c>
      <c r="E1894" s="76">
        <v>43871.0</v>
      </c>
      <c r="F1894" s="77">
        <v>0.10416666666666667</v>
      </c>
      <c r="G1894" s="62" t="b">
        <v>1</v>
      </c>
      <c r="H1894" s="78" t="b">
        <f>IF(VLOOKUP(C1894,Projetos!A:L,12,false)=TRUE,TRUE,FALSE)</f>
        <v>1</v>
      </c>
      <c r="I1894" s="68">
        <v>27.980014792814504</v>
      </c>
      <c r="J1894" s="68">
        <f t="shared" si="1"/>
        <v>69.95003698</v>
      </c>
      <c r="K1894" s="68" t="b">
        <v>1</v>
      </c>
    </row>
    <row r="1895">
      <c r="A1895" s="75">
        <v>1889.0</v>
      </c>
      <c r="B1895" s="62" t="s">
        <v>1253</v>
      </c>
      <c r="C1895" s="62" t="s">
        <v>89</v>
      </c>
      <c r="D1895" s="62" t="s">
        <v>1255</v>
      </c>
      <c r="E1895" s="76">
        <v>43872.0</v>
      </c>
      <c r="F1895" s="77">
        <v>0.14583333333333334</v>
      </c>
      <c r="G1895" s="62" t="b">
        <v>1</v>
      </c>
      <c r="H1895" s="78" t="b">
        <f>IF(VLOOKUP(C1895,Projetos!A:L,12,false)=TRUE,TRUE,FALSE)</f>
        <v>1</v>
      </c>
      <c r="I1895" s="68">
        <v>27.980014792814504</v>
      </c>
      <c r="J1895" s="68">
        <f t="shared" si="1"/>
        <v>97.93005177</v>
      </c>
      <c r="K1895" s="68" t="b">
        <v>1</v>
      </c>
    </row>
    <row r="1896" hidden="1">
      <c r="A1896" s="75">
        <v>1890.0</v>
      </c>
      <c r="B1896" s="62" t="s">
        <v>1253</v>
      </c>
      <c r="C1896" s="62" t="s">
        <v>104</v>
      </c>
      <c r="D1896" s="62" t="s">
        <v>1257</v>
      </c>
      <c r="E1896" s="76">
        <v>43875.0</v>
      </c>
      <c r="F1896" s="77">
        <v>0.14583333333333334</v>
      </c>
      <c r="G1896" s="62" t="b">
        <v>0</v>
      </c>
      <c r="H1896" s="78" t="b">
        <f>IF(VLOOKUP(C1896,Projetos!A:L,12,false)=TRUE,TRUE,FALSE)</f>
        <v>1</v>
      </c>
      <c r="I1896" s="68">
        <v>27.980014792814504</v>
      </c>
      <c r="J1896" s="68">
        <f t="shared" si="1"/>
        <v>0</v>
      </c>
      <c r="K1896" s="68" t="b">
        <v>1</v>
      </c>
    </row>
    <row r="1897">
      <c r="A1897" s="75">
        <v>1891.0</v>
      </c>
      <c r="B1897" s="62" t="s">
        <v>1253</v>
      </c>
      <c r="C1897" s="62" t="s">
        <v>88</v>
      </c>
      <c r="D1897" s="62" t="s">
        <v>1258</v>
      </c>
      <c r="E1897" s="76">
        <v>43878.0</v>
      </c>
      <c r="F1897" s="77">
        <v>0.20833333333333334</v>
      </c>
      <c r="G1897" s="62" t="b">
        <v>1</v>
      </c>
      <c r="H1897" s="78" t="b">
        <f>IF(VLOOKUP(C1897,Projetos!A:L,12,false)=TRUE,TRUE,FALSE)</f>
        <v>1</v>
      </c>
      <c r="I1897" s="68">
        <v>27.980014792814504</v>
      </c>
      <c r="J1897" s="68">
        <f t="shared" si="1"/>
        <v>139.900074</v>
      </c>
      <c r="K1897" s="68" t="b">
        <v>1</v>
      </c>
    </row>
    <row r="1898" hidden="1">
      <c r="A1898" s="75">
        <v>1892.0</v>
      </c>
      <c r="B1898" s="62" t="s">
        <v>1253</v>
      </c>
      <c r="C1898" s="62" t="s">
        <v>104</v>
      </c>
      <c r="D1898" s="62" t="s">
        <v>1257</v>
      </c>
      <c r="E1898" s="76">
        <v>43881.0</v>
      </c>
      <c r="F1898" s="77">
        <v>0.0625</v>
      </c>
      <c r="G1898" s="62" t="b">
        <v>0</v>
      </c>
      <c r="H1898" s="78" t="b">
        <f>IF(VLOOKUP(C1898,Projetos!A:L,12,false)=TRUE,TRUE,FALSE)</f>
        <v>1</v>
      </c>
      <c r="I1898" s="68">
        <v>27.980014792814504</v>
      </c>
      <c r="J1898" s="68">
        <f t="shared" si="1"/>
        <v>0</v>
      </c>
      <c r="K1898" s="68" t="b">
        <v>1</v>
      </c>
    </row>
    <row r="1899">
      <c r="A1899" s="75">
        <v>1893.0</v>
      </c>
      <c r="B1899" s="62" t="s">
        <v>1253</v>
      </c>
      <c r="C1899" s="62" t="s">
        <v>103</v>
      </c>
      <c r="D1899" s="62" t="s">
        <v>1256</v>
      </c>
      <c r="E1899" s="76">
        <v>43887.0</v>
      </c>
      <c r="F1899" s="77">
        <v>0.041666666666666664</v>
      </c>
      <c r="G1899" s="62" t="b">
        <v>1</v>
      </c>
      <c r="H1899" s="78" t="b">
        <f>IF(VLOOKUP(C1899,Projetos!A:L,12,false)=TRUE,TRUE,FALSE)</f>
        <v>1</v>
      </c>
      <c r="I1899" s="68">
        <v>27.980014792814504</v>
      </c>
      <c r="J1899" s="68">
        <f t="shared" si="1"/>
        <v>27.98001479</v>
      </c>
      <c r="K1899" s="68" t="b">
        <v>1</v>
      </c>
    </row>
    <row r="1900" hidden="1">
      <c r="A1900" s="75">
        <v>1894.0</v>
      </c>
      <c r="B1900" s="62" t="s">
        <v>1253</v>
      </c>
      <c r="C1900" s="62" t="s">
        <v>104</v>
      </c>
      <c r="D1900" s="62" t="s">
        <v>1257</v>
      </c>
      <c r="E1900" s="76">
        <v>43887.0</v>
      </c>
      <c r="F1900" s="77">
        <v>0.08333333333333333</v>
      </c>
      <c r="G1900" s="62" t="b">
        <v>0</v>
      </c>
      <c r="H1900" s="78" t="b">
        <f>IF(VLOOKUP(C1900,Projetos!A:L,12,false)=TRUE,TRUE,FALSE)</f>
        <v>1</v>
      </c>
      <c r="I1900" s="68">
        <v>27.980014792814504</v>
      </c>
      <c r="J1900" s="68">
        <f t="shared" si="1"/>
        <v>0</v>
      </c>
      <c r="K1900" s="68" t="b">
        <v>1</v>
      </c>
    </row>
    <row r="1901">
      <c r="A1901" s="75">
        <v>1895.0</v>
      </c>
      <c r="B1901" s="62" t="s">
        <v>1253</v>
      </c>
      <c r="C1901" s="62" t="s">
        <v>88</v>
      </c>
      <c r="D1901" s="62" t="s">
        <v>1258</v>
      </c>
      <c r="E1901" s="76">
        <v>43887.0</v>
      </c>
      <c r="F1901" s="77">
        <v>0.14583333333333334</v>
      </c>
      <c r="G1901" s="62" t="b">
        <v>1</v>
      </c>
      <c r="H1901" s="78" t="b">
        <f>IF(VLOOKUP(C1901,Projetos!A:L,12,false)=TRUE,TRUE,FALSE)</f>
        <v>1</v>
      </c>
      <c r="I1901" s="68">
        <v>27.980014792814504</v>
      </c>
      <c r="J1901" s="68">
        <f t="shared" si="1"/>
        <v>97.93005177</v>
      </c>
      <c r="K1901" s="68" t="b">
        <v>1</v>
      </c>
    </row>
    <row r="1902">
      <c r="A1902" s="75">
        <v>1896.0</v>
      </c>
      <c r="B1902" s="62" t="s">
        <v>1253</v>
      </c>
      <c r="C1902" s="62" t="s">
        <v>88</v>
      </c>
      <c r="D1902" s="62" t="s">
        <v>1258</v>
      </c>
      <c r="E1902" s="76">
        <v>43888.0</v>
      </c>
      <c r="F1902" s="77">
        <v>0.10416666666666667</v>
      </c>
      <c r="G1902" s="62" t="b">
        <v>1</v>
      </c>
      <c r="H1902" s="78" t="b">
        <f>IF(VLOOKUP(C1902,Projetos!A:L,12,false)=TRUE,TRUE,FALSE)</f>
        <v>1</v>
      </c>
      <c r="I1902" s="68">
        <v>27.980014792814504</v>
      </c>
      <c r="J1902" s="68">
        <f t="shared" si="1"/>
        <v>69.95003698</v>
      </c>
      <c r="K1902" s="68" t="b">
        <v>1</v>
      </c>
    </row>
    <row r="1903">
      <c r="A1903" s="75">
        <v>1897.0</v>
      </c>
      <c r="B1903" s="62" t="s">
        <v>1253</v>
      </c>
      <c r="C1903" s="62" t="s">
        <v>88</v>
      </c>
      <c r="D1903" s="62" t="s">
        <v>1258</v>
      </c>
      <c r="E1903" s="76">
        <v>43889.0</v>
      </c>
      <c r="F1903" s="77">
        <v>0.10416666666666667</v>
      </c>
      <c r="G1903" s="62" t="b">
        <v>1</v>
      </c>
      <c r="H1903" s="78" t="b">
        <f>IF(VLOOKUP(C1903,Projetos!A:L,12,false)=TRUE,TRUE,FALSE)</f>
        <v>1</v>
      </c>
      <c r="I1903" s="68">
        <v>27.980014792814504</v>
      </c>
      <c r="J1903" s="68">
        <f t="shared" si="1"/>
        <v>69.95003698</v>
      </c>
      <c r="K1903" s="68" t="b">
        <v>1</v>
      </c>
    </row>
    <row r="1904" hidden="1">
      <c r="A1904" s="75">
        <v>1898.0</v>
      </c>
      <c r="B1904" s="62" t="s">
        <v>1253</v>
      </c>
      <c r="C1904" s="62" t="s">
        <v>104</v>
      </c>
      <c r="D1904" s="62" t="s">
        <v>1257</v>
      </c>
      <c r="E1904" s="76">
        <v>43889.0</v>
      </c>
      <c r="F1904" s="77">
        <v>0.10416666666666667</v>
      </c>
      <c r="G1904" s="62" t="b">
        <v>0</v>
      </c>
      <c r="H1904" s="78" t="b">
        <f>IF(VLOOKUP(C1904,Projetos!A:L,12,false)=TRUE,TRUE,FALSE)</f>
        <v>1</v>
      </c>
      <c r="I1904" s="68">
        <v>27.980014792814504</v>
      </c>
      <c r="J1904" s="68">
        <f t="shared" si="1"/>
        <v>0</v>
      </c>
      <c r="K1904" s="68" t="b">
        <v>1</v>
      </c>
    </row>
    <row r="1905">
      <c r="A1905" s="75">
        <v>1899.0</v>
      </c>
      <c r="B1905" s="62" t="s">
        <v>1253</v>
      </c>
      <c r="C1905" s="62" t="s">
        <v>104</v>
      </c>
      <c r="D1905" s="62" t="s">
        <v>1259</v>
      </c>
      <c r="E1905" s="76">
        <v>43893.0</v>
      </c>
      <c r="F1905" s="77">
        <v>0.08333333333333333</v>
      </c>
      <c r="G1905" s="62" t="b">
        <v>1</v>
      </c>
      <c r="H1905" s="78" t="b">
        <f>IF(VLOOKUP(C1905,Projetos!A:L,12,false)=TRUE,TRUE,FALSE)</f>
        <v>1</v>
      </c>
      <c r="I1905" s="68">
        <v>29.312396449615196</v>
      </c>
      <c r="J1905" s="68">
        <f t="shared" si="1"/>
        <v>58.6247929</v>
      </c>
      <c r="K1905" s="68" t="b">
        <v>1</v>
      </c>
    </row>
    <row r="1906" hidden="1">
      <c r="A1906" s="75">
        <v>1900.0</v>
      </c>
      <c r="B1906" s="62" t="s">
        <v>1253</v>
      </c>
      <c r="C1906" s="62" t="s">
        <v>103</v>
      </c>
      <c r="D1906" s="62" t="s">
        <v>1260</v>
      </c>
      <c r="E1906" s="76">
        <v>43895.0</v>
      </c>
      <c r="F1906" s="77">
        <v>0.14583333333333334</v>
      </c>
      <c r="G1906" s="62" t="b">
        <v>0</v>
      </c>
      <c r="H1906" s="78" t="b">
        <f>IF(VLOOKUP(C1906,Projetos!A:L,12,false)=TRUE,TRUE,FALSE)</f>
        <v>1</v>
      </c>
      <c r="I1906" s="68">
        <v>29.312396449615196</v>
      </c>
      <c r="J1906" s="68">
        <f t="shared" si="1"/>
        <v>0</v>
      </c>
      <c r="K1906" s="68" t="b">
        <v>1</v>
      </c>
    </row>
    <row r="1907">
      <c r="A1907" s="75">
        <v>1901.0</v>
      </c>
      <c r="B1907" s="62" t="s">
        <v>1253</v>
      </c>
      <c r="C1907" s="62" t="s">
        <v>103</v>
      </c>
      <c r="D1907" s="62" t="s">
        <v>1261</v>
      </c>
      <c r="E1907" s="76">
        <v>43895.0</v>
      </c>
      <c r="F1907" s="77">
        <v>0.08333333333333333</v>
      </c>
      <c r="G1907" s="62" t="b">
        <v>1</v>
      </c>
      <c r="H1907" s="78" t="b">
        <f>IF(VLOOKUP(C1907,Projetos!A:L,12,false)=TRUE,TRUE,FALSE)</f>
        <v>1</v>
      </c>
      <c r="I1907" s="68">
        <v>29.312396449615196</v>
      </c>
      <c r="J1907" s="68">
        <f t="shared" si="1"/>
        <v>58.6247929</v>
      </c>
      <c r="K1907" s="68" t="b">
        <v>1</v>
      </c>
    </row>
    <row r="1908" hidden="1">
      <c r="A1908" s="75">
        <v>1902.0</v>
      </c>
      <c r="B1908" s="62" t="s">
        <v>1253</v>
      </c>
      <c r="C1908" s="62" t="s">
        <v>103</v>
      </c>
      <c r="D1908" s="62" t="s">
        <v>1262</v>
      </c>
      <c r="E1908" s="76">
        <v>43899.0</v>
      </c>
      <c r="F1908" s="77">
        <v>0.08333333333333333</v>
      </c>
      <c r="G1908" s="62" t="b">
        <v>0</v>
      </c>
      <c r="H1908" s="78" t="b">
        <f>IF(VLOOKUP(C1908,Projetos!A:L,12,false)=TRUE,TRUE,FALSE)</f>
        <v>1</v>
      </c>
      <c r="I1908" s="68">
        <v>29.312396449615196</v>
      </c>
      <c r="J1908" s="68">
        <f t="shared" si="1"/>
        <v>0</v>
      </c>
      <c r="K1908" s="68" t="b">
        <v>1</v>
      </c>
    </row>
    <row r="1909">
      <c r="A1909" s="75">
        <v>1903.0</v>
      </c>
      <c r="B1909" s="62" t="s">
        <v>1253</v>
      </c>
      <c r="C1909" s="62" t="s">
        <v>88</v>
      </c>
      <c r="D1909" s="62" t="s">
        <v>1263</v>
      </c>
      <c r="E1909" s="76">
        <v>43899.0</v>
      </c>
      <c r="F1909" s="77">
        <v>0.125</v>
      </c>
      <c r="G1909" s="62" t="b">
        <v>1</v>
      </c>
      <c r="H1909" s="78" t="b">
        <f>IF(VLOOKUP(C1909,Projetos!A:L,12,false)=TRUE,TRUE,FALSE)</f>
        <v>1</v>
      </c>
      <c r="I1909" s="68">
        <v>29.312396449615196</v>
      </c>
      <c r="J1909" s="68">
        <f t="shared" si="1"/>
        <v>87.93718935</v>
      </c>
      <c r="K1909" s="68" t="b">
        <v>1</v>
      </c>
    </row>
    <row r="1910">
      <c r="A1910" s="75">
        <v>1904.0</v>
      </c>
      <c r="B1910" s="62" t="s">
        <v>1253</v>
      </c>
      <c r="C1910" s="62" t="s">
        <v>104</v>
      </c>
      <c r="D1910" s="62" t="s">
        <v>1264</v>
      </c>
      <c r="E1910" s="76">
        <v>43899.0</v>
      </c>
      <c r="F1910" s="77">
        <v>0.041666666666666664</v>
      </c>
      <c r="G1910" s="62" t="b">
        <v>1</v>
      </c>
      <c r="H1910" s="78" t="b">
        <f>IF(VLOOKUP(C1910,Projetos!A:L,12,false)=TRUE,TRUE,FALSE)</f>
        <v>1</v>
      </c>
      <c r="I1910" s="68">
        <v>29.312396449615196</v>
      </c>
      <c r="J1910" s="68">
        <f t="shared" si="1"/>
        <v>29.31239645</v>
      </c>
      <c r="K1910" s="68" t="b">
        <v>1</v>
      </c>
    </row>
    <row r="1911">
      <c r="A1911" s="75">
        <v>1905.0</v>
      </c>
      <c r="B1911" s="62" t="s">
        <v>1253</v>
      </c>
      <c r="C1911" s="62" t="s">
        <v>103</v>
      </c>
      <c r="D1911" s="62" t="s">
        <v>1265</v>
      </c>
      <c r="E1911" s="76">
        <v>43900.0</v>
      </c>
      <c r="F1911" s="77">
        <v>0.041666666666666664</v>
      </c>
      <c r="G1911" s="62" t="b">
        <v>1</v>
      </c>
      <c r="H1911" s="78" t="b">
        <f>IF(VLOOKUP(C1911,Projetos!A:L,12,false)=TRUE,TRUE,FALSE)</f>
        <v>1</v>
      </c>
      <c r="I1911" s="68">
        <v>29.312396449615196</v>
      </c>
      <c r="J1911" s="68">
        <f t="shared" si="1"/>
        <v>29.31239645</v>
      </c>
      <c r="K1911" s="68" t="b">
        <v>1</v>
      </c>
    </row>
    <row r="1912">
      <c r="A1912" s="75">
        <v>1906.0</v>
      </c>
      <c r="B1912" s="62" t="s">
        <v>1253</v>
      </c>
      <c r="C1912" s="62" t="s">
        <v>104</v>
      </c>
      <c r="D1912" s="62" t="s">
        <v>1264</v>
      </c>
      <c r="E1912" s="76">
        <v>43907.0</v>
      </c>
      <c r="F1912" s="77">
        <v>0.125</v>
      </c>
      <c r="G1912" s="62" t="b">
        <v>1</v>
      </c>
      <c r="H1912" s="78" t="b">
        <f>IF(VLOOKUP(C1912,Projetos!A:L,12,false)=TRUE,TRUE,FALSE)</f>
        <v>1</v>
      </c>
      <c r="I1912" s="68">
        <v>29.312396449615196</v>
      </c>
      <c r="J1912" s="68">
        <f t="shared" si="1"/>
        <v>87.93718935</v>
      </c>
      <c r="K1912" s="68" t="b">
        <v>1</v>
      </c>
    </row>
    <row r="1913">
      <c r="A1913" s="75">
        <v>1907.0</v>
      </c>
      <c r="B1913" s="62" t="s">
        <v>1253</v>
      </c>
      <c r="C1913" s="62" t="s">
        <v>97</v>
      </c>
      <c r="D1913" s="62" t="s">
        <v>1266</v>
      </c>
      <c r="E1913" s="76">
        <v>43908.0</v>
      </c>
      <c r="F1913" s="77">
        <v>0.16666666666666666</v>
      </c>
      <c r="G1913" s="62" t="b">
        <v>1</v>
      </c>
      <c r="H1913" s="78" t="b">
        <f>IF(VLOOKUP(C1913,Projetos!A:L,12,false)=TRUE,TRUE,FALSE)</f>
        <v>1</v>
      </c>
      <c r="I1913" s="68">
        <v>29.312396449615196</v>
      </c>
      <c r="J1913" s="68">
        <f t="shared" si="1"/>
        <v>117.2495858</v>
      </c>
      <c r="K1913" s="68" t="b">
        <v>1</v>
      </c>
    </row>
    <row r="1914" hidden="1">
      <c r="A1914" s="75">
        <v>1908.0</v>
      </c>
      <c r="B1914" s="62" t="s">
        <v>1253</v>
      </c>
      <c r="C1914" s="62" t="s">
        <v>108</v>
      </c>
      <c r="D1914" s="62" t="s">
        <v>1267</v>
      </c>
      <c r="E1914" s="76">
        <v>43909.0</v>
      </c>
      <c r="F1914" s="77">
        <v>0.125</v>
      </c>
      <c r="G1914" s="62" t="b">
        <v>1</v>
      </c>
      <c r="H1914" s="78" t="b">
        <f>IF(VLOOKUP(C1914,Projetos!A:L,12,false)=TRUE,TRUE,FALSE)</f>
        <v>1</v>
      </c>
      <c r="I1914" s="68">
        <v>29.312396449615196</v>
      </c>
      <c r="J1914" s="68">
        <f t="shared" si="1"/>
        <v>87.93718935</v>
      </c>
      <c r="K1914" s="68" t="b">
        <v>1</v>
      </c>
    </row>
    <row r="1915" hidden="1">
      <c r="A1915" s="75">
        <v>1909.0</v>
      </c>
      <c r="B1915" s="62" t="s">
        <v>1253</v>
      </c>
      <c r="C1915" s="62" t="s">
        <v>108</v>
      </c>
      <c r="D1915" s="62" t="s">
        <v>1267</v>
      </c>
      <c r="E1915" s="76">
        <v>43917.0</v>
      </c>
      <c r="F1915" s="77">
        <v>0.0625</v>
      </c>
      <c r="G1915" s="62" t="b">
        <v>1</v>
      </c>
      <c r="H1915" s="78" t="b">
        <f>IF(VLOOKUP(C1915,Projetos!A:L,12,false)=TRUE,TRUE,FALSE)</f>
        <v>1</v>
      </c>
      <c r="I1915" s="68">
        <v>29.312396449615196</v>
      </c>
      <c r="J1915" s="68">
        <f t="shared" si="1"/>
        <v>43.96859467</v>
      </c>
      <c r="K1915" s="68" t="b">
        <v>1</v>
      </c>
    </row>
    <row r="1916" hidden="1">
      <c r="A1916" s="75">
        <v>1910.0</v>
      </c>
      <c r="B1916" s="62" t="s">
        <v>1253</v>
      </c>
      <c r="C1916" s="62" t="s">
        <v>108</v>
      </c>
      <c r="D1916" s="62" t="s">
        <v>1267</v>
      </c>
      <c r="E1916" s="76">
        <v>43921.0</v>
      </c>
      <c r="F1916" s="77">
        <v>0.1388888888888889</v>
      </c>
      <c r="G1916" s="62" t="b">
        <v>1</v>
      </c>
      <c r="H1916" s="78" t="b">
        <f>IF(VLOOKUP(C1916,Projetos!A:L,12,false)=TRUE,TRUE,FALSE)</f>
        <v>1</v>
      </c>
      <c r="I1916" s="68">
        <v>29.312396449615196</v>
      </c>
      <c r="J1916" s="68">
        <f t="shared" si="1"/>
        <v>97.70798817</v>
      </c>
      <c r="K1916" s="68" t="b">
        <v>1</v>
      </c>
    </row>
    <row r="1917" hidden="1">
      <c r="A1917" s="75">
        <v>1911.0</v>
      </c>
      <c r="B1917" s="62" t="s">
        <v>1253</v>
      </c>
      <c r="C1917" s="62" t="s">
        <v>108</v>
      </c>
      <c r="D1917" s="62" t="s">
        <v>1267</v>
      </c>
      <c r="E1917" s="76">
        <v>43922.0</v>
      </c>
      <c r="F1917" s="77">
        <v>0.10416666666666667</v>
      </c>
      <c r="G1917" s="62" t="b">
        <v>1</v>
      </c>
      <c r="H1917" s="78" t="b">
        <f>IF(VLOOKUP(C1917,Projetos!A:L,12,false)=TRUE,TRUE,FALSE)</f>
        <v>1</v>
      </c>
      <c r="I1917" s="68">
        <v>27.980014792814504</v>
      </c>
      <c r="J1917" s="68">
        <f t="shared" si="1"/>
        <v>69.95003698</v>
      </c>
      <c r="K1917" s="68" t="b">
        <v>1</v>
      </c>
    </row>
    <row r="1918" hidden="1">
      <c r="A1918" s="75">
        <v>1912.0</v>
      </c>
      <c r="B1918" s="62" t="s">
        <v>1253</v>
      </c>
      <c r="C1918" s="62" t="s">
        <v>108</v>
      </c>
      <c r="D1918" s="62" t="s">
        <v>1267</v>
      </c>
      <c r="E1918" s="76">
        <v>43924.0</v>
      </c>
      <c r="F1918" s="77">
        <v>0.0625</v>
      </c>
      <c r="G1918" s="62" t="b">
        <v>1</v>
      </c>
      <c r="H1918" s="78" t="b">
        <f>IF(VLOOKUP(C1918,Projetos!A:L,12,false)=TRUE,TRUE,FALSE)</f>
        <v>1</v>
      </c>
      <c r="I1918" s="68">
        <v>27.980014792814504</v>
      </c>
      <c r="J1918" s="68">
        <f t="shared" si="1"/>
        <v>41.97002219</v>
      </c>
      <c r="K1918" s="68" t="b">
        <v>1</v>
      </c>
    </row>
    <row r="1919" hidden="1">
      <c r="A1919" s="75">
        <v>1913.0</v>
      </c>
      <c r="B1919" s="62" t="s">
        <v>1253</v>
      </c>
      <c r="C1919" s="62" t="s">
        <v>108</v>
      </c>
      <c r="D1919" s="62" t="s">
        <v>1267</v>
      </c>
      <c r="E1919" s="76">
        <v>43927.0</v>
      </c>
      <c r="F1919" s="77">
        <v>0.041666666666666664</v>
      </c>
      <c r="G1919" s="62" t="b">
        <v>1</v>
      </c>
      <c r="H1919" s="78" t="b">
        <f>IF(VLOOKUP(C1919,Projetos!A:L,12,false)=TRUE,TRUE,FALSE)</f>
        <v>1</v>
      </c>
      <c r="I1919" s="68">
        <v>27.980014792814504</v>
      </c>
      <c r="J1919" s="68">
        <f t="shared" si="1"/>
        <v>27.98001479</v>
      </c>
      <c r="K1919" s="68" t="b">
        <v>1</v>
      </c>
    </row>
    <row r="1920">
      <c r="A1920" s="75">
        <v>1914.0</v>
      </c>
      <c r="B1920" s="62" t="s">
        <v>1253</v>
      </c>
      <c r="C1920" s="62" t="s">
        <v>84</v>
      </c>
      <c r="D1920" s="62" t="s">
        <v>1268</v>
      </c>
      <c r="E1920" s="76">
        <v>43927.0</v>
      </c>
      <c r="F1920" s="77">
        <v>0.08333333333333333</v>
      </c>
      <c r="G1920" s="62" t="b">
        <v>1</v>
      </c>
      <c r="H1920" s="78" t="b">
        <f>IF(VLOOKUP(C1920,Projetos!A:L,12,false)=TRUE,TRUE,FALSE)</f>
        <v>1</v>
      </c>
      <c r="I1920" s="68">
        <v>27.980014792814504</v>
      </c>
      <c r="J1920" s="68">
        <f t="shared" si="1"/>
        <v>55.96002959</v>
      </c>
      <c r="K1920" s="68" t="b">
        <v>1</v>
      </c>
    </row>
    <row r="1921">
      <c r="A1921" s="75">
        <v>1915.0</v>
      </c>
      <c r="B1921" s="62" t="s">
        <v>1253</v>
      </c>
      <c r="C1921" s="62" t="s">
        <v>84</v>
      </c>
      <c r="D1921" s="62" t="s">
        <v>1268</v>
      </c>
      <c r="E1921" s="76">
        <v>43928.0</v>
      </c>
      <c r="F1921" s="77">
        <v>0.041666666666666664</v>
      </c>
      <c r="G1921" s="62" t="b">
        <v>1</v>
      </c>
      <c r="H1921" s="78" t="b">
        <f>IF(VLOOKUP(C1921,Projetos!A:L,12,false)=TRUE,TRUE,FALSE)</f>
        <v>1</v>
      </c>
      <c r="I1921" s="68">
        <v>27.980014792814504</v>
      </c>
      <c r="J1921" s="68">
        <f t="shared" si="1"/>
        <v>27.98001479</v>
      </c>
      <c r="K1921" s="68" t="b">
        <v>1</v>
      </c>
    </row>
    <row r="1922">
      <c r="A1922" s="75">
        <v>1916.0</v>
      </c>
      <c r="B1922" s="62" t="s">
        <v>1253</v>
      </c>
      <c r="C1922" s="62" t="s">
        <v>84</v>
      </c>
      <c r="D1922" s="62" t="s">
        <v>1268</v>
      </c>
      <c r="E1922" s="76">
        <v>43929.0</v>
      </c>
      <c r="F1922" s="77">
        <v>0.08333333333333333</v>
      </c>
      <c r="G1922" s="62" t="b">
        <v>1</v>
      </c>
      <c r="H1922" s="78" t="b">
        <f>IF(VLOOKUP(C1922,Projetos!A:L,12,false)=TRUE,TRUE,FALSE)</f>
        <v>1</v>
      </c>
      <c r="I1922" s="68">
        <v>27.980014792814504</v>
      </c>
      <c r="J1922" s="68">
        <f t="shared" si="1"/>
        <v>55.96002959</v>
      </c>
      <c r="K1922" s="68" t="b">
        <v>1</v>
      </c>
    </row>
    <row r="1923">
      <c r="A1923" s="75">
        <v>1917.0</v>
      </c>
      <c r="B1923" s="62" t="s">
        <v>1253</v>
      </c>
      <c r="C1923" s="62" t="s">
        <v>84</v>
      </c>
      <c r="D1923" s="62" t="s">
        <v>1268</v>
      </c>
      <c r="E1923" s="76">
        <v>43930.0</v>
      </c>
      <c r="F1923" s="77">
        <v>0.020833333333333332</v>
      </c>
      <c r="G1923" s="62" t="b">
        <v>1</v>
      </c>
      <c r="H1923" s="78" t="b">
        <f>IF(VLOOKUP(C1923,Projetos!A:L,12,false)=TRUE,TRUE,FALSE)</f>
        <v>1</v>
      </c>
      <c r="I1923" s="68">
        <v>27.980014792814504</v>
      </c>
      <c r="J1923" s="68">
        <f t="shared" si="1"/>
        <v>13.9900074</v>
      </c>
      <c r="K1923" s="68" t="b">
        <v>1</v>
      </c>
    </row>
    <row r="1924" hidden="1">
      <c r="A1924" s="75">
        <v>1918.0</v>
      </c>
      <c r="B1924" s="62" t="s">
        <v>1253</v>
      </c>
      <c r="C1924" s="62" t="s">
        <v>103</v>
      </c>
      <c r="D1924" s="62" t="s">
        <v>1269</v>
      </c>
      <c r="E1924" s="76">
        <v>43934.0</v>
      </c>
      <c r="F1924" s="77">
        <v>0.0625</v>
      </c>
      <c r="G1924" s="62" t="b">
        <v>0</v>
      </c>
      <c r="H1924" s="78" t="b">
        <f>IF(VLOOKUP(C1924,Projetos!A:L,12,false)=TRUE,TRUE,FALSE)</f>
        <v>1</v>
      </c>
      <c r="I1924" s="68">
        <v>27.980014792814504</v>
      </c>
      <c r="J1924" s="68">
        <f t="shared" si="1"/>
        <v>0</v>
      </c>
      <c r="K1924" s="68" t="b">
        <v>1</v>
      </c>
    </row>
    <row r="1925" hidden="1">
      <c r="A1925" s="75">
        <v>1919.0</v>
      </c>
      <c r="B1925" s="62" t="s">
        <v>1253</v>
      </c>
      <c r="C1925" s="62" t="s">
        <v>103</v>
      </c>
      <c r="D1925" s="62" t="s">
        <v>1270</v>
      </c>
      <c r="E1925" s="76">
        <v>43844.0</v>
      </c>
      <c r="F1925" s="77">
        <v>0.0625</v>
      </c>
      <c r="G1925" s="62" t="b">
        <v>0</v>
      </c>
      <c r="H1925" s="78" t="b">
        <f>IF(VLOOKUP(C1925,Projetos!A:L,12,false)=TRUE,TRUE,FALSE)</f>
        <v>1</v>
      </c>
      <c r="I1925" s="68">
        <v>29.312396449615196</v>
      </c>
      <c r="J1925" s="68">
        <f t="shared" si="1"/>
        <v>0</v>
      </c>
      <c r="K1925" s="68" t="b">
        <v>1</v>
      </c>
    </row>
    <row r="1926" hidden="1">
      <c r="A1926" s="75">
        <v>1920.0</v>
      </c>
      <c r="B1926" s="62" t="s">
        <v>1253</v>
      </c>
      <c r="C1926" s="62" t="s">
        <v>103</v>
      </c>
      <c r="D1926" s="62" t="s">
        <v>1270</v>
      </c>
      <c r="E1926" s="76">
        <v>43845.0</v>
      </c>
      <c r="F1926" s="77">
        <v>0.08333333333333333</v>
      </c>
      <c r="G1926" s="62" t="b">
        <v>0</v>
      </c>
      <c r="H1926" s="78" t="b">
        <f>IF(VLOOKUP(C1926,Projetos!A:L,12,false)=TRUE,TRUE,FALSE)</f>
        <v>1</v>
      </c>
      <c r="I1926" s="68">
        <v>29.312396449615196</v>
      </c>
      <c r="J1926" s="68">
        <f t="shared" si="1"/>
        <v>0</v>
      </c>
      <c r="K1926" s="68" t="b">
        <v>1</v>
      </c>
    </row>
    <row r="1927">
      <c r="A1927" s="75">
        <v>1921.0</v>
      </c>
      <c r="B1927" s="62" t="s">
        <v>1253</v>
      </c>
      <c r="C1927" s="62" t="s">
        <v>84</v>
      </c>
      <c r="D1927" s="62" t="s">
        <v>1268</v>
      </c>
      <c r="E1927" s="76">
        <v>43937.0</v>
      </c>
      <c r="F1927" s="77">
        <v>0.0625</v>
      </c>
      <c r="G1927" s="62" t="b">
        <v>1</v>
      </c>
      <c r="H1927" s="78" t="b">
        <f>IF(VLOOKUP(C1927,Projetos!A:L,12,false)=TRUE,TRUE,FALSE)</f>
        <v>1</v>
      </c>
      <c r="I1927" s="68">
        <v>27.980014792814504</v>
      </c>
      <c r="J1927" s="68">
        <f t="shared" si="1"/>
        <v>41.97002219</v>
      </c>
      <c r="K1927" s="68" t="b">
        <v>1</v>
      </c>
    </row>
    <row r="1928">
      <c r="A1928" s="75">
        <v>1922.0</v>
      </c>
      <c r="B1928" s="62" t="s">
        <v>1253</v>
      </c>
      <c r="C1928" s="62" t="s">
        <v>84</v>
      </c>
      <c r="D1928" s="62" t="s">
        <v>1268</v>
      </c>
      <c r="E1928" s="76">
        <v>43938.0</v>
      </c>
      <c r="F1928" s="77">
        <v>0.08333333333333333</v>
      </c>
      <c r="G1928" s="62" t="b">
        <v>1</v>
      </c>
      <c r="H1928" s="78" t="b">
        <f>IF(VLOOKUP(C1928,Projetos!A:L,12,false)=TRUE,TRUE,FALSE)</f>
        <v>1</v>
      </c>
      <c r="I1928" s="68">
        <v>27.980014792814504</v>
      </c>
      <c r="J1928" s="68">
        <f t="shared" si="1"/>
        <v>55.96002959</v>
      </c>
      <c r="K1928" s="68" t="b">
        <v>1</v>
      </c>
    </row>
    <row r="1929">
      <c r="A1929" s="75">
        <v>1923.0</v>
      </c>
      <c r="B1929" s="62" t="s">
        <v>1253</v>
      </c>
      <c r="C1929" s="62" t="s">
        <v>84</v>
      </c>
      <c r="D1929" s="62" t="s">
        <v>1268</v>
      </c>
      <c r="E1929" s="76">
        <v>43941.0</v>
      </c>
      <c r="F1929" s="77">
        <v>0.125</v>
      </c>
      <c r="G1929" s="62" t="b">
        <v>1</v>
      </c>
      <c r="H1929" s="78" t="b">
        <f>IF(VLOOKUP(C1929,Projetos!A:L,12,false)=TRUE,TRUE,FALSE)</f>
        <v>1</v>
      </c>
      <c r="I1929" s="68">
        <v>27.980014792814504</v>
      </c>
      <c r="J1929" s="68">
        <f t="shared" si="1"/>
        <v>83.94004438</v>
      </c>
      <c r="K1929" s="68" t="b">
        <v>1</v>
      </c>
    </row>
    <row r="1930">
      <c r="A1930" s="75">
        <v>1924.0</v>
      </c>
      <c r="B1930" s="62" t="s">
        <v>1253</v>
      </c>
      <c r="C1930" s="62" t="s">
        <v>97</v>
      </c>
      <c r="D1930" s="62" t="s">
        <v>1271</v>
      </c>
      <c r="E1930" s="76">
        <v>43943.0</v>
      </c>
      <c r="F1930" s="77">
        <v>0.20833333333333334</v>
      </c>
      <c r="G1930" s="62" t="b">
        <v>1</v>
      </c>
      <c r="H1930" s="78" t="b">
        <f>IF(VLOOKUP(C1930,Projetos!A:L,12,false)=TRUE,TRUE,FALSE)</f>
        <v>1</v>
      </c>
      <c r="I1930" s="68">
        <v>27.980014792814504</v>
      </c>
      <c r="J1930" s="68">
        <f t="shared" si="1"/>
        <v>139.900074</v>
      </c>
      <c r="K1930" s="68" t="b">
        <v>1</v>
      </c>
    </row>
    <row r="1931">
      <c r="A1931" s="75">
        <v>1925.0</v>
      </c>
      <c r="B1931" s="62" t="s">
        <v>1253</v>
      </c>
      <c r="C1931" s="62" t="s">
        <v>104</v>
      </c>
      <c r="D1931" s="62" t="s">
        <v>1272</v>
      </c>
      <c r="E1931" s="76">
        <v>43943.0</v>
      </c>
      <c r="F1931" s="77">
        <v>0.041666666666666664</v>
      </c>
      <c r="G1931" s="62" t="b">
        <v>1</v>
      </c>
      <c r="H1931" s="78" t="b">
        <f>IF(VLOOKUP(C1931,Projetos!A:L,12,false)=TRUE,TRUE,FALSE)</f>
        <v>1</v>
      </c>
      <c r="I1931" s="68">
        <v>27.980014792814504</v>
      </c>
      <c r="J1931" s="68">
        <f t="shared" si="1"/>
        <v>27.98001479</v>
      </c>
      <c r="K1931" s="68" t="b">
        <v>1</v>
      </c>
    </row>
    <row r="1932" hidden="1">
      <c r="A1932" s="75">
        <v>1926.0</v>
      </c>
      <c r="B1932" s="62" t="s">
        <v>1253</v>
      </c>
      <c r="C1932" s="62" t="s">
        <v>104</v>
      </c>
      <c r="D1932" s="62" t="s">
        <v>1273</v>
      </c>
      <c r="E1932" s="76">
        <v>43944.0</v>
      </c>
      <c r="F1932" s="77">
        <v>0.08333333333333333</v>
      </c>
      <c r="G1932" s="62" t="b">
        <v>0</v>
      </c>
      <c r="H1932" s="78" t="b">
        <f>IF(VLOOKUP(C1932,Projetos!A:L,12,false)=TRUE,TRUE,FALSE)</f>
        <v>1</v>
      </c>
      <c r="I1932" s="68">
        <v>27.980014792814504</v>
      </c>
      <c r="J1932" s="68">
        <f t="shared" si="1"/>
        <v>0</v>
      </c>
      <c r="K1932" s="68" t="b">
        <v>1</v>
      </c>
    </row>
    <row r="1933">
      <c r="A1933" s="75">
        <v>1927.0</v>
      </c>
      <c r="B1933" s="62" t="s">
        <v>1253</v>
      </c>
      <c r="C1933" s="62" t="s">
        <v>97</v>
      </c>
      <c r="D1933" s="62" t="s">
        <v>1274</v>
      </c>
      <c r="E1933" s="76">
        <v>43945.0</v>
      </c>
      <c r="F1933" s="77">
        <v>0.10416666666666667</v>
      </c>
      <c r="G1933" s="62" t="b">
        <v>1</v>
      </c>
      <c r="H1933" s="78" t="b">
        <f>IF(VLOOKUP(C1933,Projetos!A:L,12,false)=TRUE,TRUE,FALSE)</f>
        <v>1</v>
      </c>
      <c r="I1933" s="68">
        <v>27.980014792814504</v>
      </c>
      <c r="J1933" s="68">
        <f t="shared" si="1"/>
        <v>69.95003698</v>
      </c>
      <c r="K1933" s="68" t="b">
        <v>1</v>
      </c>
    </row>
    <row r="1934">
      <c r="A1934" s="75">
        <v>1928.0</v>
      </c>
      <c r="B1934" s="62" t="s">
        <v>1253</v>
      </c>
      <c r="C1934" s="62" t="s">
        <v>97</v>
      </c>
      <c r="D1934" s="62" t="s">
        <v>1275</v>
      </c>
      <c r="E1934" s="76">
        <v>43948.0</v>
      </c>
      <c r="F1934" s="77">
        <v>0.10416666666666667</v>
      </c>
      <c r="G1934" s="62" t="b">
        <v>1</v>
      </c>
      <c r="H1934" s="78" t="b">
        <f>IF(VLOOKUP(C1934,Projetos!A:L,12,false)=TRUE,TRUE,FALSE)</f>
        <v>1</v>
      </c>
      <c r="I1934" s="68">
        <v>27.980014792814504</v>
      </c>
      <c r="J1934" s="68">
        <f t="shared" si="1"/>
        <v>69.95003698</v>
      </c>
      <c r="K1934" s="68" t="b">
        <v>1</v>
      </c>
    </row>
    <row r="1935">
      <c r="A1935" s="75">
        <v>1929.0</v>
      </c>
      <c r="B1935" s="62" t="s">
        <v>1253</v>
      </c>
      <c r="C1935" s="62" t="s">
        <v>103</v>
      </c>
      <c r="D1935" s="62" t="s">
        <v>1276</v>
      </c>
      <c r="E1935" s="76">
        <v>43948.0</v>
      </c>
      <c r="F1935" s="77">
        <v>0.0625</v>
      </c>
      <c r="G1935" s="62" t="b">
        <v>1</v>
      </c>
      <c r="H1935" s="78" t="b">
        <f>IF(VLOOKUP(C1935,Projetos!A:L,12,false)=TRUE,TRUE,FALSE)</f>
        <v>1</v>
      </c>
      <c r="I1935" s="68">
        <v>27.980014792814504</v>
      </c>
      <c r="J1935" s="68">
        <f t="shared" si="1"/>
        <v>41.97002219</v>
      </c>
      <c r="K1935" s="68" t="b">
        <v>1</v>
      </c>
    </row>
    <row r="1936">
      <c r="A1936" s="75">
        <v>1930.0</v>
      </c>
      <c r="B1936" s="62" t="s">
        <v>1253</v>
      </c>
      <c r="C1936" s="62" t="s">
        <v>103</v>
      </c>
      <c r="D1936" s="62" t="s">
        <v>1276</v>
      </c>
      <c r="E1936" s="76">
        <v>43949.0</v>
      </c>
      <c r="F1936" s="77">
        <v>0.0625</v>
      </c>
      <c r="G1936" s="62" t="b">
        <v>1</v>
      </c>
      <c r="H1936" s="78" t="b">
        <f>IF(VLOOKUP(C1936,Projetos!A:L,12,false)=TRUE,TRUE,FALSE)</f>
        <v>1</v>
      </c>
      <c r="I1936" s="68">
        <v>27.980014792814504</v>
      </c>
      <c r="J1936" s="68">
        <f t="shared" si="1"/>
        <v>41.97002219</v>
      </c>
      <c r="K1936" s="68" t="b">
        <v>1</v>
      </c>
    </row>
    <row r="1937" hidden="1">
      <c r="A1937" s="75">
        <v>1931.0</v>
      </c>
      <c r="B1937" s="62" t="s">
        <v>1253</v>
      </c>
      <c r="C1937" s="62" t="s">
        <v>104</v>
      </c>
      <c r="D1937" s="62" t="s">
        <v>1273</v>
      </c>
      <c r="E1937" s="76">
        <v>43949.0</v>
      </c>
      <c r="F1937" s="77">
        <v>0.041666666666666664</v>
      </c>
      <c r="G1937" s="62" t="b">
        <v>0</v>
      </c>
      <c r="H1937" s="78" t="b">
        <f>IF(VLOOKUP(C1937,Projetos!A:L,12,false)=TRUE,TRUE,FALSE)</f>
        <v>1</v>
      </c>
      <c r="I1937" s="68">
        <v>27.980014792814504</v>
      </c>
      <c r="J1937" s="68">
        <f t="shared" si="1"/>
        <v>0</v>
      </c>
      <c r="K1937" s="68" t="b">
        <v>1</v>
      </c>
    </row>
    <row r="1938">
      <c r="A1938" s="75">
        <v>1932.0</v>
      </c>
      <c r="B1938" s="62" t="s">
        <v>1253</v>
      </c>
      <c r="C1938" s="62" t="s">
        <v>104</v>
      </c>
      <c r="D1938" s="62" t="s">
        <v>1277</v>
      </c>
      <c r="E1938" s="76">
        <v>43950.0</v>
      </c>
      <c r="F1938" s="77">
        <v>0.125</v>
      </c>
      <c r="G1938" s="62" t="b">
        <v>1</v>
      </c>
      <c r="H1938" s="78" t="b">
        <f>IF(VLOOKUP(C1938,Projetos!A:L,12,false)=TRUE,TRUE,FALSE)</f>
        <v>1</v>
      </c>
      <c r="I1938" s="68">
        <v>27.980014792814504</v>
      </c>
      <c r="J1938" s="68">
        <f t="shared" si="1"/>
        <v>83.94004438</v>
      </c>
      <c r="K1938" s="68" t="b">
        <v>1</v>
      </c>
    </row>
    <row r="1939">
      <c r="A1939" s="75">
        <v>1933.0</v>
      </c>
      <c r="B1939" s="62" t="s">
        <v>1253</v>
      </c>
      <c r="C1939" s="62" t="s">
        <v>97</v>
      </c>
      <c r="D1939" s="62" t="s">
        <v>1278</v>
      </c>
      <c r="E1939" s="76">
        <v>43951.0</v>
      </c>
      <c r="F1939" s="77">
        <v>0.10416666666666667</v>
      </c>
      <c r="G1939" s="62" t="b">
        <v>1</v>
      </c>
      <c r="H1939" s="78" t="b">
        <f>IF(VLOOKUP(C1939,Projetos!A:L,12,false)=TRUE,TRUE,FALSE)</f>
        <v>1</v>
      </c>
      <c r="I1939" s="68">
        <v>27.980014792814504</v>
      </c>
      <c r="J1939" s="68">
        <f t="shared" si="1"/>
        <v>69.95003698</v>
      </c>
      <c r="K1939" s="68" t="b">
        <v>1</v>
      </c>
    </row>
    <row r="1940">
      <c r="A1940" s="75">
        <v>1934.0</v>
      </c>
      <c r="B1940" s="62" t="s">
        <v>1253</v>
      </c>
      <c r="C1940" s="62" t="s">
        <v>97</v>
      </c>
      <c r="D1940" s="62" t="s">
        <v>1268</v>
      </c>
      <c r="E1940" s="76">
        <v>43976.0</v>
      </c>
      <c r="F1940" s="77">
        <v>0.08333333333333333</v>
      </c>
      <c r="G1940" s="62" t="b">
        <v>1</v>
      </c>
      <c r="H1940" s="78" t="b">
        <f>IF(VLOOKUP(C1940,Projetos!A:L,12,false)=TRUE,TRUE,FALSE)</f>
        <v>1</v>
      </c>
      <c r="I1940" s="68">
        <v>29.312396449615196</v>
      </c>
      <c r="J1940" s="68">
        <f t="shared" si="1"/>
        <v>58.6247929</v>
      </c>
      <c r="K1940" s="68" t="b">
        <v>1</v>
      </c>
    </row>
    <row r="1941">
      <c r="A1941" s="75">
        <v>1935.0</v>
      </c>
      <c r="B1941" s="62" t="s">
        <v>1253</v>
      </c>
      <c r="C1941" s="62" t="s">
        <v>97</v>
      </c>
      <c r="D1941" s="62" t="s">
        <v>1268</v>
      </c>
      <c r="E1941" s="76">
        <v>43977.0</v>
      </c>
      <c r="F1941" s="77">
        <v>0.041666666666666664</v>
      </c>
      <c r="G1941" s="62" t="b">
        <v>1</v>
      </c>
      <c r="H1941" s="78" t="b">
        <f>IF(VLOOKUP(C1941,Projetos!A:L,12,false)=TRUE,TRUE,FALSE)</f>
        <v>1</v>
      </c>
      <c r="I1941" s="68">
        <v>29.312396449615196</v>
      </c>
      <c r="J1941" s="68">
        <f t="shared" si="1"/>
        <v>29.31239645</v>
      </c>
      <c r="K1941" s="68" t="b">
        <v>1</v>
      </c>
    </row>
    <row r="1942">
      <c r="A1942" s="75">
        <v>1936.0</v>
      </c>
      <c r="B1942" s="62" t="s">
        <v>1253</v>
      </c>
      <c r="C1942" s="62" t="s">
        <v>104</v>
      </c>
      <c r="D1942" s="62" t="s">
        <v>1279</v>
      </c>
      <c r="E1942" s="76">
        <v>44102.0</v>
      </c>
      <c r="F1942" s="77">
        <v>0.08333333333333333</v>
      </c>
      <c r="G1942" s="62" t="b">
        <v>1</v>
      </c>
      <c r="H1942" s="78" t="b">
        <f>IF(VLOOKUP(C1942,Projetos!A:L,12,false)=TRUE,TRUE,FALSE)</f>
        <v>1</v>
      </c>
      <c r="I1942" s="68">
        <v>30.80635014921946</v>
      </c>
      <c r="J1942" s="68">
        <f t="shared" si="1"/>
        <v>61.6127003</v>
      </c>
      <c r="K1942" s="68" t="b">
        <v>1</v>
      </c>
    </row>
    <row r="1943">
      <c r="A1943" s="75">
        <v>1937.0</v>
      </c>
      <c r="B1943" s="62" t="s">
        <v>1253</v>
      </c>
      <c r="C1943" s="62" t="s">
        <v>104</v>
      </c>
      <c r="D1943" s="62" t="s">
        <v>1279</v>
      </c>
      <c r="E1943" s="76">
        <v>44103.0</v>
      </c>
      <c r="F1943" s="77">
        <v>0.041666666666666664</v>
      </c>
      <c r="G1943" s="62" t="b">
        <v>1</v>
      </c>
      <c r="H1943" s="78" t="b">
        <f>IF(VLOOKUP(C1943,Projetos!A:L,12,false)=TRUE,TRUE,FALSE)</f>
        <v>1</v>
      </c>
      <c r="I1943" s="68">
        <v>30.80635014921946</v>
      </c>
      <c r="J1943" s="68">
        <f t="shared" si="1"/>
        <v>30.80635015</v>
      </c>
      <c r="K1943" s="68" t="b">
        <v>1</v>
      </c>
    </row>
    <row r="1944" hidden="1">
      <c r="A1944" s="75">
        <v>1938.0</v>
      </c>
      <c r="B1944" s="62" t="s">
        <v>1253</v>
      </c>
      <c r="C1944" s="62" t="s">
        <v>104</v>
      </c>
      <c r="D1944" s="62" t="s">
        <v>1280</v>
      </c>
      <c r="E1944" s="76">
        <v>43983.0</v>
      </c>
      <c r="F1944" s="77">
        <v>0.041666666666666664</v>
      </c>
      <c r="G1944" s="62" t="b">
        <v>0</v>
      </c>
      <c r="H1944" s="78" t="b">
        <f>IF(VLOOKUP(C1944,Projetos!A:L,12,false)=TRUE,TRUE,FALSE)</f>
        <v>1</v>
      </c>
      <c r="I1944" s="68">
        <v>27.980014792814504</v>
      </c>
      <c r="J1944" s="68">
        <f t="shared" si="1"/>
        <v>0</v>
      </c>
      <c r="K1944" s="68" t="b">
        <v>1</v>
      </c>
    </row>
    <row r="1945">
      <c r="A1945" s="75">
        <v>1939.0</v>
      </c>
      <c r="B1945" s="62" t="s">
        <v>1253</v>
      </c>
      <c r="C1945" s="62" t="s">
        <v>101</v>
      </c>
      <c r="D1945" s="62" t="s">
        <v>1281</v>
      </c>
      <c r="E1945" s="76">
        <v>43983.0</v>
      </c>
      <c r="F1945" s="77">
        <v>0.0625</v>
      </c>
      <c r="G1945" s="62" t="b">
        <v>1</v>
      </c>
      <c r="H1945" s="78" t="b">
        <f>IF(VLOOKUP(C1945,Projetos!A:L,12,false)=TRUE,TRUE,FALSE)</f>
        <v>1</v>
      </c>
      <c r="I1945" s="68">
        <v>27.980014792814504</v>
      </c>
      <c r="J1945" s="68">
        <f t="shared" si="1"/>
        <v>41.97002219</v>
      </c>
      <c r="K1945" s="68" t="b">
        <v>1</v>
      </c>
    </row>
    <row r="1946" hidden="1">
      <c r="A1946" s="75">
        <v>1940.0</v>
      </c>
      <c r="B1946" s="62" t="s">
        <v>1253</v>
      </c>
      <c r="C1946" s="62" t="s">
        <v>104</v>
      </c>
      <c r="D1946" s="62" t="s">
        <v>1280</v>
      </c>
      <c r="E1946" s="76">
        <v>43985.0</v>
      </c>
      <c r="F1946" s="77">
        <v>0.08333333333333333</v>
      </c>
      <c r="G1946" s="62" t="b">
        <v>0</v>
      </c>
      <c r="H1946" s="78" t="b">
        <f>IF(VLOOKUP(C1946,Projetos!A:L,12,false)=TRUE,TRUE,FALSE)</f>
        <v>1</v>
      </c>
      <c r="I1946" s="68">
        <v>27.980014792814504</v>
      </c>
      <c r="J1946" s="68">
        <f t="shared" si="1"/>
        <v>0</v>
      </c>
      <c r="K1946" s="68" t="b">
        <v>1</v>
      </c>
    </row>
    <row r="1947">
      <c r="A1947" s="75">
        <v>1941.0</v>
      </c>
      <c r="B1947" s="62" t="s">
        <v>1253</v>
      </c>
      <c r="C1947" s="62" t="s">
        <v>101</v>
      </c>
      <c r="D1947" s="62" t="s">
        <v>1281</v>
      </c>
      <c r="E1947" s="76">
        <v>43986.0</v>
      </c>
      <c r="F1947" s="77">
        <v>0.125</v>
      </c>
      <c r="G1947" s="62" t="b">
        <v>1</v>
      </c>
      <c r="H1947" s="78" t="b">
        <f>IF(VLOOKUP(C1947,Projetos!A:L,12,false)=TRUE,TRUE,FALSE)</f>
        <v>1</v>
      </c>
      <c r="I1947" s="68">
        <v>27.980014792814504</v>
      </c>
      <c r="J1947" s="68">
        <f t="shared" si="1"/>
        <v>83.94004438</v>
      </c>
      <c r="K1947" s="68" t="b">
        <v>1</v>
      </c>
    </row>
    <row r="1948">
      <c r="A1948" s="75">
        <v>1942.0</v>
      </c>
      <c r="B1948" s="62" t="s">
        <v>1253</v>
      </c>
      <c r="C1948" s="62" t="s">
        <v>101</v>
      </c>
      <c r="D1948" s="62" t="s">
        <v>1281</v>
      </c>
      <c r="E1948" s="76">
        <v>43987.0</v>
      </c>
      <c r="F1948" s="77">
        <v>0.125</v>
      </c>
      <c r="G1948" s="62" t="b">
        <v>1</v>
      </c>
      <c r="H1948" s="78" t="b">
        <f>IF(VLOOKUP(C1948,Projetos!A:L,12,false)=TRUE,TRUE,FALSE)</f>
        <v>1</v>
      </c>
      <c r="I1948" s="68">
        <v>27.980014792814504</v>
      </c>
      <c r="J1948" s="68">
        <f t="shared" si="1"/>
        <v>83.94004438</v>
      </c>
      <c r="K1948" s="68" t="b">
        <v>1</v>
      </c>
    </row>
    <row r="1949">
      <c r="A1949" s="75">
        <v>1943.0</v>
      </c>
      <c r="B1949" s="62" t="s">
        <v>1253</v>
      </c>
      <c r="C1949" s="62" t="s">
        <v>101</v>
      </c>
      <c r="D1949" s="62" t="s">
        <v>1281</v>
      </c>
      <c r="E1949" s="76">
        <v>43990.0</v>
      </c>
      <c r="F1949" s="77">
        <v>0.08333333333333333</v>
      </c>
      <c r="G1949" s="62" t="b">
        <v>1</v>
      </c>
      <c r="H1949" s="78" t="b">
        <f>IF(VLOOKUP(C1949,Projetos!A:L,12,false)=TRUE,TRUE,FALSE)</f>
        <v>1</v>
      </c>
      <c r="I1949" s="68">
        <v>27.980014792814504</v>
      </c>
      <c r="J1949" s="68">
        <f t="shared" si="1"/>
        <v>55.96002959</v>
      </c>
      <c r="K1949" s="68" t="b">
        <v>1</v>
      </c>
    </row>
    <row r="1950">
      <c r="A1950" s="75">
        <v>1944.0</v>
      </c>
      <c r="B1950" s="62" t="s">
        <v>1253</v>
      </c>
      <c r="C1950" s="62" t="s">
        <v>84</v>
      </c>
      <c r="D1950" s="62" t="s">
        <v>1282</v>
      </c>
      <c r="E1950" s="76">
        <v>43990.0</v>
      </c>
      <c r="F1950" s="77">
        <v>0.08333333333333333</v>
      </c>
      <c r="G1950" s="62" t="b">
        <v>1</v>
      </c>
      <c r="H1950" s="78" t="b">
        <f>IF(VLOOKUP(C1950,Projetos!A:L,12,false)=TRUE,TRUE,FALSE)</f>
        <v>1</v>
      </c>
      <c r="I1950" s="68">
        <v>27.980014792814504</v>
      </c>
      <c r="J1950" s="68">
        <f t="shared" si="1"/>
        <v>55.96002959</v>
      </c>
      <c r="K1950" s="68" t="b">
        <v>1</v>
      </c>
    </row>
    <row r="1951">
      <c r="A1951" s="75">
        <v>1945.0</v>
      </c>
      <c r="B1951" s="62" t="s">
        <v>1253</v>
      </c>
      <c r="C1951" s="62" t="s">
        <v>101</v>
      </c>
      <c r="D1951" s="62" t="s">
        <v>1281</v>
      </c>
      <c r="E1951" s="76">
        <v>43991.0</v>
      </c>
      <c r="F1951" s="77">
        <v>0.08333333333333333</v>
      </c>
      <c r="G1951" s="62" t="b">
        <v>1</v>
      </c>
      <c r="H1951" s="78" t="b">
        <f>IF(VLOOKUP(C1951,Projetos!A:L,12,false)=TRUE,TRUE,FALSE)</f>
        <v>1</v>
      </c>
      <c r="I1951" s="68">
        <v>27.980014792814504</v>
      </c>
      <c r="J1951" s="68">
        <f t="shared" si="1"/>
        <v>55.96002959</v>
      </c>
      <c r="K1951" s="68" t="b">
        <v>1</v>
      </c>
    </row>
    <row r="1952">
      <c r="A1952" s="75">
        <v>1946.0</v>
      </c>
      <c r="B1952" s="62" t="s">
        <v>1253</v>
      </c>
      <c r="C1952" s="62" t="s">
        <v>84</v>
      </c>
      <c r="D1952" s="62" t="s">
        <v>1283</v>
      </c>
      <c r="E1952" s="76">
        <v>43992.0</v>
      </c>
      <c r="F1952" s="77">
        <v>0.08333333333333333</v>
      </c>
      <c r="G1952" s="62" t="b">
        <v>1</v>
      </c>
      <c r="H1952" s="78" t="b">
        <f>IF(VLOOKUP(C1952,Projetos!A:L,12,false)=TRUE,TRUE,FALSE)</f>
        <v>1</v>
      </c>
      <c r="I1952" s="68">
        <v>27.980014792814504</v>
      </c>
      <c r="J1952" s="68">
        <f t="shared" si="1"/>
        <v>55.96002959</v>
      </c>
      <c r="K1952" s="68" t="b">
        <v>1</v>
      </c>
    </row>
    <row r="1953">
      <c r="A1953" s="75">
        <v>1947.0</v>
      </c>
      <c r="B1953" s="62" t="s">
        <v>1253</v>
      </c>
      <c r="C1953" s="62" t="s">
        <v>101</v>
      </c>
      <c r="D1953" s="62" t="s">
        <v>1281</v>
      </c>
      <c r="E1953" s="76">
        <v>43994.0</v>
      </c>
      <c r="F1953" s="77">
        <v>0.08333333333333333</v>
      </c>
      <c r="G1953" s="62" t="b">
        <v>1</v>
      </c>
      <c r="H1953" s="78" t="b">
        <f>IF(VLOOKUP(C1953,Projetos!A:L,12,false)=TRUE,TRUE,FALSE)</f>
        <v>1</v>
      </c>
      <c r="I1953" s="68">
        <v>27.980014792814504</v>
      </c>
      <c r="J1953" s="68">
        <f t="shared" si="1"/>
        <v>55.96002959</v>
      </c>
      <c r="K1953" s="68" t="b">
        <v>1</v>
      </c>
    </row>
    <row r="1954" hidden="1">
      <c r="A1954" s="75">
        <v>1948.0</v>
      </c>
      <c r="B1954" s="62" t="s">
        <v>1253</v>
      </c>
      <c r="C1954" s="62" t="s">
        <v>103</v>
      </c>
      <c r="D1954" s="62" t="s">
        <v>1284</v>
      </c>
      <c r="E1954" s="76">
        <v>43994.0</v>
      </c>
      <c r="F1954" s="77">
        <v>0.08333333333333333</v>
      </c>
      <c r="G1954" s="62" t="b">
        <v>0</v>
      </c>
      <c r="H1954" s="78" t="b">
        <f>IF(VLOOKUP(C1954,Projetos!A:L,12,false)=TRUE,TRUE,FALSE)</f>
        <v>1</v>
      </c>
      <c r="I1954" s="68">
        <v>27.980014792814504</v>
      </c>
      <c r="J1954" s="68">
        <f t="shared" si="1"/>
        <v>0</v>
      </c>
      <c r="K1954" s="68" t="b">
        <v>1</v>
      </c>
    </row>
    <row r="1955" hidden="1">
      <c r="A1955" s="75">
        <v>1949.0</v>
      </c>
      <c r="B1955" s="62" t="s">
        <v>1253</v>
      </c>
      <c r="C1955" s="62" t="s">
        <v>104</v>
      </c>
      <c r="D1955" s="62" t="s">
        <v>1280</v>
      </c>
      <c r="E1955" s="76">
        <v>43997.0</v>
      </c>
      <c r="F1955" s="77">
        <v>0.08333333333333333</v>
      </c>
      <c r="G1955" s="62" t="b">
        <v>0</v>
      </c>
      <c r="H1955" s="78" t="b">
        <f>IF(VLOOKUP(C1955,Projetos!A:L,12,false)=TRUE,TRUE,FALSE)</f>
        <v>1</v>
      </c>
      <c r="I1955" s="68">
        <v>27.980014792814504</v>
      </c>
      <c r="J1955" s="68">
        <f t="shared" si="1"/>
        <v>0</v>
      </c>
      <c r="K1955" s="68" t="b">
        <v>1</v>
      </c>
    </row>
    <row r="1956">
      <c r="A1956" s="75">
        <v>1950.0</v>
      </c>
      <c r="B1956" s="62" t="s">
        <v>1253</v>
      </c>
      <c r="C1956" s="62" t="s">
        <v>84</v>
      </c>
      <c r="D1956" s="62" t="s">
        <v>1285</v>
      </c>
      <c r="E1956" s="76">
        <v>43998.0</v>
      </c>
      <c r="F1956" s="77">
        <v>0.16666666666666666</v>
      </c>
      <c r="G1956" s="62" t="b">
        <v>1</v>
      </c>
      <c r="H1956" s="78" t="b">
        <f>IF(VLOOKUP(C1956,Projetos!A:L,12,false)=TRUE,TRUE,FALSE)</f>
        <v>1</v>
      </c>
      <c r="I1956" s="68">
        <v>27.980014792814504</v>
      </c>
      <c r="J1956" s="68">
        <f t="shared" si="1"/>
        <v>111.9200592</v>
      </c>
      <c r="K1956" s="68" t="b">
        <v>1</v>
      </c>
    </row>
    <row r="1957" hidden="1">
      <c r="A1957" s="75">
        <v>1951.0</v>
      </c>
      <c r="B1957" s="62" t="s">
        <v>1253</v>
      </c>
      <c r="C1957" s="62" t="s">
        <v>104</v>
      </c>
      <c r="D1957" s="62" t="s">
        <v>1286</v>
      </c>
      <c r="E1957" s="76">
        <v>43999.0</v>
      </c>
      <c r="F1957" s="77">
        <v>0.041666666666666664</v>
      </c>
      <c r="G1957" s="62" t="b">
        <v>0</v>
      </c>
      <c r="H1957" s="78" t="b">
        <f>IF(VLOOKUP(C1957,Projetos!A:L,12,false)=TRUE,TRUE,FALSE)</f>
        <v>1</v>
      </c>
      <c r="I1957" s="68">
        <v>27.980014792814504</v>
      </c>
      <c r="J1957" s="68">
        <f t="shared" si="1"/>
        <v>0</v>
      </c>
      <c r="K1957" s="68" t="b">
        <v>1</v>
      </c>
    </row>
    <row r="1958" hidden="1">
      <c r="A1958" s="75">
        <v>1952.0</v>
      </c>
      <c r="B1958" s="62" t="s">
        <v>1253</v>
      </c>
      <c r="C1958" s="62" t="s">
        <v>104</v>
      </c>
      <c r="D1958" s="62" t="s">
        <v>1286</v>
      </c>
      <c r="E1958" s="76">
        <v>43999.0</v>
      </c>
      <c r="F1958" s="77">
        <v>0.041666666666666664</v>
      </c>
      <c r="G1958" s="62" t="b">
        <v>0</v>
      </c>
      <c r="H1958" s="78" t="b">
        <f>IF(VLOOKUP(C1958,Projetos!A:L,12,false)=TRUE,TRUE,FALSE)</f>
        <v>1</v>
      </c>
      <c r="I1958" s="68">
        <v>27.980014792814504</v>
      </c>
      <c r="J1958" s="68">
        <f t="shared" si="1"/>
        <v>0</v>
      </c>
      <c r="K1958" s="68" t="b">
        <v>1</v>
      </c>
    </row>
    <row r="1959">
      <c r="A1959" s="75">
        <v>1953.0</v>
      </c>
      <c r="B1959" s="62" t="s">
        <v>1253</v>
      </c>
      <c r="C1959" s="62" t="s">
        <v>84</v>
      </c>
      <c r="D1959" s="62" t="s">
        <v>1285</v>
      </c>
      <c r="E1959" s="76">
        <v>44000.0</v>
      </c>
      <c r="F1959" s="77">
        <v>0.125</v>
      </c>
      <c r="G1959" s="62" t="b">
        <v>1</v>
      </c>
      <c r="H1959" s="78" t="b">
        <f>IF(VLOOKUP(C1959,Projetos!A:L,12,false)=TRUE,TRUE,FALSE)</f>
        <v>1</v>
      </c>
      <c r="I1959" s="68">
        <v>27.980014792814504</v>
      </c>
      <c r="J1959" s="68">
        <f t="shared" si="1"/>
        <v>83.94004438</v>
      </c>
      <c r="K1959" s="68" t="b">
        <v>1</v>
      </c>
    </row>
    <row r="1960" hidden="1">
      <c r="A1960" s="75">
        <v>1954.0</v>
      </c>
      <c r="B1960" s="62" t="s">
        <v>1253</v>
      </c>
      <c r="C1960" s="62" t="s">
        <v>103</v>
      </c>
      <c r="D1960" s="62" t="s">
        <v>1287</v>
      </c>
      <c r="E1960" s="76">
        <v>44004.0</v>
      </c>
      <c r="F1960" s="77">
        <v>0.125</v>
      </c>
      <c r="G1960" s="62" t="b">
        <v>0</v>
      </c>
      <c r="H1960" s="78" t="b">
        <f>IF(VLOOKUP(C1960,Projetos!A:L,12,false)=TRUE,TRUE,FALSE)</f>
        <v>1</v>
      </c>
      <c r="I1960" s="68">
        <v>27.980014792814504</v>
      </c>
      <c r="J1960" s="68">
        <f t="shared" si="1"/>
        <v>0</v>
      </c>
      <c r="K1960" s="68" t="b">
        <v>1</v>
      </c>
    </row>
    <row r="1961">
      <c r="A1961" s="75">
        <v>1955.0</v>
      </c>
      <c r="B1961" s="62" t="s">
        <v>1253</v>
      </c>
      <c r="C1961" s="62" t="s">
        <v>84</v>
      </c>
      <c r="D1961" s="62" t="s">
        <v>1285</v>
      </c>
      <c r="E1961" s="76">
        <v>44005.0</v>
      </c>
      <c r="F1961" s="77">
        <v>0.08333333333333333</v>
      </c>
      <c r="G1961" s="62" t="b">
        <v>1</v>
      </c>
      <c r="H1961" s="78" t="b">
        <f>IF(VLOOKUP(C1961,Projetos!A:L,12,false)=TRUE,TRUE,FALSE)</f>
        <v>1</v>
      </c>
      <c r="I1961" s="68">
        <v>27.980014792814504</v>
      </c>
      <c r="J1961" s="68">
        <f t="shared" si="1"/>
        <v>55.96002959</v>
      </c>
      <c r="K1961" s="68" t="b">
        <v>1</v>
      </c>
    </row>
    <row r="1962">
      <c r="A1962" s="75">
        <v>1956.0</v>
      </c>
      <c r="B1962" s="62" t="s">
        <v>1253</v>
      </c>
      <c r="C1962" s="62" t="s">
        <v>84</v>
      </c>
      <c r="D1962" s="62" t="s">
        <v>1285</v>
      </c>
      <c r="E1962" s="76">
        <v>44006.0</v>
      </c>
      <c r="F1962" s="77">
        <v>0.5416666666666666</v>
      </c>
      <c r="G1962" s="62" t="b">
        <v>1</v>
      </c>
      <c r="H1962" s="78" t="b">
        <f>IF(VLOOKUP(C1962,Projetos!A:L,12,false)=TRUE,TRUE,FALSE)</f>
        <v>1</v>
      </c>
      <c r="I1962" s="68">
        <v>27.980014792814504</v>
      </c>
      <c r="J1962" s="68">
        <f t="shared" si="1"/>
        <v>363.7401923</v>
      </c>
      <c r="K1962" s="68" t="b">
        <v>1</v>
      </c>
    </row>
    <row r="1963" hidden="1">
      <c r="A1963" s="75">
        <v>1957.0</v>
      </c>
      <c r="B1963" s="62" t="s">
        <v>1253</v>
      </c>
      <c r="C1963" s="62" t="s">
        <v>103</v>
      </c>
      <c r="D1963" s="62" t="s">
        <v>1287</v>
      </c>
      <c r="E1963" s="76">
        <v>44006.0</v>
      </c>
      <c r="F1963" s="77">
        <v>0.041666666666666664</v>
      </c>
      <c r="G1963" s="62" t="b">
        <v>0</v>
      </c>
      <c r="H1963" s="78" t="b">
        <f>IF(VLOOKUP(C1963,Projetos!A:L,12,false)=TRUE,TRUE,FALSE)</f>
        <v>1</v>
      </c>
      <c r="I1963" s="68">
        <v>27.980014792814504</v>
      </c>
      <c r="J1963" s="68">
        <f t="shared" si="1"/>
        <v>0</v>
      </c>
      <c r="K1963" s="68" t="b">
        <v>1</v>
      </c>
    </row>
    <row r="1964">
      <c r="A1964" s="75">
        <v>1958.0</v>
      </c>
      <c r="B1964" s="62" t="s">
        <v>1253</v>
      </c>
      <c r="C1964" s="62" t="s">
        <v>84</v>
      </c>
      <c r="D1964" s="62" t="s">
        <v>1285</v>
      </c>
      <c r="E1964" s="76">
        <v>44007.0</v>
      </c>
      <c r="F1964" s="77">
        <v>0.20833333333333334</v>
      </c>
      <c r="G1964" s="62" t="b">
        <v>1</v>
      </c>
      <c r="H1964" s="78" t="b">
        <f>IF(VLOOKUP(C1964,Projetos!A:L,12,false)=TRUE,TRUE,FALSE)</f>
        <v>1</v>
      </c>
      <c r="I1964" s="68">
        <v>27.980014792814504</v>
      </c>
      <c r="J1964" s="68">
        <f t="shared" si="1"/>
        <v>139.900074</v>
      </c>
      <c r="K1964" s="68" t="b">
        <v>1</v>
      </c>
    </row>
    <row r="1965">
      <c r="A1965" s="75">
        <v>1959.0</v>
      </c>
      <c r="B1965" s="62" t="s">
        <v>1253</v>
      </c>
      <c r="C1965" s="62" t="s">
        <v>84</v>
      </c>
      <c r="D1965" s="62" t="s">
        <v>1285</v>
      </c>
      <c r="E1965" s="76">
        <v>44008.0</v>
      </c>
      <c r="F1965" s="77">
        <v>0.125</v>
      </c>
      <c r="G1965" s="62" t="b">
        <v>1</v>
      </c>
      <c r="H1965" s="78" t="b">
        <f>IF(VLOOKUP(C1965,Projetos!A:L,12,false)=TRUE,TRUE,FALSE)</f>
        <v>1</v>
      </c>
      <c r="I1965" s="68">
        <v>27.980014792814504</v>
      </c>
      <c r="J1965" s="68">
        <f t="shared" si="1"/>
        <v>83.94004438</v>
      </c>
      <c r="K1965" s="68" t="b">
        <v>1</v>
      </c>
    </row>
    <row r="1966">
      <c r="A1966" s="75">
        <v>1960.0</v>
      </c>
      <c r="B1966" s="62" t="s">
        <v>1253</v>
      </c>
      <c r="C1966" s="62" t="s">
        <v>84</v>
      </c>
      <c r="D1966" s="62" t="s">
        <v>1285</v>
      </c>
      <c r="E1966" s="76">
        <v>44011.0</v>
      </c>
      <c r="F1966" s="77">
        <v>0.25</v>
      </c>
      <c r="G1966" s="62" t="b">
        <v>1</v>
      </c>
      <c r="H1966" s="78" t="b">
        <f>IF(VLOOKUP(C1966,Projetos!A:L,12,false)=TRUE,TRUE,FALSE)</f>
        <v>1</v>
      </c>
      <c r="I1966" s="68">
        <v>27.980014792814504</v>
      </c>
      <c r="J1966" s="68">
        <f t="shared" si="1"/>
        <v>167.8800888</v>
      </c>
      <c r="K1966" s="68" t="b">
        <v>1</v>
      </c>
    </row>
    <row r="1967">
      <c r="A1967" s="75">
        <v>1961.0</v>
      </c>
      <c r="B1967" s="62" t="s">
        <v>1253</v>
      </c>
      <c r="C1967" s="62" t="s">
        <v>84</v>
      </c>
      <c r="D1967" s="62" t="s">
        <v>1285</v>
      </c>
      <c r="E1967" s="76">
        <v>44012.0</v>
      </c>
      <c r="F1967" s="77">
        <v>0.1875</v>
      </c>
      <c r="G1967" s="62" t="b">
        <v>1</v>
      </c>
      <c r="H1967" s="78" t="b">
        <f>IF(VLOOKUP(C1967,Projetos!A:L,12,false)=TRUE,TRUE,FALSE)</f>
        <v>1</v>
      </c>
      <c r="I1967" s="68">
        <v>27.980014792814504</v>
      </c>
      <c r="J1967" s="68">
        <f t="shared" si="1"/>
        <v>125.9100666</v>
      </c>
      <c r="K1967" s="68" t="b">
        <v>1</v>
      </c>
    </row>
    <row r="1968">
      <c r="A1968" s="75">
        <v>1962.0</v>
      </c>
      <c r="B1968" s="62" t="s">
        <v>1253</v>
      </c>
      <c r="C1968" s="62" t="s">
        <v>104</v>
      </c>
      <c r="D1968" s="62" t="s">
        <v>1288</v>
      </c>
      <c r="E1968" s="76">
        <v>44013.0</v>
      </c>
      <c r="F1968" s="77">
        <v>0.041666666666666664</v>
      </c>
      <c r="G1968" s="62" t="b">
        <v>1</v>
      </c>
      <c r="H1968" s="78" t="b">
        <f>IF(VLOOKUP(C1968,Projetos!A:L,12,false)=TRUE,TRUE,FALSE)</f>
        <v>1</v>
      </c>
      <c r="I1968" s="68">
        <v>29.312396449615196</v>
      </c>
      <c r="J1968" s="68">
        <f t="shared" si="1"/>
        <v>29.31239645</v>
      </c>
      <c r="K1968" s="68" t="b">
        <v>1</v>
      </c>
    </row>
    <row r="1969">
      <c r="A1969" s="75">
        <v>1963.0</v>
      </c>
      <c r="B1969" s="62" t="s">
        <v>1253</v>
      </c>
      <c r="C1969" s="62" t="s">
        <v>84</v>
      </c>
      <c r="D1969" s="62" t="s">
        <v>1289</v>
      </c>
      <c r="E1969" s="76">
        <v>44013.0</v>
      </c>
      <c r="F1969" s="77">
        <v>0.16666666666666666</v>
      </c>
      <c r="G1969" s="62" t="b">
        <v>1</v>
      </c>
      <c r="H1969" s="78" t="b">
        <f>IF(VLOOKUP(C1969,Projetos!A:L,12,false)=TRUE,TRUE,FALSE)</f>
        <v>1</v>
      </c>
      <c r="I1969" s="68">
        <v>29.312396449615196</v>
      </c>
      <c r="J1969" s="68">
        <f t="shared" si="1"/>
        <v>117.2495858</v>
      </c>
      <c r="K1969" s="68" t="b">
        <v>1</v>
      </c>
    </row>
    <row r="1970">
      <c r="A1970" s="75">
        <v>1964.0</v>
      </c>
      <c r="B1970" s="62" t="s">
        <v>1253</v>
      </c>
      <c r="C1970" s="62" t="s">
        <v>84</v>
      </c>
      <c r="D1970" s="62" t="s">
        <v>1289</v>
      </c>
      <c r="E1970" s="76">
        <v>44014.0</v>
      </c>
      <c r="F1970" s="77">
        <v>0.20833333333333334</v>
      </c>
      <c r="G1970" s="62" t="b">
        <v>1</v>
      </c>
      <c r="H1970" s="78" t="b">
        <f>IF(VLOOKUP(C1970,Projetos!A:L,12,false)=TRUE,TRUE,FALSE)</f>
        <v>1</v>
      </c>
      <c r="I1970" s="68">
        <v>29.312396449615196</v>
      </c>
      <c r="J1970" s="68">
        <f t="shared" si="1"/>
        <v>146.5619822</v>
      </c>
      <c r="K1970" s="68" t="b">
        <v>1</v>
      </c>
    </row>
    <row r="1971">
      <c r="A1971" s="75">
        <v>1965.0</v>
      </c>
      <c r="B1971" s="62" t="s">
        <v>1253</v>
      </c>
      <c r="C1971" s="62" t="s">
        <v>90</v>
      </c>
      <c r="D1971" s="62" t="s">
        <v>1290</v>
      </c>
      <c r="E1971" s="76">
        <v>44015.0</v>
      </c>
      <c r="F1971" s="77">
        <v>0.2708333333333333</v>
      </c>
      <c r="G1971" s="62" t="b">
        <v>1</v>
      </c>
      <c r="H1971" s="78" t="b">
        <f>IF(VLOOKUP(C1971,Projetos!A:L,12,false)=TRUE,TRUE,FALSE)</f>
        <v>1</v>
      </c>
      <c r="I1971" s="68">
        <v>29.312396449615196</v>
      </c>
      <c r="J1971" s="68">
        <f t="shared" si="1"/>
        <v>190.5305769</v>
      </c>
      <c r="K1971" s="68" t="b">
        <v>1</v>
      </c>
    </row>
    <row r="1972">
      <c r="A1972" s="75">
        <v>1966.0</v>
      </c>
      <c r="B1972" s="62" t="s">
        <v>1253</v>
      </c>
      <c r="C1972" s="62" t="s">
        <v>90</v>
      </c>
      <c r="D1972" s="62" t="s">
        <v>1290</v>
      </c>
      <c r="E1972" s="76">
        <v>44018.0</v>
      </c>
      <c r="F1972" s="77">
        <v>0.3333333333333333</v>
      </c>
      <c r="G1972" s="62" t="b">
        <v>1</v>
      </c>
      <c r="H1972" s="78" t="b">
        <f>IF(VLOOKUP(C1972,Projetos!A:L,12,false)=TRUE,TRUE,FALSE)</f>
        <v>1</v>
      </c>
      <c r="I1972" s="68">
        <v>29.312396449615196</v>
      </c>
      <c r="J1972" s="68">
        <f t="shared" si="1"/>
        <v>234.4991716</v>
      </c>
      <c r="K1972" s="68" t="b">
        <v>1</v>
      </c>
    </row>
    <row r="1973">
      <c r="A1973" s="75">
        <v>1967.0</v>
      </c>
      <c r="B1973" s="62" t="s">
        <v>1253</v>
      </c>
      <c r="C1973" s="62" t="s">
        <v>84</v>
      </c>
      <c r="D1973" s="62" t="s">
        <v>1289</v>
      </c>
      <c r="E1973" s="76">
        <v>44019.0</v>
      </c>
      <c r="F1973" s="77">
        <v>0.125</v>
      </c>
      <c r="G1973" s="62" t="b">
        <v>1</v>
      </c>
      <c r="H1973" s="78" t="b">
        <f>IF(VLOOKUP(C1973,Projetos!A:L,12,false)=TRUE,TRUE,FALSE)</f>
        <v>1</v>
      </c>
      <c r="I1973" s="68">
        <v>29.312396449615196</v>
      </c>
      <c r="J1973" s="68">
        <f t="shared" si="1"/>
        <v>87.93718935</v>
      </c>
      <c r="K1973" s="68" t="b">
        <v>1</v>
      </c>
    </row>
    <row r="1974">
      <c r="A1974" s="75">
        <v>1968.0</v>
      </c>
      <c r="B1974" s="62" t="s">
        <v>1253</v>
      </c>
      <c r="C1974" s="62" t="s">
        <v>90</v>
      </c>
      <c r="D1974" s="62" t="s">
        <v>1290</v>
      </c>
      <c r="E1974" s="76">
        <v>44019.0</v>
      </c>
      <c r="F1974" s="77">
        <v>0.16666666666666666</v>
      </c>
      <c r="G1974" s="62" t="b">
        <v>1</v>
      </c>
      <c r="H1974" s="78" t="b">
        <f>IF(VLOOKUP(C1974,Projetos!A:L,12,false)=TRUE,TRUE,FALSE)</f>
        <v>1</v>
      </c>
      <c r="I1974" s="68">
        <v>29.312396449615196</v>
      </c>
      <c r="J1974" s="68">
        <f t="shared" si="1"/>
        <v>117.2495858</v>
      </c>
      <c r="K1974" s="68" t="b">
        <v>1</v>
      </c>
    </row>
    <row r="1975">
      <c r="A1975" s="75">
        <v>1969.0</v>
      </c>
      <c r="B1975" s="62" t="s">
        <v>1253</v>
      </c>
      <c r="C1975" s="62" t="s">
        <v>90</v>
      </c>
      <c r="D1975" s="62" t="s">
        <v>1290</v>
      </c>
      <c r="E1975" s="76">
        <v>44020.0</v>
      </c>
      <c r="F1975" s="77">
        <v>0.3125</v>
      </c>
      <c r="G1975" s="62" t="b">
        <v>1</v>
      </c>
      <c r="H1975" s="78" t="b">
        <f>IF(VLOOKUP(C1975,Projetos!A:L,12,false)=TRUE,TRUE,FALSE)</f>
        <v>1</v>
      </c>
      <c r="I1975" s="68">
        <v>29.312396449615196</v>
      </c>
      <c r="J1975" s="68">
        <f t="shared" si="1"/>
        <v>219.8429734</v>
      </c>
      <c r="K1975" s="68" t="b">
        <v>1</v>
      </c>
    </row>
    <row r="1976">
      <c r="A1976" s="75">
        <v>1970.0</v>
      </c>
      <c r="B1976" s="62" t="s">
        <v>1253</v>
      </c>
      <c r="C1976" s="62" t="s">
        <v>90</v>
      </c>
      <c r="D1976" s="62" t="s">
        <v>1290</v>
      </c>
      <c r="E1976" s="76">
        <v>44021.0</v>
      </c>
      <c r="F1976" s="77">
        <v>0.22916666666666666</v>
      </c>
      <c r="G1976" s="62" t="b">
        <v>1</v>
      </c>
      <c r="H1976" s="78" t="b">
        <f>IF(VLOOKUP(C1976,Projetos!A:L,12,false)=TRUE,TRUE,FALSE)</f>
        <v>1</v>
      </c>
      <c r="I1976" s="68">
        <v>29.312396449615196</v>
      </c>
      <c r="J1976" s="68">
        <f t="shared" si="1"/>
        <v>161.2181805</v>
      </c>
      <c r="K1976" s="68" t="b">
        <v>1</v>
      </c>
    </row>
    <row r="1977">
      <c r="A1977" s="75">
        <v>1971.0</v>
      </c>
      <c r="B1977" s="62" t="s">
        <v>1253</v>
      </c>
      <c r="C1977" s="62" t="s">
        <v>104</v>
      </c>
      <c r="D1977" s="62" t="s">
        <v>1288</v>
      </c>
      <c r="E1977" s="76">
        <v>44021.0</v>
      </c>
      <c r="F1977" s="77">
        <v>0.041666666666666664</v>
      </c>
      <c r="G1977" s="62" t="b">
        <v>1</v>
      </c>
      <c r="H1977" s="78" t="b">
        <f>IF(VLOOKUP(C1977,Projetos!A:L,12,false)=TRUE,TRUE,FALSE)</f>
        <v>1</v>
      </c>
      <c r="I1977" s="68">
        <v>29.312396449615196</v>
      </c>
      <c r="J1977" s="68">
        <f t="shared" si="1"/>
        <v>29.31239645</v>
      </c>
      <c r="K1977" s="68" t="b">
        <v>1</v>
      </c>
    </row>
    <row r="1978">
      <c r="A1978" s="75">
        <v>1972.0</v>
      </c>
      <c r="B1978" s="62" t="s">
        <v>1253</v>
      </c>
      <c r="C1978" s="62" t="s">
        <v>84</v>
      </c>
      <c r="D1978" s="62" t="s">
        <v>1289</v>
      </c>
      <c r="E1978" s="76">
        <v>44022.0</v>
      </c>
      <c r="F1978" s="77">
        <v>0.08333333333333333</v>
      </c>
      <c r="G1978" s="62" t="b">
        <v>1</v>
      </c>
      <c r="H1978" s="78" t="b">
        <f>IF(VLOOKUP(C1978,Projetos!A:L,12,false)=TRUE,TRUE,FALSE)</f>
        <v>1</v>
      </c>
      <c r="I1978" s="68">
        <v>29.312396449615196</v>
      </c>
      <c r="J1978" s="68">
        <f t="shared" si="1"/>
        <v>58.6247929</v>
      </c>
      <c r="K1978" s="68" t="b">
        <v>1</v>
      </c>
    </row>
    <row r="1979">
      <c r="A1979" s="75">
        <v>1973.0</v>
      </c>
      <c r="B1979" s="62" t="s">
        <v>1253</v>
      </c>
      <c r="C1979" s="62" t="s">
        <v>90</v>
      </c>
      <c r="D1979" s="62" t="s">
        <v>1290</v>
      </c>
      <c r="E1979" s="76">
        <v>44022.0</v>
      </c>
      <c r="F1979" s="77">
        <v>0.16666666666666666</v>
      </c>
      <c r="G1979" s="62" t="b">
        <v>1</v>
      </c>
      <c r="H1979" s="78" t="b">
        <f>IF(VLOOKUP(C1979,Projetos!A:L,12,false)=TRUE,TRUE,FALSE)</f>
        <v>1</v>
      </c>
      <c r="I1979" s="68">
        <v>29.312396449615196</v>
      </c>
      <c r="J1979" s="68">
        <f t="shared" si="1"/>
        <v>117.2495858</v>
      </c>
      <c r="K1979" s="68" t="b">
        <v>1</v>
      </c>
    </row>
    <row r="1980">
      <c r="A1980" s="75">
        <v>1974.0</v>
      </c>
      <c r="B1980" s="62" t="s">
        <v>1253</v>
      </c>
      <c r="C1980" s="62" t="s">
        <v>90</v>
      </c>
      <c r="D1980" s="62" t="s">
        <v>1290</v>
      </c>
      <c r="E1980" s="76">
        <v>44025.0</v>
      </c>
      <c r="F1980" s="77">
        <v>0.2916666666666667</v>
      </c>
      <c r="G1980" s="62" t="b">
        <v>1</v>
      </c>
      <c r="H1980" s="78" t="b">
        <f>IF(VLOOKUP(C1980,Projetos!A:L,12,false)=TRUE,TRUE,FALSE)</f>
        <v>1</v>
      </c>
      <c r="I1980" s="68">
        <v>29.312396449615196</v>
      </c>
      <c r="J1980" s="68">
        <f t="shared" si="1"/>
        <v>205.1867751</v>
      </c>
      <c r="K1980" s="68" t="b">
        <v>1</v>
      </c>
    </row>
    <row r="1981">
      <c r="A1981" s="75">
        <v>1975.0</v>
      </c>
      <c r="B1981" s="62" t="s">
        <v>1253</v>
      </c>
      <c r="C1981" s="62" t="s">
        <v>90</v>
      </c>
      <c r="D1981" s="62" t="s">
        <v>1290</v>
      </c>
      <c r="E1981" s="76">
        <v>44026.0</v>
      </c>
      <c r="F1981" s="77">
        <v>0.16666666666666666</v>
      </c>
      <c r="G1981" s="62" t="b">
        <v>1</v>
      </c>
      <c r="H1981" s="78" t="b">
        <f>IF(VLOOKUP(C1981,Projetos!A:L,12,false)=TRUE,TRUE,FALSE)</f>
        <v>1</v>
      </c>
      <c r="I1981" s="68">
        <v>29.312396449615196</v>
      </c>
      <c r="J1981" s="68">
        <f t="shared" si="1"/>
        <v>117.2495858</v>
      </c>
      <c r="K1981" s="68" t="b">
        <v>1</v>
      </c>
    </row>
    <row r="1982">
      <c r="A1982" s="75">
        <v>1976.0</v>
      </c>
      <c r="B1982" s="62" t="s">
        <v>1253</v>
      </c>
      <c r="C1982" s="62" t="s">
        <v>90</v>
      </c>
      <c r="D1982" s="62" t="s">
        <v>1290</v>
      </c>
      <c r="E1982" s="76">
        <v>44027.0</v>
      </c>
      <c r="F1982" s="77">
        <v>0.20833333333333334</v>
      </c>
      <c r="G1982" s="62" t="b">
        <v>1</v>
      </c>
      <c r="H1982" s="78" t="b">
        <f>IF(VLOOKUP(C1982,Projetos!A:L,12,false)=TRUE,TRUE,FALSE)</f>
        <v>1</v>
      </c>
      <c r="I1982" s="68">
        <v>29.312396449615196</v>
      </c>
      <c r="J1982" s="68">
        <f t="shared" si="1"/>
        <v>146.5619822</v>
      </c>
      <c r="K1982" s="68" t="b">
        <v>1</v>
      </c>
    </row>
    <row r="1983">
      <c r="A1983" s="75">
        <v>1977.0</v>
      </c>
      <c r="B1983" s="62" t="s">
        <v>1253</v>
      </c>
      <c r="C1983" s="62" t="s">
        <v>90</v>
      </c>
      <c r="D1983" s="62" t="s">
        <v>1290</v>
      </c>
      <c r="E1983" s="76">
        <v>44028.0</v>
      </c>
      <c r="F1983" s="77">
        <v>0.041666666666666664</v>
      </c>
      <c r="G1983" s="62" t="b">
        <v>1</v>
      </c>
      <c r="H1983" s="78" t="b">
        <f>IF(VLOOKUP(C1983,Projetos!A:L,12,false)=TRUE,TRUE,FALSE)</f>
        <v>1</v>
      </c>
      <c r="I1983" s="68">
        <v>29.312396449615196</v>
      </c>
      <c r="J1983" s="68">
        <f t="shared" si="1"/>
        <v>29.31239645</v>
      </c>
      <c r="K1983" s="68" t="b">
        <v>1</v>
      </c>
    </row>
    <row r="1984">
      <c r="A1984" s="75">
        <v>1978.0</v>
      </c>
      <c r="B1984" s="62" t="s">
        <v>1253</v>
      </c>
      <c r="C1984" s="62" t="s">
        <v>84</v>
      </c>
      <c r="D1984" s="62" t="s">
        <v>1289</v>
      </c>
      <c r="E1984" s="76">
        <v>44029.0</v>
      </c>
      <c r="F1984" s="77">
        <v>0.16666666666666666</v>
      </c>
      <c r="G1984" s="62" t="b">
        <v>1</v>
      </c>
      <c r="H1984" s="78" t="b">
        <f>IF(VLOOKUP(C1984,Projetos!A:L,12,false)=TRUE,TRUE,FALSE)</f>
        <v>1</v>
      </c>
      <c r="I1984" s="68">
        <v>29.312396449615196</v>
      </c>
      <c r="J1984" s="68">
        <f t="shared" si="1"/>
        <v>117.2495858</v>
      </c>
      <c r="K1984" s="68" t="b">
        <v>1</v>
      </c>
    </row>
    <row r="1985">
      <c r="A1985" s="75">
        <v>1979.0</v>
      </c>
      <c r="B1985" s="62" t="s">
        <v>1253</v>
      </c>
      <c r="C1985" s="62" t="s">
        <v>90</v>
      </c>
      <c r="D1985" s="62" t="s">
        <v>1291</v>
      </c>
      <c r="E1985" s="76">
        <v>44029.0</v>
      </c>
      <c r="F1985" s="77">
        <v>0.14583333333333334</v>
      </c>
      <c r="G1985" s="62" t="b">
        <v>1</v>
      </c>
      <c r="H1985" s="78" t="b">
        <f>IF(VLOOKUP(C1985,Projetos!A:L,12,false)=TRUE,TRUE,FALSE)</f>
        <v>1</v>
      </c>
      <c r="I1985" s="68">
        <v>29.312396449615196</v>
      </c>
      <c r="J1985" s="68">
        <f t="shared" si="1"/>
        <v>102.5933876</v>
      </c>
      <c r="K1985" s="68" t="b">
        <v>1</v>
      </c>
    </row>
    <row r="1986">
      <c r="A1986" s="75">
        <v>1980.0</v>
      </c>
      <c r="B1986" s="62" t="s">
        <v>1253</v>
      </c>
      <c r="C1986" s="62" t="s">
        <v>90</v>
      </c>
      <c r="D1986" s="62" t="s">
        <v>1291</v>
      </c>
      <c r="E1986" s="76">
        <v>44032.0</v>
      </c>
      <c r="F1986" s="77">
        <v>0.16666666666666666</v>
      </c>
      <c r="G1986" s="62" t="b">
        <v>1</v>
      </c>
      <c r="H1986" s="78" t="b">
        <f>IF(VLOOKUP(C1986,Projetos!A:L,12,false)=TRUE,TRUE,FALSE)</f>
        <v>1</v>
      </c>
      <c r="I1986" s="68">
        <v>29.312396449615196</v>
      </c>
      <c r="J1986" s="68">
        <f t="shared" si="1"/>
        <v>117.2495858</v>
      </c>
      <c r="K1986" s="68" t="b">
        <v>1</v>
      </c>
    </row>
    <row r="1987">
      <c r="A1987" s="75">
        <v>1981.0</v>
      </c>
      <c r="B1987" s="62" t="s">
        <v>1253</v>
      </c>
      <c r="C1987" s="62" t="s">
        <v>84</v>
      </c>
      <c r="D1987" s="62" t="s">
        <v>1289</v>
      </c>
      <c r="E1987" s="76">
        <v>44032.0</v>
      </c>
      <c r="F1987" s="77">
        <v>0.125</v>
      </c>
      <c r="G1987" s="62" t="b">
        <v>1</v>
      </c>
      <c r="H1987" s="78" t="b">
        <f>IF(VLOOKUP(C1987,Projetos!A:L,12,false)=TRUE,TRUE,FALSE)</f>
        <v>1</v>
      </c>
      <c r="I1987" s="68">
        <v>29.312396449615196</v>
      </c>
      <c r="J1987" s="68">
        <f t="shared" si="1"/>
        <v>87.93718935</v>
      </c>
      <c r="K1987" s="68" t="b">
        <v>1</v>
      </c>
    </row>
    <row r="1988">
      <c r="A1988" s="75">
        <v>1982.0</v>
      </c>
      <c r="B1988" s="62" t="s">
        <v>1253</v>
      </c>
      <c r="C1988" s="62" t="s">
        <v>84</v>
      </c>
      <c r="D1988" s="62" t="s">
        <v>1289</v>
      </c>
      <c r="E1988" s="76">
        <v>44033.0</v>
      </c>
      <c r="F1988" s="77">
        <v>0.125</v>
      </c>
      <c r="G1988" s="62" t="b">
        <v>1</v>
      </c>
      <c r="H1988" s="78" t="b">
        <f>IF(VLOOKUP(C1988,Projetos!A:L,12,false)=TRUE,TRUE,FALSE)</f>
        <v>1</v>
      </c>
      <c r="I1988" s="68">
        <v>29.312396449615196</v>
      </c>
      <c r="J1988" s="68">
        <f t="shared" si="1"/>
        <v>87.93718935</v>
      </c>
      <c r="K1988" s="68" t="b">
        <v>1</v>
      </c>
    </row>
    <row r="1989" hidden="1">
      <c r="A1989" s="75">
        <v>1983.0</v>
      </c>
      <c r="B1989" s="62" t="s">
        <v>1253</v>
      </c>
      <c r="C1989" s="62" t="s">
        <v>111</v>
      </c>
      <c r="D1989" s="62" t="s">
        <v>1292</v>
      </c>
      <c r="E1989" s="76">
        <v>44034.0</v>
      </c>
      <c r="F1989" s="77">
        <v>0.0625</v>
      </c>
      <c r="G1989" s="62" t="b">
        <v>0</v>
      </c>
      <c r="H1989" s="78" t="b">
        <f>IF(VLOOKUP(C1989,Projetos!A:L,12,false)=TRUE,TRUE,FALSE)</f>
        <v>0</v>
      </c>
      <c r="I1989" s="68">
        <v>29.312396449615196</v>
      </c>
      <c r="J1989" s="68">
        <f t="shared" si="1"/>
        <v>0</v>
      </c>
      <c r="K1989" s="68" t="b">
        <v>0</v>
      </c>
    </row>
    <row r="1990">
      <c r="A1990" s="75">
        <v>1984.0</v>
      </c>
      <c r="B1990" s="62" t="s">
        <v>1253</v>
      </c>
      <c r="C1990" s="62" t="s">
        <v>90</v>
      </c>
      <c r="D1990" s="62" t="s">
        <v>1290</v>
      </c>
      <c r="E1990" s="76">
        <v>44034.0</v>
      </c>
      <c r="F1990" s="77">
        <v>0.125</v>
      </c>
      <c r="G1990" s="62" t="b">
        <v>1</v>
      </c>
      <c r="H1990" s="78" t="b">
        <f>IF(VLOOKUP(C1990,Projetos!A:L,12,false)=TRUE,TRUE,FALSE)</f>
        <v>1</v>
      </c>
      <c r="I1990" s="68">
        <v>29.312396449615196</v>
      </c>
      <c r="J1990" s="68">
        <f t="shared" si="1"/>
        <v>87.93718935</v>
      </c>
      <c r="K1990" s="68" t="b">
        <v>1</v>
      </c>
    </row>
    <row r="1991">
      <c r="A1991" s="75">
        <v>1985.0</v>
      </c>
      <c r="B1991" s="62" t="s">
        <v>1253</v>
      </c>
      <c r="C1991" s="62" t="s">
        <v>90</v>
      </c>
      <c r="D1991" s="62" t="s">
        <v>1291</v>
      </c>
      <c r="E1991" s="76">
        <v>44034.0</v>
      </c>
      <c r="F1991" s="77">
        <v>0.08333333333333333</v>
      </c>
      <c r="G1991" s="62" t="b">
        <v>1</v>
      </c>
      <c r="H1991" s="78" t="b">
        <f>IF(VLOOKUP(C1991,Projetos!A:L,12,false)=TRUE,TRUE,FALSE)</f>
        <v>1</v>
      </c>
      <c r="I1991" s="68">
        <v>29.312396449615196</v>
      </c>
      <c r="J1991" s="68">
        <f t="shared" si="1"/>
        <v>58.6247929</v>
      </c>
      <c r="K1991" s="68" t="b">
        <v>1</v>
      </c>
    </row>
    <row r="1992">
      <c r="A1992" s="75">
        <v>1986.0</v>
      </c>
      <c r="B1992" s="62" t="s">
        <v>1253</v>
      </c>
      <c r="C1992" s="62" t="s">
        <v>97</v>
      </c>
      <c r="D1992" s="62" t="s">
        <v>1293</v>
      </c>
      <c r="E1992" s="76">
        <v>44035.0</v>
      </c>
      <c r="F1992" s="77">
        <v>0.125</v>
      </c>
      <c r="G1992" s="62" t="b">
        <v>1</v>
      </c>
      <c r="H1992" s="78" t="b">
        <f>IF(VLOOKUP(C1992,Projetos!A:L,12,false)=TRUE,TRUE,FALSE)</f>
        <v>1</v>
      </c>
      <c r="I1992" s="68">
        <v>29.312396449615196</v>
      </c>
      <c r="J1992" s="68">
        <f t="shared" si="1"/>
        <v>87.93718935</v>
      </c>
      <c r="K1992" s="68" t="b">
        <v>1</v>
      </c>
    </row>
    <row r="1993">
      <c r="A1993" s="75">
        <v>1987.0</v>
      </c>
      <c r="B1993" s="62" t="s">
        <v>1253</v>
      </c>
      <c r="C1993" s="62" t="s">
        <v>112</v>
      </c>
      <c r="D1993" s="62" t="s">
        <v>1292</v>
      </c>
      <c r="E1993" s="76">
        <v>44035.0</v>
      </c>
      <c r="F1993" s="77">
        <v>0.041666666666666664</v>
      </c>
      <c r="G1993" s="62" t="b">
        <v>1</v>
      </c>
      <c r="H1993" s="78" t="b">
        <f>IF(VLOOKUP(C1993,Projetos!A:L,12,false)=TRUE,TRUE,FALSE)</f>
        <v>1</v>
      </c>
      <c r="I1993" s="68">
        <v>29.312396449615196</v>
      </c>
      <c r="J1993" s="68">
        <f t="shared" si="1"/>
        <v>29.31239645</v>
      </c>
      <c r="K1993" s="68" t="b">
        <v>1</v>
      </c>
    </row>
    <row r="1994" hidden="1">
      <c r="A1994" s="75">
        <v>1988.0</v>
      </c>
      <c r="B1994" s="62" t="s">
        <v>1253</v>
      </c>
      <c r="C1994" s="62" t="s">
        <v>111</v>
      </c>
      <c r="D1994" s="62" t="s">
        <v>1292</v>
      </c>
      <c r="E1994" s="76">
        <v>44036.0</v>
      </c>
      <c r="F1994" s="77">
        <v>0.125</v>
      </c>
      <c r="G1994" s="62" t="b">
        <v>0</v>
      </c>
      <c r="H1994" s="78" t="b">
        <f>IF(VLOOKUP(C1994,Projetos!A:L,12,false)=TRUE,TRUE,FALSE)</f>
        <v>0</v>
      </c>
      <c r="I1994" s="68">
        <v>29.312396449615196</v>
      </c>
      <c r="J1994" s="68">
        <f t="shared" si="1"/>
        <v>0</v>
      </c>
      <c r="K1994" s="68" t="b">
        <v>0</v>
      </c>
    </row>
    <row r="1995">
      <c r="A1995" s="75">
        <v>1989.0</v>
      </c>
      <c r="B1995" s="62" t="s">
        <v>1253</v>
      </c>
      <c r="C1995" s="62" t="s">
        <v>97</v>
      </c>
      <c r="D1995" s="62" t="s">
        <v>1293</v>
      </c>
      <c r="E1995" s="76">
        <v>44036.0</v>
      </c>
      <c r="F1995" s="77">
        <v>0.08333333333333333</v>
      </c>
      <c r="G1995" s="62" t="b">
        <v>1</v>
      </c>
      <c r="H1995" s="78" t="b">
        <f>IF(VLOOKUP(C1995,Projetos!A:L,12,false)=TRUE,TRUE,FALSE)</f>
        <v>1</v>
      </c>
      <c r="I1995" s="68">
        <v>29.312396449615196</v>
      </c>
      <c r="J1995" s="68">
        <f t="shared" si="1"/>
        <v>58.6247929</v>
      </c>
      <c r="K1995" s="68" t="b">
        <v>1</v>
      </c>
    </row>
    <row r="1996">
      <c r="A1996" s="75">
        <v>1990.0</v>
      </c>
      <c r="B1996" s="62" t="s">
        <v>1253</v>
      </c>
      <c r="C1996" s="62" t="s">
        <v>84</v>
      </c>
      <c r="D1996" s="62" t="s">
        <v>1289</v>
      </c>
      <c r="E1996" s="76">
        <v>44039.0</v>
      </c>
      <c r="F1996" s="77">
        <v>0.16666666666666666</v>
      </c>
      <c r="G1996" s="62" t="b">
        <v>1</v>
      </c>
      <c r="H1996" s="78" t="b">
        <f>IF(VLOOKUP(C1996,Projetos!A:L,12,false)=TRUE,TRUE,FALSE)</f>
        <v>1</v>
      </c>
      <c r="I1996" s="68">
        <v>29.312396449615196</v>
      </c>
      <c r="J1996" s="68">
        <f t="shared" si="1"/>
        <v>117.2495858</v>
      </c>
      <c r="K1996" s="68" t="b">
        <v>1</v>
      </c>
    </row>
    <row r="1997">
      <c r="A1997" s="75">
        <v>1991.0</v>
      </c>
      <c r="B1997" s="62" t="s">
        <v>1253</v>
      </c>
      <c r="C1997" s="62" t="s">
        <v>84</v>
      </c>
      <c r="D1997" s="62" t="s">
        <v>1289</v>
      </c>
      <c r="E1997" s="76">
        <v>44040.0</v>
      </c>
      <c r="F1997" s="77">
        <v>0.125</v>
      </c>
      <c r="G1997" s="62" t="b">
        <v>1</v>
      </c>
      <c r="H1997" s="78" t="b">
        <f>IF(VLOOKUP(C1997,Projetos!A:L,12,false)=TRUE,TRUE,FALSE)</f>
        <v>1</v>
      </c>
      <c r="I1997" s="68">
        <v>29.312396449615196</v>
      </c>
      <c r="J1997" s="68">
        <f t="shared" si="1"/>
        <v>87.93718935</v>
      </c>
      <c r="K1997" s="68" t="b">
        <v>1</v>
      </c>
    </row>
    <row r="1998" hidden="1">
      <c r="A1998" s="75">
        <v>1992.0</v>
      </c>
      <c r="B1998" s="62" t="s">
        <v>1253</v>
      </c>
      <c r="C1998" s="62" t="s">
        <v>111</v>
      </c>
      <c r="D1998" s="62" t="s">
        <v>1292</v>
      </c>
      <c r="E1998" s="76">
        <v>44041.0</v>
      </c>
      <c r="F1998" s="77">
        <v>0.125</v>
      </c>
      <c r="G1998" s="62" t="b">
        <v>0</v>
      </c>
      <c r="H1998" s="78" t="b">
        <f>IF(VLOOKUP(C1998,Projetos!A:L,12,false)=TRUE,TRUE,FALSE)</f>
        <v>0</v>
      </c>
      <c r="I1998" s="68">
        <v>29.312396449615196</v>
      </c>
      <c r="J1998" s="68">
        <f t="shared" si="1"/>
        <v>0</v>
      </c>
      <c r="K1998" s="68" t="b">
        <v>0</v>
      </c>
    </row>
    <row r="1999">
      <c r="A1999" s="75">
        <v>1993.0</v>
      </c>
      <c r="B1999" s="62" t="s">
        <v>1253</v>
      </c>
      <c r="C1999" s="62" t="s">
        <v>90</v>
      </c>
      <c r="D1999" s="62" t="s">
        <v>1290</v>
      </c>
      <c r="E1999" s="76">
        <v>44041.0</v>
      </c>
      <c r="F1999" s="77">
        <v>0.041666666666666664</v>
      </c>
      <c r="G1999" s="62" t="b">
        <v>1</v>
      </c>
      <c r="H1999" s="78" t="b">
        <f>IF(VLOOKUP(C1999,Projetos!A:L,12,false)=TRUE,TRUE,FALSE)</f>
        <v>1</v>
      </c>
      <c r="I1999" s="68">
        <v>29.312396449615196</v>
      </c>
      <c r="J1999" s="68">
        <f t="shared" si="1"/>
        <v>29.31239645</v>
      </c>
      <c r="K1999" s="68" t="b">
        <v>1</v>
      </c>
    </row>
    <row r="2000">
      <c r="A2000" s="75">
        <v>1994.0</v>
      </c>
      <c r="B2000" s="62" t="s">
        <v>1253</v>
      </c>
      <c r="C2000" s="62" t="s">
        <v>90</v>
      </c>
      <c r="D2000" s="62" t="s">
        <v>1291</v>
      </c>
      <c r="E2000" s="76">
        <v>44041.0</v>
      </c>
      <c r="F2000" s="77">
        <v>0.125</v>
      </c>
      <c r="G2000" s="62" t="b">
        <v>1</v>
      </c>
      <c r="H2000" s="78" t="b">
        <f>IF(VLOOKUP(C2000,Projetos!A:L,12,false)=TRUE,TRUE,FALSE)</f>
        <v>1</v>
      </c>
      <c r="I2000" s="68">
        <v>29.312396449615196</v>
      </c>
      <c r="J2000" s="68">
        <f t="shared" si="1"/>
        <v>87.93718935</v>
      </c>
      <c r="K2000" s="68" t="b">
        <v>1</v>
      </c>
    </row>
    <row r="2001" hidden="1">
      <c r="A2001" s="75">
        <v>1995.0</v>
      </c>
      <c r="B2001" s="62" t="s">
        <v>1253</v>
      </c>
      <c r="C2001" s="62" t="s">
        <v>111</v>
      </c>
      <c r="D2001" s="62" t="s">
        <v>1292</v>
      </c>
      <c r="E2001" s="76">
        <v>44042.0</v>
      </c>
      <c r="F2001" s="77">
        <v>0.125</v>
      </c>
      <c r="G2001" s="62" t="b">
        <v>0</v>
      </c>
      <c r="H2001" s="78" t="b">
        <f>IF(VLOOKUP(C2001,Projetos!A:L,12,false)=TRUE,TRUE,FALSE)</f>
        <v>0</v>
      </c>
      <c r="I2001" s="68">
        <v>29.312396449615196</v>
      </c>
      <c r="J2001" s="68">
        <f t="shared" si="1"/>
        <v>0</v>
      </c>
      <c r="K2001" s="68" t="b">
        <v>0</v>
      </c>
    </row>
    <row r="2002">
      <c r="A2002" s="75">
        <v>1996.0</v>
      </c>
      <c r="B2002" s="62" t="s">
        <v>1253</v>
      </c>
      <c r="C2002" s="62" t="s">
        <v>84</v>
      </c>
      <c r="D2002" s="62" t="s">
        <v>1289</v>
      </c>
      <c r="E2002" s="76">
        <v>44042.0</v>
      </c>
      <c r="F2002" s="77">
        <v>0.08333333333333333</v>
      </c>
      <c r="G2002" s="62" t="b">
        <v>1</v>
      </c>
      <c r="H2002" s="78" t="b">
        <f>IF(VLOOKUP(C2002,Projetos!A:L,12,false)=TRUE,TRUE,FALSE)</f>
        <v>1</v>
      </c>
      <c r="I2002" s="68">
        <v>29.312396449615196</v>
      </c>
      <c r="J2002" s="68">
        <f t="shared" si="1"/>
        <v>58.6247929</v>
      </c>
      <c r="K2002" s="68" t="b">
        <v>1</v>
      </c>
    </row>
    <row r="2003">
      <c r="A2003" s="75">
        <v>1997.0</v>
      </c>
      <c r="B2003" s="62" t="s">
        <v>1253</v>
      </c>
      <c r="C2003" s="62" t="s">
        <v>84</v>
      </c>
      <c r="D2003" s="62" t="s">
        <v>1289</v>
      </c>
      <c r="E2003" s="76">
        <v>44043.0</v>
      </c>
      <c r="F2003" s="77">
        <v>0.08333333333333333</v>
      </c>
      <c r="G2003" s="62" t="b">
        <v>1</v>
      </c>
      <c r="H2003" s="78" t="b">
        <f>IF(VLOOKUP(C2003,Projetos!A:L,12,false)=TRUE,TRUE,FALSE)</f>
        <v>1</v>
      </c>
      <c r="I2003" s="68">
        <v>29.312396449615196</v>
      </c>
      <c r="J2003" s="68">
        <f t="shared" si="1"/>
        <v>58.6247929</v>
      </c>
      <c r="K2003" s="68" t="b">
        <v>1</v>
      </c>
    </row>
    <row r="2004">
      <c r="A2004" s="75">
        <v>1998.0</v>
      </c>
      <c r="B2004" s="62" t="s">
        <v>1253</v>
      </c>
      <c r="C2004" s="62" t="s">
        <v>84</v>
      </c>
      <c r="D2004" s="62" t="s">
        <v>1289</v>
      </c>
      <c r="E2004" s="76">
        <v>44046.0</v>
      </c>
      <c r="F2004" s="77">
        <v>0.125</v>
      </c>
      <c r="G2004" s="62" t="b">
        <v>1</v>
      </c>
      <c r="H2004" s="78" t="b">
        <f>IF(VLOOKUP(C2004,Projetos!A:L,12,false)=TRUE,TRUE,FALSE)</f>
        <v>1</v>
      </c>
      <c r="I2004" s="68">
        <v>29.312396449615196</v>
      </c>
      <c r="J2004" s="68">
        <f t="shared" si="1"/>
        <v>87.93718935</v>
      </c>
      <c r="K2004" s="68" t="b">
        <v>1</v>
      </c>
    </row>
    <row r="2005">
      <c r="A2005" s="75">
        <v>1999.0</v>
      </c>
      <c r="B2005" s="62" t="s">
        <v>1253</v>
      </c>
      <c r="C2005" s="62" t="s">
        <v>84</v>
      </c>
      <c r="D2005" s="62" t="s">
        <v>1289</v>
      </c>
      <c r="E2005" s="76">
        <v>44047.0</v>
      </c>
      <c r="F2005" s="77">
        <v>0.1875</v>
      </c>
      <c r="G2005" s="62" t="b">
        <v>1</v>
      </c>
      <c r="H2005" s="78" t="b">
        <f>IF(VLOOKUP(C2005,Projetos!A:L,12,false)=TRUE,TRUE,FALSE)</f>
        <v>1</v>
      </c>
      <c r="I2005" s="68">
        <v>29.312396449615196</v>
      </c>
      <c r="J2005" s="68">
        <f t="shared" si="1"/>
        <v>131.905784</v>
      </c>
      <c r="K2005" s="68" t="b">
        <v>1</v>
      </c>
    </row>
    <row r="2006">
      <c r="A2006" s="75">
        <v>2000.0</v>
      </c>
      <c r="B2006" s="62" t="s">
        <v>1253</v>
      </c>
      <c r="C2006" s="62" t="s">
        <v>84</v>
      </c>
      <c r="D2006" s="62" t="s">
        <v>1289</v>
      </c>
      <c r="E2006" s="76">
        <v>44048.0</v>
      </c>
      <c r="F2006" s="77">
        <v>0.14583333333333334</v>
      </c>
      <c r="G2006" s="62" t="b">
        <v>1</v>
      </c>
      <c r="H2006" s="78" t="b">
        <f>IF(VLOOKUP(C2006,Projetos!A:L,12,false)=TRUE,TRUE,FALSE)</f>
        <v>1</v>
      </c>
      <c r="I2006" s="68">
        <v>29.312396449615196</v>
      </c>
      <c r="J2006" s="68">
        <f t="shared" si="1"/>
        <v>102.5933876</v>
      </c>
      <c r="K2006" s="68" t="b">
        <v>1</v>
      </c>
    </row>
    <row r="2007">
      <c r="A2007" s="75">
        <v>2001.0</v>
      </c>
      <c r="B2007" s="62" t="s">
        <v>1253</v>
      </c>
      <c r="C2007" s="62" t="s">
        <v>101</v>
      </c>
      <c r="D2007" s="62" t="s">
        <v>1294</v>
      </c>
      <c r="E2007" s="76">
        <v>44048.0</v>
      </c>
      <c r="F2007" s="77">
        <v>0.10416666666666667</v>
      </c>
      <c r="G2007" s="62" t="b">
        <v>1</v>
      </c>
      <c r="H2007" s="78" t="b">
        <f>IF(VLOOKUP(C2007,Projetos!A:L,12,false)=TRUE,TRUE,FALSE)</f>
        <v>1</v>
      </c>
      <c r="I2007" s="68">
        <v>29.312396449615196</v>
      </c>
      <c r="J2007" s="68">
        <f t="shared" si="1"/>
        <v>73.28099112</v>
      </c>
      <c r="K2007" s="68" t="b">
        <v>1</v>
      </c>
    </row>
    <row r="2008">
      <c r="A2008" s="75">
        <v>2002.0</v>
      </c>
      <c r="B2008" s="62" t="s">
        <v>1253</v>
      </c>
      <c r="C2008" s="62" t="s">
        <v>84</v>
      </c>
      <c r="D2008" s="62" t="s">
        <v>1289</v>
      </c>
      <c r="E2008" s="76">
        <v>44049.0</v>
      </c>
      <c r="F2008" s="77">
        <v>0.16666666666666666</v>
      </c>
      <c r="G2008" s="62" t="b">
        <v>1</v>
      </c>
      <c r="H2008" s="78" t="b">
        <f>IF(VLOOKUP(C2008,Projetos!A:L,12,false)=TRUE,TRUE,FALSE)</f>
        <v>1</v>
      </c>
      <c r="I2008" s="68">
        <v>29.312396449615196</v>
      </c>
      <c r="J2008" s="68">
        <f t="shared" si="1"/>
        <v>117.2495858</v>
      </c>
      <c r="K2008" s="68" t="b">
        <v>1</v>
      </c>
    </row>
    <row r="2009">
      <c r="A2009" s="75">
        <v>2003.0</v>
      </c>
      <c r="B2009" s="62" t="s">
        <v>1253</v>
      </c>
      <c r="C2009" s="62" t="s">
        <v>84</v>
      </c>
      <c r="D2009" s="62" t="s">
        <v>1289</v>
      </c>
      <c r="E2009" s="76">
        <v>44049.0</v>
      </c>
      <c r="F2009" s="77">
        <v>0.125</v>
      </c>
      <c r="G2009" s="62" t="b">
        <v>1</v>
      </c>
      <c r="H2009" s="78" t="b">
        <f>IF(VLOOKUP(C2009,Projetos!A:L,12,false)=TRUE,TRUE,FALSE)</f>
        <v>1</v>
      </c>
      <c r="I2009" s="68">
        <v>29.312396449615196</v>
      </c>
      <c r="J2009" s="68">
        <f t="shared" si="1"/>
        <v>87.93718935</v>
      </c>
      <c r="K2009" s="68" t="b">
        <v>1</v>
      </c>
    </row>
    <row r="2010">
      <c r="A2010" s="75">
        <v>2004.0</v>
      </c>
      <c r="B2010" s="62" t="s">
        <v>1253</v>
      </c>
      <c r="C2010" s="62" t="s">
        <v>84</v>
      </c>
      <c r="D2010" s="62" t="s">
        <v>1289</v>
      </c>
      <c r="E2010" s="76">
        <v>44050.0</v>
      </c>
      <c r="F2010" s="77">
        <v>0.08333333333333333</v>
      </c>
      <c r="G2010" s="62" t="b">
        <v>1</v>
      </c>
      <c r="H2010" s="78" t="b">
        <f>IF(VLOOKUP(C2010,Projetos!A:L,12,false)=TRUE,TRUE,FALSE)</f>
        <v>1</v>
      </c>
      <c r="I2010" s="68">
        <v>29.312396449615196</v>
      </c>
      <c r="J2010" s="68">
        <f t="shared" si="1"/>
        <v>58.6247929</v>
      </c>
      <c r="K2010" s="68" t="b">
        <v>1</v>
      </c>
    </row>
    <row r="2011">
      <c r="A2011" s="75">
        <v>2005.0</v>
      </c>
      <c r="B2011" s="62" t="s">
        <v>1253</v>
      </c>
      <c r="C2011" s="62" t="s">
        <v>84</v>
      </c>
      <c r="D2011" s="62" t="s">
        <v>1289</v>
      </c>
      <c r="E2011" s="76">
        <v>44053.0</v>
      </c>
      <c r="F2011" s="77">
        <v>0.16666666666666666</v>
      </c>
      <c r="G2011" s="62" t="b">
        <v>1</v>
      </c>
      <c r="H2011" s="78" t="b">
        <f>IF(VLOOKUP(C2011,Projetos!A:L,12,false)=TRUE,TRUE,FALSE)</f>
        <v>1</v>
      </c>
      <c r="I2011" s="68">
        <v>29.312396449615196</v>
      </c>
      <c r="J2011" s="68">
        <f t="shared" si="1"/>
        <v>117.2495858</v>
      </c>
      <c r="K2011" s="68" t="b">
        <v>1</v>
      </c>
    </row>
    <row r="2012">
      <c r="A2012" s="75">
        <v>2006.0</v>
      </c>
      <c r="B2012" s="62" t="s">
        <v>1253</v>
      </c>
      <c r="C2012" s="62" t="s">
        <v>84</v>
      </c>
      <c r="D2012" s="62" t="s">
        <v>1289</v>
      </c>
      <c r="E2012" s="76">
        <v>44053.0</v>
      </c>
      <c r="F2012" s="77">
        <v>0.16666666666666666</v>
      </c>
      <c r="G2012" s="62" t="b">
        <v>1</v>
      </c>
      <c r="H2012" s="78" t="b">
        <f>IF(VLOOKUP(C2012,Projetos!A:L,12,false)=TRUE,TRUE,FALSE)</f>
        <v>1</v>
      </c>
      <c r="I2012" s="68">
        <v>29.312396449615196</v>
      </c>
      <c r="J2012" s="68">
        <f t="shared" si="1"/>
        <v>117.2495858</v>
      </c>
      <c r="K2012" s="68" t="b">
        <v>1</v>
      </c>
    </row>
    <row r="2013" hidden="1">
      <c r="A2013" s="75">
        <v>2007.0</v>
      </c>
      <c r="B2013" s="62" t="s">
        <v>1253</v>
      </c>
      <c r="C2013" s="62" t="s">
        <v>111</v>
      </c>
      <c r="D2013" s="62" t="s">
        <v>1295</v>
      </c>
      <c r="E2013" s="76">
        <v>44054.0</v>
      </c>
      <c r="F2013" s="77">
        <v>0.08333333333333333</v>
      </c>
      <c r="G2013" s="62" t="b">
        <v>0</v>
      </c>
      <c r="H2013" s="78" t="b">
        <f>IF(VLOOKUP(C2013,Projetos!A:L,12,false)=TRUE,TRUE,FALSE)</f>
        <v>0</v>
      </c>
      <c r="I2013" s="68">
        <v>29.312396449615196</v>
      </c>
      <c r="J2013" s="68">
        <f t="shared" si="1"/>
        <v>0</v>
      </c>
      <c r="K2013" s="68" t="b">
        <v>0</v>
      </c>
    </row>
    <row r="2014">
      <c r="A2014" s="75">
        <v>2008.0</v>
      </c>
      <c r="B2014" s="62" t="s">
        <v>1253</v>
      </c>
      <c r="C2014" s="62" t="s">
        <v>84</v>
      </c>
      <c r="D2014" s="62" t="s">
        <v>1289</v>
      </c>
      <c r="E2014" s="76">
        <v>44054.0</v>
      </c>
      <c r="F2014" s="77">
        <v>0.125</v>
      </c>
      <c r="G2014" s="62" t="b">
        <v>1</v>
      </c>
      <c r="H2014" s="78" t="b">
        <f>IF(VLOOKUP(C2014,Projetos!A:L,12,false)=TRUE,TRUE,FALSE)</f>
        <v>1</v>
      </c>
      <c r="I2014" s="68">
        <v>29.312396449615196</v>
      </c>
      <c r="J2014" s="68">
        <f t="shared" si="1"/>
        <v>87.93718935</v>
      </c>
      <c r="K2014" s="68" t="b">
        <v>1</v>
      </c>
    </row>
    <row r="2015" hidden="1">
      <c r="A2015" s="75">
        <v>2009.0</v>
      </c>
      <c r="B2015" s="62" t="s">
        <v>1253</v>
      </c>
      <c r="C2015" s="62" t="s">
        <v>111</v>
      </c>
      <c r="D2015" s="62" t="s">
        <v>1295</v>
      </c>
      <c r="E2015" s="76">
        <v>44054.0</v>
      </c>
      <c r="F2015" s="77">
        <v>0.08333333333333333</v>
      </c>
      <c r="G2015" s="62" t="b">
        <v>0</v>
      </c>
      <c r="H2015" s="78" t="b">
        <f>IF(VLOOKUP(C2015,Projetos!A:L,12,false)=TRUE,TRUE,FALSE)</f>
        <v>0</v>
      </c>
      <c r="I2015" s="68">
        <v>29.312396449615196</v>
      </c>
      <c r="J2015" s="68">
        <f t="shared" si="1"/>
        <v>0</v>
      </c>
      <c r="K2015" s="68" t="b">
        <v>0</v>
      </c>
    </row>
    <row r="2016">
      <c r="A2016" s="75">
        <v>2010.0</v>
      </c>
      <c r="B2016" s="62" t="s">
        <v>1253</v>
      </c>
      <c r="C2016" s="62" t="s">
        <v>84</v>
      </c>
      <c r="D2016" s="62" t="s">
        <v>1289</v>
      </c>
      <c r="E2016" s="76">
        <v>44055.0</v>
      </c>
      <c r="F2016" s="77">
        <v>0.125</v>
      </c>
      <c r="G2016" s="62" t="b">
        <v>1</v>
      </c>
      <c r="H2016" s="78" t="b">
        <f>IF(VLOOKUP(C2016,Projetos!A:L,12,false)=TRUE,TRUE,FALSE)</f>
        <v>1</v>
      </c>
      <c r="I2016" s="68">
        <v>29.312396449615196</v>
      </c>
      <c r="J2016" s="68">
        <f t="shared" si="1"/>
        <v>87.93718935</v>
      </c>
      <c r="K2016" s="68" t="b">
        <v>1</v>
      </c>
    </row>
    <row r="2017" hidden="1">
      <c r="A2017" s="75">
        <v>2011.0</v>
      </c>
      <c r="B2017" s="62" t="s">
        <v>1253</v>
      </c>
      <c r="C2017" s="62" t="s">
        <v>103</v>
      </c>
      <c r="D2017" s="62" t="s">
        <v>1260</v>
      </c>
      <c r="E2017" s="76">
        <v>44055.0</v>
      </c>
      <c r="F2017" s="77">
        <v>0.16666666666666666</v>
      </c>
      <c r="G2017" s="62" t="b">
        <v>0</v>
      </c>
      <c r="H2017" s="78" t="b">
        <f>IF(VLOOKUP(C2017,Projetos!A:L,12,false)=TRUE,TRUE,FALSE)</f>
        <v>1</v>
      </c>
      <c r="I2017" s="68">
        <v>29.312396449615196</v>
      </c>
      <c r="J2017" s="68">
        <f t="shared" si="1"/>
        <v>0</v>
      </c>
      <c r="K2017" s="68" t="b">
        <v>1</v>
      </c>
    </row>
    <row r="2018" hidden="1">
      <c r="A2018" s="75">
        <v>2012.0</v>
      </c>
      <c r="B2018" s="62" t="s">
        <v>1253</v>
      </c>
      <c r="C2018" s="62" t="s">
        <v>103</v>
      </c>
      <c r="D2018" s="62" t="s">
        <v>1260</v>
      </c>
      <c r="E2018" s="76">
        <v>44056.0</v>
      </c>
      <c r="F2018" s="77">
        <v>0.16666666666666666</v>
      </c>
      <c r="G2018" s="62" t="b">
        <v>0</v>
      </c>
      <c r="H2018" s="78" t="b">
        <f>IF(VLOOKUP(C2018,Projetos!A:L,12,false)=TRUE,TRUE,FALSE)</f>
        <v>1</v>
      </c>
      <c r="I2018" s="68">
        <v>29.312396449615196</v>
      </c>
      <c r="J2018" s="68">
        <f t="shared" si="1"/>
        <v>0</v>
      </c>
      <c r="K2018" s="68" t="b">
        <v>1</v>
      </c>
    </row>
    <row r="2019">
      <c r="A2019" s="75">
        <v>2013.0</v>
      </c>
      <c r="B2019" s="62" t="s">
        <v>1253</v>
      </c>
      <c r="C2019" s="62" t="s">
        <v>84</v>
      </c>
      <c r="D2019" s="62" t="s">
        <v>1289</v>
      </c>
      <c r="E2019" s="76">
        <v>44056.0</v>
      </c>
      <c r="F2019" s="77">
        <v>0.08333333333333333</v>
      </c>
      <c r="G2019" s="62" t="b">
        <v>1</v>
      </c>
      <c r="H2019" s="78" t="b">
        <f>IF(VLOOKUP(C2019,Projetos!A:L,12,false)=TRUE,TRUE,FALSE)</f>
        <v>1</v>
      </c>
      <c r="I2019" s="68">
        <v>29.312396449615196</v>
      </c>
      <c r="J2019" s="68">
        <f t="shared" si="1"/>
        <v>58.6247929</v>
      </c>
      <c r="K2019" s="68" t="b">
        <v>1</v>
      </c>
    </row>
    <row r="2020">
      <c r="A2020" s="75">
        <v>2014.0</v>
      </c>
      <c r="B2020" s="62" t="s">
        <v>1253</v>
      </c>
      <c r="C2020" s="62" t="s">
        <v>84</v>
      </c>
      <c r="D2020" s="62" t="s">
        <v>1289</v>
      </c>
      <c r="E2020" s="76">
        <v>44057.0</v>
      </c>
      <c r="F2020" s="77">
        <v>0.125</v>
      </c>
      <c r="G2020" s="62" t="b">
        <v>1</v>
      </c>
      <c r="H2020" s="78" t="b">
        <f>IF(VLOOKUP(C2020,Projetos!A:L,12,false)=TRUE,TRUE,FALSE)</f>
        <v>1</v>
      </c>
      <c r="I2020" s="68">
        <v>29.312396449615196</v>
      </c>
      <c r="J2020" s="68">
        <f t="shared" si="1"/>
        <v>87.93718935</v>
      </c>
      <c r="K2020" s="68" t="b">
        <v>1</v>
      </c>
    </row>
    <row r="2021" hidden="1">
      <c r="A2021" s="75">
        <v>2015.0</v>
      </c>
      <c r="B2021" s="62" t="s">
        <v>1253</v>
      </c>
      <c r="C2021" s="62" t="s">
        <v>103</v>
      </c>
      <c r="D2021" s="62" t="s">
        <v>1260</v>
      </c>
      <c r="E2021" s="76">
        <v>44057.0</v>
      </c>
      <c r="F2021" s="77">
        <v>0.08333333333333333</v>
      </c>
      <c r="G2021" s="62" t="b">
        <v>0</v>
      </c>
      <c r="H2021" s="78" t="b">
        <f>IF(VLOOKUP(C2021,Projetos!A:L,12,false)=TRUE,TRUE,FALSE)</f>
        <v>1</v>
      </c>
      <c r="I2021" s="68">
        <v>29.312396449615196</v>
      </c>
      <c r="J2021" s="68">
        <f t="shared" si="1"/>
        <v>0</v>
      </c>
      <c r="K2021" s="68" t="b">
        <v>1</v>
      </c>
    </row>
    <row r="2022" hidden="1">
      <c r="A2022" s="75">
        <v>2016.0</v>
      </c>
      <c r="B2022" s="62" t="s">
        <v>1253</v>
      </c>
      <c r="C2022" s="62" t="s">
        <v>111</v>
      </c>
      <c r="D2022" s="62" t="s">
        <v>1295</v>
      </c>
      <c r="E2022" s="76">
        <v>44057.0</v>
      </c>
      <c r="F2022" s="77">
        <v>0.0625</v>
      </c>
      <c r="G2022" s="62" t="b">
        <v>0</v>
      </c>
      <c r="H2022" s="78" t="b">
        <f>IF(VLOOKUP(C2022,Projetos!A:L,12,false)=TRUE,TRUE,FALSE)</f>
        <v>0</v>
      </c>
      <c r="I2022" s="68">
        <v>29.312396449615196</v>
      </c>
      <c r="J2022" s="68">
        <f t="shared" si="1"/>
        <v>0</v>
      </c>
      <c r="K2022" s="68" t="b">
        <v>0</v>
      </c>
    </row>
    <row r="2023">
      <c r="A2023" s="75">
        <v>2017.0</v>
      </c>
      <c r="B2023" s="62" t="s">
        <v>1253</v>
      </c>
      <c r="C2023" s="62" t="s">
        <v>84</v>
      </c>
      <c r="D2023" s="62" t="s">
        <v>1289</v>
      </c>
      <c r="E2023" s="76">
        <v>44060.0</v>
      </c>
      <c r="F2023" s="77">
        <v>0.08333333333333333</v>
      </c>
      <c r="G2023" s="62" t="b">
        <v>1</v>
      </c>
      <c r="H2023" s="78" t="b">
        <f>IF(VLOOKUP(C2023,Projetos!A:L,12,false)=TRUE,TRUE,FALSE)</f>
        <v>1</v>
      </c>
      <c r="I2023" s="68">
        <v>29.312396449615196</v>
      </c>
      <c r="J2023" s="68">
        <f t="shared" si="1"/>
        <v>58.6247929</v>
      </c>
      <c r="K2023" s="68" t="b">
        <v>1</v>
      </c>
    </row>
    <row r="2024">
      <c r="A2024" s="75">
        <v>2018.0</v>
      </c>
      <c r="B2024" s="62" t="s">
        <v>1253</v>
      </c>
      <c r="C2024" s="62" t="s">
        <v>112</v>
      </c>
      <c r="D2024" s="62" t="s">
        <v>1289</v>
      </c>
      <c r="E2024" s="76">
        <v>44061.0</v>
      </c>
      <c r="F2024" s="77">
        <v>0.0625</v>
      </c>
      <c r="G2024" s="62" t="b">
        <v>1</v>
      </c>
      <c r="H2024" s="78" t="b">
        <f>IF(VLOOKUP(C2024,Projetos!A:L,12,false)=TRUE,TRUE,FALSE)</f>
        <v>1</v>
      </c>
      <c r="I2024" s="68">
        <v>29.312396449615196</v>
      </c>
      <c r="J2024" s="68">
        <f t="shared" si="1"/>
        <v>43.96859467</v>
      </c>
      <c r="K2024" s="68" t="b">
        <v>1</v>
      </c>
    </row>
    <row r="2025">
      <c r="A2025" s="75">
        <v>2019.0</v>
      </c>
      <c r="B2025" s="62" t="s">
        <v>1253</v>
      </c>
      <c r="C2025" s="62" t="s">
        <v>112</v>
      </c>
      <c r="D2025" s="62" t="s">
        <v>1289</v>
      </c>
      <c r="E2025" s="76">
        <v>44061.0</v>
      </c>
      <c r="F2025" s="77">
        <v>0.0625</v>
      </c>
      <c r="G2025" s="62" t="b">
        <v>1</v>
      </c>
      <c r="H2025" s="78" t="b">
        <f>IF(VLOOKUP(C2025,Projetos!A:L,12,false)=TRUE,TRUE,FALSE)</f>
        <v>1</v>
      </c>
      <c r="I2025" s="68">
        <v>29.312396449615196</v>
      </c>
      <c r="J2025" s="68">
        <f t="shared" si="1"/>
        <v>43.96859467</v>
      </c>
      <c r="K2025" s="68" t="b">
        <v>1</v>
      </c>
    </row>
    <row r="2026">
      <c r="A2026" s="75">
        <v>2020.0</v>
      </c>
      <c r="B2026" s="62" t="s">
        <v>1253</v>
      </c>
      <c r="C2026" s="62" t="s">
        <v>84</v>
      </c>
      <c r="D2026" s="62" t="s">
        <v>1289</v>
      </c>
      <c r="E2026" s="76">
        <v>44061.0</v>
      </c>
      <c r="F2026" s="77">
        <v>0.125</v>
      </c>
      <c r="G2026" s="62" t="b">
        <v>1</v>
      </c>
      <c r="H2026" s="78" t="b">
        <f>IF(VLOOKUP(C2026,Projetos!A:L,12,false)=TRUE,TRUE,FALSE)</f>
        <v>1</v>
      </c>
      <c r="I2026" s="68">
        <v>29.312396449615196</v>
      </c>
      <c r="J2026" s="68">
        <f t="shared" si="1"/>
        <v>87.93718935</v>
      </c>
      <c r="K2026" s="68" t="b">
        <v>1</v>
      </c>
    </row>
    <row r="2027">
      <c r="A2027" s="75">
        <v>2021.0</v>
      </c>
      <c r="B2027" s="62" t="s">
        <v>1253</v>
      </c>
      <c r="C2027" s="62" t="s">
        <v>84</v>
      </c>
      <c r="D2027" s="62" t="s">
        <v>1296</v>
      </c>
      <c r="E2027" s="76">
        <v>44062.0</v>
      </c>
      <c r="F2027" s="77">
        <v>0.08333333333333333</v>
      </c>
      <c r="G2027" s="62" t="b">
        <v>1</v>
      </c>
      <c r="H2027" s="78" t="b">
        <f>IF(VLOOKUP(C2027,Projetos!A:L,12,false)=TRUE,TRUE,FALSE)</f>
        <v>1</v>
      </c>
      <c r="I2027" s="68">
        <v>29.312396449615196</v>
      </c>
      <c r="J2027" s="68">
        <f t="shared" si="1"/>
        <v>58.6247929</v>
      </c>
      <c r="K2027" s="68" t="b">
        <v>1</v>
      </c>
    </row>
    <row r="2028">
      <c r="A2028" s="75">
        <v>2022.0</v>
      </c>
      <c r="B2028" s="62" t="s">
        <v>1253</v>
      </c>
      <c r="C2028" s="62" t="s">
        <v>90</v>
      </c>
      <c r="D2028" s="62" t="s">
        <v>1289</v>
      </c>
      <c r="E2028" s="76">
        <v>44063.0</v>
      </c>
      <c r="F2028" s="77">
        <v>0.125</v>
      </c>
      <c r="G2028" s="62" t="b">
        <v>1</v>
      </c>
      <c r="H2028" s="78" t="b">
        <f>IF(VLOOKUP(C2028,Projetos!A:L,12,false)=TRUE,TRUE,FALSE)</f>
        <v>1</v>
      </c>
      <c r="I2028" s="68">
        <v>29.312396449615196</v>
      </c>
      <c r="J2028" s="68">
        <f t="shared" si="1"/>
        <v>87.93718935</v>
      </c>
      <c r="K2028" s="68" t="b">
        <v>1</v>
      </c>
    </row>
    <row r="2029">
      <c r="A2029" s="75">
        <v>2023.0</v>
      </c>
      <c r="B2029" s="62" t="s">
        <v>1253</v>
      </c>
      <c r="C2029" s="62" t="s">
        <v>84</v>
      </c>
      <c r="D2029" s="62" t="s">
        <v>1289</v>
      </c>
      <c r="E2029" s="76">
        <v>44064.0</v>
      </c>
      <c r="F2029" s="77">
        <v>0.16666666666666666</v>
      </c>
      <c r="G2029" s="62" t="b">
        <v>1</v>
      </c>
      <c r="H2029" s="78" t="b">
        <f>IF(VLOOKUP(C2029,Projetos!A:L,12,false)=TRUE,TRUE,FALSE)</f>
        <v>1</v>
      </c>
      <c r="I2029" s="68">
        <v>29.312396449615196</v>
      </c>
      <c r="J2029" s="68">
        <f t="shared" si="1"/>
        <v>117.2495858</v>
      </c>
      <c r="K2029" s="68" t="b">
        <v>1</v>
      </c>
    </row>
    <row r="2030">
      <c r="A2030" s="75">
        <v>2024.0</v>
      </c>
      <c r="B2030" s="62" t="s">
        <v>1253</v>
      </c>
      <c r="C2030" s="62" t="s">
        <v>84</v>
      </c>
      <c r="D2030" s="62" t="s">
        <v>1289</v>
      </c>
      <c r="E2030" s="76">
        <v>44067.0</v>
      </c>
      <c r="F2030" s="77">
        <v>0.125</v>
      </c>
      <c r="G2030" s="62" t="b">
        <v>1</v>
      </c>
      <c r="H2030" s="78" t="b">
        <f>IF(VLOOKUP(C2030,Projetos!A:L,12,false)=TRUE,TRUE,FALSE)</f>
        <v>1</v>
      </c>
      <c r="I2030" s="68">
        <v>29.312396449615196</v>
      </c>
      <c r="J2030" s="68">
        <f t="shared" si="1"/>
        <v>87.93718935</v>
      </c>
      <c r="K2030" s="68" t="b">
        <v>1</v>
      </c>
    </row>
    <row r="2031" hidden="1">
      <c r="A2031" s="75">
        <v>2025.0</v>
      </c>
      <c r="B2031" s="62" t="s">
        <v>1253</v>
      </c>
      <c r="C2031" s="62" t="s">
        <v>111</v>
      </c>
      <c r="D2031" s="62" t="s">
        <v>1295</v>
      </c>
      <c r="E2031" s="76">
        <v>44067.0</v>
      </c>
      <c r="F2031" s="77">
        <v>0.041666666666666664</v>
      </c>
      <c r="G2031" s="62" t="b">
        <v>0</v>
      </c>
      <c r="H2031" s="78" t="b">
        <f>IF(VLOOKUP(C2031,Projetos!A:L,12,false)=TRUE,TRUE,FALSE)</f>
        <v>0</v>
      </c>
      <c r="I2031" s="68">
        <v>29.312396449615196</v>
      </c>
      <c r="J2031" s="68">
        <f t="shared" si="1"/>
        <v>0</v>
      </c>
      <c r="K2031" s="68" t="b">
        <v>0</v>
      </c>
    </row>
    <row r="2032">
      <c r="A2032" s="75">
        <v>2026.0</v>
      </c>
      <c r="B2032" s="62" t="s">
        <v>1253</v>
      </c>
      <c r="C2032" s="62" t="s">
        <v>84</v>
      </c>
      <c r="D2032" s="62" t="s">
        <v>1289</v>
      </c>
      <c r="E2032" s="76">
        <v>44068.0</v>
      </c>
      <c r="F2032" s="77">
        <v>0.125</v>
      </c>
      <c r="G2032" s="62" t="b">
        <v>1</v>
      </c>
      <c r="H2032" s="78" t="b">
        <f>IF(VLOOKUP(C2032,Projetos!A:L,12,false)=TRUE,TRUE,FALSE)</f>
        <v>1</v>
      </c>
      <c r="I2032" s="68">
        <v>29.312396449615196</v>
      </c>
      <c r="J2032" s="68">
        <f t="shared" si="1"/>
        <v>87.93718935</v>
      </c>
      <c r="K2032" s="68" t="b">
        <v>1</v>
      </c>
    </row>
    <row r="2033" hidden="1">
      <c r="A2033" s="75">
        <v>2027.0</v>
      </c>
      <c r="B2033" s="62" t="s">
        <v>1253</v>
      </c>
      <c r="C2033" s="62" t="s">
        <v>111</v>
      </c>
      <c r="D2033" s="62" t="s">
        <v>1295</v>
      </c>
      <c r="E2033" s="76">
        <v>44068.0</v>
      </c>
      <c r="F2033" s="77">
        <v>0.041666666666666664</v>
      </c>
      <c r="G2033" s="62" t="b">
        <v>0</v>
      </c>
      <c r="H2033" s="78" t="b">
        <f>IF(VLOOKUP(C2033,Projetos!A:L,12,false)=TRUE,TRUE,FALSE)</f>
        <v>0</v>
      </c>
      <c r="I2033" s="68">
        <v>29.312396449615196</v>
      </c>
      <c r="J2033" s="68">
        <f t="shared" si="1"/>
        <v>0</v>
      </c>
      <c r="K2033" s="68" t="b">
        <v>0</v>
      </c>
    </row>
    <row r="2034">
      <c r="A2034" s="75">
        <v>2028.0</v>
      </c>
      <c r="B2034" s="62" t="s">
        <v>1253</v>
      </c>
      <c r="C2034" s="62" t="s">
        <v>84</v>
      </c>
      <c r="D2034" s="62" t="s">
        <v>1289</v>
      </c>
      <c r="E2034" s="76">
        <v>44069.0</v>
      </c>
      <c r="F2034" s="77">
        <v>0.125</v>
      </c>
      <c r="G2034" s="62" t="b">
        <v>1</v>
      </c>
      <c r="H2034" s="78" t="b">
        <f>IF(VLOOKUP(C2034,Projetos!A:L,12,false)=TRUE,TRUE,FALSE)</f>
        <v>1</v>
      </c>
      <c r="I2034" s="68">
        <v>29.312396449615196</v>
      </c>
      <c r="J2034" s="68">
        <f t="shared" si="1"/>
        <v>87.93718935</v>
      </c>
      <c r="K2034" s="68" t="b">
        <v>1</v>
      </c>
    </row>
    <row r="2035" hidden="1">
      <c r="A2035" s="75">
        <v>2029.0</v>
      </c>
      <c r="B2035" s="62" t="s">
        <v>1253</v>
      </c>
      <c r="C2035" s="62" t="s">
        <v>103</v>
      </c>
      <c r="D2035" s="62" t="s">
        <v>1260</v>
      </c>
      <c r="E2035" s="76">
        <v>44070.0</v>
      </c>
      <c r="F2035" s="77">
        <v>0.041666666666666664</v>
      </c>
      <c r="G2035" s="62" t="b">
        <v>0</v>
      </c>
      <c r="H2035" s="78" t="b">
        <f>IF(VLOOKUP(C2035,Projetos!A:L,12,false)=TRUE,TRUE,FALSE)</f>
        <v>1</v>
      </c>
      <c r="I2035" s="68">
        <v>29.312396449615196</v>
      </c>
      <c r="J2035" s="68">
        <f t="shared" si="1"/>
        <v>0</v>
      </c>
      <c r="K2035" s="68" t="b">
        <v>1</v>
      </c>
    </row>
    <row r="2036">
      <c r="A2036" s="75">
        <v>2030.0</v>
      </c>
      <c r="B2036" s="62" t="s">
        <v>1253</v>
      </c>
      <c r="C2036" s="62" t="s">
        <v>100</v>
      </c>
      <c r="D2036" s="62" t="s">
        <v>1297</v>
      </c>
      <c r="E2036" s="76">
        <v>44075.0</v>
      </c>
      <c r="F2036" s="77">
        <v>0.16666666666666666</v>
      </c>
      <c r="G2036" s="62" t="b">
        <v>1</v>
      </c>
      <c r="H2036" s="78" t="b">
        <f>IF(VLOOKUP(C2036,Projetos!A:L,12,false)=TRUE,TRUE,FALSE)</f>
        <v>1</v>
      </c>
      <c r="I2036" s="68">
        <v>30.80635014921946</v>
      </c>
      <c r="J2036" s="68">
        <f t="shared" si="1"/>
        <v>123.2254006</v>
      </c>
      <c r="K2036" s="68" t="b">
        <v>1</v>
      </c>
    </row>
    <row r="2037" hidden="1">
      <c r="A2037" s="75">
        <v>2031.0</v>
      </c>
      <c r="B2037" s="62" t="s">
        <v>1253</v>
      </c>
      <c r="C2037" s="62" t="s">
        <v>103</v>
      </c>
      <c r="D2037" s="62" t="s">
        <v>201</v>
      </c>
      <c r="E2037" s="76">
        <v>44076.0</v>
      </c>
      <c r="F2037" s="77">
        <v>0.16666666666666666</v>
      </c>
      <c r="G2037" s="62" t="b">
        <v>0</v>
      </c>
      <c r="H2037" s="78" t="b">
        <f>IF(VLOOKUP(C2037,Projetos!A:L,12,false)=TRUE,TRUE,FALSE)</f>
        <v>1</v>
      </c>
      <c r="I2037" s="68">
        <v>30.80635014921946</v>
      </c>
      <c r="J2037" s="68">
        <f t="shared" si="1"/>
        <v>0</v>
      </c>
      <c r="K2037" s="68" t="b">
        <v>1</v>
      </c>
    </row>
    <row r="2038" hidden="1">
      <c r="A2038" s="75">
        <v>2032.0</v>
      </c>
      <c r="B2038" s="62" t="s">
        <v>1253</v>
      </c>
      <c r="C2038" s="62" t="s">
        <v>103</v>
      </c>
      <c r="D2038" s="62" t="s">
        <v>201</v>
      </c>
      <c r="E2038" s="76">
        <v>44077.0</v>
      </c>
      <c r="F2038" s="77">
        <v>0.20833333333333334</v>
      </c>
      <c r="G2038" s="62" t="b">
        <v>0</v>
      </c>
      <c r="H2038" s="78" t="b">
        <f>IF(VLOOKUP(C2038,Projetos!A:L,12,false)=TRUE,TRUE,FALSE)</f>
        <v>1</v>
      </c>
      <c r="I2038" s="68">
        <v>30.80635014921946</v>
      </c>
      <c r="J2038" s="68">
        <f t="shared" si="1"/>
        <v>0</v>
      </c>
      <c r="K2038" s="68" t="b">
        <v>1</v>
      </c>
    </row>
    <row r="2039" hidden="1">
      <c r="A2039" s="75">
        <v>2033.0</v>
      </c>
      <c r="B2039" s="62" t="s">
        <v>1253</v>
      </c>
      <c r="C2039" s="62" t="s">
        <v>103</v>
      </c>
      <c r="D2039" s="62" t="s">
        <v>201</v>
      </c>
      <c r="E2039" s="76">
        <v>44078.0</v>
      </c>
      <c r="F2039" s="77">
        <v>0.125</v>
      </c>
      <c r="G2039" s="62" t="b">
        <v>0</v>
      </c>
      <c r="H2039" s="78" t="b">
        <f>IF(VLOOKUP(C2039,Projetos!A:L,12,false)=TRUE,TRUE,FALSE)</f>
        <v>1</v>
      </c>
      <c r="I2039" s="68">
        <v>30.80635014921946</v>
      </c>
      <c r="J2039" s="68">
        <f t="shared" si="1"/>
        <v>0</v>
      </c>
      <c r="K2039" s="68" t="b">
        <v>1</v>
      </c>
    </row>
    <row r="2040">
      <c r="A2040" s="75">
        <v>2034.0</v>
      </c>
      <c r="B2040" s="62" t="s">
        <v>1253</v>
      </c>
      <c r="C2040" s="62" t="s">
        <v>100</v>
      </c>
      <c r="D2040" s="62" t="s">
        <v>1297</v>
      </c>
      <c r="E2040" s="76">
        <v>44084.0</v>
      </c>
      <c r="F2040" s="77">
        <v>0.20833333333333334</v>
      </c>
      <c r="G2040" s="62" t="b">
        <v>1</v>
      </c>
      <c r="H2040" s="78" t="b">
        <f>IF(VLOOKUP(C2040,Projetos!A:L,12,false)=TRUE,TRUE,FALSE)</f>
        <v>1</v>
      </c>
      <c r="I2040" s="68">
        <v>30.80635014921946</v>
      </c>
      <c r="J2040" s="68">
        <f t="shared" si="1"/>
        <v>154.0317507</v>
      </c>
      <c r="K2040" s="68" t="b">
        <v>1</v>
      </c>
    </row>
    <row r="2041" hidden="1">
      <c r="A2041" s="75">
        <v>2035.0</v>
      </c>
      <c r="B2041" s="62" t="s">
        <v>1253</v>
      </c>
      <c r="C2041" s="62" t="s">
        <v>109</v>
      </c>
      <c r="D2041" s="62" t="s">
        <v>1298</v>
      </c>
      <c r="E2041" s="76">
        <v>44088.0</v>
      </c>
      <c r="F2041" s="77">
        <v>0.20833333333333334</v>
      </c>
      <c r="G2041" s="62" t="b">
        <v>0</v>
      </c>
      <c r="H2041" s="78" t="b">
        <f>IF(VLOOKUP(C2041,Projetos!A:L,12,false)=TRUE,TRUE,FALSE)</f>
        <v>0</v>
      </c>
      <c r="I2041" s="68">
        <v>30.80635014921946</v>
      </c>
      <c r="J2041" s="68">
        <f t="shared" si="1"/>
        <v>0</v>
      </c>
      <c r="K2041" s="68" t="b">
        <v>0</v>
      </c>
    </row>
    <row r="2042" hidden="1">
      <c r="A2042" s="75">
        <v>2036.0</v>
      </c>
      <c r="B2042" s="62" t="s">
        <v>1253</v>
      </c>
      <c r="C2042" s="62" t="s">
        <v>109</v>
      </c>
      <c r="D2042" s="62" t="s">
        <v>1298</v>
      </c>
      <c r="E2042" s="76">
        <v>44089.0</v>
      </c>
      <c r="F2042" s="77">
        <v>0.125</v>
      </c>
      <c r="G2042" s="62" t="b">
        <v>0</v>
      </c>
      <c r="H2042" s="78" t="b">
        <f>IF(VLOOKUP(C2042,Projetos!A:L,12,false)=TRUE,TRUE,FALSE)</f>
        <v>0</v>
      </c>
      <c r="I2042" s="68">
        <v>30.80635014921946</v>
      </c>
      <c r="J2042" s="68">
        <f t="shared" si="1"/>
        <v>0</v>
      </c>
      <c r="K2042" s="68" t="b">
        <v>0</v>
      </c>
    </row>
    <row r="2043" hidden="1">
      <c r="A2043" s="75">
        <v>2037.0</v>
      </c>
      <c r="B2043" s="62" t="s">
        <v>1253</v>
      </c>
      <c r="C2043" s="62" t="s">
        <v>109</v>
      </c>
      <c r="D2043" s="62" t="s">
        <v>1298</v>
      </c>
      <c r="E2043" s="76">
        <v>44090.0</v>
      </c>
      <c r="F2043" s="77">
        <v>0.20833333333333334</v>
      </c>
      <c r="G2043" s="62" t="b">
        <v>0</v>
      </c>
      <c r="H2043" s="78" t="b">
        <f>IF(VLOOKUP(C2043,Projetos!A:L,12,false)=TRUE,TRUE,FALSE)</f>
        <v>0</v>
      </c>
      <c r="I2043" s="68">
        <v>30.80635014921946</v>
      </c>
      <c r="J2043" s="68">
        <f t="shared" si="1"/>
        <v>0</v>
      </c>
      <c r="K2043" s="68" t="b">
        <v>0</v>
      </c>
    </row>
    <row r="2044" hidden="1">
      <c r="A2044" s="75">
        <v>2038.0</v>
      </c>
      <c r="B2044" s="62" t="s">
        <v>1253</v>
      </c>
      <c r="C2044" s="62" t="s">
        <v>109</v>
      </c>
      <c r="D2044" s="62" t="s">
        <v>1298</v>
      </c>
      <c r="E2044" s="76">
        <v>44091.0</v>
      </c>
      <c r="F2044" s="77">
        <v>0.125</v>
      </c>
      <c r="G2044" s="62" t="b">
        <v>0</v>
      </c>
      <c r="H2044" s="78" t="b">
        <f>IF(VLOOKUP(C2044,Projetos!A:L,12,false)=TRUE,TRUE,FALSE)</f>
        <v>0</v>
      </c>
      <c r="I2044" s="68">
        <v>30.80635014921946</v>
      </c>
      <c r="J2044" s="68">
        <f t="shared" si="1"/>
        <v>0</v>
      </c>
      <c r="K2044" s="68" t="b">
        <v>0</v>
      </c>
    </row>
    <row r="2045">
      <c r="A2045" s="75">
        <v>2039.0</v>
      </c>
      <c r="B2045" s="62" t="s">
        <v>1253</v>
      </c>
      <c r="C2045" s="62" t="s">
        <v>84</v>
      </c>
      <c r="D2045" s="62" t="s">
        <v>1289</v>
      </c>
      <c r="E2045" s="76">
        <v>44091.0</v>
      </c>
      <c r="F2045" s="77">
        <v>0.16666666666666666</v>
      </c>
      <c r="G2045" s="62" t="b">
        <v>1</v>
      </c>
      <c r="H2045" s="78" t="b">
        <f>IF(VLOOKUP(C2045,Projetos!A:L,12,false)=TRUE,TRUE,FALSE)</f>
        <v>1</v>
      </c>
      <c r="I2045" s="68">
        <v>30.80635014921946</v>
      </c>
      <c r="J2045" s="68">
        <f t="shared" si="1"/>
        <v>123.2254006</v>
      </c>
      <c r="K2045" s="68" t="b">
        <v>1</v>
      </c>
    </row>
    <row r="2046" hidden="1">
      <c r="A2046" s="75">
        <v>2040.0</v>
      </c>
      <c r="B2046" s="62" t="s">
        <v>1253</v>
      </c>
      <c r="C2046" s="62" t="s">
        <v>109</v>
      </c>
      <c r="D2046" s="62" t="s">
        <v>1298</v>
      </c>
      <c r="E2046" s="76">
        <v>44092.0</v>
      </c>
      <c r="F2046" s="77">
        <v>0.16666666666666666</v>
      </c>
      <c r="G2046" s="62" t="b">
        <v>0</v>
      </c>
      <c r="H2046" s="78" t="b">
        <f>IF(VLOOKUP(C2046,Projetos!A:L,12,false)=TRUE,TRUE,FALSE)</f>
        <v>0</v>
      </c>
      <c r="I2046" s="68">
        <v>30.80635014921946</v>
      </c>
      <c r="J2046" s="68">
        <f t="shared" si="1"/>
        <v>0</v>
      </c>
      <c r="K2046" s="68" t="b">
        <v>0</v>
      </c>
    </row>
    <row r="2047">
      <c r="A2047" s="75">
        <v>2041.0</v>
      </c>
      <c r="B2047" s="62" t="s">
        <v>1253</v>
      </c>
      <c r="C2047" s="62" t="s">
        <v>85</v>
      </c>
      <c r="D2047" s="62" t="s">
        <v>1299</v>
      </c>
      <c r="E2047" s="76">
        <v>44093.0</v>
      </c>
      <c r="F2047" s="77">
        <v>0.4527777777777778</v>
      </c>
      <c r="G2047" s="62" t="b">
        <v>1</v>
      </c>
      <c r="H2047" s="78" t="b">
        <f>IF(VLOOKUP(C2047,Projetos!A:L,12,false)=TRUE,TRUE,FALSE)</f>
        <v>1</v>
      </c>
      <c r="I2047" s="68">
        <v>30.80635014921946</v>
      </c>
      <c r="J2047" s="68">
        <f t="shared" si="1"/>
        <v>334.7623383</v>
      </c>
      <c r="K2047" s="68" t="b">
        <v>1</v>
      </c>
    </row>
    <row r="2048">
      <c r="A2048" s="75">
        <v>2042.0</v>
      </c>
      <c r="B2048" s="62" t="s">
        <v>1253</v>
      </c>
      <c r="C2048" s="62" t="s">
        <v>85</v>
      </c>
      <c r="D2048" s="62" t="s">
        <v>1299</v>
      </c>
      <c r="E2048" s="76">
        <v>44094.0</v>
      </c>
      <c r="F2048" s="77">
        <v>0.4236111111111111</v>
      </c>
      <c r="G2048" s="62" t="b">
        <v>1</v>
      </c>
      <c r="H2048" s="78" t="b">
        <f>IF(VLOOKUP(C2048,Projetos!A:L,12,false)=TRUE,TRUE,FALSE)</f>
        <v>1</v>
      </c>
      <c r="I2048" s="68">
        <v>30.80635014921946</v>
      </c>
      <c r="J2048" s="68">
        <f t="shared" si="1"/>
        <v>313.1978932</v>
      </c>
      <c r="K2048" s="68" t="b">
        <v>1</v>
      </c>
    </row>
    <row r="2049">
      <c r="A2049" s="75">
        <v>2043.0</v>
      </c>
      <c r="B2049" s="62" t="s">
        <v>1253</v>
      </c>
      <c r="C2049" s="62" t="s">
        <v>85</v>
      </c>
      <c r="D2049" s="62" t="s">
        <v>1299</v>
      </c>
      <c r="E2049" s="76">
        <v>44095.0</v>
      </c>
      <c r="F2049" s="77">
        <v>0.35347222222222224</v>
      </c>
      <c r="G2049" s="62" t="b">
        <v>1</v>
      </c>
      <c r="H2049" s="78" t="b">
        <f>IF(VLOOKUP(C2049,Projetos!A:L,12,false)=TRUE,TRUE,FALSE)</f>
        <v>1</v>
      </c>
      <c r="I2049" s="68">
        <v>30.80635014921946</v>
      </c>
      <c r="J2049" s="68">
        <f t="shared" si="1"/>
        <v>261.3405371</v>
      </c>
      <c r="K2049" s="68" t="b">
        <v>1</v>
      </c>
    </row>
    <row r="2050">
      <c r="A2050" s="75">
        <v>2044.0</v>
      </c>
      <c r="B2050" s="62" t="s">
        <v>1253</v>
      </c>
      <c r="C2050" s="62" t="s">
        <v>100</v>
      </c>
      <c r="D2050" s="62" t="s">
        <v>1300</v>
      </c>
      <c r="E2050" s="76">
        <v>44096.0</v>
      </c>
      <c r="F2050" s="77">
        <v>0.125</v>
      </c>
      <c r="G2050" s="62" t="b">
        <v>1</v>
      </c>
      <c r="H2050" s="78" t="b">
        <f>IF(VLOOKUP(C2050,Projetos!A:L,12,false)=TRUE,TRUE,FALSE)</f>
        <v>1</v>
      </c>
      <c r="I2050" s="68">
        <v>30.80635014921946</v>
      </c>
      <c r="J2050" s="68">
        <f t="shared" si="1"/>
        <v>92.41905045</v>
      </c>
      <c r="K2050" s="68" t="b">
        <v>1</v>
      </c>
    </row>
    <row r="2051" hidden="1">
      <c r="A2051" s="75">
        <v>2045.0</v>
      </c>
      <c r="B2051" s="62" t="s">
        <v>1253</v>
      </c>
      <c r="C2051" s="62" t="s">
        <v>103</v>
      </c>
      <c r="D2051" s="62" t="s">
        <v>1301</v>
      </c>
      <c r="E2051" s="76">
        <v>44097.0</v>
      </c>
      <c r="F2051" s="77">
        <v>0.125</v>
      </c>
      <c r="G2051" s="62" t="b">
        <v>0</v>
      </c>
      <c r="H2051" s="78" t="b">
        <f>IF(VLOOKUP(C2051,Projetos!A:L,12,false)=TRUE,TRUE,FALSE)</f>
        <v>1</v>
      </c>
      <c r="I2051" s="68">
        <v>30.80635014921946</v>
      </c>
      <c r="J2051" s="68">
        <f t="shared" si="1"/>
        <v>0</v>
      </c>
      <c r="K2051" s="68" t="b">
        <v>1</v>
      </c>
    </row>
    <row r="2052" hidden="1">
      <c r="A2052" s="75">
        <v>2046.0</v>
      </c>
      <c r="B2052" s="62" t="s">
        <v>1253</v>
      </c>
      <c r="C2052" s="62" t="s">
        <v>97</v>
      </c>
      <c r="D2052" s="62" t="s">
        <v>1301</v>
      </c>
      <c r="E2052" s="76">
        <v>44098.0</v>
      </c>
      <c r="F2052" s="77">
        <v>0.125</v>
      </c>
      <c r="G2052" s="62" t="b">
        <v>0</v>
      </c>
      <c r="H2052" s="78" t="b">
        <f>IF(VLOOKUP(C2052,Projetos!A:L,12,false)=TRUE,TRUE,FALSE)</f>
        <v>1</v>
      </c>
      <c r="I2052" s="68">
        <v>30.80635014921946</v>
      </c>
      <c r="J2052" s="68">
        <f t="shared" si="1"/>
        <v>0</v>
      </c>
      <c r="K2052" s="68" t="b">
        <v>1</v>
      </c>
    </row>
    <row r="2053" hidden="1">
      <c r="A2053" s="75">
        <v>2047.0</v>
      </c>
      <c r="B2053" s="62" t="s">
        <v>1253</v>
      </c>
      <c r="C2053" s="62" t="s">
        <v>100</v>
      </c>
      <c r="D2053" s="62" t="s">
        <v>1301</v>
      </c>
      <c r="E2053" s="76">
        <v>44099.0</v>
      </c>
      <c r="F2053" s="77">
        <v>0.16666666666666666</v>
      </c>
      <c r="G2053" s="62" t="b">
        <v>0</v>
      </c>
      <c r="H2053" s="78" t="b">
        <f>IF(VLOOKUP(C2053,Projetos!A:L,12,false)=TRUE,TRUE,FALSE)</f>
        <v>1</v>
      </c>
      <c r="I2053" s="68">
        <v>30.80635014921946</v>
      </c>
      <c r="J2053" s="68">
        <f t="shared" si="1"/>
        <v>0</v>
      </c>
      <c r="K2053" s="68" t="b">
        <v>1</v>
      </c>
    </row>
    <row r="2054" hidden="1">
      <c r="A2054" s="75">
        <v>2048.0</v>
      </c>
      <c r="B2054" s="62" t="s">
        <v>1253</v>
      </c>
      <c r="C2054" s="62" t="s">
        <v>100</v>
      </c>
      <c r="D2054" s="62" t="s">
        <v>1301</v>
      </c>
      <c r="E2054" s="76">
        <v>44102.0</v>
      </c>
      <c r="F2054" s="77">
        <v>0.16666666666666666</v>
      </c>
      <c r="G2054" s="62" t="b">
        <v>0</v>
      </c>
      <c r="H2054" s="78" t="b">
        <f>IF(VLOOKUP(C2054,Projetos!A:L,12,false)=TRUE,TRUE,FALSE)</f>
        <v>1</v>
      </c>
      <c r="I2054" s="68">
        <v>30.80635014921946</v>
      </c>
      <c r="J2054" s="68">
        <f t="shared" si="1"/>
        <v>0</v>
      </c>
      <c r="K2054" s="68" t="b">
        <v>1</v>
      </c>
    </row>
    <row r="2055">
      <c r="A2055" s="75">
        <v>2049.0</v>
      </c>
      <c r="B2055" s="62" t="s">
        <v>1253</v>
      </c>
      <c r="C2055" s="62" t="s">
        <v>97</v>
      </c>
      <c r="D2055" s="62" t="s">
        <v>1293</v>
      </c>
      <c r="E2055" s="76">
        <v>44117.0</v>
      </c>
      <c r="F2055" s="77">
        <v>0.2916666666666667</v>
      </c>
      <c r="G2055" s="62" t="b">
        <v>1</v>
      </c>
      <c r="H2055" s="78" t="b">
        <f>IF(VLOOKUP(C2055,Projetos!A:L,12,false)=TRUE,TRUE,FALSE)</f>
        <v>1</v>
      </c>
      <c r="I2055" s="68">
        <v>32.2733192039442</v>
      </c>
      <c r="J2055" s="68">
        <f t="shared" si="1"/>
        <v>225.9132344</v>
      </c>
      <c r="K2055" s="68" t="b">
        <v>1</v>
      </c>
    </row>
    <row r="2056">
      <c r="A2056" s="75">
        <v>2050.0</v>
      </c>
      <c r="B2056" s="62" t="s">
        <v>1253</v>
      </c>
      <c r="C2056" s="62" t="s">
        <v>97</v>
      </c>
      <c r="D2056" s="62" t="s">
        <v>1293</v>
      </c>
      <c r="E2056" s="76">
        <v>44118.0</v>
      </c>
      <c r="F2056" s="77">
        <v>0.16666666666666666</v>
      </c>
      <c r="G2056" s="62" t="b">
        <v>1</v>
      </c>
      <c r="H2056" s="78" t="b">
        <f>IF(VLOOKUP(C2056,Projetos!A:L,12,false)=TRUE,TRUE,FALSE)</f>
        <v>1</v>
      </c>
      <c r="I2056" s="68">
        <v>32.2733192039442</v>
      </c>
      <c r="J2056" s="68">
        <f t="shared" si="1"/>
        <v>129.0932768</v>
      </c>
      <c r="K2056" s="68" t="b">
        <v>1</v>
      </c>
    </row>
    <row r="2057" hidden="1">
      <c r="A2057" s="75">
        <v>2051.0</v>
      </c>
      <c r="B2057" s="62" t="s">
        <v>1253</v>
      </c>
      <c r="C2057" s="62" t="s">
        <v>103</v>
      </c>
      <c r="D2057" s="62" t="s">
        <v>1301</v>
      </c>
      <c r="E2057" s="76">
        <v>44119.0</v>
      </c>
      <c r="F2057" s="77">
        <v>0.2916666666666667</v>
      </c>
      <c r="G2057" s="62" t="b">
        <v>0</v>
      </c>
      <c r="H2057" s="78" t="b">
        <f>IF(VLOOKUP(C2057,Projetos!A:L,12,false)=TRUE,TRUE,FALSE)</f>
        <v>1</v>
      </c>
      <c r="I2057" s="68">
        <v>32.2733192039442</v>
      </c>
      <c r="J2057" s="68">
        <f t="shared" si="1"/>
        <v>0</v>
      </c>
      <c r="K2057" s="68" t="b">
        <v>1</v>
      </c>
    </row>
    <row r="2058" hidden="1">
      <c r="A2058" s="75">
        <v>2052.0</v>
      </c>
      <c r="B2058" s="62" t="s">
        <v>1253</v>
      </c>
      <c r="C2058" s="62" t="s">
        <v>97</v>
      </c>
      <c r="D2058" s="62" t="s">
        <v>1301</v>
      </c>
      <c r="E2058" s="76">
        <v>44120.0</v>
      </c>
      <c r="F2058" s="77">
        <v>0.20833333333333334</v>
      </c>
      <c r="G2058" s="62" t="b">
        <v>0</v>
      </c>
      <c r="H2058" s="78" t="b">
        <f>IF(VLOOKUP(C2058,Projetos!A:L,12,false)=TRUE,TRUE,FALSE)</f>
        <v>1</v>
      </c>
      <c r="I2058" s="68">
        <v>32.2733192039442</v>
      </c>
      <c r="J2058" s="68">
        <f t="shared" si="1"/>
        <v>0</v>
      </c>
      <c r="K2058" s="68" t="b">
        <v>1</v>
      </c>
    </row>
    <row r="2059" hidden="1">
      <c r="A2059" s="75">
        <v>2053.0</v>
      </c>
      <c r="B2059" s="62" t="s">
        <v>1253</v>
      </c>
      <c r="C2059" s="62" t="s">
        <v>110</v>
      </c>
      <c r="D2059" s="62" t="s">
        <v>1301</v>
      </c>
      <c r="E2059" s="76">
        <v>44123.0</v>
      </c>
      <c r="F2059" s="77">
        <v>0.20833333333333334</v>
      </c>
      <c r="G2059" s="62" t="b">
        <v>0</v>
      </c>
      <c r="H2059" s="78" t="b">
        <f>IF(VLOOKUP(C2059,Projetos!A:L,12,false)=TRUE,TRUE,FALSE)</f>
        <v>1</v>
      </c>
      <c r="I2059" s="68">
        <v>32.2733192039442</v>
      </c>
      <c r="J2059" s="68">
        <f t="shared" si="1"/>
        <v>0</v>
      </c>
      <c r="K2059" s="68" t="b">
        <v>1</v>
      </c>
    </row>
    <row r="2060">
      <c r="A2060" s="75">
        <v>2054.0</v>
      </c>
      <c r="B2060" s="62" t="s">
        <v>1253</v>
      </c>
      <c r="C2060" s="62" t="s">
        <v>90</v>
      </c>
      <c r="D2060" s="62" t="s">
        <v>1302</v>
      </c>
      <c r="E2060" s="76">
        <v>44124.0</v>
      </c>
      <c r="F2060" s="77">
        <v>0.16666666666666666</v>
      </c>
      <c r="G2060" s="62" t="b">
        <v>1</v>
      </c>
      <c r="H2060" s="78" t="b">
        <f>IF(VLOOKUP(C2060,Projetos!A:L,12,false)=TRUE,TRUE,FALSE)</f>
        <v>1</v>
      </c>
      <c r="I2060" s="68">
        <v>32.2733192039442</v>
      </c>
      <c r="J2060" s="68">
        <f t="shared" si="1"/>
        <v>129.0932768</v>
      </c>
      <c r="K2060" s="68" t="b">
        <v>1</v>
      </c>
    </row>
    <row r="2061">
      <c r="A2061" s="75">
        <v>2055.0</v>
      </c>
      <c r="B2061" s="62" t="s">
        <v>1253</v>
      </c>
      <c r="C2061" s="62" t="s">
        <v>90</v>
      </c>
      <c r="D2061" s="62" t="s">
        <v>1302</v>
      </c>
      <c r="E2061" s="76">
        <v>44125.0</v>
      </c>
      <c r="F2061" s="77">
        <v>0.2916666666666667</v>
      </c>
      <c r="G2061" s="62" t="b">
        <v>1</v>
      </c>
      <c r="H2061" s="78" t="b">
        <f>IF(VLOOKUP(C2061,Projetos!A:L,12,false)=TRUE,TRUE,FALSE)</f>
        <v>1</v>
      </c>
      <c r="I2061" s="68">
        <v>32.2733192039442</v>
      </c>
      <c r="J2061" s="68">
        <f t="shared" si="1"/>
        <v>225.9132344</v>
      </c>
      <c r="K2061" s="68" t="b">
        <v>1</v>
      </c>
    </row>
    <row r="2062">
      <c r="A2062" s="75">
        <v>2056.0</v>
      </c>
      <c r="B2062" s="62" t="s">
        <v>1253</v>
      </c>
      <c r="C2062" s="62" t="s">
        <v>90</v>
      </c>
      <c r="D2062" s="62" t="s">
        <v>1302</v>
      </c>
      <c r="E2062" s="76">
        <v>44126.0</v>
      </c>
      <c r="F2062" s="77">
        <v>0.16666666666666666</v>
      </c>
      <c r="G2062" s="62" t="b">
        <v>1</v>
      </c>
      <c r="H2062" s="78" t="b">
        <f>IF(VLOOKUP(C2062,Projetos!A:L,12,false)=TRUE,TRUE,FALSE)</f>
        <v>1</v>
      </c>
      <c r="I2062" s="68">
        <v>32.2733192039442</v>
      </c>
      <c r="J2062" s="68">
        <f t="shared" si="1"/>
        <v>129.0932768</v>
      </c>
      <c r="K2062" s="68" t="b">
        <v>1</v>
      </c>
    </row>
    <row r="2063">
      <c r="A2063" s="75">
        <v>2057.0</v>
      </c>
      <c r="B2063" s="62" t="s">
        <v>1253</v>
      </c>
      <c r="C2063" s="62" t="s">
        <v>90</v>
      </c>
      <c r="D2063" s="62" t="s">
        <v>1302</v>
      </c>
      <c r="E2063" s="76">
        <v>44127.0</v>
      </c>
      <c r="F2063" s="77">
        <v>0.25</v>
      </c>
      <c r="G2063" s="62" t="b">
        <v>1</v>
      </c>
      <c r="H2063" s="78" t="b">
        <f>IF(VLOOKUP(C2063,Projetos!A:L,12,false)=TRUE,TRUE,FALSE)</f>
        <v>1</v>
      </c>
      <c r="I2063" s="68">
        <v>32.2733192039442</v>
      </c>
      <c r="J2063" s="68">
        <f t="shared" si="1"/>
        <v>193.6399152</v>
      </c>
      <c r="K2063" s="68" t="b">
        <v>1</v>
      </c>
    </row>
    <row r="2064" hidden="1">
      <c r="A2064" s="75">
        <v>2058.0</v>
      </c>
      <c r="B2064" s="62" t="s">
        <v>1253</v>
      </c>
      <c r="C2064" s="62" t="s">
        <v>97</v>
      </c>
      <c r="D2064" s="62" t="s">
        <v>1301</v>
      </c>
      <c r="E2064" s="76">
        <v>44127.0</v>
      </c>
      <c r="F2064" s="77">
        <v>0.08333333333333333</v>
      </c>
      <c r="G2064" s="62" t="b">
        <v>0</v>
      </c>
      <c r="H2064" s="78" t="b">
        <f>IF(VLOOKUP(C2064,Projetos!A:L,12,false)=TRUE,TRUE,FALSE)</f>
        <v>1</v>
      </c>
      <c r="I2064" s="68">
        <v>32.2733192039442</v>
      </c>
      <c r="J2064" s="68">
        <f t="shared" si="1"/>
        <v>0</v>
      </c>
      <c r="K2064" s="68" t="b">
        <v>1</v>
      </c>
    </row>
    <row r="2065" hidden="1">
      <c r="A2065" s="75">
        <v>2059.0</v>
      </c>
      <c r="B2065" s="62" t="s">
        <v>1253</v>
      </c>
      <c r="C2065" s="62" t="s">
        <v>103</v>
      </c>
      <c r="D2065" s="62" t="s">
        <v>1301</v>
      </c>
      <c r="E2065" s="76">
        <v>44130.0</v>
      </c>
      <c r="F2065" s="77">
        <v>0.125</v>
      </c>
      <c r="G2065" s="62" t="b">
        <v>0</v>
      </c>
      <c r="H2065" s="78" t="b">
        <f>IF(VLOOKUP(C2065,Projetos!A:L,12,false)=TRUE,TRUE,FALSE)</f>
        <v>1</v>
      </c>
      <c r="I2065" s="68">
        <v>32.2733192039442</v>
      </c>
      <c r="J2065" s="68">
        <f t="shared" si="1"/>
        <v>0</v>
      </c>
      <c r="K2065" s="68" t="b">
        <v>1</v>
      </c>
    </row>
    <row r="2066" hidden="1">
      <c r="A2066" s="75">
        <v>2060.0</v>
      </c>
      <c r="B2066" s="62" t="s">
        <v>1253</v>
      </c>
      <c r="C2066" s="62" t="s">
        <v>97</v>
      </c>
      <c r="D2066" s="62" t="s">
        <v>1301</v>
      </c>
      <c r="E2066" s="76">
        <v>44131.0</v>
      </c>
      <c r="F2066" s="77">
        <v>0.16666666666666666</v>
      </c>
      <c r="G2066" s="62" t="b">
        <v>0</v>
      </c>
      <c r="H2066" s="78" t="b">
        <f>IF(VLOOKUP(C2066,Projetos!A:L,12,false)=TRUE,TRUE,FALSE)</f>
        <v>1</v>
      </c>
      <c r="I2066" s="68">
        <v>32.2733192039442</v>
      </c>
      <c r="J2066" s="68">
        <f t="shared" si="1"/>
        <v>0</v>
      </c>
      <c r="K2066" s="68" t="b">
        <v>1</v>
      </c>
    </row>
    <row r="2067" hidden="1">
      <c r="A2067" s="75">
        <v>2061.0</v>
      </c>
      <c r="B2067" s="62" t="s">
        <v>1253</v>
      </c>
      <c r="C2067" s="62" t="s">
        <v>100</v>
      </c>
      <c r="D2067" s="62" t="s">
        <v>1301</v>
      </c>
      <c r="E2067" s="76">
        <v>44132.0</v>
      </c>
      <c r="F2067" s="77">
        <v>0.20833333333333334</v>
      </c>
      <c r="G2067" s="62" t="b">
        <v>0</v>
      </c>
      <c r="H2067" s="78" t="b">
        <f>IF(VLOOKUP(C2067,Projetos!A:L,12,false)=TRUE,TRUE,FALSE)</f>
        <v>1</v>
      </c>
      <c r="I2067" s="68">
        <v>32.2733192039442</v>
      </c>
      <c r="J2067" s="68">
        <f t="shared" si="1"/>
        <v>0</v>
      </c>
      <c r="K2067" s="68" t="b">
        <v>1</v>
      </c>
    </row>
    <row r="2068" hidden="1">
      <c r="A2068" s="75">
        <v>2062.0</v>
      </c>
      <c r="B2068" s="62" t="s">
        <v>1253</v>
      </c>
      <c r="C2068" s="62" t="s">
        <v>100</v>
      </c>
      <c r="D2068" s="62" t="s">
        <v>1301</v>
      </c>
      <c r="E2068" s="76">
        <v>44133.0</v>
      </c>
      <c r="F2068" s="77">
        <v>0.20833333333333334</v>
      </c>
      <c r="G2068" s="62" t="b">
        <v>0</v>
      </c>
      <c r="H2068" s="78" t="b">
        <f>IF(VLOOKUP(C2068,Projetos!A:L,12,false)=TRUE,TRUE,FALSE)</f>
        <v>1</v>
      </c>
      <c r="I2068" s="68">
        <v>32.2733192039442</v>
      </c>
      <c r="J2068" s="68">
        <f t="shared" si="1"/>
        <v>0</v>
      </c>
      <c r="K2068" s="68" t="b">
        <v>1</v>
      </c>
    </row>
    <row r="2069" hidden="1">
      <c r="A2069" s="75">
        <v>2063.0</v>
      </c>
      <c r="B2069" s="62" t="s">
        <v>1253</v>
      </c>
      <c r="C2069" s="62" t="s">
        <v>97</v>
      </c>
      <c r="D2069" s="62" t="s">
        <v>1301</v>
      </c>
      <c r="E2069" s="76">
        <v>44134.0</v>
      </c>
      <c r="F2069" s="77">
        <v>0.20833333333333334</v>
      </c>
      <c r="G2069" s="62" t="b">
        <v>0</v>
      </c>
      <c r="H2069" s="78" t="b">
        <f>IF(VLOOKUP(C2069,Projetos!A:L,12,false)=TRUE,TRUE,FALSE)</f>
        <v>1</v>
      </c>
      <c r="I2069" s="68">
        <v>32.2733192039442</v>
      </c>
      <c r="J2069" s="68">
        <f t="shared" si="1"/>
        <v>0</v>
      </c>
      <c r="K2069" s="68" t="b">
        <v>1</v>
      </c>
    </row>
    <row r="2070">
      <c r="A2070" s="75">
        <v>2064.0</v>
      </c>
      <c r="B2070" s="62" t="s">
        <v>1253</v>
      </c>
      <c r="C2070" s="62" t="s">
        <v>100</v>
      </c>
      <c r="D2070" s="62" t="s">
        <v>1302</v>
      </c>
      <c r="E2070" s="76">
        <v>44138.0</v>
      </c>
      <c r="F2070" s="77">
        <v>0.16666666666666666</v>
      </c>
      <c r="G2070" s="62" t="b">
        <v>1</v>
      </c>
      <c r="H2070" s="78" t="b">
        <f>IF(VLOOKUP(C2070,Projetos!A:L,12,false)=TRUE,TRUE,FALSE)</f>
        <v>1</v>
      </c>
      <c r="I2070" s="68">
        <v>31.311547741620746</v>
      </c>
      <c r="J2070" s="68">
        <f t="shared" si="1"/>
        <v>125.246191</v>
      </c>
      <c r="K2070" s="68" t="b">
        <v>1</v>
      </c>
    </row>
    <row r="2071">
      <c r="A2071" s="75">
        <v>2065.0</v>
      </c>
      <c r="B2071" s="62" t="s">
        <v>1253</v>
      </c>
      <c r="C2071" s="62" t="s">
        <v>100</v>
      </c>
      <c r="D2071" s="62" t="s">
        <v>1302</v>
      </c>
      <c r="E2071" s="76">
        <v>44139.0</v>
      </c>
      <c r="F2071" s="77">
        <v>0.10416666666666667</v>
      </c>
      <c r="G2071" s="62" t="b">
        <v>1</v>
      </c>
      <c r="H2071" s="78" t="b">
        <f>IF(VLOOKUP(C2071,Projetos!A:L,12,false)=TRUE,TRUE,FALSE)</f>
        <v>1</v>
      </c>
      <c r="I2071" s="68">
        <v>31.311547741620746</v>
      </c>
      <c r="J2071" s="68">
        <f t="shared" si="1"/>
        <v>78.27886935</v>
      </c>
      <c r="K2071" s="68" t="b">
        <v>1</v>
      </c>
    </row>
    <row r="2072">
      <c r="A2072" s="75">
        <v>2066.0</v>
      </c>
      <c r="B2072" s="62" t="s">
        <v>1253</v>
      </c>
      <c r="C2072" s="62" t="s">
        <v>89</v>
      </c>
      <c r="D2072" s="62" t="s">
        <v>1303</v>
      </c>
      <c r="E2072" s="76">
        <v>44145.0</v>
      </c>
      <c r="F2072" s="77">
        <v>0.20833333333333334</v>
      </c>
      <c r="G2072" s="62" t="b">
        <v>1</v>
      </c>
      <c r="H2072" s="78" t="b">
        <f>IF(VLOOKUP(C2072,Projetos!A:L,12,false)=TRUE,TRUE,FALSE)</f>
        <v>1</v>
      </c>
      <c r="I2072" s="68">
        <v>31.311547741620746</v>
      </c>
      <c r="J2072" s="68">
        <f t="shared" si="1"/>
        <v>156.5577387</v>
      </c>
      <c r="K2072" s="68" t="b">
        <v>1</v>
      </c>
    </row>
    <row r="2073">
      <c r="A2073" s="75">
        <v>2067.0</v>
      </c>
      <c r="B2073" s="62" t="s">
        <v>1253</v>
      </c>
      <c r="C2073" s="62" t="s">
        <v>89</v>
      </c>
      <c r="D2073" s="62" t="s">
        <v>1303</v>
      </c>
      <c r="E2073" s="76">
        <v>44146.0</v>
      </c>
      <c r="F2073" s="77">
        <v>0.125</v>
      </c>
      <c r="G2073" s="62" t="b">
        <v>1</v>
      </c>
      <c r="H2073" s="78" t="b">
        <f>IF(VLOOKUP(C2073,Projetos!A:L,12,false)=TRUE,TRUE,FALSE)</f>
        <v>1</v>
      </c>
      <c r="I2073" s="68">
        <v>31.311547741620746</v>
      </c>
      <c r="J2073" s="68">
        <f t="shared" si="1"/>
        <v>93.93464322</v>
      </c>
      <c r="K2073" s="68" t="b">
        <v>1</v>
      </c>
    </row>
    <row r="2074" hidden="1">
      <c r="A2074" s="75">
        <v>2068.0</v>
      </c>
      <c r="B2074" s="62" t="s">
        <v>1253</v>
      </c>
      <c r="C2074" s="62" t="s">
        <v>97</v>
      </c>
      <c r="D2074" s="62" t="s">
        <v>1301</v>
      </c>
      <c r="E2074" s="76">
        <v>44147.0</v>
      </c>
      <c r="F2074" s="77">
        <v>0.125</v>
      </c>
      <c r="G2074" s="62" t="b">
        <v>0</v>
      </c>
      <c r="H2074" s="78" t="b">
        <f>IF(VLOOKUP(C2074,Projetos!A:L,12,false)=TRUE,TRUE,FALSE)</f>
        <v>1</v>
      </c>
      <c r="I2074" s="68">
        <v>31.311547741620746</v>
      </c>
      <c r="J2074" s="68">
        <f t="shared" si="1"/>
        <v>0</v>
      </c>
      <c r="K2074" s="68" t="b">
        <v>1</v>
      </c>
    </row>
    <row r="2075" hidden="1">
      <c r="A2075" s="75">
        <v>2069.0</v>
      </c>
      <c r="B2075" s="62" t="s">
        <v>1253</v>
      </c>
      <c r="C2075" s="62" t="s">
        <v>97</v>
      </c>
      <c r="D2075" s="62" t="s">
        <v>1301</v>
      </c>
      <c r="E2075" s="76">
        <v>44148.0</v>
      </c>
      <c r="F2075" s="77">
        <v>0.125</v>
      </c>
      <c r="G2075" s="62" t="b">
        <v>0</v>
      </c>
      <c r="H2075" s="78" t="b">
        <f>IF(VLOOKUP(C2075,Projetos!A:L,12,false)=TRUE,TRUE,FALSE)</f>
        <v>1</v>
      </c>
      <c r="I2075" s="68">
        <v>31.311547741620746</v>
      </c>
      <c r="J2075" s="68">
        <f t="shared" si="1"/>
        <v>0</v>
      </c>
      <c r="K2075" s="68" t="b">
        <v>1</v>
      </c>
    </row>
    <row r="2076">
      <c r="A2076" s="75">
        <v>2070.0</v>
      </c>
      <c r="B2076" s="62" t="s">
        <v>1253</v>
      </c>
      <c r="C2076" s="62" t="s">
        <v>89</v>
      </c>
      <c r="D2076" s="62" t="s">
        <v>1303</v>
      </c>
      <c r="E2076" s="76">
        <v>44148.0</v>
      </c>
      <c r="F2076" s="77">
        <v>0.20833333333333334</v>
      </c>
      <c r="G2076" s="62" t="b">
        <v>1</v>
      </c>
      <c r="H2076" s="78" t="b">
        <f>IF(VLOOKUP(C2076,Projetos!A:L,12,false)=TRUE,TRUE,FALSE)</f>
        <v>1</v>
      </c>
      <c r="I2076" s="68">
        <v>31.311547741620746</v>
      </c>
      <c r="J2076" s="68">
        <f t="shared" si="1"/>
        <v>156.5577387</v>
      </c>
      <c r="K2076" s="68" t="b">
        <v>1</v>
      </c>
    </row>
    <row r="2077" hidden="1">
      <c r="A2077" s="75">
        <v>2071.0</v>
      </c>
      <c r="B2077" s="62" t="s">
        <v>1253</v>
      </c>
      <c r="C2077" s="62" t="s">
        <v>100</v>
      </c>
      <c r="D2077" s="62" t="s">
        <v>1301</v>
      </c>
      <c r="E2077" s="76">
        <v>44151.0</v>
      </c>
      <c r="F2077" s="77">
        <v>0.16666666666666666</v>
      </c>
      <c r="G2077" s="62" t="b">
        <v>0</v>
      </c>
      <c r="H2077" s="78" t="b">
        <f>IF(VLOOKUP(C2077,Projetos!A:L,12,false)=TRUE,TRUE,FALSE)</f>
        <v>1</v>
      </c>
      <c r="I2077" s="68">
        <v>31.311547741620746</v>
      </c>
      <c r="J2077" s="68">
        <f t="shared" si="1"/>
        <v>0</v>
      </c>
      <c r="K2077" s="68" t="b">
        <v>1</v>
      </c>
    </row>
    <row r="2078">
      <c r="A2078" s="75">
        <v>2072.0</v>
      </c>
      <c r="B2078" s="62" t="s">
        <v>1253</v>
      </c>
      <c r="C2078" s="62" t="s">
        <v>89</v>
      </c>
      <c r="D2078" s="62" t="s">
        <v>1303</v>
      </c>
      <c r="E2078" s="76">
        <v>44151.0</v>
      </c>
      <c r="F2078" s="77">
        <v>0.125</v>
      </c>
      <c r="G2078" s="62" t="b">
        <v>1</v>
      </c>
      <c r="H2078" s="78" t="b">
        <f>IF(VLOOKUP(C2078,Projetos!A:L,12,false)=TRUE,TRUE,FALSE)</f>
        <v>1</v>
      </c>
      <c r="I2078" s="68">
        <v>31.311547741620746</v>
      </c>
      <c r="J2078" s="68">
        <f t="shared" si="1"/>
        <v>93.93464322</v>
      </c>
      <c r="K2078" s="68" t="b">
        <v>1</v>
      </c>
    </row>
    <row r="2079">
      <c r="A2079" s="75">
        <v>2073.0</v>
      </c>
      <c r="B2079" s="62" t="s">
        <v>1253</v>
      </c>
      <c r="C2079" s="62" t="s">
        <v>89</v>
      </c>
      <c r="D2079" s="62" t="s">
        <v>1303</v>
      </c>
      <c r="E2079" s="76">
        <v>44153.0</v>
      </c>
      <c r="F2079" s="77">
        <v>0.16666666666666666</v>
      </c>
      <c r="G2079" s="62" t="b">
        <v>1</v>
      </c>
      <c r="H2079" s="78" t="b">
        <f>IF(VLOOKUP(C2079,Projetos!A:L,12,false)=TRUE,TRUE,FALSE)</f>
        <v>1</v>
      </c>
      <c r="I2079" s="68">
        <v>31.311547741620746</v>
      </c>
      <c r="J2079" s="68">
        <f t="shared" si="1"/>
        <v>125.246191</v>
      </c>
      <c r="K2079" s="68" t="b">
        <v>1</v>
      </c>
    </row>
    <row r="2080" hidden="1">
      <c r="A2080" s="75">
        <v>2074.0</v>
      </c>
      <c r="B2080" s="62" t="s">
        <v>1253</v>
      </c>
      <c r="C2080" s="62" t="s">
        <v>103</v>
      </c>
      <c r="D2080" s="62" t="s">
        <v>1301</v>
      </c>
      <c r="E2080" s="76">
        <v>44153.0</v>
      </c>
      <c r="F2080" s="77">
        <v>0.125</v>
      </c>
      <c r="G2080" s="62" t="b">
        <v>0</v>
      </c>
      <c r="H2080" s="78" t="b">
        <f>IF(VLOOKUP(C2080,Projetos!A:L,12,false)=TRUE,TRUE,FALSE)</f>
        <v>1</v>
      </c>
      <c r="I2080" s="68">
        <v>31.311547741620746</v>
      </c>
      <c r="J2080" s="68">
        <f t="shared" si="1"/>
        <v>0</v>
      </c>
      <c r="K2080" s="68" t="b">
        <v>1</v>
      </c>
    </row>
    <row r="2081" hidden="1">
      <c r="A2081" s="75">
        <v>2075.0</v>
      </c>
      <c r="B2081" s="62" t="s">
        <v>1253</v>
      </c>
      <c r="C2081" s="62" t="s">
        <v>103</v>
      </c>
      <c r="D2081" s="62" t="s">
        <v>1301</v>
      </c>
      <c r="E2081" s="76">
        <v>44154.0</v>
      </c>
      <c r="F2081" s="77">
        <v>0.0625</v>
      </c>
      <c r="G2081" s="62" t="b">
        <v>0</v>
      </c>
      <c r="H2081" s="78" t="b">
        <f>IF(VLOOKUP(C2081,Projetos!A:L,12,false)=TRUE,TRUE,FALSE)</f>
        <v>1</v>
      </c>
      <c r="I2081" s="68">
        <v>31.311547741620746</v>
      </c>
      <c r="J2081" s="68">
        <f t="shared" si="1"/>
        <v>0</v>
      </c>
      <c r="K2081" s="68" t="b">
        <v>1</v>
      </c>
    </row>
    <row r="2082" hidden="1">
      <c r="A2082" s="75">
        <v>2076.0</v>
      </c>
      <c r="B2082" s="62" t="s">
        <v>1253</v>
      </c>
      <c r="C2082" s="62" t="s">
        <v>104</v>
      </c>
      <c r="D2082" s="62" t="s">
        <v>1304</v>
      </c>
      <c r="E2082" s="76">
        <v>44154.0</v>
      </c>
      <c r="F2082" s="77">
        <v>0.08333333333333333</v>
      </c>
      <c r="G2082" s="62" t="b">
        <v>0</v>
      </c>
      <c r="H2082" s="78" t="b">
        <f>IF(VLOOKUP(C2082,Projetos!A:L,12,false)=TRUE,TRUE,FALSE)</f>
        <v>1</v>
      </c>
      <c r="I2082" s="68">
        <v>31.311547741620746</v>
      </c>
      <c r="J2082" s="68">
        <f t="shared" si="1"/>
        <v>0</v>
      </c>
      <c r="K2082" s="68" t="b">
        <v>1</v>
      </c>
    </row>
    <row r="2083" hidden="1">
      <c r="A2083" s="75">
        <v>2077.0</v>
      </c>
      <c r="B2083" s="62" t="s">
        <v>1253</v>
      </c>
      <c r="C2083" s="62" t="s">
        <v>109</v>
      </c>
      <c r="D2083" s="62" t="s">
        <v>1301</v>
      </c>
      <c r="E2083" s="76">
        <v>44154.0</v>
      </c>
      <c r="F2083" s="77">
        <v>0.041666666666666664</v>
      </c>
      <c r="G2083" s="62" t="b">
        <v>0</v>
      </c>
      <c r="H2083" s="78" t="b">
        <f>IF(VLOOKUP(C2083,Projetos!A:L,12,false)=TRUE,TRUE,FALSE)</f>
        <v>0</v>
      </c>
      <c r="I2083" s="68">
        <v>31.311547741620746</v>
      </c>
      <c r="J2083" s="68">
        <f t="shared" si="1"/>
        <v>0</v>
      </c>
      <c r="K2083" s="68" t="b">
        <v>0</v>
      </c>
    </row>
    <row r="2084">
      <c r="A2084" s="75">
        <v>2078.0</v>
      </c>
      <c r="B2084" s="62" t="s">
        <v>1253</v>
      </c>
      <c r="C2084" s="62" t="s">
        <v>89</v>
      </c>
      <c r="D2084" s="62" t="s">
        <v>1303</v>
      </c>
      <c r="E2084" s="76">
        <v>44155.0</v>
      </c>
      <c r="F2084" s="77">
        <v>0.125</v>
      </c>
      <c r="G2084" s="62" t="b">
        <v>1</v>
      </c>
      <c r="H2084" s="78" t="b">
        <f>IF(VLOOKUP(C2084,Projetos!A:L,12,false)=TRUE,TRUE,FALSE)</f>
        <v>1</v>
      </c>
      <c r="I2084" s="68">
        <v>31.311547741620746</v>
      </c>
      <c r="J2084" s="68">
        <f t="shared" si="1"/>
        <v>93.93464322</v>
      </c>
      <c r="K2084" s="68" t="b">
        <v>1</v>
      </c>
    </row>
    <row r="2085" hidden="1">
      <c r="A2085" s="75">
        <v>2079.0</v>
      </c>
      <c r="B2085" s="62" t="s">
        <v>1253</v>
      </c>
      <c r="C2085" s="62" t="s">
        <v>109</v>
      </c>
      <c r="D2085" s="62" t="s">
        <v>1301</v>
      </c>
      <c r="E2085" s="76">
        <v>44155.0</v>
      </c>
      <c r="F2085" s="77">
        <v>0.125</v>
      </c>
      <c r="G2085" s="62" t="b">
        <v>0</v>
      </c>
      <c r="H2085" s="78" t="b">
        <f>IF(VLOOKUP(C2085,Projetos!A:L,12,false)=TRUE,TRUE,FALSE)</f>
        <v>0</v>
      </c>
      <c r="I2085" s="68">
        <v>31.311547741620746</v>
      </c>
      <c r="J2085" s="68">
        <f t="shared" si="1"/>
        <v>0</v>
      </c>
      <c r="K2085" s="68" t="b">
        <v>0</v>
      </c>
    </row>
    <row r="2086" hidden="1">
      <c r="A2086" s="75">
        <v>2080.0</v>
      </c>
      <c r="B2086" s="62" t="s">
        <v>1253</v>
      </c>
      <c r="C2086" s="62" t="s">
        <v>103</v>
      </c>
      <c r="D2086" s="62" t="s">
        <v>1301</v>
      </c>
      <c r="E2086" s="76">
        <v>44158.0</v>
      </c>
      <c r="F2086" s="77">
        <v>0.08333333333333333</v>
      </c>
      <c r="G2086" s="62" t="b">
        <v>0</v>
      </c>
      <c r="H2086" s="78" t="b">
        <f>IF(VLOOKUP(C2086,Projetos!A:L,12,false)=TRUE,TRUE,FALSE)</f>
        <v>1</v>
      </c>
      <c r="I2086" s="68">
        <v>31.311547741620746</v>
      </c>
      <c r="J2086" s="68">
        <f t="shared" si="1"/>
        <v>0</v>
      </c>
      <c r="K2086" s="68" t="b">
        <v>1</v>
      </c>
    </row>
    <row r="2087" hidden="1">
      <c r="A2087" s="75">
        <v>2081.0</v>
      </c>
      <c r="B2087" s="62" t="s">
        <v>1253</v>
      </c>
      <c r="C2087" s="62" t="s">
        <v>109</v>
      </c>
      <c r="D2087" s="62" t="s">
        <v>1301</v>
      </c>
      <c r="E2087" s="76">
        <v>44158.0</v>
      </c>
      <c r="F2087" s="77">
        <v>0.125</v>
      </c>
      <c r="G2087" s="62" t="b">
        <v>0</v>
      </c>
      <c r="H2087" s="78" t="b">
        <f>IF(VLOOKUP(C2087,Projetos!A:L,12,false)=TRUE,TRUE,FALSE)</f>
        <v>0</v>
      </c>
      <c r="I2087" s="68">
        <v>31.311547741620746</v>
      </c>
      <c r="J2087" s="68">
        <f t="shared" si="1"/>
        <v>0</v>
      </c>
      <c r="K2087" s="68" t="b">
        <v>0</v>
      </c>
    </row>
    <row r="2088" hidden="1">
      <c r="A2088" s="75">
        <v>2082.0</v>
      </c>
      <c r="B2088" s="62" t="s">
        <v>1253</v>
      </c>
      <c r="C2088" s="62" t="s">
        <v>111</v>
      </c>
      <c r="D2088" s="62" t="s">
        <v>1295</v>
      </c>
      <c r="E2088" s="76">
        <v>44159.0</v>
      </c>
      <c r="F2088" s="77">
        <v>0.08333333333333333</v>
      </c>
      <c r="G2088" s="62" t="b">
        <v>0</v>
      </c>
      <c r="H2088" s="78" t="b">
        <f>IF(VLOOKUP(C2088,Projetos!A:L,12,false)=TRUE,TRUE,FALSE)</f>
        <v>0</v>
      </c>
      <c r="I2088" s="68">
        <v>31.311547741620746</v>
      </c>
      <c r="J2088" s="68">
        <f t="shared" si="1"/>
        <v>0</v>
      </c>
      <c r="K2088" s="68" t="b">
        <v>0</v>
      </c>
    </row>
    <row r="2089" hidden="1">
      <c r="A2089" s="75">
        <v>2083.0</v>
      </c>
      <c r="B2089" s="62" t="s">
        <v>1253</v>
      </c>
      <c r="C2089" s="62" t="s">
        <v>111</v>
      </c>
      <c r="D2089" s="62" t="s">
        <v>1295</v>
      </c>
      <c r="E2089" s="76">
        <v>44160.0</v>
      </c>
      <c r="F2089" s="77">
        <v>0.16666666666666666</v>
      </c>
      <c r="G2089" s="62" t="b">
        <v>0</v>
      </c>
      <c r="H2089" s="78" t="b">
        <f>IF(VLOOKUP(C2089,Projetos!A:L,12,false)=TRUE,TRUE,FALSE)</f>
        <v>0</v>
      </c>
      <c r="I2089" s="68">
        <v>31.311547741620746</v>
      </c>
      <c r="J2089" s="68">
        <f t="shared" si="1"/>
        <v>0</v>
      </c>
      <c r="K2089" s="68" t="b">
        <v>0</v>
      </c>
    </row>
    <row r="2090" hidden="1">
      <c r="A2090" s="75">
        <v>2084.0</v>
      </c>
      <c r="B2090" s="62" t="s">
        <v>1253</v>
      </c>
      <c r="C2090" s="62" t="s">
        <v>109</v>
      </c>
      <c r="D2090" s="62" t="s">
        <v>1301</v>
      </c>
      <c r="E2090" s="76">
        <v>44161.0</v>
      </c>
      <c r="F2090" s="77">
        <v>0.08333333333333333</v>
      </c>
      <c r="G2090" s="62" t="b">
        <v>0</v>
      </c>
      <c r="H2090" s="78" t="b">
        <f>IF(VLOOKUP(C2090,Projetos!A:L,12,false)=TRUE,TRUE,FALSE)</f>
        <v>0</v>
      </c>
      <c r="I2090" s="68">
        <v>31.311547741620746</v>
      </c>
      <c r="J2090" s="68">
        <f t="shared" si="1"/>
        <v>0</v>
      </c>
      <c r="K2090" s="68" t="b">
        <v>0</v>
      </c>
    </row>
    <row r="2091" hidden="1">
      <c r="A2091" s="75">
        <v>2085.0</v>
      </c>
      <c r="B2091" s="62" t="s">
        <v>1253</v>
      </c>
      <c r="C2091" s="62" t="s">
        <v>109</v>
      </c>
      <c r="D2091" s="62" t="s">
        <v>1301</v>
      </c>
      <c r="E2091" s="76">
        <v>44162.0</v>
      </c>
      <c r="F2091" s="77">
        <v>0.041666666666666664</v>
      </c>
      <c r="G2091" s="62" t="b">
        <v>0</v>
      </c>
      <c r="H2091" s="78" t="b">
        <f>IF(VLOOKUP(C2091,Projetos!A:L,12,false)=TRUE,TRUE,FALSE)</f>
        <v>0</v>
      </c>
      <c r="I2091" s="68">
        <v>31.311547741620746</v>
      </c>
      <c r="J2091" s="68">
        <f t="shared" si="1"/>
        <v>0</v>
      </c>
      <c r="K2091" s="68" t="b">
        <v>0</v>
      </c>
    </row>
    <row r="2092">
      <c r="A2092" s="75">
        <v>2086.0</v>
      </c>
      <c r="B2092" s="62" t="s">
        <v>1253</v>
      </c>
      <c r="C2092" s="62" t="s">
        <v>110</v>
      </c>
      <c r="D2092" s="62" t="s">
        <v>1305</v>
      </c>
      <c r="E2092" s="76">
        <v>44165.0</v>
      </c>
      <c r="F2092" s="77">
        <v>0.08333333333333333</v>
      </c>
      <c r="G2092" s="62" t="b">
        <v>1</v>
      </c>
      <c r="H2092" s="78" t="b">
        <f>IF(VLOOKUP(C2092,Projetos!A:L,12,false)=TRUE,TRUE,FALSE)</f>
        <v>1</v>
      </c>
      <c r="I2092" s="68">
        <v>31.311547741620746</v>
      </c>
      <c r="J2092" s="68">
        <f t="shared" si="1"/>
        <v>62.62309548</v>
      </c>
      <c r="K2092" s="68" t="b">
        <v>1</v>
      </c>
    </row>
    <row r="2093" hidden="1">
      <c r="A2093" s="75">
        <v>2087.0</v>
      </c>
      <c r="B2093" s="62" t="s">
        <v>1253</v>
      </c>
      <c r="C2093" s="62" t="s">
        <v>109</v>
      </c>
      <c r="D2093" s="62" t="s">
        <v>1301</v>
      </c>
      <c r="E2093" s="76">
        <v>44166.0</v>
      </c>
      <c r="F2093" s="77">
        <v>0.125</v>
      </c>
      <c r="G2093" s="62" t="b">
        <v>0</v>
      </c>
      <c r="H2093" s="78" t="b">
        <f>IF(VLOOKUP(C2093,Projetos!A:L,12,false)=TRUE,TRUE,FALSE)</f>
        <v>0</v>
      </c>
      <c r="I2093" s="68">
        <v>32.80257382455507</v>
      </c>
      <c r="J2093" s="68">
        <f t="shared" si="1"/>
        <v>0</v>
      </c>
      <c r="K2093" s="68" t="b">
        <v>0</v>
      </c>
    </row>
    <row r="2094" hidden="1">
      <c r="A2094" s="75">
        <v>2088.0</v>
      </c>
      <c r="B2094" s="62" t="s">
        <v>1253</v>
      </c>
      <c r="C2094" s="62" t="s">
        <v>109</v>
      </c>
      <c r="D2094" s="62" t="s">
        <v>1301</v>
      </c>
      <c r="E2094" s="76">
        <v>44167.0</v>
      </c>
      <c r="F2094" s="77">
        <v>0.10416666666666667</v>
      </c>
      <c r="G2094" s="62" t="b">
        <v>0</v>
      </c>
      <c r="H2094" s="78" t="b">
        <f>IF(VLOOKUP(C2094,Projetos!A:L,12,false)=TRUE,TRUE,FALSE)</f>
        <v>0</v>
      </c>
      <c r="I2094" s="68">
        <v>32.80257382455507</v>
      </c>
      <c r="J2094" s="68">
        <f t="shared" si="1"/>
        <v>0</v>
      </c>
      <c r="K2094" s="68" t="b">
        <v>0</v>
      </c>
    </row>
    <row r="2095">
      <c r="A2095" s="75">
        <v>2089.0</v>
      </c>
      <c r="B2095" s="62" t="s">
        <v>1253</v>
      </c>
      <c r="C2095" s="62" t="s">
        <v>89</v>
      </c>
      <c r="D2095" s="62" t="s">
        <v>1303</v>
      </c>
      <c r="E2095" s="76">
        <v>44168.0</v>
      </c>
      <c r="F2095" s="77">
        <v>0.125</v>
      </c>
      <c r="G2095" s="62" t="b">
        <v>1</v>
      </c>
      <c r="H2095" s="78" t="b">
        <f>IF(VLOOKUP(C2095,Projetos!A:L,12,false)=TRUE,TRUE,FALSE)</f>
        <v>1</v>
      </c>
      <c r="I2095" s="68">
        <v>32.80257382455507</v>
      </c>
      <c r="J2095" s="68">
        <f t="shared" si="1"/>
        <v>98.40772147</v>
      </c>
      <c r="K2095" s="68" t="b">
        <v>1</v>
      </c>
    </row>
    <row r="2096" hidden="1">
      <c r="A2096" s="75">
        <v>2090.0</v>
      </c>
      <c r="B2096" s="62" t="s">
        <v>1253</v>
      </c>
      <c r="C2096" s="62" t="s">
        <v>109</v>
      </c>
      <c r="D2096" s="62" t="s">
        <v>1301</v>
      </c>
      <c r="E2096" s="76">
        <v>44168.0</v>
      </c>
      <c r="F2096" s="77">
        <v>0.08333333333333333</v>
      </c>
      <c r="G2096" s="62" t="b">
        <v>0</v>
      </c>
      <c r="H2096" s="78" t="b">
        <f>IF(VLOOKUP(C2096,Projetos!A:L,12,false)=TRUE,TRUE,FALSE)</f>
        <v>0</v>
      </c>
      <c r="I2096" s="68">
        <v>32.80257382455507</v>
      </c>
      <c r="J2096" s="68">
        <f t="shared" si="1"/>
        <v>0</v>
      </c>
      <c r="K2096" s="68" t="b">
        <v>0</v>
      </c>
    </row>
    <row r="2097" hidden="1">
      <c r="A2097" s="75">
        <v>2091.0</v>
      </c>
      <c r="B2097" s="62" t="s">
        <v>1253</v>
      </c>
      <c r="C2097" s="62" t="s">
        <v>109</v>
      </c>
      <c r="D2097" s="62" t="s">
        <v>1301</v>
      </c>
      <c r="E2097" s="76">
        <v>44169.0</v>
      </c>
      <c r="F2097" s="77">
        <v>0.125</v>
      </c>
      <c r="G2097" s="62" t="b">
        <v>0</v>
      </c>
      <c r="H2097" s="78" t="b">
        <f>IF(VLOOKUP(C2097,Projetos!A:L,12,false)=TRUE,TRUE,FALSE)</f>
        <v>0</v>
      </c>
      <c r="I2097" s="68">
        <v>32.80257382455507</v>
      </c>
      <c r="J2097" s="68">
        <f t="shared" si="1"/>
        <v>0</v>
      </c>
      <c r="K2097" s="68" t="b">
        <v>0</v>
      </c>
    </row>
    <row r="2098">
      <c r="A2098" s="75">
        <v>2092.0</v>
      </c>
      <c r="B2098" s="62" t="s">
        <v>1253</v>
      </c>
      <c r="C2098" s="62" t="s">
        <v>89</v>
      </c>
      <c r="D2098" s="62" t="s">
        <v>1303</v>
      </c>
      <c r="E2098" s="76">
        <v>44172.0</v>
      </c>
      <c r="F2098" s="77">
        <v>0.16666666666666666</v>
      </c>
      <c r="G2098" s="62" t="b">
        <v>1</v>
      </c>
      <c r="H2098" s="78" t="b">
        <f>IF(VLOOKUP(C2098,Projetos!A:L,12,false)=TRUE,TRUE,FALSE)</f>
        <v>1</v>
      </c>
      <c r="I2098" s="68">
        <v>32.80257382455507</v>
      </c>
      <c r="J2098" s="68">
        <f t="shared" si="1"/>
        <v>131.2102953</v>
      </c>
      <c r="K2098" s="68" t="b">
        <v>1</v>
      </c>
    </row>
    <row r="2099" hidden="1">
      <c r="A2099" s="75">
        <v>2093.0</v>
      </c>
      <c r="B2099" s="62" t="s">
        <v>1253</v>
      </c>
      <c r="C2099" s="62" t="s">
        <v>104</v>
      </c>
      <c r="D2099" s="62" t="s">
        <v>1304</v>
      </c>
      <c r="E2099" s="76">
        <v>44173.0</v>
      </c>
      <c r="F2099" s="77">
        <v>0.16666666666666666</v>
      </c>
      <c r="G2099" s="62" t="b">
        <v>0</v>
      </c>
      <c r="H2099" s="78" t="b">
        <f>IF(VLOOKUP(C2099,Projetos!A:L,12,false)=TRUE,TRUE,FALSE)</f>
        <v>1</v>
      </c>
      <c r="I2099" s="68">
        <v>32.80257382455507</v>
      </c>
      <c r="J2099" s="68">
        <f t="shared" si="1"/>
        <v>0</v>
      </c>
      <c r="K2099" s="68" t="b">
        <v>1</v>
      </c>
    </row>
    <row r="2100">
      <c r="A2100" s="75">
        <v>2094.0</v>
      </c>
      <c r="B2100" s="62" t="s">
        <v>1253</v>
      </c>
      <c r="C2100" s="62" t="s">
        <v>89</v>
      </c>
      <c r="D2100" s="62" t="s">
        <v>1303</v>
      </c>
      <c r="E2100" s="76">
        <v>44173.0</v>
      </c>
      <c r="F2100" s="77">
        <v>0.08333333333333333</v>
      </c>
      <c r="G2100" s="62" t="b">
        <v>1</v>
      </c>
      <c r="H2100" s="78" t="b">
        <f>IF(VLOOKUP(C2100,Projetos!A:L,12,false)=TRUE,TRUE,FALSE)</f>
        <v>1</v>
      </c>
      <c r="I2100" s="68">
        <v>32.80257382455507</v>
      </c>
      <c r="J2100" s="68">
        <f t="shared" si="1"/>
        <v>65.60514765</v>
      </c>
      <c r="K2100" s="68" t="b">
        <v>1</v>
      </c>
    </row>
    <row r="2101">
      <c r="A2101" s="75">
        <v>2095.0</v>
      </c>
      <c r="B2101" s="62" t="s">
        <v>1253</v>
      </c>
      <c r="C2101" s="62" t="s">
        <v>89</v>
      </c>
      <c r="D2101" s="62" t="s">
        <v>1303</v>
      </c>
      <c r="E2101" s="76">
        <v>44174.0</v>
      </c>
      <c r="F2101" s="77">
        <v>0.125</v>
      </c>
      <c r="G2101" s="62" t="b">
        <v>1</v>
      </c>
      <c r="H2101" s="78" t="b">
        <f>IF(VLOOKUP(C2101,Projetos!A:L,12,false)=TRUE,TRUE,FALSE)</f>
        <v>1</v>
      </c>
      <c r="I2101" s="68">
        <v>32.80257382455507</v>
      </c>
      <c r="J2101" s="68">
        <f t="shared" si="1"/>
        <v>98.40772147</v>
      </c>
      <c r="K2101" s="68" t="b">
        <v>1</v>
      </c>
    </row>
    <row r="2102" hidden="1">
      <c r="A2102" s="75">
        <v>2096.0</v>
      </c>
      <c r="B2102" s="62" t="s">
        <v>1253</v>
      </c>
      <c r="C2102" s="62" t="s">
        <v>109</v>
      </c>
      <c r="D2102" s="62" t="s">
        <v>1301</v>
      </c>
      <c r="E2102" s="76">
        <v>44179.0</v>
      </c>
      <c r="F2102" s="77">
        <v>0.25</v>
      </c>
      <c r="G2102" s="62" t="b">
        <v>0</v>
      </c>
      <c r="H2102" s="78" t="b">
        <f>IF(VLOOKUP(C2102,Projetos!A:L,12,false)=TRUE,TRUE,FALSE)</f>
        <v>0</v>
      </c>
      <c r="I2102" s="68">
        <v>32.80257382455507</v>
      </c>
      <c r="J2102" s="68">
        <f t="shared" si="1"/>
        <v>0</v>
      </c>
      <c r="K2102" s="68" t="b">
        <v>0</v>
      </c>
    </row>
    <row r="2103" hidden="1">
      <c r="A2103" s="75">
        <v>2097.0</v>
      </c>
      <c r="B2103" s="62" t="s">
        <v>1253</v>
      </c>
      <c r="C2103" s="62" t="s">
        <v>104</v>
      </c>
      <c r="D2103" s="62" t="s">
        <v>1304</v>
      </c>
      <c r="E2103" s="76">
        <v>44179.0</v>
      </c>
      <c r="F2103" s="77">
        <v>0.041666666666666664</v>
      </c>
      <c r="G2103" s="62" t="b">
        <v>0</v>
      </c>
      <c r="H2103" s="78" t="b">
        <f>IF(VLOOKUP(C2103,Projetos!A:L,12,false)=TRUE,TRUE,FALSE)</f>
        <v>1</v>
      </c>
      <c r="I2103" s="68">
        <v>32.80257382455507</v>
      </c>
      <c r="J2103" s="68">
        <f t="shared" si="1"/>
        <v>0</v>
      </c>
      <c r="K2103" s="68" t="b">
        <v>1</v>
      </c>
    </row>
    <row r="2104" hidden="1">
      <c r="A2104" s="75">
        <v>2098.0</v>
      </c>
      <c r="B2104" s="62" t="s">
        <v>1253</v>
      </c>
      <c r="C2104" s="62" t="s">
        <v>109</v>
      </c>
      <c r="D2104" s="62" t="s">
        <v>1301</v>
      </c>
      <c r="E2104" s="76">
        <v>44180.0</v>
      </c>
      <c r="F2104" s="77">
        <v>0.14583333333333334</v>
      </c>
      <c r="G2104" s="62" t="b">
        <v>0</v>
      </c>
      <c r="H2104" s="78" t="b">
        <f>IF(VLOOKUP(C2104,Projetos!A:L,12,false)=TRUE,TRUE,FALSE)</f>
        <v>0</v>
      </c>
      <c r="I2104" s="68">
        <v>32.80257382455507</v>
      </c>
      <c r="J2104" s="68">
        <f t="shared" si="1"/>
        <v>0</v>
      </c>
      <c r="K2104" s="68" t="b">
        <v>0</v>
      </c>
    </row>
    <row r="2105" hidden="1">
      <c r="A2105" s="75">
        <v>2099.0</v>
      </c>
      <c r="B2105" s="62" t="s">
        <v>1253</v>
      </c>
      <c r="C2105" s="62" t="s">
        <v>109</v>
      </c>
      <c r="D2105" s="62" t="s">
        <v>1301</v>
      </c>
      <c r="E2105" s="76">
        <v>44181.0</v>
      </c>
      <c r="F2105" s="77">
        <v>0.125</v>
      </c>
      <c r="G2105" s="62" t="b">
        <v>0</v>
      </c>
      <c r="H2105" s="78" t="b">
        <f>IF(VLOOKUP(C2105,Projetos!A:L,12,false)=TRUE,TRUE,FALSE)</f>
        <v>0</v>
      </c>
      <c r="I2105" s="68">
        <v>32.80257382455507</v>
      </c>
      <c r="J2105" s="68">
        <f t="shared" si="1"/>
        <v>0</v>
      </c>
      <c r="K2105" s="68" t="b">
        <v>0</v>
      </c>
    </row>
    <row r="2106" hidden="1">
      <c r="A2106" s="75">
        <v>2100.0</v>
      </c>
      <c r="B2106" s="62" t="s">
        <v>1253</v>
      </c>
      <c r="C2106" s="62" t="s">
        <v>104</v>
      </c>
      <c r="D2106" s="62" t="s">
        <v>1304</v>
      </c>
      <c r="E2106" s="76">
        <v>44181.0</v>
      </c>
      <c r="F2106" s="77">
        <v>0.041666666666666664</v>
      </c>
      <c r="G2106" s="62" t="b">
        <v>0</v>
      </c>
      <c r="H2106" s="78" t="b">
        <f>IF(VLOOKUP(C2106,Projetos!A:L,12,false)=TRUE,TRUE,FALSE)</f>
        <v>1</v>
      </c>
      <c r="I2106" s="68">
        <v>32.80257382455507</v>
      </c>
      <c r="J2106" s="68">
        <f t="shared" si="1"/>
        <v>0</v>
      </c>
      <c r="K2106" s="68" t="b">
        <v>1</v>
      </c>
    </row>
    <row r="2107" hidden="1">
      <c r="A2107" s="75">
        <v>2101.0</v>
      </c>
      <c r="B2107" s="62" t="s">
        <v>1253</v>
      </c>
      <c r="C2107" s="62" t="s">
        <v>104</v>
      </c>
      <c r="D2107" s="62" t="s">
        <v>1304</v>
      </c>
      <c r="E2107" s="76">
        <v>44182.0</v>
      </c>
      <c r="F2107" s="77">
        <v>0.041666666666666664</v>
      </c>
      <c r="G2107" s="62" t="b">
        <v>0</v>
      </c>
      <c r="H2107" s="78" t="b">
        <f>IF(VLOOKUP(C2107,Projetos!A:L,12,false)=TRUE,TRUE,FALSE)</f>
        <v>1</v>
      </c>
      <c r="I2107" s="68">
        <v>32.80257382455507</v>
      </c>
      <c r="J2107" s="68">
        <f t="shared" si="1"/>
        <v>0</v>
      </c>
      <c r="K2107" s="68" t="b">
        <v>1</v>
      </c>
    </row>
    <row r="2108" hidden="1">
      <c r="A2108" s="75">
        <v>2102.0</v>
      </c>
      <c r="B2108" s="62" t="s">
        <v>1253</v>
      </c>
      <c r="C2108" s="62" t="s">
        <v>109</v>
      </c>
      <c r="D2108" s="62" t="s">
        <v>1301</v>
      </c>
      <c r="E2108" s="76">
        <v>44182.0</v>
      </c>
      <c r="F2108" s="77">
        <v>0.25</v>
      </c>
      <c r="G2108" s="62" t="b">
        <v>0</v>
      </c>
      <c r="H2108" s="78" t="b">
        <f>IF(VLOOKUP(C2108,Projetos!A:L,12,false)=TRUE,TRUE,FALSE)</f>
        <v>0</v>
      </c>
      <c r="I2108" s="68">
        <v>32.80257382455507</v>
      </c>
      <c r="J2108" s="68">
        <f t="shared" si="1"/>
        <v>0</v>
      </c>
      <c r="K2108" s="68" t="b">
        <v>0</v>
      </c>
    </row>
    <row r="2109" hidden="1">
      <c r="A2109" s="75">
        <v>2103.0</v>
      </c>
      <c r="B2109" s="62" t="s">
        <v>1253</v>
      </c>
      <c r="C2109" s="62" t="s">
        <v>109</v>
      </c>
      <c r="D2109" s="62" t="s">
        <v>1301</v>
      </c>
      <c r="E2109" s="76">
        <v>44183.0</v>
      </c>
      <c r="F2109" s="77">
        <v>0.25</v>
      </c>
      <c r="G2109" s="62" t="b">
        <v>0</v>
      </c>
      <c r="H2109" s="78" t="b">
        <f>IF(VLOOKUP(C2109,Projetos!A:L,12,false)=TRUE,TRUE,FALSE)</f>
        <v>0</v>
      </c>
      <c r="I2109" s="68">
        <v>32.80257382455507</v>
      </c>
      <c r="J2109" s="68">
        <f t="shared" si="1"/>
        <v>0</v>
      </c>
      <c r="K2109" s="68" t="b">
        <v>0</v>
      </c>
    </row>
    <row r="2110" hidden="1">
      <c r="A2110" s="75">
        <v>2104.0</v>
      </c>
      <c r="B2110" s="62" t="s">
        <v>1253</v>
      </c>
      <c r="C2110" s="62" t="s">
        <v>109</v>
      </c>
      <c r="D2110" s="62" t="s">
        <v>1301</v>
      </c>
      <c r="E2110" s="76">
        <v>44186.0</v>
      </c>
      <c r="F2110" s="77">
        <v>0.20833333333333334</v>
      </c>
      <c r="G2110" s="62" t="b">
        <v>0</v>
      </c>
      <c r="H2110" s="78" t="b">
        <f>IF(VLOOKUP(C2110,Projetos!A:L,12,false)=TRUE,TRUE,FALSE)</f>
        <v>0</v>
      </c>
      <c r="I2110" s="68">
        <v>32.80257382455507</v>
      </c>
      <c r="J2110" s="68">
        <f t="shared" si="1"/>
        <v>0</v>
      </c>
      <c r="K2110" s="68" t="b">
        <v>0</v>
      </c>
    </row>
    <row r="2111" hidden="1">
      <c r="A2111" s="75">
        <v>2105.0</v>
      </c>
      <c r="B2111" s="62" t="s">
        <v>1253</v>
      </c>
      <c r="C2111" s="62" t="s">
        <v>104</v>
      </c>
      <c r="D2111" s="62" t="s">
        <v>1304</v>
      </c>
      <c r="E2111" s="76">
        <v>44187.0</v>
      </c>
      <c r="F2111" s="77">
        <v>0.041666666666666664</v>
      </c>
      <c r="G2111" s="62" t="b">
        <v>0</v>
      </c>
      <c r="H2111" s="78" t="b">
        <f>IF(VLOOKUP(C2111,Projetos!A:L,12,false)=TRUE,TRUE,FALSE)</f>
        <v>1</v>
      </c>
      <c r="I2111" s="68">
        <v>32.80257382455507</v>
      </c>
      <c r="J2111" s="68">
        <f t="shared" si="1"/>
        <v>0</v>
      </c>
      <c r="K2111" s="68" t="b">
        <v>1</v>
      </c>
    </row>
    <row r="2112">
      <c r="A2112" s="75">
        <v>2106.0</v>
      </c>
      <c r="B2112" s="62" t="s">
        <v>1253</v>
      </c>
      <c r="C2112" s="62" t="s">
        <v>84</v>
      </c>
      <c r="D2112" s="62" t="s">
        <v>1289</v>
      </c>
      <c r="E2112" s="76">
        <v>44188.0</v>
      </c>
      <c r="F2112" s="77">
        <v>0.125</v>
      </c>
      <c r="G2112" s="62" t="b">
        <v>1</v>
      </c>
      <c r="H2112" s="78" t="b">
        <f>IF(VLOOKUP(C2112,Projetos!A:L,12,false)=TRUE,TRUE,FALSE)</f>
        <v>1</v>
      </c>
      <c r="I2112" s="68">
        <v>32.80257382455507</v>
      </c>
      <c r="J2112" s="68">
        <f t="shared" si="1"/>
        <v>98.40772147</v>
      </c>
      <c r="K2112" s="68" t="b">
        <v>1</v>
      </c>
    </row>
    <row r="2113" hidden="1">
      <c r="A2113" s="75">
        <v>2107.0</v>
      </c>
      <c r="B2113" s="62" t="s">
        <v>1253</v>
      </c>
      <c r="C2113" s="62" t="s">
        <v>109</v>
      </c>
      <c r="D2113" s="62" t="s">
        <v>1301</v>
      </c>
      <c r="E2113" s="76">
        <v>44188.0</v>
      </c>
      <c r="F2113" s="77">
        <v>0.16666666666666666</v>
      </c>
      <c r="G2113" s="62" t="b">
        <v>0</v>
      </c>
      <c r="H2113" s="78" t="b">
        <f>IF(VLOOKUP(C2113,Projetos!A:L,12,false)=TRUE,TRUE,FALSE)</f>
        <v>0</v>
      </c>
      <c r="I2113" s="68">
        <v>32.80257382455507</v>
      </c>
      <c r="J2113" s="68">
        <f t="shared" si="1"/>
        <v>0</v>
      </c>
      <c r="K2113" s="68" t="b">
        <v>0</v>
      </c>
    </row>
    <row r="2114">
      <c r="A2114" s="75">
        <v>2108.0</v>
      </c>
      <c r="B2114" s="62" t="s">
        <v>1253</v>
      </c>
      <c r="C2114" s="62" t="s">
        <v>84</v>
      </c>
      <c r="D2114" s="62" t="s">
        <v>1289</v>
      </c>
      <c r="E2114" s="76">
        <v>44193.0</v>
      </c>
      <c r="F2114" s="77">
        <v>0.16666666666666666</v>
      </c>
      <c r="G2114" s="62" t="b">
        <v>1</v>
      </c>
      <c r="H2114" s="78" t="b">
        <f>IF(VLOOKUP(C2114,Projetos!A:L,12,false)=TRUE,TRUE,FALSE)</f>
        <v>1</v>
      </c>
      <c r="I2114" s="68">
        <v>32.80257382455507</v>
      </c>
      <c r="J2114" s="68">
        <f t="shared" si="1"/>
        <v>131.2102953</v>
      </c>
      <c r="K2114" s="68" t="b">
        <v>1</v>
      </c>
    </row>
    <row r="2115">
      <c r="A2115" s="75">
        <v>2109.0</v>
      </c>
      <c r="B2115" s="62" t="s">
        <v>1253</v>
      </c>
      <c r="C2115" s="62" t="s">
        <v>84</v>
      </c>
      <c r="D2115" s="62" t="s">
        <v>1289</v>
      </c>
      <c r="E2115" s="76">
        <v>44195.0</v>
      </c>
      <c r="F2115" s="77">
        <v>0.16666666666666666</v>
      </c>
      <c r="G2115" s="62" t="b">
        <v>1</v>
      </c>
      <c r="H2115" s="78" t="b">
        <f>IF(VLOOKUP(C2115,Projetos!A:L,12,false)=TRUE,TRUE,FALSE)</f>
        <v>1</v>
      </c>
      <c r="I2115" s="68">
        <v>32.80257382455507</v>
      </c>
      <c r="J2115" s="68">
        <f t="shared" si="1"/>
        <v>131.2102953</v>
      </c>
      <c r="K2115" s="68" t="b">
        <v>1</v>
      </c>
    </row>
    <row r="2116">
      <c r="A2116" s="75">
        <v>2110.0</v>
      </c>
      <c r="B2116" s="62" t="s">
        <v>1306</v>
      </c>
      <c r="C2116" s="62" t="s">
        <v>138</v>
      </c>
      <c r="D2116" s="62" t="s">
        <v>1307</v>
      </c>
      <c r="E2116" s="76">
        <v>43845.0</v>
      </c>
      <c r="F2116" s="77">
        <v>0.10416666666666667</v>
      </c>
      <c r="G2116" s="62" t="b">
        <v>1</v>
      </c>
      <c r="H2116" s="78" t="b">
        <f>IF(VLOOKUP(C2116,Projetos!A:L,12,false)=TRUE,TRUE,FALSE)</f>
        <v>1</v>
      </c>
      <c r="I2116" s="68">
        <v>37.66052106481481</v>
      </c>
      <c r="J2116" s="68">
        <f t="shared" si="1"/>
        <v>94.15130266</v>
      </c>
      <c r="K2116" s="68" t="b">
        <v>1</v>
      </c>
    </row>
    <row r="2117">
      <c r="A2117" s="75">
        <v>2111.0</v>
      </c>
      <c r="B2117" s="62" t="s">
        <v>1306</v>
      </c>
      <c r="C2117" s="62" t="s">
        <v>138</v>
      </c>
      <c r="D2117" s="62" t="s">
        <v>1307</v>
      </c>
      <c r="E2117" s="76">
        <v>43846.0</v>
      </c>
      <c r="F2117" s="77">
        <v>0.125</v>
      </c>
      <c r="G2117" s="62" t="b">
        <v>1</v>
      </c>
      <c r="H2117" s="78" t="b">
        <f>IF(VLOOKUP(C2117,Projetos!A:L,12,false)=TRUE,TRUE,FALSE)</f>
        <v>1</v>
      </c>
      <c r="I2117" s="68">
        <v>37.66052106481481</v>
      </c>
      <c r="J2117" s="68">
        <f t="shared" si="1"/>
        <v>112.9815632</v>
      </c>
      <c r="K2117" s="68" t="b">
        <v>1</v>
      </c>
    </row>
    <row r="2118">
      <c r="A2118" s="75">
        <v>2112.0</v>
      </c>
      <c r="B2118" s="62" t="s">
        <v>1306</v>
      </c>
      <c r="C2118" s="62" t="s">
        <v>138</v>
      </c>
      <c r="D2118" s="62" t="s">
        <v>1308</v>
      </c>
      <c r="E2118" s="76">
        <v>43846.0</v>
      </c>
      <c r="F2118" s="77">
        <v>0.0625</v>
      </c>
      <c r="G2118" s="62" t="b">
        <v>1</v>
      </c>
      <c r="H2118" s="78" t="b">
        <f>IF(VLOOKUP(C2118,Projetos!A:L,12,false)=TRUE,TRUE,FALSE)</f>
        <v>1</v>
      </c>
      <c r="I2118" s="68">
        <v>37.66052106481481</v>
      </c>
      <c r="J2118" s="68">
        <f t="shared" si="1"/>
        <v>56.4907816</v>
      </c>
      <c r="K2118" s="68" t="b">
        <v>1</v>
      </c>
    </row>
    <row r="2119">
      <c r="A2119" s="75">
        <v>2113.0</v>
      </c>
      <c r="B2119" s="62" t="s">
        <v>1306</v>
      </c>
      <c r="C2119" s="62" t="s">
        <v>138</v>
      </c>
      <c r="D2119" s="62" t="s">
        <v>1309</v>
      </c>
      <c r="E2119" s="76">
        <v>43850.0</v>
      </c>
      <c r="F2119" s="77">
        <v>0.1875</v>
      </c>
      <c r="G2119" s="62" t="b">
        <v>1</v>
      </c>
      <c r="H2119" s="78" t="b">
        <f>IF(VLOOKUP(C2119,Projetos!A:L,12,false)=TRUE,TRUE,FALSE)</f>
        <v>1</v>
      </c>
      <c r="I2119" s="68">
        <v>37.66052106481481</v>
      </c>
      <c r="J2119" s="68">
        <f t="shared" si="1"/>
        <v>169.4723448</v>
      </c>
      <c r="K2119" s="68" t="b">
        <v>1</v>
      </c>
    </row>
    <row r="2120">
      <c r="A2120" s="75">
        <v>2114.0</v>
      </c>
      <c r="B2120" s="62" t="s">
        <v>1306</v>
      </c>
      <c r="C2120" s="62" t="s">
        <v>138</v>
      </c>
      <c r="D2120" s="62" t="s">
        <v>1309</v>
      </c>
      <c r="E2120" s="76">
        <v>43859.0</v>
      </c>
      <c r="F2120" s="77">
        <v>0.17708333333333334</v>
      </c>
      <c r="G2120" s="62" t="b">
        <v>1</v>
      </c>
      <c r="H2120" s="78" t="b">
        <f>IF(VLOOKUP(C2120,Projetos!A:L,12,false)=TRUE,TRUE,FALSE)</f>
        <v>1</v>
      </c>
      <c r="I2120" s="68">
        <v>37.66052106481481</v>
      </c>
      <c r="J2120" s="68">
        <f t="shared" si="1"/>
        <v>160.0572145</v>
      </c>
      <c r="K2120" s="68" t="b">
        <v>1</v>
      </c>
    </row>
    <row r="2121">
      <c r="A2121" s="75">
        <v>2115.0</v>
      </c>
      <c r="B2121" s="62" t="s">
        <v>1306</v>
      </c>
      <c r="C2121" s="62" t="s">
        <v>138</v>
      </c>
      <c r="D2121" s="62" t="s">
        <v>1308</v>
      </c>
      <c r="E2121" s="76">
        <v>43861.0</v>
      </c>
      <c r="F2121" s="77">
        <v>0.07291666666666667</v>
      </c>
      <c r="G2121" s="62" t="b">
        <v>1</v>
      </c>
      <c r="H2121" s="78" t="b">
        <f>IF(VLOOKUP(C2121,Projetos!A:L,12,false)=TRUE,TRUE,FALSE)</f>
        <v>1</v>
      </c>
      <c r="I2121" s="68">
        <v>37.66052106481481</v>
      </c>
      <c r="J2121" s="68">
        <f t="shared" si="1"/>
        <v>65.90591186</v>
      </c>
      <c r="K2121" s="68" t="b">
        <v>1</v>
      </c>
    </row>
    <row r="2122" hidden="1">
      <c r="A2122" s="75">
        <v>2116.0</v>
      </c>
      <c r="B2122" s="62" t="s">
        <v>1306</v>
      </c>
      <c r="C2122" s="62" t="s">
        <v>83</v>
      </c>
      <c r="D2122" s="62" t="s">
        <v>1310</v>
      </c>
      <c r="E2122" s="76">
        <v>43853.0</v>
      </c>
      <c r="F2122" s="77">
        <v>0.0625</v>
      </c>
      <c r="G2122" s="62" t="b">
        <v>0</v>
      </c>
      <c r="H2122" s="78" t="b">
        <f>IF(VLOOKUP(C2122,Projetos!A:L,12,false)=TRUE,TRUE,FALSE)</f>
        <v>0</v>
      </c>
      <c r="I2122" s="68">
        <v>37.66052106481481</v>
      </c>
      <c r="J2122" s="68">
        <f t="shared" si="1"/>
        <v>0</v>
      </c>
      <c r="K2122" s="68" t="b">
        <v>0</v>
      </c>
    </row>
    <row r="2123">
      <c r="A2123" s="75">
        <v>2117.0</v>
      </c>
      <c r="B2123" s="62" t="s">
        <v>1306</v>
      </c>
      <c r="C2123" s="62" t="s">
        <v>88</v>
      </c>
      <c r="D2123" s="62" t="s">
        <v>1311</v>
      </c>
      <c r="E2123" s="76">
        <v>43844.0</v>
      </c>
      <c r="F2123" s="77">
        <v>0.10416666666666667</v>
      </c>
      <c r="G2123" s="62" t="b">
        <v>1</v>
      </c>
      <c r="H2123" s="78" t="b">
        <f>IF(VLOOKUP(C2123,Projetos!A:L,12,false)=TRUE,TRUE,FALSE)</f>
        <v>1</v>
      </c>
      <c r="I2123" s="68">
        <v>37.66052106481481</v>
      </c>
      <c r="J2123" s="68">
        <f t="shared" si="1"/>
        <v>94.15130266</v>
      </c>
      <c r="K2123" s="68" t="b">
        <v>1</v>
      </c>
    </row>
    <row r="2124">
      <c r="A2124" s="75">
        <v>2118.0</v>
      </c>
      <c r="B2124" s="62" t="s">
        <v>1306</v>
      </c>
      <c r="C2124" s="62" t="s">
        <v>98</v>
      </c>
      <c r="D2124" s="62" t="s">
        <v>1312</v>
      </c>
      <c r="E2124" s="76">
        <v>43844.0</v>
      </c>
      <c r="F2124" s="77">
        <v>0.125</v>
      </c>
      <c r="G2124" s="62" t="b">
        <v>1</v>
      </c>
      <c r="H2124" s="78" t="b">
        <f>IF(VLOOKUP(C2124,Projetos!A:L,12,false)=TRUE,TRUE,FALSE)</f>
        <v>1</v>
      </c>
      <c r="I2124" s="68">
        <v>37.66052106481481</v>
      </c>
      <c r="J2124" s="68">
        <f t="shared" si="1"/>
        <v>112.9815632</v>
      </c>
      <c r="K2124" s="68" t="b">
        <v>1</v>
      </c>
    </row>
    <row r="2125">
      <c r="A2125" s="75">
        <v>2119.0</v>
      </c>
      <c r="B2125" s="62" t="s">
        <v>1306</v>
      </c>
      <c r="C2125" s="62" t="s">
        <v>98</v>
      </c>
      <c r="D2125" s="62" t="s">
        <v>1313</v>
      </c>
      <c r="E2125" s="76">
        <v>43858.0</v>
      </c>
      <c r="F2125" s="77">
        <v>0.041666666666666664</v>
      </c>
      <c r="G2125" s="62" t="b">
        <v>1</v>
      </c>
      <c r="H2125" s="78" t="b">
        <f>IF(VLOOKUP(C2125,Projetos!A:L,12,false)=TRUE,TRUE,FALSE)</f>
        <v>1</v>
      </c>
      <c r="I2125" s="68">
        <v>37.66052106481481</v>
      </c>
      <c r="J2125" s="68">
        <f t="shared" si="1"/>
        <v>37.66052106</v>
      </c>
      <c r="K2125" s="68" t="b">
        <v>1</v>
      </c>
    </row>
    <row r="2126">
      <c r="A2126" s="75">
        <v>2120.0</v>
      </c>
      <c r="B2126" s="62" t="s">
        <v>1306</v>
      </c>
      <c r="C2126" s="62" t="s">
        <v>98</v>
      </c>
      <c r="D2126" s="62" t="s">
        <v>1314</v>
      </c>
      <c r="E2126" s="76">
        <v>43861.0</v>
      </c>
      <c r="F2126" s="77">
        <v>0.041666666666666664</v>
      </c>
      <c r="G2126" s="62" t="b">
        <v>1</v>
      </c>
      <c r="H2126" s="78" t="b">
        <f>IF(VLOOKUP(C2126,Projetos!A:L,12,false)=TRUE,TRUE,FALSE)</f>
        <v>1</v>
      </c>
      <c r="I2126" s="68">
        <v>37.66052106481481</v>
      </c>
      <c r="J2126" s="68">
        <f t="shared" si="1"/>
        <v>37.66052106</v>
      </c>
      <c r="K2126" s="68" t="b">
        <v>1</v>
      </c>
    </row>
    <row r="2127">
      <c r="A2127" s="75">
        <v>2121.0</v>
      </c>
      <c r="B2127" s="62" t="s">
        <v>1306</v>
      </c>
      <c r="C2127" s="62" t="s">
        <v>100</v>
      </c>
      <c r="D2127" s="62" t="s">
        <v>214</v>
      </c>
      <c r="E2127" s="76">
        <v>43839.0</v>
      </c>
      <c r="F2127" s="77">
        <v>0.375</v>
      </c>
      <c r="G2127" s="62" t="b">
        <v>1</v>
      </c>
      <c r="H2127" s="78" t="b">
        <f>IF(VLOOKUP(C2127,Projetos!A:L,12,false)=TRUE,TRUE,FALSE)</f>
        <v>1</v>
      </c>
      <c r="I2127" s="68">
        <v>37.66052106481481</v>
      </c>
      <c r="J2127" s="68">
        <f t="shared" si="1"/>
        <v>338.9446896</v>
      </c>
      <c r="K2127" s="68" t="b">
        <v>1</v>
      </c>
    </row>
    <row r="2128">
      <c r="A2128" s="75">
        <v>2122.0</v>
      </c>
      <c r="B2128" s="62" t="s">
        <v>1306</v>
      </c>
      <c r="C2128" s="62" t="s">
        <v>100</v>
      </c>
      <c r="D2128" s="62" t="s">
        <v>1315</v>
      </c>
      <c r="E2128" s="76">
        <v>43840.0</v>
      </c>
      <c r="F2128" s="77">
        <v>0.0625</v>
      </c>
      <c r="G2128" s="62" t="b">
        <v>1</v>
      </c>
      <c r="H2128" s="78" t="b">
        <f>IF(VLOOKUP(C2128,Projetos!A:L,12,false)=TRUE,TRUE,FALSE)</f>
        <v>1</v>
      </c>
      <c r="I2128" s="68">
        <v>37.66052106481481</v>
      </c>
      <c r="J2128" s="68">
        <f t="shared" si="1"/>
        <v>56.4907816</v>
      </c>
      <c r="K2128" s="68" t="b">
        <v>1</v>
      </c>
    </row>
    <row r="2129">
      <c r="A2129" s="75">
        <v>2123.0</v>
      </c>
      <c r="B2129" s="62" t="s">
        <v>1306</v>
      </c>
      <c r="C2129" s="62" t="s">
        <v>100</v>
      </c>
      <c r="D2129" s="62" t="s">
        <v>1316</v>
      </c>
      <c r="E2129" s="76">
        <v>43843.0</v>
      </c>
      <c r="F2129" s="77">
        <v>0.10416666666666667</v>
      </c>
      <c r="G2129" s="62" t="b">
        <v>1</v>
      </c>
      <c r="H2129" s="78" t="b">
        <f>IF(VLOOKUP(C2129,Projetos!A:L,12,false)=TRUE,TRUE,FALSE)</f>
        <v>1</v>
      </c>
      <c r="I2129" s="68">
        <v>37.66052106481481</v>
      </c>
      <c r="J2129" s="68">
        <f t="shared" si="1"/>
        <v>94.15130266</v>
      </c>
      <c r="K2129" s="68" t="b">
        <v>1</v>
      </c>
    </row>
    <row r="2130">
      <c r="A2130" s="75">
        <v>2124.0</v>
      </c>
      <c r="B2130" s="62" t="s">
        <v>1306</v>
      </c>
      <c r="C2130" s="62" t="s">
        <v>100</v>
      </c>
      <c r="D2130" s="62" t="s">
        <v>1317</v>
      </c>
      <c r="E2130" s="76">
        <v>43857.0</v>
      </c>
      <c r="F2130" s="77">
        <v>0.125</v>
      </c>
      <c r="G2130" s="62" t="b">
        <v>1</v>
      </c>
      <c r="H2130" s="78" t="b">
        <f>IF(VLOOKUP(C2130,Projetos!A:L,12,false)=TRUE,TRUE,FALSE)</f>
        <v>1</v>
      </c>
      <c r="I2130" s="68">
        <v>37.66052106481481</v>
      </c>
      <c r="J2130" s="68">
        <f t="shared" si="1"/>
        <v>112.9815632</v>
      </c>
      <c r="K2130" s="68" t="b">
        <v>1</v>
      </c>
    </row>
    <row r="2131">
      <c r="A2131" s="75">
        <v>2125.0</v>
      </c>
      <c r="B2131" s="62" t="s">
        <v>1306</v>
      </c>
      <c r="C2131" s="62" t="s">
        <v>100</v>
      </c>
      <c r="D2131" s="62" t="s">
        <v>1311</v>
      </c>
      <c r="E2131" s="76">
        <v>43860.0</v>
      </c>
      <c r="F2131" s="77">
        <v>0.07291666666666667</v>
      </c>
      <c r="G2131" s="62" t="b">
        <v>1</v>
      </c>
      <c r="H2131" s="78" t="b">
        <f>IF(VLOOKUP(C2131,Projetos!A:L,12,false)=TRUE,TRUE,FALSE)</f>
        <v>1</v>
      </c>
      <c r="I2131" s="68">
        <v>37.66052106481481</v>
      </c>
      <c r="J2131" s="68">
        <f t="shared" si="1"/>
        <v>65.90591186</v>
      </c>
      <c r="K2131" s="68" t="b">
        <v>1</v>
      </c>
    </row>
    <row r="2132">
      <c r="A2132" s="75">
        <v>2126.0</v>
      </c>
      <c r="B2132" s="62" t="s">
        <v>1306</v>
      </c>
      <c r="C2132" s="62" t="s">
        <v>100</v>
      </c>
      <c r="D2132" s="62" t="s">
        <v>1318</v>
      </c>
      <c r="E2132" s="76">
        <v>43860.0</v>
      </c>
      <c r="F2132" s="77">
        <v>0.125</v>
      </c>
      <c r="G2132" s="62" t="b">
        <v>1</v>
      </c>
      <c r="H2132" s="78" t="b">
        <f>IF(VLOOKUP(C2132,Projetos!A:L,12,false)=TRUE,TRUE,FALSE)</f>
        <v>1</v>
      </c>
      <c r="I2132" s="68">
        <v>37.66052106481481</v>
      </c>
      <c r="J2132" s="68">
        <f t="shared" si="1"/>
        <v>112.9815632</v>
      </c>
      <c r="K2132" s="68" t="b">
        <v>1</v>
      </c>
    </row>
    <row r="2133">
      <c r="A2133" s="75">
        <v>2127.0</v>
      </c>
      <c r="B2133" s="62" t="s">
        <v>1306</v>
      </c>
      <c r="C2133" s="62" t="s">
        <v>101</v>
      </c>
      <c r="D2133" s="62" t="s">
        <v>1319</v>
      </c>
      <c r="E2133" s="76">
        <v>43838.0</v>
      </c>
      <c r="F2133" s="77">
        <v>0.08333333333333333</v>
      </c>
      <c r="G2133" s="62" t="b">
        <v>1</v>
      </c>
      <c r="H2133" s="78" t="b">
        <f>IF(VLOOKUP(C2133,Projetos!A:L,12,false)=TRUE,TRUE,FALSE)</f>
        <v>1</v>
      </c>
      <c r="I2133" s="68">
        <v>37.66052106481481</v>
      </c>
      <c r="J2133" s="68">
        <f t="shared" si="1"/>
        <v>75.32104213</v>
      </c>
      <c r="K2133" s="68" t="b">
        <v>1</v>
      </c>
    </row>
    <row r="2134">
      <c r="A2134" s="75">
        <v>2128.0</v>
      </c>
      <c r="B2134" s="62" t="s">
        <v>1306</v>
      </c>
      <c r="C2134" s="62" t="s">
        <v>101</v>
      </c>
      <c r="D2134" s="62" t="s">
        <v>1307</v>
      </c>
      <c r="E2134" s="76">
        <v>43843.0</v>
      </c>
      <c r="F2134" s="77">
        <v>0.07291666666666667</v>
      </c>
      <c r="G2134" s="62" t="b">
        <v>1</v>
      </c>
      <c r="H2134" s="78" t="b">
        <f>IF(VLOOKUP(C2134,Projetos!A:L,12,false)=TRUE,TRUE,FALSE)</f>
        <v>1</v>
      </c>
      <c r="I2134" s="68">
        <v>37.66052106481481</v>
      </c>
      <c r="J2134" s="68">
        <f t="shared" si="1"/>
        <v>65.90591186</v>
      </c>
      <c r="K2134" s="68" t="b">
        <v>1</v>
      </c>
    </row>
    <row r="2135">
      <c r="A2135" s="75">
        <v>2129.0</v>
      </c>
      <c r="B2135" s="62" t="s">
        <v>1306</v>
      </c>
      <c r="C2135" s="62" t="s">
        <v>101</v>
      </c>
      <c r="D2135" s="62" t="s">
        <v>1307</v>
      </c>
      <c r="E2135" s="76">
        <v>43846.0</v>
      </c>
      <c r="F2135" s="77">
        <v>0.16666666666666666</v>
      </c>
      <c r="G2135" s="62" t="b">
        <v>1</v>
      </c>
      <c r="H2135" s="78" t="b">
        <f>IF(VLOOKUP(C2135,Projetos!A:L,12,false)=TRUE,TRUE,FALSE)</f>
        <v>1</v>
      </c>
      <c r="I2135" s="68">
        <v>37.66052106481481</v>
      </c>
      <c r="J2135" s="68">
        <f t="shared" si="1"/>
        <v>150.6420843</v>
      </c>
      <c r="K2135" s="68" t="b">
        <v>1</v>
      </c>
    </row>
    <row r="2136">
      <c r="A2136" s="75">
        <v>2130.0</v>
      </c>
      <c r="B2136" s="62" t="s">
        <v>1306</v>
      </c>
      <c r="C2136" s="62" t="s">
        <v>103</v>
      </c>
      <c r="D2136" s="62" t="s">
        <v>1320</v>
      </c>
      <c r="E2136" s="76">
        <v>43854.0</v>
      </c>
      <c r="F2136" s="77">
        <v>0.0625</v>
      </c>
      <c r="G2136" s="62" t="b">
        <v>1</v>
      </c>
      <c r="H2136" s="78" t="b">
        <f>IF(VLOOKUP(C2136,Projetos!A:L,12,false)=TRUE,TRUE,FALSE)</f>
        <v>1</v>
      </c>
      <c r="I2136" s="68">
        <v>37.66052106481481</v>
      </c>
      <c r="J2136" s="68">
        <f t="shared" si="1"/>
        <v>56.4907816</v>
      </c>
      <c r="K2136" s="68" t="b">
        <v>1</v>
      </c>
    </row>
    <row r="2137">
      <c r="A2137" s="75">
        <v>2131.0</v>
      </c>
      <c r="B2137" s="62" t="s">
        <v>1306</v>
      </c>
      <c r="C2137" s="62" t="s">
        <v>104</v>
      </c>
      <c r="D2137" s="62" t="s">
        <v>1308</v>
      </c>
      <c r="E2137" s="76">
        <v>43836.0</v>
      </c>
      <c r="F2137" s="77">
        <v>0.125</v>
      </c>
      <c r="G2137" s="62" t="b">
        <v>1</v>
      </c>
      <c r="H2137" s="78" t="b">
        <f>IF(VLOOKUP(C2137,Projetos!A:L,12,false)=TRUE,TRUE,FALSE)</f>
        <v>1</v>
      </c>
      <c r="I2137" s="68">
        <v>37.66052106481481</v>
      </c>
      <c r="J2137" s="68">
        <f t="shared" si="1"/>
        <v>112.9815632</v>
      </c>
      <c r="K2137" s="68" t="b">
        <v>1</v>
      </c>
    </row>
    <row r="2138">
      <c r="A2138" s="75">
        <v>2132.0</v>
      </c>
      <c r="B2138" s="62" t="s">
        <v>1306</v>
      </c>
      <c r="C2138" s="62" t="s">
        <v>104</v>
      </c>
      <c r="D2138" s="62" t="s">
        <v>1321</v>
      </c>
      <c r="E2138" s="76">
        <v>43836.0</v>
      </c>
      <c r="F2138" s="77">
        <v>0.041666666666666664</v>
      </c>
      <c r="G2138" s="62" t="b">
        <v>1</v>
      </c>
      <c r="H2138" s="78" t="b">
        <f>IF(VLOOKUP(C2138,Projetos!A:L,12,false)=TRUE,TRUE,FALSE)</f>
        <v>1</v>
      </c>
      <c r="I2138" s="68">
        <v>37.66052106481481</v>
      </c>
      <c r="J2138" s="68">
        <f t="shared" si="1"/>
        <v>37.66052106</v>
      </c>
      <c r="K2138" s="68" t="b">
        <v>1</v>
      </c>
    </row>
    <row r="2139" hidden="1">
      <c r="A2139" s="75">
        <v>2133.0</v>
      </c>
      <c r="B2139" s="62" t="s">
        <v>1306</v>
      </c>
      <c r="C2139" s="62" t="s">
        <v>104</v>
      </c>
      <c r="D2139" s="62" t="s">
        <v>1322</v>
      </c>
      <c r="E2139" s="76">
        <v>43837.0</v>
      </c>
      <c r="F2139" s="77">
        <v>0.125</v>
      </c>
      <c r="G2139" s="62" t="b">
        <v>0</v>
      </c>
      <c r="H2139" s="78" t="b">
        <f>IF(VLOOKUP(C2139,Projetos!A:L,12,false)=TRUE,TRUE,FALSE)</f>
        <v>1</v>
      </c>
      <c r="I2139" s="68">
        <v>37.66052106481481</v>
      </c>
      <c r="J2139" s="68">
        <f t="shared" si="1"/>
        <v>0</v>
      </c>
      <c r="K2139" s="68" t="b">
        <v>1</v>
      </c>
    </row>
    <row r="2140">
      <c r="A2140" s="75">
        <v>2134.0</v>
      </c>
      <c r="B2140" s="62" t="s">
        <v>1306</v>
      </c>
      <c r="C2140" s="62" t="s">
        <v>104</v>
      </c>
      <c r="D2140" s="62" t="s">
        <v>1323</v>
      </c>
      <c r="E2140" s="76">
        <v>43838.0</v>
      </c>
      <c r="F2140" s="77">
        <v>0.041666666666666664</v>
      </c>
      <c r="G2140" s="62" t="b">
        <v>1</v>
      </c>
      <c r="H2140" s="78" t="b">
        <f>IF(VLOOKUP(C2140,Projetos!A:L,12,false)=TRUE,TRUE,FALSE)</f>
        <v>1</v>
      </c>
      <c r="I2140" s="68">
        <v>37.66052106481481</v>
      </c>
      <c r="J2140" s="68">
        <f t="shared" si="1"/>
        <v>37.66052106</v>
      </c>
      <c r="K2140" s="68" t="b">
        <v>1</v>
      </c>
    </row>
    <row r="2141">
      <c r="A2141" s="75">
        <v>2135.0</v>
      </c>
      <c r="B2141" s="62" t="s">
        <v>1306</v>
      </c>
      <c r="C2141" s="62" t="s">
        <v>104</v>
      </c>
      <c r="D2141" s="62" t="s">
        <v>1324</v>
      </c>
      <c r="E2141" s="76">
        <v>43840.0</v>
      </c>
      <c r="F2141" s="77">
        <v>0.14583333333333334</v>
      </c>
      <c r="G2141" s="62" t="b">
        <v>1</v>
      </c>
      <c r="H2141" s="78" t="b">
        <f>IF(VLOOKUP(C2141,Projetos!A:L,12,false)=TRUE,TRUE,FALSE)</f>
        <v>1</v>
      </c>
      <c r="I2141" s="68">
        <v>37.66052106481481</v>
      </c>
      <c r="J2141" s="68">
        <f t="shared" si="1"/>
        <v>131.8118237</v>
      </c>
      <c r="K2141" s="68" t="b">
        <v>1</v>
      </c>
    </row>
    <row r="2142">
      <c r="A2142" s="75">
        <v>2136.0</v>
      </c>
      <c r="B2142" s="62" t="s">
        <v>1306</v>
      </c>
      <c r="C2142" s="62" t="s">
        <v>105</v>
      </c>
      <c r="D2142" s="62" t="s">
        <v>1325</v>
      </c>
      <c r="E2142" s="76">
        <v>43857.0</v>
      </c>
      <c r="F2142" s="77">
        <v>0.08333333333333333</v>
      </c>
      <c r="G2142" s="62" t="b">
        <v>1</v>
      </c>
      <c r="H2142" s="78" t="b">
        <f>IF(VLOOKUP(C2142,Projetos!A:L,12,false)=TRUE,TRUE,FALSE)</f>
        <v>1</v>
      </c>
      <c r="I2142" s="68">
        <v>37.66052106481481</v>
      </c>
      <c r="J2142" s="68">
        <f t="shared" si="1"/>
        <v>75.32104213</v>
      </c>
      <c r="K2142" s="68" t="b">
        <v>1</v>
      </c>
    </row>
    <row r="2143" hidden="1">
      <c r="A2143" s="75">
        <v>2137.0</v>
      </c>
      <c r="B2143" s="62" t="s">
        <v>1306</v>
      </c>
      <c r="C2143" s="62" t="s">
        <v>108</v>
      </c>
      <c r="D2143" s="62" t="s">
        <v>1311</v>
      </c>
      <c r="E2143" s="76">
        <v>43837.0</v>
      </c>
      <c r="F2143" s="77">
        <v>0.08333333333333333</v>
      </c>
      <c r="G2143" s="62" t="b">
        <v>1</v>
      </c>
      <c r="H2143" s="78" t="b">
        <f>IF(VLOOKUP(C2143,Projetos!A:L,12,false)=TRUE,TRUE,FALSE)</f>
        <v>1</v>
      </c>
      <c r="I2143" s="68">
        <v>37.66052106481481</v>
      </c>
      <c r="J2143" s="68">
        <f t="shared" si="1"/>
        <v>75.32104213</v>
      </c>
      <c r="K2143" s="68" t="b">
        <v>1</v>
      </c>
    </row>
    <row r="2144" hidden="1">
      <c r="A2144" s="75">
        <v>2138.0</v>
      </c>
      <c r="B2144" s="62" t="s">
        <v>1306</v>
      </c>
      <c r="C2144" s="62" t="s">
        <v>108</v>
      </c>
      <c r="D2144" s="62" t="s">
        <v>1326</v>
      </c>
      <c r="E2144" s="76">
        <v>43837.0</v>
      </c>
      <c r="F2144" s="77">
        <v>0.0625</v>
      </c>
      <c r="G2144" s="62" t="b">
        <v>1</v>
      </c>
      <c r="H2144" s="78" t="b">
        <f>IF(VLOOKUP(C2144,Projetos!A:L,12,false)=TRUE,TRUE,FALSE)</f>
        <v>1</v>
      </c>
      <c r="I2144" s="68">
        <v>37.66052106481481</v>
      </c>
      <c r="J2144" s="68">
        <f t="shared" si="1"/>
        <v>56.4907816</v>
      </c>
      <c r="K2144" s="68" t="b">
        <v>1</v>
      </c>
    </row>
    <row r="2145" hidden="1">
      <c r="A2145" s="75">
        <v>2139.0</v>
      </c>
      <c r="B2145" s="62" t="s">
        <v>1306</v>
      </c>
      <c r="C2145" s="62" t="s">
        <v>108</v>
      </c>
      <c r="D2145" s="62" t="s">
        <v>1327</v>
      </c>
      <c r="E2145" s="76">
        <v>43838.0</v>
      </c>
      <c r="F2145" s="77">
        <v>0.08333333333333333</v>
      </c>
      <c r="G2145" s="62" t="b">
        <v>1</v>
      </c>
      <c r="H2145" s="78" t="b">
        <f>IF(VLOOKUP(C2145,Projetos!A:L,12,false)=TRUE,TRUE,FALSE)</f>
        <v>1</v>
      </c>
      <c r="I2145" s="68">
        <v>37.66052106481481</v>
      </c>
      <c r="J2145" s="68">
        <f t="shared" si="1"/>
        <v>75.32104213</v>
      </c>
      <c r="K2145" s="68" t="b">
        <v>1</v>
      </c>
    </row>
    <row r="2146" hidden="1">
      <c r="A2146" s="75">
        <v>2140.0</v>
      </c>
      <c r="B2146" s="62" t="s">
        <v>1306</v>
      </c>
      <c r="C2146" s="62" t="s">
        <v>108</v>
      </c>
      <c r="D2146" s="62" t="s">
        <v>1328</v>
      </c>
      <c r="E2146" s="76">
        <v>43838.0</v>
      </c>
      <c r="F2146" s="77">
        <v>0.041666666666666664</v>
      </c>
      <c r="G2146" s="62" t="b">
        <v>1</v>
      </c>
      <c r="H2146" s="78" t="b">
        <f>IF(VLOOKUP(C2146,Projetos!A:L,12,false)=TRUE,TRUE,FALSE)</f>
        <v>1</v>
      </c>
      <c r="I2146" s="68">
        <v>37.66052106481481</v>
      </c>
      <c r="J2146" s="68">
        <f t="shared" si="1"/>
        <v>37.66052106</v>
      </c>
      <c r="K2146" s="68" t="b">
        <v>1</v>
      </c>
    </row>
    <row r="2147" hidden="1">
      <c r="A2147" s="75">
        <v>2141.0</v>
      </c>
      <c r="B2147" s="62" t="s">
        <v>1306</v>
      </c>
      <c r="C2147" s="62" t="s">
        <v>108</v>
      </c>
      <c r="D2147" s="62" t="s">
        <v>1329</v>
      </c>
      <c r="E2147" s="76">
        <v>43840.0</v>
      </c>
      <c r="F2147" s="77">
        <v>0.07291666666666667</v>
      </c>
      <c r="G2147" s="62" t="b">
        <v>1</v>
      </c>
      <c r="H2147" s="78" t="b">
        <f>IF(VLOOKUP(C2147,Projetos!A:L,12,false)=TRUE,TRUE,FALSE)</f>
        <v>1</v>
      </c>
      <c r="I2147" s="68">
        <v>37.66052106481481</v>
      </c>
      <c r="J2147" s="68">
        <f t="shared" si="1"/>
        <v>65.90591186</v>
      </c>
      <c r="K2147" s="68" t="b">
        <v>1</v>
      </c>
    </row>
    <row r="2148" hidden="1">
      <c r="A2148" s="75">
        <v>2142.0</v>
      </c>
      <c r="B2148" s="62" t="s">
        <v>1306</v>
      </c>
      <c r="C2148" s="62" t="s">
        <v>108</v>
      </c>
      <c r="D2148" s="62" t="s">
        <v>1313</v>
      </c>
      <c r="E2148" s="76">
        <v>43845.0</v>
      </c>
      <c r="F2148" s="77">
        <v>0.0625</v>
      </c>
      <c r="G2148" s="62" t="b">
        <v>1</v>
      </c>
      <c r="H2148" s="78" t="b">
        <f>IF(VLOOKUP(C2148,Projetos!A:L,12,false)=TRUE,TRUE,FALSE)</f>
        <v>1</v>
      </c>
      <c r="I2148" s="68">
        <v>37.66052106481481</v>
      </c>
      <c r="J2148" s="68">
        <f t="shared" si="1"/>
        <v>56.4907816</v>
      </c>
      <c r="K2148" s="68" t="b">
        <v>1</v>
      </c>
    </row>
    <row r="2149" hidden="1">
      <c r="A2149" s="75">
        <v>2143.0</v>
      </c>
      <c r="B2149" s="62" t="s">
        <v>1306</v>
      </c>
      <c r="C2149" s="62" t="s">
        <v>108</v>
      </c>
      <c r="D2149" s="62" t="s">
        <v>1309</v>
      </c>
      <c r="E2149" s="76">
        <v>43845.0</v>
      </c>
      <c r="F2149" s="77">
        <v>0.1875</v>
      </c>
      <c r="G2149" s="62" t="b">
        <v>1</v>
      </c>
      <c r="H2149" s="78" t="b">
        <f>IF(VLOOKUP(C2149,Projetos!A:L,12,false)=TRUE,TRUE,FALSE)</f>
        <v>1</v>
      </c>
      <c r="I2149" s="68">
        <v>37.66052106481481</v>
      </c>
      <c r="J2149" s="68">
        <f t="shared" si="1"/>
        <v>169.4723448</v>
      </c>
      <c r="K2149" s="68" t="b">
        <v>1</v>
      </c>
    </row>
    <row r="2150" hidden="1">
      <c r="A2150" s="75">
        <v>2144.0</v>
      </c>
      <c r="B2150" s="62" t="s">
        <v>1306</v>
      </c>
      <c r="C2150" s="62" t="s">
        <v>108</v>
      </c>
      <c r="D2150" s="62" t="s">
        <v>1330</v>
      </c>
      <c r="E2150" s="76">
        <v>43847.0</v>
      </c>
      <c r="F2150" s="77">
        <v>0.052083333333333336</v>
      </c>
      <c r="G2150" s="62" t="b">
        <v>1</v>
      </c>
      <c r="H2150" s="78" t="b">
        <f>IF(VLOOKUP(C2150,Projetos!A:L,12,false)=TRUE,TRUE,FALSE)</f>
        <v>1</v>
      </c>
      <c r="I2150" s="68">
        <v>37.66052106481481</v>
      </c>
      <c r="J2150" s="68">
        <f t="shared" si="1"/>
        <v>47.07565133</v>
      </c>
      <c r="K2150" s="68" t="b">
        <v>1</v>
      </c>
    </row>
    <row r="2151" hidden="1">
      <c r="A2151" s="75">
        <v>2145.0</v>
      </c>
      <c r="B2151" s="62" t="s">
        <v>1306</v>
      </c>
      <c r="C2151" s="62" t="s">
        <v>108</v>
      </c>
      <c r="D2151" s="62" t="s">
        <v>1331</v>
      </c>
      <c r="E2151" s="76">
        <v>43850.0</v>
      </c>
      <c r="F2151" s="77">
        <v>0.125</v>
      </c>
      <c r="G2151" s="62" t="b">
        <v>1</v>
      </c>
      <c r="H2151" s="78" t="b">
        <f>IF(VLOOKUP(C2151,Projetos!A:L,12,false)=TRUE,TRUE,FALSE)</f>
        <v>1</v>
      </c>
      <c r="I2151" s="68">
        <v>37.66052106481481</v>
      </c>
      <c r="J2151" s="68">
        <f t="shared" si="1"/>
        <v>112.9815632</v>
      </c>
      <c r="K2151" s="68" t="b">
        <v>1</v>
      </c>
    </row>
    <row r="2152" hidden="1">
      <c r="A2152" s="75">
        <v>2146.0</v>
      </c>
      <c r="B2152" s="62" t="s">
        <v>1306</v>
      </c>
      <c r="C2152" s="62" t="s">
        <v>108</v>
      </c>
      <c r="D2152" s="62" t="s">
        <v>1309</v>
      </c>
      <c r="E2152" s="76">
        <v>43851.0</v>
      </c>
      <c r="F2152" s="77">
        <v>0.17708333333333334</v>
      </c>
      <c r="G2152" s="62" t="b">
        <v>1</v>
      </c>
      <c r="H2152" s="78" t="b">
        <f>IF(VLOOKUP(C2152,Projetos!A:L,12,false)=TRUE,TRUE,FALSE)</f>
        <v>1</v>
      </c>
      <c r="I2152" s="68">
        <v>37.66052106481481</v>
      </c>
      <c r="J2152" s="68">
        <f t="shared" si="1"/>
        <v>160.0572145</v>
      </c>
      <c r="K2152" s="68" t="b">
        <v>1</v>
      </c>
    </row>
    <row r="2153" hidden="1">
      <c r="A2153" s="75">
        <v>2147.0</v>
      </c>
      <c r="B2153" s="62" t="s">
        <v>1306</v>
      </c>
      <c r="C2153" s="62" t="s">
        <v>108</v>
      </c>
      <c r="D2153" s="62" t="s">
        <v>1309</v>
      </c>
      <c r="E2153" s="76">
        <v>43851.0</v>
      </c>
      <c r="F2153" s="77">
        <v>0.1875</v>
      </c>
      <c r="G2153" s="62" t="b">
        <v>1</v>
      </c>
      <c r="H2153" s="78" t="b">
        <f>IF(VLOOKUP(C2153,Projetos!A:L,12,false)=TRUE,TRUE,FALSE)</f>
        <v>1</v>
      </c>
      <c r="I2153" s="68">
        <v>37.66052106481481</v>
      </c>
      <c r="J2153" s="68">
        <f t="shared" si="1"/>
        <v>169.4723448</v>
      </c>
      <c r="K2153" s="68" t="b">
        <v>1</v>
      </c>
    </row>
    <row r="2154" hidden="1">
      <c r="A2154" s="75">
        <v>2148.0</v>
      </c>
      <c r="B2154" s="62" t="s">
        <v>1306</v>
      </c>
      <c r="C2154" s="62" t="s">
        <v>108</v>
      </c>
      <c r="D2154" s="62" t="s">
        <v>1309</v>
      </c>
      <c r="E2154" s="76">
        <v>43852.0</v>
      </c>
      <c r="F2154" s="77">
        <v>0.17708333333333334</v>
      </c>
      <c r="G2154" s="62" t="b">
        <v>1</v>
      </c>
      <c r="H2154" s="78" t="b">
        <f>IF(VLOOKUP(C2154,Projetos!A:L,12,false)=TRUE,TRUE,FALSE)</f>
        <v>1</v>
      </c>
      <c r="I2154" s="68">
        <v>37.66052106481481</v>
      </c>
      <c r="J2154" s="68">
        <f t="shared" si="1"/>
        <v>160.0572145</v>
      </c>
      <c r="K2154" s="68" t="b">
        <v>1</v>
      </c>
    </row>
    <row r="2155" hidden="1">
      <c r="A2155" s="75">
        <v>2149.0</v>
      </c>
      <c r="B2155" s="62" t="s">
        <v>1306</v>
      </c>
      <c r="C2155" s="62" t="s">
        <v>108</v>
      </c>
      <c r="D2155" s="62" t="s">
        <v>1309</v>
      </c>
      <c r="E2155" s="76">
        <v>43852.0</v>
      </c>
      <c r="F2155" s="77">
        <v>0.1875</v>
      </c>
      <c r="G2155" s="62" t="b">
        <v>1</v>
      </c>
      <c r="H2155" s="78" t="b">
        <f>IF(VLOOKUP(C2155,Projetos!A:L,12,false)=TRUE,TRUE,FALSE)</f>
        <v>1</v>
      </c>
      <c r="I2155" s="68">
        <v>37.66052106481481</v>
      </c>
      <c r="J2155" s="68">
        <f t="shared" si="1"/>
        <v>169.4723448</v>
      </c>
      <c r="K2155" s="68" t="b">
        <v>1</v>
      </c>
    </row>
    <row r="2156" hidden="1">
      <c r="A2156" s="75">
        <v>2150.0</v>
      </c>
      <c r="B2156" s="62" t="s">
        <v>1306</v>
      </c>
      <c r="C2156" s="62" t="s">
        <v>108</v>
      </c>
      <c r="D2156" s="62" t="s">
        <v>1309</v>
      </c>
      <c r="E2156" s="76">
        <v>43853.0</v>
      </c>
      <c r="F2156" s="77">
        <v>0.19791666666666666</v>
      </c>
      <c r="G2156" s="62" t="b">
        <v>1</v>
      </c>
      <c r="H2156" s="78" t="b">
        <f>IF(VLOOKUP(C2156,Projetos!A:L,12,false)=TRUE,TRUE,FALSE)</f>
        <v>1</v>
      </c>
      <c r="I2156" s="68">
        <v>37.66052106481481</v>
      </c>
      <c r="J2156" s="68">
        <f t="shared" si="1"/>
        <v>178.8874751</v>
      </c>
      <c r="K2156" s="68" t="b">
        <v>1</v>
      </c>
    </row>
    <row r="2157" hidden="1">
      <c r="A2157" s="75">
        <v>2151.0</v>
      </c>
      <c r="B2157" s="62" t="s">
        <v>1306</v>
      </c>
      <c r="C2157" s="62" t="s">
        <v>108</v>
      </c>
      <c r="D2157" s="62" t="s">
        <v>1332</v>
      </c>
      <c r="E2157" s="76">
        <v>43853.0</v>
      </c>
      <c r="F2157" s="77">
        <v>0.10416666666666667</v>
      </c>
      <c r="G2157" s="62" t="b">
        <v>1</v>
      </c>
      <c r="H2157" s="78" t="b">
        <f>IF(VLOOKUP(C2157,Projetos!A:L,12,false)=TRUE,TRUE,FALSE)</f>
        <v>1</v>
      </c>
      <c r="I2157" s="68">
        <v>37.66052106481481</v>
      </c>
      <c r="J2157" s="68">
        <f t="shared" si="1"/>
        <v>94.15130266</v>
      </c>
      <c r="K2157" s="68" t="b">
        <v>1</v>
      </c>
    </row>
    <row r="2158" hidden="1">
      <c r="A2158" s="75">
        <v>2152.0</v>
      </c>
      <c r="B2158" s="62" t="s">
        <v>1306</v>
      </c>
      <c r="C2158" s="62" t="s">
        <v>108</v>
      </c>
      <c r="D2158" s="62" t="s">
        <v>1309</v>
      </c>
      <c r="E2158" s="76">
        <v>43854.0</v>
      </c>
      <c r="F2158" s="77">
        <v>0.17708333333333334</v>
      </c>
      <c r="G2158" s="62" t="b">
        <v>1</v>
      </c>
      <c r="H2158" s="78" t="b">
        <f>IF(VLOOKUP(C2158,Projetos!A:L,12,false)=TRUE,TRUE,FALSE)</f>
        <v>1</v>
      </c>
      <c r="I2158" s="68">
        <v>37.66052106481481</v>
      </c>
      <c r="J2158" s="68">
        <f t="shared" si="1"/>
        <v>160.0572145</v>
      </c>
      <c r="K2158" s="68" t="b">
        <v>1</v>
      </c>
    </row>
    <row r="2159" hidden="1">
      <c r="A2159" s="75">
        <v>2153.0</v>
      </c>
      <c r="B2159" s="62" t="s">
        <v>1306</v>
      </c>
      <c r="C2159" s="62" t="s">
        <v>108</v>
      </c>
      <c r="D2159" s="62" t="s">
        <v>1333</v>
      </c>
      <c r="E2159" s="76">
        <v>43854.0</v>
      </c>
      <c r="F2159" s="77">
        <v>0.125</v>
      </c>
      <c r="G2159" s="62" t="b">
        <v>1</v>
      </c>
      <c r="H2159" s="78" t="b">
        <f>IF(VLOOKUP(C2159,Projetos!A:L,12,false)=TRUE,TRUE,FALSE)</f>
        <v>1</v>
      </c>
      <c r="I2159" s="68">
        <v>37.66052106481481</v>
      </c>
      <c r="J2159" s="68">
        <f t="shared" si="1"/>
        <v>112.9815632</v>
      </c>
      <c r="K2159" s="68" t="b">
        <v>1</v>
      </c>
    </row>
    <row r="2160" hidden="1">
      <c r="A2160" s="75">
        <v>2154.0</v>
      </c>
      <c r="B2160" s="62" t="s">
        <v>1306</v>
      </c>
      <c r="C2160" s="62" t="s">
        <v>108</v>
      </c>
      <c r="D2160" s="62" t="s">
        <v>1332</v>
      </c>
      <c r="E2160" s="76">
        <v>43857.0</v>
      </c>
      <c r="F2160" s="77">
        <v>0.08333333333333333</v>
      </c>
      <c r="G2160" s="62" t="b">
        <v>1</v>
      </c>
      <c r="H2160" s="78" t="b">
        <f>IF(VLOOKUP(C2160,Projetos!A:L,12,false)=TRUE,TRUE,FALSE)</f>
        <v>1</v>
      </c>
      <c r="I2160" s="68">
        <v>37.66052106481481</v>
      </c>
      <c r="J2160" s="68">
        <f t="shared" si="1"/>
        <v>75.32104213</v>
      </c>
      <c r="K2160" s="68" t="b">
        <v>1</v>
      </c>
    </row>
    <row r="2161" hidden="1">
      <c r="A2161" s="75">
        <v>2155.0</v>
      </c>
      <c r="B2161" s="62" t="s">
        <v>1306</v>
      </c>
      <c r="C2161" s="62" t="s">
        <v>108</v>
      </c>
      <c r="D2161" s="62" t="s">
        <v>1332</v>
      </c>
      <c r="E2161" s="76">
        <v>43858.0</v>
      </c>
      <c r="F2161" s="77">
        <v>0.07291666666666667</v>
      </c>
      <c r="G2161" s="62" t="b">
        <v>1</v>
      </c>
      <c r="H2161" s="78" t="b">
        <f>IF(VLOOKUP(C2161,Projetos!A:L,12,false)=TRUE,TRUE,FALSE)</f>
        <v>1</v>
      </c>
      <c r="I2161" s="68">
        <v>37.66052106481481</v>
      </c>
      <c r="J2161" s="68">
        <f t="shared" si="1"/>
        <v>65.90591186</v>
      </c>
      <c r="K2161" s="68" t="b">
        <v>1</v>
      </c>
    </row>
    <row r="2162" hidden="1">
      <c r="A2162" s="75">
        <v>2156.0</v>
      </c>
      <c r="B2162" s="62" t="s">
        <v>1306</v>
      </c>
      <c r="C2162" s="62" t="s">
        <v>108</v>
      </c>
      <c r="D2162" s="62" t="s">
        <v>1334</v>
      </c>
      <c r="E2162" s="76">
        <v>43858.0</v>
      </c>
      <c r="F2162" s="77">
        <v>0.041666666666666664</v>
      </c>
      <c r="G2162" s="62" t="b">
        <v>1</v>
      </c>
      <c r="H2162" s="78" t="b">
        <f>IF(VLOOKUP(C2162,Projetos!A:L,12,false)=TRUE,TRUE,FALSE)</f>
        <v>1</v>
      </c>
      <c r="I2162" s="68">
        <v>37.66052106481481</v>
      </c>
      <c r="J2162" s="68">
        <f t="shared" si="1"/>
        <v>37.66052106</v>
      </c>
      <c r="K2162" s="68" t="b">
        <v>1</v>
      </c>
    </row>
    <row r="2163" hidden="1">
      <c r="A2163" s="75">
        <v>2157.0</v>
      </c>
      <c r="B2163" s="62" t="s">
        <v>1306</v>
      </c>
      <c r="C2163" s="62" t="s">
        <v>108</v>
      </c>
      <c r="D2163" s="62" t="s">
        <v>1332</v>
      </c>
      <c r="E2163" s="76">
        <v>43858.0</v>
      </c>
      <c r="F2163" s="77">
        <v>0.20833333333333334</v>
      </c>
      <c r="G2163" s="62" t="b">
        <v>1</v>
      </c>
      <c r="H2163" s="78" t="b">
        <f>IF(VLOOKUP(C2163,Projetos!A:L,12,false)=TRUE,TRUE,FALSE)</f>
        <v>1</v>
      </c>
      <c r="I2163" s="68">
        <v>37.66052106481481</v>
      </c>
      <c r="J2163" s="68">
        <f t="shared" si="1"/>
        <v>188.3026053</v>
      </c>
      <c r="K2163" s="68" t="b">
        <v>1</v>
      </c>
    </row>
    <row r="2164" hidden="1">
      <c r="A2164" s="75">
        <v>2158.0</v>
      </c>
      <c r="B2164" s="62" t="s">
        <v>1306</v>
      </c>
      <c r="C2164" s="62" t="s">
        <v>108</v>
      </c>
      <c r="D2164" s="62" t="s">
        <v>1335</v>
      </c>
      <c r="E2164" s="76">
        <v>43859.0</v>
      </c>
      <c r="F2164" s="77">
        <v>0.1875</v>
      </c>
      <c r="G2164" s="62" t="b">
        <v>1</v>
      </c>
      <c r="H2164" s="78" t="b">
        <f>IF(VLOOKUP(C2164,Projetos!A:L,12,false)=TRUE,TRUE,FALSE)</f>
        <v>1</v>
      </c>
      <c r="I2164" s="68">
        <v>37.66052106481481</v>
      </c>
      <c r="J2164" s="68">
        <f t="shared" si="1"/>
        <v>169.4723448</v>
      </c>
      <c r="K2164" s="68" t="b">
        <v>1</v>
      </c>
    </row>
    <row r="2165" hidden="1">
      <c r="A2165" s="75">
        <v>2159.0</v>
      </c>
      <c r="B2165" s="62" t="s">
        <v>1306</v>
      </c>
      <c r="C2165" s="62" t="s">
        <v>108</v>
      </c>
      <c r="D2165" s="62" t="s">
        <v>1336</v>
      </c>
      <c r="E2165" s="76">
        <v>43860.0</v>
      </c>
      <c r="F2165" s="77">
        <v>0.0625</v>
      </c>
      <c r="G2165" s="62" t="b">
        <v>1</v>
      </c>
      <c r="H2165" s="78" t="b">
        <f>IF(VLOOKUP(C2165,Projetos!A:L,12,false)=TRUE,TRUE,FALSE)</f>
        <v>1</v>
      </c>
      <c r="I2165" s="68">
        <v>37.66052106481481</v>
      </c>
      <c r="J2165" s="68">
        <f t="shared" si="1"/>
        <v>56.4907816</v>
      </c>
      <c r="K2165" s="68" t="b">
        <v>1</v>
      </c>
    </row>
    <row r="2166" hidden="1">
      <c r="A2166" s="75">
        <v>2160.0</v>
      </c>
      <c r="B2166" s="62" t="s">
        <v>1306</v>
      </c>
      <c r="C2166" s="62" t="s">
        <v>108</v>
      </c>
      <c r="D2166" s="62" t="s">
        <v>1337</v>
      </c>
      <c r="E2166" s="76">
        <v>43860.0</v>
      </c>
      <c r="F2166" s="77">
        <v>0.10416666666666667</v>
      </c>
      <c r="G2166" s="62" t="b">
        <v>1</v>
      </c>
      <c r="H2166" s="78" t="b">
        <f>IF(VLOOKUP(C2166,Projetos!A:L,12,false)=TRUE,TRUE,FALSE)</f>
        <v>1</v>
      </c>
      <c r="I2166" s="68">
        <v>37.66052106481481</v>
      </c>
      <c r="J2166" s="68">
        <f t="shared" si="1"/>
        <v>94.15130266</v>
      </c>
      <c r="K2166" s="68" t="b">
        <v>1</v>
      </c>
    </row>
    <row r="2167" hidden="1">
      <c r="A2167" s="75">
        <v>2161.0</v>
      </c>
      <c r="B2167" s="62" t="s">
        <v>1306</v>
      </c>
      <c r="C2167" s="62" t="s">
        <v>108</v>
      </c>
      <c r="D2167" s="62" t="s">
        <v>1309</v>
      </c>
      <c r="E2167" s="76">
        <v>43861.0</v>
      </c>
      <c r="F2167" s="77">
        <v>0.0625</v>
      </c>
      <c r="G2167" s="62" t="b">
        <v>1</v>
      </c>
      <c r="H2167" s="78" t="b">
        <f>IF(VLOOKUP(C2167,Projetos!A:L,12,false)=TRUE,TRUE,FALSE)</f>
        <v>1</v>
      </c>
      <c r="I2167" s="68">
        <v>37.66052106481481</v>
      </c>
      <c r="J2167" s="68">
        <f t="shared" si="1"/>
        <v>56.4907816</v>
      </c>
      <c r="K2167" s="68" t="b">
        <v>1</v>
      </c>
    </row>
    <row r="2168">
      <c r="A2168" s="75">
        <v>2162.0</v>
      </c>
      <c r="B2168" s="62" t="s">
        <v>1306</v>
      </c>
      <c r="C2168" s="62" t="s">
        <v>110</v>
      </c>
      <c r="D2168" s="62" t="s">
        <v>1309</v>
      </c>
      <c r="E2168" s="76">
        <v>43847.0</v>
      </c>
      <c r="F2168" s="77">
        <v>0.125</v>
      </c>
      <c r="G2168" s="62" t="b">
        <v>1</v>
      </c>
      <c r="H2168" s="78" t="b">
        <f>IF(VLOOKUP(C2168,Projetos!A:L,12,false)=TRUE,TRUE,FALSE)</f>
        <v>1</v>
      </c>
      <c r="I2168" s="68">
        <v>37.66052106481481</v>
      </c>
      <c r="J2168" s="68">
        <f t="shared" si="1"/>
        <v>112.9815632</v>
      </c>
      <c r="K2168" s="68" t="b">
        <v>1</v>
      </c>
    </row>
    <row r="2169">
      <c r="A2169" s="75">
        <v>2163.0</v>
      </c>
      <c r="B2169" s="62" t="s">
        <v>1306</v>
      </c>
      <c r="C2169" s="62" t="s">
        <v>110</v>
      </c>
      <c r="D2169" s="62" t="s">
        <v>1309</v>
      </c>
      <c r="E2169" s="76">
        <v>43847.0</v>
      </c>
      <c r="F2169" s="77">
        <v>0.1875</v>
      </c>
      <c r="G2169" s="62" t="b">
        <v>1</v>
      </c>
      <c r="H2169" s="78" t="b">
        <f>IF(VLOOKUP(C2169,Projetos!A:L,12,false)=TRUE,TRUE,FALSE)</f>
        <v>1</v>
      </c>
      <c r="I2169" s="68">
        <v>37.66052106481481</v>
      </c>
      <c r="J2169" s="68">
        <f t="shared" si="1"/>
        <v>169.4723448</v>
      </c>
      <c r="K2169" s="68" t="b">
        <v>1</v>
      </c>
    </row>
    <row r="2170">
      <c r="A2170" s="75">
        <v>2164.0</v>
      </c>
      <c r="B2170" s="62" t="s">
        <v>1306</v>
      </c>
      <c r="C2170" s="62" t="s">
        <v>110</v>
      </c>
      <c r="D2170" s="62" t="s">
        <v>1333</v>
      </c>
      <c r="E2170" s="76">
        <v>43850.0</v>
      </c>
      <c r="F2170" s="77">
        <v>0.052083333333333336</v>
      </c>
      <c r="G2170" s="62" t="b">
        <v>1</v>
      </c>
      <c r="H2170" s="78" t="b">
        <f>IF(VLOOKUP(C2170,Projetos!A:L,12,false)=TRUE,TRUE,FALSE)</f>
        <v>1</v>
      </c>
      <c r="I2170" s="68">
        <v>37.66052106481481</v>
      </c>
      <c r="J2170" s="68">
        <f t="shared" si="1"/>
        <v>47.07565133</v>
      </c>
      <c r="K2170" s="68" t="b">
        <v>1</v>
      </c>
    </row>
    <row r="2171">
      <c r="A2171" s="75">
        <v>2165.0</v>
      </c>
      <c r="B2171" s="62" t="s">
        <v>1306</v>
      </c>
      <c r="C2171" s="62" t="s">
        <v>110</v>
      </c>
      <c r="D2171" s="62" t="s">
        <v>1308</v>
      </c>
      <c r="E2171" s="76">
        <v>43857.0</v>
      </c>
      <c r="F2171" s="77">
        <v>0.07291666666666667</v>
      </c>
      <c r="G2171" s="62" t="b">
        <v>1</v>
      </c>
      <c r="H2171" s="78" t="b">
        <f>IF(VLOOKUP(C2171,Projetos!A:L,12,false)=TRUE,TRUE,FALSE)</f>
        <v>1</v>
      </c>
      <c r="I2171" s="68">
        <v>37.66052106481481</v>
      </c>
      <c r="J2171" s="68">
        <f t="shared" si="1"/>
        <v>65.90591186</v>
      </c>
      <c r="K2171" s="68" t="b">
        <v>1</v>
      </c>
    </row>
    <row r="2172">
      <c r="A2172" s="75">
        <v>2166.0</v>
      </c>
      <c r="B2172" s="62" t="s">
        <v>1306</v>
      </c>
      <c r="C2172" s="62" t="s">
        <v>110</v>
      </c>
      <c r="D2172" s="62" t="s">
        <v>1309</v>
      </c>
      <c r="E2172" s="76">
        <v>43861.0</v>
      </c>
      <c r="F2172" s="77">
        <v>0.1875</v>
      </c>
      <c r="G2172" s="62" t="b">
        <v>1</v>
      </c>
      <c r="H2172" s="78" t="b">
        <f>IF(VLOOKUP(C2172,Projetos!A:L,12,false)=TRUE,TRUE,FALSE)</f>
        <v>1</v>
      </c>
      <c r="I2172" s="68">
        <v>37.66052106481481</v>
      </c>
      <c r="J2172" s="68">
        <f t="shared" si="1"/>
        <v>169.4723448</v>
      </c>
      <c r="K2172" s="68" t="b">
        <v>1</v>
      </c>
    </row>
    <row r="2173">
      <c r="A2173" s="75">
        <v>2167.0</v>
      </c>
      <c r="B2173" s="62" t="s">
        <v>1306</v>
      </c>
      <c r="C2173" s="62" t="s">
        <v>115</v>
      </c>
      <c r="D2173" s="62" t="s">
        <v>1315</v>
      </c>
      <c r="E2173" s="76">
        <v>43840.0</v>
      </c>
      <c r="F2173" s="77">
        <v>0.08333333333333333</v>
      </c>
      <c r="G2173" s="62" t="b">
        <v>1</v>
      </c>
      <c r="H2173" s="78" t="b">
        <f>IF(VLOOKUP(C2173,Projetos!A:L,12,false)=TRUE,TRUE,FALSE)</f>
        <v>1</v>
      </c>
      <c r="I2173" s="68">
        <v>37.66052106481481</v>
      </c>
      <c r="J2173" s="68">
        <f t="shared" si="1"/>
        <v>75.32104213</v>
      </c>
      <c r="K2173" s="68" t="b">
        <v>1</v>
      </c>
    </row>
    <row r="2174">
      <c r="A2174" s="75">
        <v>2168.0</v>
      </c>
      <c r="B2174" s="62" t="s">
        <v>1306</v>
      </c>
      <c r="C2174" s="62" t="s">
        <v>115</v>
      </c>
      <c r="D2174" s="62" t="s">
        <v>1316</v>
      </c>
      <c r="E2174" s="76">
        <v>43843.0</v>
      </c>
      <c r="F2174" s="77">
        <v>0.125</v>
      </c>
      <c r="G2174" s="62" t="b">
        <v>1</v>
      </c>
      <c r="H2174" s="78" t="b">
        <f>IF(VLOOKUP(C2174,Projetos!A:L,12,false)=TRUE,TRUE,FALSE)</f>
        <v>1</v>
      </c>
      <c r="I2174" s="68">
        <v>37.66052106481481</v>
      </c>
      <c r="J2174" s="68">
        <f t="shared" si="1"/>
        <v>112.9815632</v>
      </c>
      <c r="K2174" s="68" t="b">
        <v>1</v>
      </c>
    </row>
    <row r="2175">
      <c r="A2175" s="75">
        <v>2169.0</v>
      </c>
      <c r="B2175" s="62" t="s">
        <v>1306</v>
      </c>
      <c r="C2175" s="62" t="s">
        <v>115</v>
      </c>
      <c r="D2175" s="62" t="s">
        <v>1338</v>
      </c>
      <c r="E2175" s="76">
        <v>43844.0</v>
      </c>
      <c r="F2175" s="77">
        <v>0.0625</v>
      </c>
      <c r="G2175" s="62" t="b">
        <v>1</v>
      </c>
      <c r="H2175" s="78" t="b">
        <f>IF(VLOOKUP(C2175,Projetos!A:L,12,false)=TRUE,TRUE,FALSE)</f>
        <v>1</v>
      </c>
      <c r="I2175" s="68">
        <v>37.66052106481481</v>
      </c>
      <c r="J2175" s="68">
        <f t="shared" si="1"/>
        <v>56.4907816</v>
      </c>
      <c r="K2175" s="68" t="b">
        <v>1</v>
      </c>
    </row>
    <row r="2176">
      <c r="A2176" s="75">
        <v>2170.0</v>
      </c>
      <c r="B2176" s="62" t="s">
        <v>1306</v>
      </c>
      <c r="C2176" s="62" t="s">
        <v>138</v>
      </c>
      <c r="D2176" s="62" t="s">
        <v>1339</v>
      </c>
      <c r="E2176" s="76">
        <v>43867.0</v>
      </c>
      <c r="F2176" s="77">
        <v>0.08333333333333333</v>
      </c>
      <c r="G2176" s="62" t="b">
        <v>1</v>
      </c>
      <c r="H2176" s="78" t="b">
        <f>IF(VLOOKUP(C2176,Projetos!A:L,12,false)=TRUE,TRUE,FALSE)</f>
        <v>1</v>
      </c>
      <c r="I2176" s="68">
        <v>35.94867919823232</v>
      </c>
      <c r="J2176" s="68">
        <f t="shared" si="1"/>
        <v>71.8973584</v>
      </c>
      <c r="K2176" s="68" t="b">
        <v>1</v>
      </c>
    </row>
    <row r="2177">
      <c r="A2177" s="75">
        <v>2171.0</v>
      </c>
      <c r="B2177" s="62" t="s">
        <v>1306</v>
      </c>
      <c r="C2177" s="62" t="s">
        <v>138</v>
      </c>
      <c r="D2177" s="62" t="s">
        <v>1340</v>
      </c>
      <c r="E2177" s="76">
        <v>43871.0</v>
      </c>
      <c r="F2177" s="77">
        <v>0.16666666666666666</v>
      </c>
      <c r="G2177" s="62" t="b">
        <v>1</v>
      </c>
      <c r="H2177" s="78" t="b">
        <f>IF(VLOOKUP(C2177,Projetos!A:L,12,false)=TRUE,TRUE,FALSE)</f>
        <v>1</v>
      </c>
      <c r="I2177" s="68">
        <v>35.94867919823232</v>
      </c>
      <c r="J2177" s="68">
        <f t="shared" si="1"/>
        <v>143.7947168</v>
      </c>
      <c r="K2177" s="68" t="b">
        <v>1</v>
      </c>
    </row>
    <row r="2178">
      <c r="A2178" s="75">
        <v>2172.0</v>
      </c>
      <c r="B2178" s="62" t="s">
        <v>1306</v>
      </c>
      <c r="C2178" s="62" t="s">
        <v>138</v>
      </c>
      <c r="D2178" s="62" t="s">
        <v>1339</v>
      </c>
      <c r="E2178" s="76">
        <v>43872.0</v>
      </c>
      <c r="F2178" s="77">
        <v>0.125</v>
      </c>
      <c r="G2178" s="62" t="b">
        <v>1</v>
      </c>
      <c r="H2178" s="78" t="b">
        <f>IF(VLOOKUP(C2178,Projetos!A:L,12,false)=TRUE,TRUE,FALSE)</f>
        <v>1</v>
      </c>
      <c r="I2178" s="68">
        <v>35.94867919823232</v>
      </c>
      <c r="J2178" s="68">
        <f t="shared" si="1"/>
        <v>107.8460376</v>
      </c>
      <c r="K2178" s="68" t="b">
        <v>1</v>
      </c>
    </row>
    <row r="2179">
      <c r="A2179" s="75">
        <v>2173.0</v>
      </c>
      <c r="B2179" s="62" t="s">
        <v>1306</v>
      </c>
      <c r="C2179" s="62" t="s">
        <v>138</v>
      </c>
      <c r="D2179" s="62" t="s">
        <v>1340</v>
      </c>
      <c r="E2179" s="76">
        <v>43873.0</v>
      </c>
      <c r="F2179" s="77">
        <v>0.125</v>
      </c>
      <c r="G2179" s="62" t="b">
        <v>1</v>
      </c>
      <c r="H2179" s="78" t="b">
        <f>IF(VLOOKUP(C2179,Projetos!A:L,12,false)=TRUE,TRUE,FALSE)</f>
        <v>1</v>
      </c>
      <c r="I2179" s="68">
        <v>35.94867919823232</v>
      </c>
      <c r="J2179" s="68">
        <f t="shared" si="1"/>
        <v>107.8460376</v>
      </c>
      <c r="K2179" s="68" t="b">
        <v>1</v>
      </c>
    </row>
    <row r="2180">
      <c r="A2180" s="75">
        <v>2174.0</v>
      </c>
      <c r="B2180" s="62" t="s">
        <v>1306</v>
      </c>
      <c r="C2180" s="62" t="s">
        <v>138</v>
      </c>
      <c r="D2180" s="62" t="s">
        <v>1340</v>
      </c>
      <c r="E2180" s="76">
        <v>43873.0</v>
      </c>
      <c r="F2180" s="77">
        <v>0.14583333333333334</v>
      </c>
      <c r="G2180" s="62" t="b">
        <v>1</v>
      </c>
      <c r="H2180" s="78" t="b">
        <f>IF(VLOOKUP(C2180,Projetos!A:L,12,false)=TRUE,TRUE,FALSE)</f>
        <v>1</v>
      </c>
      <c r="I2180" s="68">
        <v>35.94867919823232</v>
      </c>
      <c r="J2180" s="68">
        <f t="shared" si="1"/>
        <v>125.8203772</v>
      </c>
      <c r="K2180" s="68" t="b">
        <v>1</v>
      </c>
    </row>
    <row r="2181">
      <c r="A2181" s="75">
        <v>2175.0</v>
      </c>
      <c r="B2181" s="62" t="s">
        <v>1306</v>
      </c>
      <c r="C2181" s="62" t="s">
        <v>138</v>
      </c>
      <c r="D2181" s="62" t="s">
        <v>1341</v>
      </c>
      <c r="E2181" s="76">
        <v>43874.0</v>
      </c>
      <c r="F2181" s="77">
        <v>0.1875</v>
      </c>
      <c r="G2181" s="62" t="b">
        <v>1</v>
      </c>
      <c r="H2181" s="78" t="b">
        <f>IF(VLOOKUP(C2181,Projetos!A:L,12,false)=TRUE,TRUE,FALSE)</f>
        <v>1</v>
      </c>
      <c r="I2181" s="68">
        <v>35.94867919823232</v>
      </c>
      <c r="J2181" s="68">
        <f t="shared" si="1"/>
        <v>161.7690564</v>
      </c>
      <c r="K2181" s="68" t="b">
        <v>1</v>
      </c>
    </row>
    <row r="2182">
      <c r="A2182" s="75">
        <v>2176.0</v>
      </c>
      <c r="B2182" s="62" t="s">
        <v>1306</v>
      </c>
      <c r="C2182" s="62" t="s">
        <v>138</v>
      </c>
      <c r="D2182" s="62" t="s">
        <v>1308</v>
      </c>
      <c r="E2182" s="76">
        <v>43875.0</v>
      </c>
      <c r="F2182" s="77">
        <v>0.14583333333333334</v>
      </c>
      <c r="G2182" s="62" t="b">
        <v>1</v>
      </c>
      <c r="H2182" s="78" t="b">
        <f>IF(VLOOKUP(C2182,Projetos!A:L,12,false)=TRUE,TRUE,FALSE)</f>
        <v>1</v>
      </c>
      <c r="I2182" s="68">
        <v>35.94867919823232</v>
      </c>
      <c r="J2182" s="68">
        <f t="shared" si="1"/>
        <v>125.8203772</v>
      </c>
      <c r="K2182" s="68" t="b">
        <v>1</v>
      </c>
    </row>
    <row r="2183">
      <c r="A2183" s="75">
        <v>2177.0</v>
      </c>
      <c r="B2183" s="62" t="s">
        <v>1306</v>
      </c>
      <c r="C2183" s="62" t="s">
        <v>138</v>
      </c>
      <c r="D2183" s="62" t="s">
        <v>1308</v>
      </c>
      <c r="E2183" s="76">
        <v>43880.0</v>
      </c>
      <c r="F2183" s="77">
        <v>0.08333333333333333</v>
      </c>
      <c r="G2183" s="62" t="b">
        <v>1</v>
      </c>
      <c r="H2183" s="78" t="b">
        <f>IF(VLOOKUP(C2183,Projetos!A:L,12,false)=TRUE,TRUE,FALSE)</f>
        <v>1</v>
      </c>
      <c r="I2183" s="68">
        <v>35.94867919823232</v>
      </c>
      <c r="J2183" s="68">
        <f t="shared" si="1"/>
        <v>71.8973584</v>
      </c>
      <c r="K2183" s="68" t="b">
        <v>1</v>
      </c>
    </row>
    <row r="2184" hidden="1">
      <c r="A2184" s="75">
        <v>2178.0</v>
      </c>
      <c r="B2184" s="62" t="s">
        <v>1306</v>
      </c>
      <c r="C2184" s="62" t="s">
        <v>83</v>
      </c>
      <c r="D2184" s="62" t="s">
        <v>780</v>
      </c>
      <c r="E2184" s="76">
        <v>43865.0</v>
      </c>
      <c r="F2184" s="77">
        <v>0.0625</v>
      </c>
      <c r="G2184" s="62" t="b">
        <v>0</v>
      </c>
      <c r="H2184" s="78" t="b">
        <f>IF(VLOOKUP(C2184,Projetos!A:L,12,false)=TRUE,TRUE,FALSE)</f>
        <v>0</v>
      </c>
      <c r="I2184" s="68">
        <v>35.94867919823232</v>
      </c>
      <c r="J2184" s="68">
        <f t="shared" si="1"/>
        <v>0</v>
      </c>
      <c r="K2184" s="68" t="b">
        <v>0</v>
      </c>
    </row>
    <row r="2185" hidden="1">
      <c r="A2185" s="75">
        <v>2179.0</v>
      </c>
      <c r="B2185" s="62" t="s">
        <v>1306</v>
      </c>
      <c r="C2185" s="62" t="s">
        <v>83</v>
      </c>
      <c r="D2185" s="62" t="s">
        <v>1342</v>
      </c>
      <c r="E2185" s="76">
        <v>43874.0</v>
      </c>
      <c r="F2185" s="77">
        <v>0.11458333333333333</v>
      </c>
      <c r="G2185" s="62" t="b">
        <v>0</v>
      </c>
      <c r="H2185" s="78" t="b">
        <f>IF(VLOOKUP(C2185,Projetos!A:L,12,false)=TRUE,TRUE,FALSE)</f>
        <v>0</v>
      </c>
      <c r="I2185" s="68">
        <v>35.94867919823232</v>
      </c>
      <c r="J2185" s="68">
        <f t="shared" si="1"/>
        <v>0</v>
      </c>
      <c r="K2185" s="68" t="b">
        <v>0</v>
      </c>
    </row>
    <row r="2186">
      <c r="A2186" s="75">
        <v>2180.0</v>
      </c>
      <c r="B2186" s="62" t="s">
        <v>1306</v>
      </c>
      <c r="C2186" s="62" t="s">
        <v>88</v>
      </c>
      <c r="D2186" s="62" t="s">
        <v>1343</v>
      </c>
      <c r="E2186" s="76">
        <v>43875.0</v>
      </c>
      <c r="F2186" s="77">
        <v>0.03125</v>
      </c>
      <c r="G2186" s="62" t="b">
        <v>1</v>
      </c>
      <c r="H2186" s="78" t="b">
        <f>IF(VLOOKUP(C2186,Projetos!A:L,12,false)=TRUE,TRUE,FALSE)</f>
        <v>1</v>
      </c>
      <c r="I2186" s="68">
        <v>35.94867919823232</v>
      </c>
      <c r="J2186" s="68">
        <f t="shared" si="1"/>
        <v>26.9615094</v>
      </c>
      <c r="K2186" s="68" t="b">
        <v>1</v>
      </c>
    </row>
    <row r="2187">
      <c r="A2187" s="75">
        <v>2181.0</v>
      </c>
      <c r="B2187" s="62" t="s">
        <v>1306</v>
      </c>
      <c r="C2187" s="62" t="s">
        <v>88</v>
      </c>
      <c r="D2187" s="62" t="s">
        <v>1308</v>
      </c>
      <c r="E2187" s="76">
        <v>43880.0</v>
      </c>
      <c r="F2187" s="77">
        <v>0.041666666666666664</v>
      </c>
      <c r="G2187" s="62" t="b">
        <v>1</v>
      </c>
      <c r="H2187" s="78" t="b">
        <f>IF(VLOOKUP(C2187,Projetos!A:L,12,false)=TRUE,TRUE,FALSE)</f>
        <v>1</v>
      </c>
      <c r="I2187" s="68">
        <v>35.94867919823232</v>
      </c>
      <c r="J2187" s="68">
        <f t="shared" si="1"/>
        <v>35.9486792</v>
      </c>
      <c r="K2187" s="68" t="b">
        <v>1</v>
      </c>
    </row>
    <row r="2188">
      <c r="A2188" s="75">
        <v>2182.0</v>
      </c>
      <c r="B2188" s="62" t="s">
        <v>1306</v>
      </c>
      <c r="C2188" s="62" t="s">
        <v>98</v>
      </c>
      <c r="D2188" s="62" t="s">
        <v>1344</v>
      </c>
      <c r="E2188" s="76">
        <v>43866.0</v>
      </c>
      <c r="F2188" s="77">
        <v>0.0625</v>
      </c>
      <c r="G2188" s="62" t="b">
        <v>1</v>
      </c>
      <c r="H2188" s="78" t="b">
        <f>IF(VLOOKUP(C2188,Projetos!A:L,12,false)=TRUE,TRUE,FALSE)</f>
        <v>1</v>
      </c>
      <c r="I2188" s="68">
        <v>35.94867919823232</v>
      </c>
      <c r="J2188" s="68">
        <f t="shared" si="1"/>
        <v>53.9230188</v>
      </c>
      <c r="K2188" s="68" t="b">
        <v>1</v>
      </c>
    </row>
    <row r="2189">
      <c r="A2189" s="75">
        <v>2183.0</v>
      </c>
      <c r="B2189" s="62" t="s">
        <v>1306</v>
      </c>
      <c r="C2189" s="62" t="s">
        <v>100</v>
      </c>
      <c r="D2189" s="62" t="s">
        <v>1345</v>
      </c>
      <c r="E2189" s="76">
        <v>43864.0</v>
      </c>
      <c r="F2189" s="77">
        <v>0.17708333333333334</v>
      </c>
      <c r="G2189" s="62" t="b">
        <v>1</v>
      </c>
      <c r="H2189" s="78" t="b">
        <f>IF(VLOOKUP(C2189,Projetos!A:L,12,false)=TRUE,TRUE,FALSE)</f>
        <v>1</v>
      </c>
      <c r="I2189" s="68">
        <v>35.94867919823232</v>
      </c>
      <c r="J2189" s="68">
        <f t="shared" si="1"/>
        <v>152.7818866</v>
      </c>
      <c r="K2189" s="68" t="b">
        <v>1</v>
      </c>
    </row>
    <row r="2190">
      <c r="A2190" s="75">
        <v>2184.0</v>
      </c>
      <c r="B2190" s="62" t="s">
        <v>1306</v>
      </c>
      <c r="C2190" s="62" t="s">
        <v>100</v>
      </c>
      <c r="D2190" s="62" t="s">
        <v>1339</v>
      </c>
      <c r="E2190" s="76">
        <v>43865.0</v>
      </c>
      <c r="F2190" s="77">
        <v>0.10416666666666667</v>
      </c>
      <c r="G2190" s="62" t="b">
        <v>1</v>
      </c>
      <c r="H2190" s="78" t="b">
        <f>IF(VLOOKUP(C2190,Projetos!A:L,12,false)=TRUE,TRUE,FALSE)</f>
        <v>1</v>
      </c>
      <c r="I2190" s="68">
        <v>35.94867919823232</v>
      </c>
      <c r="J2190" s="68">
        <f t="shared" si="1"/>
        <v>89.871698</v>
      </c>
      <c r="K2190" s="68" t="b">
        <v>1</v>
      </c>
    </row>
    <row r="2191">
      <c r="A2191" s="75">
        <v>2185.0</v>
      </c>
      <c r="B2191" s="62" t="s">
        <v>1306</v>
      </c>
      <c r="C2191" s="62" t="s">
        <v>100</v>
      </c>
      <c r="D2191" s="62" t="s">
        <v>1345</v>
      </c>
      <c r="E2191" s="76">
        <v>43867.0</v>
      </c>
      <c r="F2191" s="77">
        <v>0.17708333333333334</v>
      </c>
      <c r="G2191" s="62" t="b">
        <v>1</v>
      </c>
      <c r="H2191" s="78" t="b">
        <f>IF(VLOOKUP(C2191,Projetos!A:L,12,false)=TRUE,TRUE,FALSE)</f>
        <v>1</v>
      </c>
      <c r="I2191" s="68">
        <v>35.94867919823232</v>
      </c>
      <c r="J2191" s="68">
        <f t="shared" si="1"/>
        <v>152.7818866</v>
      </c>
      <c r="K2191" s="68" t="b">
        <v>1</v>
      </c>
    </row>
    <row r="2192">
      <c r="A2192" s="75">
        <v>2186.0</v>
      </c>
      <c r="B2192" s="62" t="s">
        <v>1306</v>
      </c>
      <c r="C2192" s="62" t="s">
        <v>100</v>
      </c>
      <c r="D2192" s="62" t="s">
        <v>1308</v>
      </c>
      <c r="E2192" s="76">
        <v>43873.0</v>
      </c>
      <c r="F2192" s="77">
        <v>0.07291666666666667</v>
      </c>
      <c r="G2192" s="62" t="b">
        <v>1</v>
      </c>
      <c r="H2192" s="78" t="b">
        <f>IF(VLOOKUP(C2192,Projetos!A:L,12,false)=TRUE,TRUE,FALSE)</f>
        <v>1</v>
      </c>
      <c r="I2192" s="68">
        <v>35.94867919823232</v>
      </c>
      <c r="J2192" s="68">
        <f t="shared" si="1"/>
        <v>62.9101886</v>
      </c>
      <c r="K2192" s="68" t="b">
        <v>1</v>
      </c>
    </row>
    <row r="2193">
      <c r="A2193" s="75">
        <v>2187.0</v>
      </c>
      <c r="B2193" s="62" t="s">
        <v>1306</v>
      </c>
      <c r="C2193" s="62" t="s">
        <v>100</v>
      </c>
      <c r="D2193" s="62" t="s">
        <v>1345</v>
      </c>
      <c r="E2193" s="76">
        <v>43882.0</v>
      </c>
      <c r="F2193" s="77">
        <v>0.19791666666666666</v>
      </c>
      <c r="G2193" s="62" t="b">
        <v>1</v>
      </c>
      <c r="H2193" s="78" t="b">
        <f>IF(VLOOKUP(C2193,Projetos!A:L,12,false)=TRUE,TRUE,FALSE)</f>
        <v>1</v>
      </c>
      <c r="I2193" s="68">
        <v>35.94867919823232</v>
      </c>
      <c r="J2193" s="68">
        <f t="shared" si="1"/>
        <v>170.7562262</v>
      </c>
      <c r="K2193" s="68" t="b">
        <v>1</v>
      </c>
    </row>
    <row r="2194">
      <c r="A2194" s="75">
        <v>2188.0</v>
      </c>
      <c r="B2194" s="62" t="s">
        <v>1306</v>
      </c>
      <c r="C2194" s="62" t="s">
        <v>100</v>
      </c>
      <c r="D2194" s="62" t="s">
        <v>1346</v>
      </c>
      <c r="E2194" s="76">
        <v>43882.0</v>
      </c>
      <c r="F2194" s="77">
        <v>0.08333333333333333</v>
      </c>
      <c r="G2194" s="62" t="b">
        <v>1</v>
      </c>
      <c r="H2194" s="78" t="b">
        <f>IF(VLOOKUP(C2194,Projetos!A:L,12,false)=TRUE,TRUE,FALSE)</f>
        <v>1</v>
      </c>
      <c r="I2194" s="68">
        <v>35.94867919823232</v>
      </c>
      <c r="J2194" s="68">
        <f t="shared" si="1"/>
        <v>71.8973584</v>
      </c>
      <c r="K2194" s="68" t="b">
        <v>1</v>
      </c>
    </row>
    <row r="2195">
      <c r="A2195" s="75">
        <v>2189.0</v>
      </c>
      <c r="B2195" s="62" t="s">
        <v>1306</v>
      </c>
      <c r="C2195" s="62" t="s">
        <v>100</v>
      </c>
      <c r="D2195" s="62" t="s">
        <v>1347</v>
      </c>
      <c r="E2195" s="76">
        <v>43887.0</v>
      </c>
      <c r="F2195" s="77">
        <v>0.25</v>
      </c>
      <c r="G2195" s="62" t="b">
        <v>1</v>
      </c>
      <c r="H2195" s="78" t="b">
        <f>IF(VLOOKUP(C2195,Projetos!A:L,12,false)=TRUE,TRUE,FALSE)</f>
        <v>1</v>
      </c>
      <c r="I2195" s="68">
        <v>35.94867919823232</v>
      </c>
      <c r="J2195" s="68">
        <f t="shared" si="1"/>
        <v>215.6920752</v>
      </c>
      <c r="K2195" s="68" t="b">
        <v>1</v>
      </c>
    </row>
    <row r="2196">
      <c r="A2196" s="75">
        <v>2190.0</v>
      </c>
      <c r="B2196" s="62" t="s">
        <v>1306</v>
      </c>
      <c r="C2196" s="62" t="s">
        <v>100</v>
      </c>
      <c r="D2196" s="62" t="s">
        <v>1348</v>
      </c>
      <c r="E2196" s="76">
        <v>43888.0</v>
      </c>
      <c r="F2196" s="77">
        <v>0.4166666666666667</v>
      </c>
      <c r="G2196" s="62" t="b">
        <v>1</v>
      </c>
      <c r="H2196" s="78" t="b">
        <f>IF(VLOOKUP(C2196,Projetos!A:L,12,false)=TRUE,TRUE,FALSE)</f>
        <v>1</v>
      </c>
      <c r="I2196" s="68">
        <v>35.94867919823232</v>
      </c>
      <c r="J2196" s="68">
        <f t="shared" si="1"/>
        <v>359.486792</v>
      </c>
      <c r="K2196" s="68" t="b">
        <v>1</v>
      </c>
    </row>
    <row r="2197">
      <c r="A2197" s="75">
        <v>2191.0</v>
      </c>
      <c r="B2197" s="62" t="s">
        <v>1306</v>
      </c>
      <c r="C2197" s="62" t="s">
        <v>100</v>
      </c>
      <c r="D2197" s="62" t="s">
        <v>1348</v>
      </c>
      <c r="E2197" s="76">
        <v>43889.0</v>
      </c>
      <c r="F2197" s="77">
        <v>0.4166666666666667</v>
      </c>
      <c r="G2197" s="62" t="b">
        <v>1</v>
      </c>
      <c r="H2197" s="78" t="b">
        <f>IF(VLOOKUP(C2197,Projetos!A:L,12,false)=TRUE,TRUE,FALSE)</f>
        <v>1</v>
      </c>
      <c r="I2197" s="68">
        <v>35.94867919823232</v>
      </c>
      <c r="J2197" s="68">
        <f t="shared" si="1"/>
        <v>359.486792</v>
      </c>
      <c r="K2197" s="68" t="b">
        <v>1</v>
      </c>
    </row>
    <row r="2198">
      <c r="A2198" s="75">
        <v>2192.0</v>
      </c>
      <c r="B2198" s="62" t="s">
        <v>1306</v>
      </c>
      <c r="C2198" s="62" t="s">
        <v>103</v>
      </c>
      <c r="D2198" s="62" t="s">
        <v>1349</v>
      </c>
      <c r="E2198" s="76">
        <v>43864.0</v>
      </c>
      <c r="F2198" s="77">
        <v>0.041666666666666664</v>
      </c>
      <c r="G2198" s="62" t="b">
        <v>1</v>
      </c>
      <c r="H2198" s="78" t="b">
        <f>IF(VLOOKUP(C2198,Projetos!A:L,12,false)=TRUE,TRUE,FALSE)</f>
        <v>1</v>
      </c>
      <c r="I2198" s="68">
        <v>35.94867919823232</v>
      </c>
      <c r="J2198" s="68">
        <f t="shared" si="1"/>
        <v>35.9486792</v>
      </c>
      <c r="K2198" s="68" t="b">
        <v>1</v>
      </c>
    </row>
    <row r="2199" hidden="1">
      <c r="A2199" s="75">
        <v>2193.0</v>
      </c>
      <c r="B2199" s="62" t="s">
        <v>1306</v>
      </c>
      <c r="C2199" s="62" t="s">
        <v>108</v>
      </c>
      <c r="D2199" s="62" t="s">
        <v>1350</v>
      </c>
      <c r="E2199" s="76">
        <v>43865.0</v>
      </c>
      <c r="F2199" s="77">
        <v>0.03125</v>
      </c>
      <c r="G2199" s="62" t="b">
        <v>1</v>
      </c>
      <c r="H2199" s="78" t="b">
        <f>IF(VLOOKUP(C2199,Projetos!A:L,12,false)=TRUE,TRUE,FALSE)</f>
        <v>1</v>
      </c>
      <c r="I2199" s="68">
        <v>35.94867919823232</v>
      </c>
      <c r="J2199" s="68">
        <f t="shared" si="1"/>
        <v>26.9615094</v>
      </c>
      <c r="K2199" s="68" t="b">
        <v>1</v>
      </c>
    </row>
    <row r="2200" hidden="1">
      <c r="A2200" s="75">
        <v>2194.0</v>
      </c>
      <c r="B2200" s="62" t="s">
        <v>1306</v>
      </c>
      <c r="C2200" s="62" t="s">
        <v>108</v>
      </c>
      <c r="D2200" s="62" t="s">
        <v>1350</v>
      </c>
      <c r="E2200" s="76">
        <v>43865.0</v>
      </c>
      <c r="F2200" s="77">
        <v>0.10416666666666667</v>
      </c>
      <c r="G2200" s="62" t="b">
        <v>1</v>
      </c>
      <c r="H2200" s="78" t="b">
        <f>IF(VLOOKUP(C2200,Projetos!A:L,12,false)=TRUE,TRUE,FALSE)</f>
        <v>1</v>
      </c>
      <c r="I2200" s="68">
        <v>35.94867919823232</v>
      </c>
      <c r="J2200" s="68">
        <f t="shared" si="1"/>
        <v>89.871698</v>
      </c>
      <c r="K2200" s="68" t="b">
        <v>1</v>
      </c>
    </row>
    <row r="2201" hidden="1">
      <c r="A2201" s="75">
        <v>2195.0</v>
      </c>
      <c r="B2201" s="62" t="s">
        <v>1306</v>
      </c>
      <c r="C2201" s="62" t="s">
        <v>108</v>
      </c>
      <c r="D2201" s="62" t="s">
        <v>1350</v>
      </c>
      <c r="E2201" s="76">
        <v>43866.0</v>
      </c>
      <c r="F2201" s="77">
        <v>0.125</v>
      </c>
      <c r="G2201" s="62" t="b">
        <v>1</v>
      </c>
      <c r="H2201" s="78" t="b">
        <f>IF(VLOOKUP(C2201,Projetos!A:L,12,false)=TRUE,TRUE,FALSE)</f>
        <v>1</v>
      </c>
      <c r="I2201" s="68">
        <v>35.94867919823232</v>
      </c>
      <c r="J2201" s="68">
        <f t="shared" si="1"/>
        <v>107.8460376</v>
      </c>
      <c r="K2201" s="68" t="b">
        <v>1</v>
      </c>
    </row>
    <row r="2202" hidden="1">
      <c r="A2202" s="75">
        <v>2196.0</v>
      </c>
      <c r="B2202" s="62" t="s">
        <v>1306</v>
      </c>
      <c r="C2202" s="62" t="s">
        <v>108</v>
      </c>
      <c r="D2202" s="62" t="s">
        <v>1351</v>
      </c>
      <c r="E2202" s="76">
        <v>43866.0</v>
      </c>
      <c r="F2202" s="77">
        <v>0.16666666666666666</v>
      </c>
      <c r="G2202" s="62" t="b">
        <v>1</v>
      </c>
      <c r="H2202" s="78" t="b">
        <f>IF(VLOOKUP(C2202,Projetos!A:L,12,false)=TRUE,TRUE,FALSE)</f>
        <v>1</v>
      </c>
      <c r="I2202" s="68">
        <v>35.94867919823232</v>
      </c>
      <c r="J2202" s="68">
        <f t="shared" si="1"/>
        <v>143.7947168</v>
      </c>
      <c r="K2202" s="68" t="b">
        <v>1</v>
      </c>
    </row>
    <row r="2203" hidden="1">
      <c r="A2203" s="75">
        <v>2197.0</v>
      </c>
      <c r="B2203" s="62" t="s">
        <v>1306</v>
      </c>
      <c r="C2203" s="62" t="s">
        <v>108</v>
      </c>
      <c r="D2203" s="62" t="s">
        <v>1350</v>
      </c>
      <c r="E2203" s="76">
        <v>43867.0</v>
      </c>
      <c r="F2203" s="77">
        <v>0.10416666666666667</v>
      </c>
      <c r="G2203" s="62" t="b">
        <v>1</v>
      </c>
      <c r="H2203" s="78" t="b">
        <f>IF(VLOOKUP(C2203,Projetos!A:L,12,false)=TRUE,TRUE,FALSE)</f>
        <v>1</v>
      </c>
      <c r="I2203" s="68">
        <v>35.94867919823232</v>
      </c>
      <c r="J2203" s="68">
        <f t="shared" si="1"/>
        <v>89.871698</v>
      </c>
      <c r="K2203" s="68" t="b">
        <v>1</v>
      </c>
    </row>
    <row r="2204" hidden="1">
      <c r="A2204" s="75">
        <v>2198.0</v>
      </c>
      <c r="B2204" s="62" t="s">
        <v>1306</v>
      </c>
      <c r="C2204" s="62" t="s">
        <v>108</v>
      </c>
      <c r="D2204" s="62" t="s">
        <v>1352</v>
      </c>
      <c r="E2204" s="76">
        <v>43871.0</v>
      </c>
      <c r="F2204" s="77">
        <v>0.03125</v>
      </c>
      <c r="G2204" s="62" t="b">
        <v>1</v>
      </c>
      <c r="H2204" s="78" t="b">
        <f>IF(VLOOKUP(C2204,Projetos!A:L,12,false)=TRUE,TRUE,FALSE)</f>
        <v>1</v>
      </c>
      <c r="I2204" s="68">
        <v>35.94867919823232</v>
      </c>
      <c r="J2204" s="68">
        <f t="shared" si="1"/>
        <v>26.9615094</v>
      </c>
      <c r="K2204" s="68" t="b">
        <v>1</v>
      </c>
    </row>
    <row r="2205" hidden="1">
      <c r="A2205" s="75">
        <v>2199.0</v>
      </c>
      <c r="B2205" s="62" t="s">
        <v>1306</v>
      </c>
      <c r="C2205" s="62" t="s">
        <v>108</v>
      </c>
      <c r="D2205" s="62" t="s">
        <v>1353</v>
      </c>
      <c r="E2205" s="76">
        <v>43871.0</v>
      </c>
      <c r="F2205" s="77">
        <v>0.0625</v>
      </c>
      <c r="G2205" s="62" t="b">
        <v>1</v>
      </c>
      <c r="H2205" s="78" t="b">
        <f>IF(VLOOKUP(C2205,Projetos!A:L,12,false)=TRUE,TRUE,FALSE)</f>
        <v>1</v>
      </c>
      <c r="I2205" s="68">
        <v>35.94867919823232</v>
      </c>
      <c r="J2205" s="68">
        <f t="shared" si="1"/>
        <v>53.9230188</v>
      </c>
      <c r="K2205" s="68" t="b">
        <v>1</v>
      </c>
    </row>
    <row r="2206" hidden="1">
      <c r="A2206" s="75">
        <v>2200.0</v>
      </c>
      <c r="B2206" s="62" t="s">
        <v>1306</v>
      </c>
      <c r="C2206" s="62" t="s">
        <v>108</v>
      </c>
      <c r="D2206" s="62" t="s">
        <v>1350</v>
      </c>
      <c r="E2206" s="76">
        <v>43872.0</v>
      </c>
      <c r="F2206" s="77">
        <v>0.07291666666666667</v>
      </c>
      <c r="G2206" s="62" t="b">
        <v>1</v>
      </c>
      <c r="H2206" s="78" t="b">
        <f>IF(VLOOKUP(C2206,Projetos!A:L,12,false)=TRUE,TRUE,FALSE)</f>
        <v>1</v>
      </c>
      <c r="I2206" s="68">
        <v>35.94867919823232</v>
      </c>
      <c r="J2206" s="68">
        <f t="shared" si="1"/>
        <v>62.9101886</v>
      </c>
      <c r="K2206" s="68" t="b">
        <v>1</v>
      </c>
    </row>
    <row r="2207" hidden="1">
      <c r="A2207" s="75">
        <v>2201.0</v>
      </c>
      <c r="B2207" s="62" t="s">
        <v>1306</v>
      </c>
      <c r="C2207" s="62" t="s">
        <v>108</v>
      </c>
      <c r="D2207" s="62" t="s">
        <v>1350</v>
      </c>
      <c r="E2207" s="76">
        <v>43872.0</v>
      </c>
      <c r="F2207" s="77">
        <v>0.14583333333333334</v>
      </c>
      <c r="G2207" s="62" t="b">
        <v>1</v>
      </c>
      <c r="H2207" s="78" t="b">
        <f>IF(VLOOKUP(C2207,Projetos!A:L,12,false)=TRUE,TRUE,FALSE)</f>
        <v>1</v>
      </c>
      <c r="I2207" s="68">
        <v>35.94867919823232</v>
      </c>
      <c r="J2207" s="68">
        <f t="shared" si="1"/>
        <v>125.8203772</v>
      </c>
      <c r="K2207" s="68" t="b">
        <v>1</v>
      </c>
    </row>
    <row r="2208" hidden="1">
      <c r="A2208" s="75">
        <v>2202.0</v>
      </c>
      <c r="B2208" s="62" t="s">
        <v>1306</v>
      </c>
      <c r="C2208" s="62" t="s">
        <v>108</v>
      </c>
      <c r="D2208" s="62" t="s">
        <v>1354</v>
      </c>
      <c r="E2208" s="76">
        <v>43874.0</v>
      </c>
      <c r="F2208" s="77">
        <v>0.0625</v>
      </c>
      <c r="G2208" s="62" t="b">
        <v>1</v>
      </c>
      <c r="H2208" s="78" t="b">
        <f>IF(VLOOKUP(C2208,Projetos!A:L,12,false)=TRUE,TRUE,FALSE)</f>
        <v>1</v>
      </c>
      <c r="I2208" s="68">
        <v>35.94867919823232</v>
      </c>
      <c r="J2208" s="68">
        <f t="shared" si="1"/>
        <v>53.9230188</v>
      </c>
      <c r="K2208" s="68" t="b">
        <v>1</v>
      </c>
    </row>
    <row r="2209" hidden="1">
      <c r="A2209" s="75">
        <v>2203.0</v>
      </c>
      <c r="B2209" s="62" t="s">
        <v>1306</v>
      </c>
      <c r="C2209" s="62" t="s">
        <v>108</v>
      </c>
      <c r="D2209" s="62" t="s">
        <v>1355</v>
      </c>
      <c r="E2209" s="76">
        <v>43875.0</v>
      </c>
      <c r="F2209" s="77">
        <v>0.1875</v>
      </c>
      <c r="G2209" s="62" t="b">
        <v>1</v>
      </c>
      <c r="H2209" s="78" t="b">
        <f>IF(VLOOKUP(C2209,Projetos!A:L,12,false)=TRUE,TRUE,FALSE)</f>
        <v>1</v>
      </c>
      <c r="I2209" s="68">
        <v>35.94867919823232</v>
      </c>
      <c r="J2209" s="68">
        <f t="shared" si="1"/>
        <v>161.7690564</v>
      </c>
      <c r="K2209" s="68" t="b">
        <v>1</v>
      </c>
    </row>
    <row r="2210" hidden="1">
      <c r="A2210" s="75">
        <v>2204.0</v>
      </c>
      <c r="B2210" s="62" t="s">
        <v>1306</v>
      </c>
      <c r="C2210" s="62" t="s">
        <v>108</v>
      </c>
      <c r="D2210" s="62" t="s">
        <v>1356</v>
      </c>
      <c r="E2210" s="76">
        <v>43877.0</v>
      </c>
      <c r="F2210" s="77">
        <v>0.22916666666666666</v>
      </c>
      <c r="G2210" s="62" t="b">
        <v>1</v>
      </c>
      <c r="H2210" s="78" t="b">
        <f>IF(VLOOKUP(C2210,Projetos!A:L,12,false)=TRUE,TRUE,FALSE)</f>
        <v>1</v>
      </c>
      <c r="I2210" s="68">
        <v>35.94867919823232</v>
      </c>
      <c r="J2210" s="68">
        <f t="shared" si="1"/>
        <v>197.7177356</v>
      </c>
      <c r="K2210" s="68" t="b">
        <v>1</v>
      </c>
    </row>
    <row r="2211" hidden="1">
      <c r="A2211" s="75">
        <v>2205.0</v>
      </c>
      <c r="B2211" s="62" t="s">
        <v>1306</v>
      </c>
      <c r="C2211" s="62" t="s">
        <v>108</v>
      </c>
      <c r="D2211" s="62" t="s">
        <v>1357</v>
      </c>
      <c r="E2211" s="76">
        <v>43878.0</v>
      </c>
      <c r="F2211" s="77">
        <v>0.4166666666666667</v>
      </c>
      <c r="G2211" s="62" t="b">
        <v>1</v>
      </c>
      <c r="H2211" s="78" t="b">
        <f>IF(VLOOKUP(C2211,Projetos!A:L,12,false)=TRUE,TRUE,FALSE)</f>
        <v>1</v>
      </c>
      <c r="I2211" s="68">
        <v>35.94867919823232</v>
      </c>
      <c r="J2211" s="68">
        <f t="shared" si="1"/>
        <v>359.486792</v>
      </c>
      <c r="K2211" s="68" t="b">
        <v>1</v>
      </c>
    </row>
    <row r="2212" hidden="1">
      <c r="A2212" s="75">
        <v>2206.0</v>
      </c>
      <c r="B2212" s="62" t="s">
        <v>1306</v>
      </c>
      <c r="C2212" s="62" t="s">
        <v>108</v>
      </c>
      <c r="D2212" s="62" t="s">
        <v>1357</v>
      </c>
      <c r="E2212" s="76">
        <v>43879.0</v>
      </c>
      <c r="F2212" s="77">
        <v>0.4166666666666667</v>
      </c>
      <c r="G2212" s="62" t="b">
        <v>1</v>
      </c>
      <c r="H2212" s="78" t="b">
        <f>IF(VLOOKUP(C2212,Projetos!A:L,12,false)=TRUE,TRUE,FALSE)</f>
        <v>1</v>
      </c>
      <c r="I2212" s="68">
        <v>35.94867919823232</v>
      </c>
      <c r="J2212" s="68">
        <f t="shared" si="1"/>
        <v>359.486792</v>
      </c>
      <c r="K2212" s="68" t="b">
        <v>1</v>
      </c>
    </row>
    <row r="2213" hidden="1">
      <c r="A2213" s="75">
        <v>2207.0</v>
      </c>
      <c r="B2213" s="62" t="s">
        <v>1306</v>
      </c>
      <c r="C2213" s="62" t="s">
        <v>108</v>
      </c>
      <c r="D2213" s="62" t="s">
        <v>1358</v>
      </c>
      <c r="E2213" s="76">
        <v>43880.0</v>
      </c>
      <c r="F2213" s="77">
        <v>0.375</v>
      </c>
      <c r="G2213" s="62" t="b">
        <v>1</v>
      </c>
      <c r="H2213" s="78" t="b">
        <f>IF(VLOOKUP(C2213,Projetos!A:L,12,false)=TRUE,TRUE,FALSE)</f>
        <v>1</v>
      </c>
      <c r="I2213" s="68">
        <v>35.94867919823232</v>
      </c>
      <c r="J2213" s="68">
        <f t="shared" si="1"/>
        <v>323.5381128</v>
      </c>
      <c r="K2213" s="68" t="b">
        <v>1</v>
      </c>
    </row>
    <row r="2214" hidden="1">
      <c r="A2214" s="75">
        <v>2208.0</v>
      </c>
      <c r="B2214" s="62" t="s">
        <v>1306</v>
      </c>
      <c r="C2214" s="62" t="s">
        <v>108</v>
      </c>
      <c r="D2214" s="62" t="s">
        <v>1359</v>
      </c>
      <c r="E2214" s="76">
        <v>43881.0</v>
      </c>
      <c r="F2214" s="77">
        <v>0.11458333333333333</v>
      </c>
      <c r="G2214" s="62" t="b">
        <v>0</v>
      </c>
      <c r="H2214" s="78" t="b">
        <f>IF(VLOOKUP(C2214,Projetos!A:L,12,false)=TRUE,TRUE,FALSE)</f>
        <v>1</v>
      </c>
      <c r="I2214" s="68">
        <v>35.94867919823232</v>
      </c>
      <c r="J2214" s="68">
        <f t="shared" si="1"/>
        <v>0</v>
      </c>
      <c r="K2214" s="68" t="b">
        <v>1</v>
      </c>
    </row>
    <row r="2215" hidden="1">
      <c r="A2215" s="75">
        <v>2209.0</v>
      </c>
      <c r="B2215" s="62" t="s">
        <v>1306</v>
      </c>
      <c r="C2215" s="62" t="s">
        <v>108</v>
      </c>
      <c r="D2215" s="62" t="s">
        <v>1360</v>
      </c>
      <c r="E2215" s="76">
        <v>43881.0</v>
      </c>
      <c r="F2215" s="77">
        <v>0.2916666666666667</v>
      </c>
      <c r="G2215" s="62" t="b">
        <v>0</v>
      </c>
      <c r="H2215" s="78" t="b">
        <f>IF(VLOOKUP(C2215,Projetos!A:L,12,false)=TRUE,TRUE,FALSE)</f>
        <v>1</v>
      </c>
      <c r="I2215" s="68">
        <v>35.94867919823232</v>
      </c>
      <c r="J2215" s="68">
        <f t="shared" si="1"/>
        <v>0</v>
      </c>
      <c r="K2215" s="68" t="b">
        <v>1</v>
      </c>
    </row>
    <row r="2216">
      <c r="A2216" s="75">
        <v>2210.0</v>
      </c>
      <c r="B2216" s="62" t="s">
        <v>1306</v>
      </c>
      <c r="C2216" s="62" t="s">
        <v>110</v>
      </c>
      <c r="D2216" s="62" t="s">
        <v>1309</v>
      </c>
      <c r="E2216" s="76">
        <v>43864.0</v>
      </c>
      <c r="F2216" s="77">
        <v>0.14583333333333334</v>
      </c>
      <c r="G2216" s="62" t="b">
        <v>1</v>
      </c>
      <c r="H2216" s="78" t="b">
        <f>IF(VLOOKUP(C2216,Projetos!A:L,12,false)=TRUE,TRUE,FALSE)</f>
        <v>1</v>
      </c>
      <c r="I2216" s="68">
        <v>35.94867919823232</v>
      </c>
      <c r="J2216" s="68">
        <f t="shared" si="1"/>
        <v>125.8203772</v>
      </c>
      <c r="K2216" s="68" t="b">
        <v>1</v>
      </c>
    </row>
    <row r="2217">
      <c r="A2217" s="75">
        <v>2211.0</v>
      </c>
      <c r="B2217" s="62" t="s">
        <v>1306</v>
      </c>
      <c r="C2217" s="62" t="s">
        <v>110</v>
      </c>
      <c r="D2217" s="62" t="s">
        <v>1361</v>
      </c>
      <c r="E2217" s="76">
        <v>43865.0</v>
      </c>
      <c r="F2217" s="77">
        <v>0.0625</v>
      </c>
      <c r="G2217" s="62" t="b">
        <v>1</v>
      </c>
      <c r="H2217" s="78" t="b">
        <f>IF(VLOOKUP(C2217,Projetos!A:L,12,false)=TRUE,TRUE,FALSE)</f>
        <v>1</v>
      </c>
      <c r="I2217" s="68">
        <v>35.94867919823232</v>
      </c>
      <c r="J2217" s="68">
        <f t="shared" si="1"/>
        <v>53.9230188</v>
      </c>
      <c r="K2217" s="68" t="b">
        <v>1</v>
      </c>
    </row>
    <row r="2218">
      <c r="A2218" s="75">
        <v>2212.0</v>
      </c>
      <c r="B2218" s="62" t="s">
        <v>1306</v>
      </c>
      <c r="C2218" s="62" t="s">
        <v>110</v>
      </c>
      <c r="D2218" s="62" t="s">
        <v>1339</v>
      </c>
      <c r="E2218" s="76">
        <v>43871.0</v>
      </c>
      <c r="F2218" s="77">
        <v>0.10416666666666667</v>
      </c>
      <c r="G2218" s="62" t="b">
        <v>1</v>
      </c>
      <c r="H2218" s="78" t="b">
        <f>IF(VLOOKUP(C2218,Projetos!A:L,12,false)=TRUE,TRUE,FALSE)</f>
        <v>1</v>
      </c>
      <c r="I2218" s="68">
        <v>35.94867919823232</v>
      </c>
      <c r="J2218" s="68">
        <f t="shared" si="1"/>
        <v>89.871698</v>
      </c>
      <c r="K2218" s="68" t="b">
        <v>1</v>
      </c>
    </row>
    <row r="2219">
      <c r="A2219" s="75">
        <v>2213.0</v>
      </c>
      <c r="B2219" s="62" t="s">
        <v>1306</v>
      </c>
      <c r="C2219" s="62" t="s">
        <v>110</v>
      </c>
      <c r="D2219" s="62" t="s">
        <v>1339</v>
      </c>
      <c r="E2219" s="76">
        <v>43882.0</v>
      </c>
      <c r="F2219" s="77">
        <v>0.08333333333333333</v>
      </c>
      <c r="G2219" s="62" t="b">
        <v>1</v>
      </c>
      <c r="H2219" s="78" t="b">
        <f>IF(VLOOKUP(C2219,Projetos!A:L,12,false)=TRUE,TRUE,FALSE)</f>
        <v>1</v>
      </c>
      <c r="I2219" s="68">
        <v>35.94867919823232</v>
      </c>
      <c r="J2219" s="68">
        <f t="shared" si="1"/>
        <v>71.8973584</v>
      </c>
      <c r="K2219" s="68" t="b">
        <v>1</v>
      </c>
    </row>
    <row r="2220">
      <c r="A2220" s="75">
        <v>2214.0</v>
      </c>
      <c r="B2220" s="62" t="s">
        <v>1306</v>
      </c>
      <c r="C2220" s="62" t="s">
        <v>138</v>
      </c>
      <c r="D2220" s="62" t="s">
        <v>1362</v>
      </c>
      <c r="E2220" s="76">
        <v>43913.0</v>
      </c>
      <c r="F2220" s="77">
        <v>0.16666666666666666</v>
      </c>
      <c r="G2220" s="62" t="b">
        <v>1</v>
      </c>
      <c r="H2220" s="78" t="b">
        <f>IF(VLOOKUP(C2220,Projetos!A:L,12,false)=TRUE,TRUE,FALSE)</f>
        <v>1</v>
      </c>
      <c r="I2220" s="68">
        <v>37.66052106481481</v>
      </c>
      <c r="J2220" s="68">
        <f t="shared" si="1"/>
        <v>150.6420843</v>
      </c>
      <c r="K2220" s="68" t="b">
        <v>1</v>
      </c>
    </row>
    <row r="2221" hidden="1">
      <c r="A2221" s="75">
        <v>2215.0</v>
      </c>
      <c r="B2221" s="62" t="s">
        <v>1306</v>
      </c>
      <c r="C2221" s="62" t="s">
        <v>138</v>
      </c>
      <c r="D2221" s="62" t="s">
        <v>1363</v>
      </c>
      <c r="E2221" s="76">
        <v>43915.0</v>
      </c>
      <c r="F2221" s="77">
        <v>0.10416666666666667</v>
      </c>
      <c r="G2221" s="62" t="b">
        <v>0</v>
      </c>
      <c r="H2221" s="78" t="b">
        <f>IF(VLOOKUP(C2221,Projetos!A:L,12,false)=TRUE,TRUE,FALSE)</f>
        <v>1</v>
      </c>
      <c r="I2221" s="68">
        <v>37.66052106481481</v>
      </c>
      <c r="J2221" s="68">
        <f t="shared" si="1"/>
        <v>0</v>
      </c>
      <c r="K2221" s="68" t="b">
        <v>1</v>
      </c>
    </row>
    <row r="2222">
      <c r="A2222" s="75">
        <v>2216.0</v>
      </c>
      <c r="B2222" s="62" t="s">
        <v>1306</v>
      </c>
      <c r="C2222" s="62" t="s">
        <v>138</v>
      </c>
      <c r="D2222" s="62" t="s">
        <v>1364</v>
      </c>
      <c r="E2222" s="76">
        <v>43921.0</v>
      </c>
      <c r="F2222" s="77">
        <v>0.08333333333333333</v>
      </c>
      <c r="G2222" s="62" t="b">
        <v>1</v>
      </c>
      <c r="H2222" s="78" t="b">
        <f>IF(VLOOKUP(C2222,Projetos!A:L,12,false)=TRUE,TRUE,FALSE)</f>
        <v>1</v>
      </c>
      <c r="I2222" s="68">
        <v>37.66052106481481</v>
      </c>
      <c r="J2222" s="68">
        <f t="shared" si="1"/>
        <v>75.32104213</v>
      </c>
      <c r="K2222" s="68" t="b">
        <v>1</v>
      </c>
    </row>
    <row r="2223" hidden="1">
      <c r="A2223" s="75">
        <v>2217.0</v>
      </c>
      <c r="B2223" s="62" t="s">
        <v>1306</v>
      </c>
      <c r="C2223" s="62" t="s">
        <v>83</v>
      </c>
      <c r="D2223" s="62" t="s">
        <v>1342</v>
      </c>
      <c r="E2223" s="76">
        <v>43894.0</v>
      </c>
      <c r="F2223" s="77">
        <v>0.19791666666666666</v>
      </c>
      <c r="G2223" s="62" t="b">
        <v>0</v>
      </c>
      <c r="H2223" s="78" t="b">
        <f>IF(VLOOKUP(C2223,Projetos!A:L,12,false)=TRUE,TRUE,FALSE)</f>
        <v>0</v>
      </c>
      <c r="I2223" s="68">
        <v>37.66052106481481</v>
      </c>
      <c r="J2223" s="68">
        <f t="shared" si="1"/>
        <v>0</v>
      </c>
      <c r="K2223" s="68" t="b">
        <v>0</v>
      </c>
    </row>
    <row r="2224">
      <c r="A2224" s="75">
        <v>2218.0</v>
      </c>
      <c r="B2224" s="62" t="s">
        <v>1306</v>
      </c>
      <c r="C2224" s="62" t="s">
        <v>98</v>
      </c>
      <c r="D2224" s="62" t="s">
        <v>1359</v>
      </c>
      <c r="E2224" s="76">
        <v>43921.0</v>
      </c>
      <c r="F2224" s="77">
        <v>0.03125</v>
      </c>
      <c r="G2224" s="62" t="b">
        <v>1</v>
      </c>
      <c r="H2224" s="78" t="b">
        <f>IF(VLOOKUP(C2224,Projetos!A:L,12,false)=TRUE,TRUE,FALSE)</f>
        <v>1</v>
      </c>
      <c r="I2224" s="68">
        <v>37.66052106481481</v>
      </c>
      <c r="J2224" s="68">
        <f t="shared" si="1"/>
        <v>28.2453908</v>
      </c>
      <c r="K2224" s="68" t="b">
        <v>1</v>
      </c>
    </row>
    <row r="2225">
      <c r="A2225" s="75">
        <v>2219.0</v>
      </c>
      <c r="B2225" s="62" t="s">
        <v>1306</v>
      </c>
      <c r="C2225" s="62" t="s">
        <v>100</v>
      </c>
      <c r="D2225" s="62" t="s">
        <v>1365</v>
      </c>
      <c r="E2225" s="76">
        <v>43893.0</v>
      </c>
      <c r="F2225" s="77">
        <v>0.16666666666666666</v>
      </c>
      <c r="G2225" s="62" t="b">
        <v>1</v>
      </c>
      <c r="H2225" s="78" t="b">
        <f>IF(VLOOKUP(C2225,Projetos!A:L,12,false)=TRUE,TRUE,FALSE)</f>
        <v>1</v>
      </c>
      <c r="I2225" s="68">
        <v>37.66052106481481</v>
      </c>
      <c r="J2225" s="68">
        <f t="shared" si="1"/>
        <v>150.6420843</v>
      </c>
      <c r="K2225" s="68" t="b">
        <v>1</v>
      </c>
    </row>
    <row r="2226">
      <c r="A2226" s="75">
        <v>2220.0</v>
      </c>
      <c r="B2226" s="62" t="s">
        <v>1306</v>
      </c>
      <c r="C2226" s="62" t="s">
        <v>100</v>
      </c>
      <c r="D2226" s="62" t="s">
        <v>1366</v>
      </c>
      <c r="E2226" s="76">
        <v>43902.0</v>
      </c>
      <c r="F2226" s="77">
        <v>0.08333333333333333</v>
      </c>
      <c r="G2226" s="62" t="b">
        <v>1</v>
      </c>
      <c r="H2226" s="78" t="b">
        <f>IF(VLOOKUP(C2226,Projetos!A:L,12,false)=TRUE,TRUE,FALSE)</f>
        <v>1</v>
      </c>
      <c r="I2226" s="68">
        <v>37.66052106481481</v>
      </c>
      <c r="J2226" s="68">
        <f t="shared" si="1"/>
        <v>75.32104213</v>
      </c>
      <c r="K2226" s="68" t="b">
        <v>1</v>
      </c>
    </row>
    <row r="2227">
      <c r="A2227" s="75">
        <v>2221.0</v>
      </c>
      <c r="B2227" s="62" t="s">
        <v>1306</v>
      </c>
      <c r="C2227" s="62" t="s">
        <v>100</v>
      </c>
      <c r="D2227" s="62" t="s">
        <v>1367</v>
      </c>
      <c r="E2227" s="76">
        <v>43907.0</v>
      </c>
      <c r="F2227" s="77">
        <v>0.041666666666666664</v>
      </c>
      <c r="G2227" s="62" t="b">
        <v>1</v>
      </c>
      <c r="H2227" s="78" t="b">
        <f>IF(VLOOKUP(C2227,Projetos!A:L,12,false)=TRUE,TRUE,FALSE)</f>
        <v>1</v>
      </c>
      <c r="I2227" s="68">
        <v>37.66052106481481</v>
      </c>
      <c r="J2227" s="68">
        <f t="shared" si="1"/>
        <v>37.66052106</v>
      </c>
      <c r="K2227" s="68" t="b">
        <v>1</v>
      </c>
    </row>
    <row r="2228">
      <c r="A2228" s="75">
        <v>2222.0</v>
      </c>
      <c r="B2228" s="62" t="s">
        <v>1306</v>
      </c>
      <c r="C2228" s="62" t="s">
        <v>100</v>
      </c>
      <c r="D2228" s="62" t="s">
        <v>1368</v>
      </c>
      <c r="E2228" s="76">
        <v>43910.0</v>
      </c>
      <c r="F2228" s="77">
        <v>0.07291666666666667</v>
      </c>
      <c r="G2228" s="62" t="b">
        <v>1</v>
      </c>
      <c r="H2228" s="78" t="b">
        <f>IF(VLOOKUP(C2228,Projetos!A:L,12,false)=TRUE,TRUE,FALSE)</f>
        <v>1</v>
      </c>
      <c r="I2228" s="68">
        <v>37.66052106481481</v>
      </c>
      <c r="J2228" s="68">
        <f t="shared" si="1"/>
        <v>65.90591186</v>
      </c>
      <c r="K2228" s="68" t="b">
        <v>1</v>
      </c>
    </row>
    <row r="2229">
      <c r="A2229" s="75">
        <v>2223.0</v>
      </c>
      <c r="B2229" s="62" t="s">
        <v>1306</v>
      </c>
      <c r="C2229" s="62" t="s">
        <v>100</v>
      </c>
      <c r="D2229" s="62" t="s">
        <v>1368</v>
      </c>
      <c r="E2229" s="76">
        <v>43913.0</v>
      </c>
      <c r="F2229" s="77">
        <v>0.08333333333333333</v>
      </c>
      <c r="G2229" s="62" t="b">
        <v>1</v>
      </c>
      <c r="H2229" s="78" t="b">
        <f>IF(VLOOKUP(C2229,Projetos!A:L,12,false)=TRUE,TRUE,FALSE)</f>
        <v>1</v>
      </c>
      <c r="I2229" s="68">
        <v>37.66052106481481</v>
      </c>
      <c r="J2229" s="68">
        <f t="shared" si="1"/>
        <v>75.32104213</v>
      </c>
      <c r="K2229" s="68" t="b">
        <v>1</v>
      </c>
    </row>
    <row r="2230">
      <c r="A2230" s="75">
        <v>2224.0</v>
      </c>
      <c r="B2230" s="62" t="s">
        <v>1306</v>
      </c>
      <c r="C2230" s="62" t="s">
        <v>100</v>
      </c>
      <c r="D2230" s="62" t="s">
        <v>1369</v>
      </c>
      <c r="E2230" s="76">
        <v>43917.0</v>
      </c>
      <c r="F2230" s="77">
        <v>0.052083333333333336</v>
      </c>
      <c r="G2230" s="62" t="b">
        <v>1</v>
      </c>
      <c r="H2230" s="78" t="b">
        <f>IF(VLOOKUP(C2230,Projetos!A:L,12,false)=TRUE,TRUE,FALSE)</f>
        <v>1</v>
      </c>
      <c r="I2230" s="68">
        <v>37.66052106481481</v>
      </c>
      <c r="J2230" s="68">
        <f t="shared" si="1"/>
        <v>47.07565133</v>
      </c>
      <c r="K2230" s="68" t="b">
        <v>1</v>
      </c>
    </row>
    <row r="2231">
      <c r="A2231" s="75">
        <v>2225.0</v>
      </c>
      <c r="B2231" s="62" t="s">
        <v>1306</v>
      </c>
      <c r="C2231" s="62" t="s">
        <v>100</v>
      </c>
      <c r="D2231" s="62" t="s">
        <v>1369</v>
      </c>
      <c r="E2231" s="76">
        <v>43917.0</v>
      </c>
      <c r="F2231" s="77">
        <v>0.08333333333333333</v>
      </c>
      <c r="G2231" s="62" t="b">
        <v>1</v>
      </c>
      <c r="H2231" s="78" t="b">
        <f>IF(VLOOKUP(C2231,Projetos!A:L,12,false)=TRUE,TRUE,FALSE)</f>
        <v>1</v>
      </c>
      <c r="I2231" s="68">
        <v>37.66052106481481</v>
      </c>
      <c r="J2231" s="68">
        <f t="shared" si="1"/>
        <v>75.32104213</v>
      </c>
      <c r="K2231" s="68" t="b">
        <v>1</v>
      </c>
    </row>
    <row r="2232">
      <c r="A2232" s="75">
        <v>2226.0</v>
      </c>
      <c r="B2232" s="62" t="s">
        <v>1306</v>
      </c>
      <c r="C2232" s="62" t="s">
        <v>100</v>
      </c>
      <c r="D2232" s="62" t="s">
        <v>1369</v>
      </c>
      <c r="E2232" s="76">
        <v>43920.0</v>
      </c>
      <c r="F2232" s="77">
        <v>0.08333333333333333</v>
      </c>
      <c r="G2232" s="62" t="b">
        <v>1</v>
      </c>
      <c r="H2232" s="78" t="b">
        <f>IF(VLOOKUP(C2232,Projetos!A:L,12,false)=TRUE,TRUE,FALSE)</f>
        <v>1</v>
      </c>
      <c r="I2232" s="68">
        <v>37.66052106481481</v>
      </c>
      <c r="J2232" s="68">
        <f t="shared" si="1"/>
        <v>75.32104213</v>
      </c>
      <c r="K2232" s="68" t="b">
        <v>1</v>
      </c>
    </row>
    <row r="2233">
      <c r="A2233" s="75">
        <v>2227.0</v>
      </c>
      <c r="B2233" s="62" t="s">
        <v>1306</v>
      </c>
      <c r="C2233" s="62" t="s">
        <v>101</v>
      </c>
      <c r="D2233" s="62" t="s">
        <v>1370</v>
      </c>
      <c r="E2233" s="76">
        <v>43900.0</v>
      </c>
      <c r="F2233" s="77">
        <v>0.0625</v>
      </c>
      <c r="G2233" s="62" t="b">
        <v>1</v>
      </c>
      <c r="H2233" s="78" t="b">
        <f>IF(VLOOKUP(C2233,Projetos!A:L,12,false)=TRUE,TRUE,FALSE)</f>
        <v>1</v>
      </c>
      <c r="I2233" s="68">
        <v>37.66052106481481</v>
      </c>
      <c r="J2233" s="68">
        <f t="shared" si="1"/>
        <v>56.4907816</v>
      </c>
      <c r="K2233" s="68" t="b">
        <v>1</v>
      </c>
    </row>
    <row r="2234" hidden="1">
      <c r="A2234" s="75">
        <v>2228.0</v>
      </c>
      <c r="B2234" s="62" t="s">
        <v>1306</v>
      </c>
      <c r="C2234" s="62" t="s">
        <v>102</v>
      </c>
      <c r="D2234" s="62" t="s">
        <v>1371</v>
      </c>
      <c r="E2234" s="76">
        <v>43902.0</v>
      </c>
      <c r="F2234" s="77">
        <v>0.0625</v>
      </c>
      <c r="G2234" s="62" t="b">
        <v>0</v>
      </c>
      <c r="H2234" s="78" t="b">
        <f>IF(VLOOKUP(C2234,Projetos!A:L,12,false)=TRUE,TRUE,FALSE)</f>
        <v>0</v>
      </c>
      <c r="I2234" s="68">
        <v>37.66052106481481</v>
      </c>
      <c r="J2234" s="68">
        <f t="shared" si="1"/>
        <v>0</v>
      </c>
      <c r="K2234" s="68" t="b">
        <v>0</v>
      </c>
    </row>
    <row r="2235" hidden="1">
      <c r="A2235" s="75">
        <v>2229.0</v>
      </c>
      <c r="B2235" s="62" t="s">
        <v>1306</v>
      </c>
      <c r="C2235" s="62" t="s">
        <v>103</v>
      </c>
      <c r="D2235" s="62" t="s">
        <v>1372</v>
      </c>
      <c r="E2235" s="76">
        <v>43900.0</v>
      </c>
      <c r="F2235" s="77">
        <v>0.125</v>
      </c>
      <c r="G2235" s="62" t="b">
        <v>0</v>
      </c>
      <c r="H2235" s="78" t="b">
        <f>IF(VLOOKUP(C2235,Projetos!A:L,12,false)=TRUE,TRUE,FALSE)</f>
        <v>1</v>
      </c>
      <c r="I2235" s="68">
        <v>37.66052106481481</v>
      </c>
      <c r="J2235" s="68">
        <f t="shared" si="1"/>
        <v>0</v>
      </c>
      <c r="K2235" s="68" t="b">
        <v>1</v>
      </c>
    </row>
    <row r="2236">
      <c r="A2236" s="75">
        <v>2230.0</v>
      </c>
      <c r="B2236" s="62" t="s">
        <v>1306</v>
      </c>
      <c r="C2236" s="62" t="s">
        <v>103</v>
      </c>
      <c r="D2236" s="62" t="s">
        <v>1373</v>
      </c>
      <c r="E2236" s="76">
        <v>43916.0</v>
      </c>
      <c r="F2236" s="77">
        <v>0.08333333333333333</v>
      </c>
      <c r="G2236" s="62" t="b">
        <v>1</v>
      </c>
      <c r="H2236" s="78" t="b">
        <f>IF(VLOOKUP(C2236,Projetos!A:L,12,false)=TRUE,TRUE,FALSE)</f>
        <v>1</v>
      </c>
      <c r="I2236" s="68">
        <v>37.66052106481481</v>
      </c>
      <c r="J2236" s="68">
        <f t="shared" si="1"/>
        <v>75.32104213</v>
      </c>
      <c r="K2236" s="68" t="b">
        <v>1</v>
      </c>
    </row>
    <row r="2237">
      <c r="A2237" s="75">
        <v>2231.0</v>
      </c>
      <c r="B2237" s="62" t="s">
        <v>1306</v>
      </c>
      <c r="C2237" s="62" t="s">
        <v>103</v>
      </c>
      <c r="D2237" s="62" t="s">
        <v>1374</v>
      </c>
      <c r="E2237" s="76">
        <v>43917.0</v>
      </c>
      <c r="F2237" s="77">
        <v>0.14583333333333334</v>
      </c>
      <c r="G2237" s="62" t="b">
        <v>1</v>
      </c>
      <c r="H2237" s="78" t="b">
        <f>IF(VLOOKUP(C2237,Projetos!A:L,12,false)=TRUE,TRUE,FALSE)</f>
        <v>1</v>
      </c>
      <c r="I2237" s="68">
        <v>37.66052106481481</v>
      </c>
      <c r="J2237" s="68">
        <f t="shared" si="1"/>
        <v>131.8118237</v>
      </c>
      <c r="K2237" s="68" t="b">
        <v>1</v>
      </c>
    </row>
    <row r="2238">
      <c r="A2238" s="75">
        <v>2232.0</v>
      </c>
      <c r="B2238" s="62" t="s">
        <v>1306</v>
      </c>
      <c r="C2238" s="62" t="s">
        <v>104</v>
      </c>
      <c r="D2238" s="62" t="s">
        <v>1369</v>
      </c>
      <c r="E2238" s="76">
        <v>43899.0</v>
      </c>
      <c r="F2238" s="77">
        <v>0.0625</v>
      </c>
      <c r="G2238" s="62" t="b">
        <v>1</v>
      </c>
      <c r="H2238" s="78" t="b">
        <f>IF(VLOOKUP(C2238,Projetos!A:L,12,false)=TRUE,TRUE,FALSE)</f>
        <v>1</v>
      </c>
      <c r="I2238" s="68">
        <v>37.66052106481481</v>
      </c>
      <c r="J2238" s="68">
        <f t="shared" si="1"/>
        <v>56.4907816</v>
      </c>
      <c r="K2238" s="68" t="b">
        <v>1</v>
      </c>
    </row>
    <row r="2239">
      <c r="A2239" s="75">
        <v>2233.0</v>
      </c>
      <c r="B2239" s="62" t="s">
        <v>1306</v>
      </c>
      <c r="C2239" s="62" t="s">
        <v>104</v>
      </c>
      <c r="D2239" s="62" t="s">
        <v>1375</v>
      </c>
      <c r="E2239" s="76">
        <v>43901.0</v>
      </c>
      <c r="F2239" s="77">
        <v>0.08333333333333333</v>
      </c>
      <c r="G2239" s="62" t="b">
        <v>1</v>
      </c>
      <c r="H2239" s="78" t="b">
        <f>IF(VLOOKUP(C2239,Projetos!A:L,12,false)=TRUE,TRUE,FALSE)</f>
        <v>1</v>
      </c>
      <c r="I2239" s="68">
        <v>37.66052106481481</v>
      </c>
      <c r="J2239" s="68">
        <f t="shared" si="1"/>
        <v>75.32104213</v>
      </c>
      <c r="K2239" s="68" t="b">
        <v>1</v>
      </c>
    </row>
    <row r="2240">
      <c r="A2240" s="75">
        <v>2234.0</v>
      </c>
      <c r="B2240" s="62" t="s">
        <v>1306</v>
      </c>
      <c r="C2240" s="62" t="s">
        <v>104</v>
      </c>
      <c r="D2240" s="62" t="s">
        <v>1376</v>
      </c>
      <c r="E2240" s="76">
        <v>43907.0</v>
      </c>
      <c r="F2240" s="77">
        <v>0.11458333333333333</v>
      </c>
      <c r="G2240" s="62" t="b">
        <v>1</v>
      </c>
      <c r="H2240" s="78" t="b">
        <f>IF(VLOOKUP(C2240,Projetos!A:L,12,false)=TRUE,TRUE,FALSE)</f>
        <v>1</v>
      </c>
      <c r="I2240" s="68">
        <v>37.66052106481481</v>
      </c>
      <c r="J2240" s="68">
        <f t="shared" si="1"/>
        <v>103.5664329</v>
      </c>
      <c r="K2240" s="68" t="b">
        <v>1</v>
      </c>
    </row>
    <row r="2241">
      <c r="A2241" s="75">
        <v>2235.0</v>
      </c>
      <c r="B2241" s="62" t="s">
        <v>1306</v>
      </c>
      <c r="C2241" s="62" t="s">
        <v>104</v>
      </c>
      <c r="D2241" s="62" t="s">
        <v>1376</v>
      </c>
      <c r="E2241" s="76">
        <v>43909.0</v>
      </c>
      <c r="F2241" s="77">
        <v>0.125</v>
      </c>
      <c r="G2241" s="62" t="b">
        <v>1</v>
      </c>
      <c r="H2241" s="78" t="b">
        <f>IF(VLOOKUP(C2241,Projetos!A:L,12,false)=TRUE,TRUE,FALSE)</f>
        <v>1</v>
      </c>
      <c r="I2241" s="68">
        <v>37.66052106481481</v>
      </c>
      <c r="J2241" s="68">
        <f t="shared" si="1"/>
        <v>112.9815632</v>
      </c>
      <c r="K2241" s="68" t="b">
        <v>1</v>
      </c>
    </row>
    <row r="2242">
      <c r="A2242" s="75">
        <v>2236.0</v>
      </c>
      <c r="B2242" s="62" t="s">
        <v>1306</v>
      </c>
      <c r="C2242" s="62" t="s">
        <v>104</v>
      </c>
      <c r="D2242" s="62" t="s">
        <v>1377</v>
      </c>
      <c r="E2242" s="76">
        <v>43915.0</v>
      </c>
      <c r="F2242" s="77">
        <v>0.22916666666666666</v>
      </c>
      <c r="G2242" s="62" t="b">
        <v>1</v>
      </c>
      <c r="H2242" s="78" t="b">
        <f>IF(VLOOKUP(C2242,Projetos!A:L,12,false)=TRUE,TRUE,FALSE)</f>
        <v>1</v>
      </c>
      <c r="I2242" s="68">
        <v>37.66052106481481</v>
      </c>
      <c r="J2242" s="68">
        <f t="shared" si="1"/>
        <v>207.1328659</v>
      </c>
      <c r="K2242" s="68" t="b">
        <v>1</v>
      </c>
    </row>
    <row r="2243">
      <c r="A2243" s="75">
        <v>2237.0</v>
      </c>
      <c r="B2243" s="62" t="s">
        <v>1306</v>
      </c>
      <c r="C2243" s="62" t="s">
        <v>104</v>
      </c>
      <c r="D2243" s="62" t="s">
        <v>1377</v>
      </c>
      <c r="E2243" s="76">
        <v>43916.0</v>
      </c>
      <c r="F2243" s="77">
        <v>0.08333333333333333</v>
      </c>
      <c r="G2243" s="62" t="b">
        <v>1</v>
      </c>
      <c r="H2243" s="78" t="b">
        <f>IF(VLOOKUP(C2243,Projetos!A:L,12,false)=TRUE,TRUE,FALSE)</f>
        <v>1</v>
      </c>
      <c r="I2243" s="68">
        <v>37.66052106481481</v>
      </c>
      <c r="J2243" s="68">
        <f t="shared" si="1"/>
        <v>75.32104213</v>
      </c>
      <c r="K2243" s="68" t="b">
        <v>1</v>
      </c>
    </row>
    <row r="2244">
      <c r="A2244" s="75">
        <v>2238.0</v>
      </c>
      <c r="B2244" s="62" t="s">
        <v>1306</v>
      </c>
      <c r="C2244" s="62" t="s">
        <v>104</v>
      </c>
      <c r="D2244" s="62" t="s">
        <v>1364</v>
      </c>
      <c r="E2244" s="76">
        <v>43921.0</v>
      </c>
      <c r="F2244" s="77">
        <v>0.125</v>
      </c>
      <c r="G2244" s="62" t="b">
        <v>1</v>
      </c>
      <c r="H2244" s="78" t="b">
        <f>IF(VLOOKUP(C2244,Projetos!A:L,12,false)=TRUE,TRUE,FALSE)</f>
        <v>1</v>
      </c>
      <c r="I2244" s="68">
        <v>37.66052106481481</v>
      </c>
      <c r="J2244" s="68">
        <f t="shared" si="1"/>
        <v>112.9815632</v>
      </c>
      <c r="K2244" s="68" t="b">
        <v>1</v>
      </c>
    </row>
    <row r="2245">
      <c r="A2245" s="75">
        <v>2239.0</v>
      </c>
      <c r="B2245" s="62" t="s">
        <v>1306</v>
      </c>
      <c r="C2245" s="62" t="s">
        <v>105</v>
      </c>
      <c r="D2245" s="62" t="s">
        <v>1367</v>
      </c>
      <c r="E2245" s="76">
        <v>43907.0</v>
      </c>
      <c r="F2245" s="77">
        <v>0.08333333333333333</v>
      </c>
      <c r="G2245" s="62" t="b">
        <v>1</v>
      </c>
      <c r="H2245" s="78" t="b">
        <f>IF(VLOOKUP(C2245,Projetos!A:L,12,false)=TRUE,TRUE,FALSE)</f>
        <v>1</v>
      </c>
      <c r="I2245" s="68">
        <v>37.66052106481481</v>
      </c>
      <c r="J2245" s="68">
        <f t="shared" si="1"/>
        <v>75.32104213</v>
      </c>
      <c r="K2245" s="68" t="b">
        <v>1</v>
      </c>
    </row>
    <row r="2246" hidden="1">
      <c r="A2246" s="75">
        <v>2240.0</v>
      </c>
      <c r="B2246" s="62" t="s">
        <v>1306</v>
      </c>
      <c r="C2246" s="62" t="s">
        <v>108</v>
      </c>
      <c r="D2246" s="62" t="s">
        <v>1378</v>
      </c>
      <c r="E2246" s="76">
        <v>43893.0</v>
      </c>
      <c r="F2246" s="77">
        <v>0.19791666666666666</v>
      </c>
      <c r="G2246" s="62" t="b">
        <v>0</v>
      </c>
      <c r="H2246" s="78" t="b">
        <f>IF(VLOOKUP(C2246,Projetos!A:L,12,false)=TRUE,TRUE,FALSE)</f>
        <v>1</v>
      </c>
      <c r="I2246" s="68">
        <v>37.66052106481481</v>
      </c>
      <c r="J2246" s="68">
        <f t="shared" si="1"/>
        <v>0</v>
      </c>
      <c r="K2246" s="68" t="b">
        <v>1</v>
      </c>
    </row>
    <row r="2247" hidden="1">
      <c r="A2247" s="75">
        <v>2241.0</v>
      </c>
      <c r="B2247" s="62" t="s">
        <v>1306</v>
      </c>
      <c r="C2247" s="62" t="s">
        <v>108</v>
      </c>
      <c r="D2247" s="62" t="s">
        <v>1379</v>
      </c>
      <c r="E2247" s="76">
        <v>43894.0</v>
      </c>
      <c r="F2247" s="77">
        <v>0.16666666666666666</v>
      </c>
      <c r="G2247" s="62" t="b">
        <v>0</v>
      </c>
      <c r="H2247" s="78" t="b">
        <f>IF(VLOOKUP(C2247,Projetos!A:L,12,false)=TRUE,TRUE,FALSE)</f>
        <v>1</v>
      </c>
      <c r="I2247" s="68">
        <v>37.66052106481481</v>
      </c>
      <c r="J2247" s="68">
        <f t="shared" si="1"/>
        <v>0</v>
      </c>
      <c r="K2247" s="68" t="b">
        <v>1</v>
      </c>
    </row>
    <row r="2248" hidden="1">
      <c r="A2248" s="75">
        <v>2242.0</v>
      </c>
      <c r="B2248" s="62" t="s">
        <v>1306</v>
      </c>
      <c r="C2248" s="62" t="s">
        <v>108</v>
      </c>
      <c r="D2248" s="62" t="s">
        <v>1379</v>
      </c>
      <c r="E2248" s="76">
        <v>43895.0</v>
      </c>
      <c r="F2248" s="77">
        <v>0.11458333333333333</v>
      </c>
      <c r="G2248" s="62" t="b">
        <v>0</v>
      </c>
      <c r="H2248" s="78" t="b">
        <f>IF(VLOOKUP(C2248,Projetos!A:L,12,false)=TRUE,TRUE,FALSE)</f>
        <v>1</v>
      </c>
      <c r="I2248" s="68">
        <v>37.66052106481481</v>
      </c>
      <c r="J2248" s="68">
        <f t="shared" si="1"/>
        <v>0</v>
      </c>
      <c r="K2248" s="68" t="b">
        <v>1</v>
      </c>
    </row>
    <row r="2249" hidden="1">
      <c r="A2249" s="75">
        <v>2243.0</v>
      </c>
      <c r="B2249" s="62" t="s">
        <v>1306</v>
      </c>
      <c r="C2249" s="62" t="s">
        <v>108</v>
      </c>
      <c r="D2249" s="62" t="s">
        <v>1380</v>
      </c>
      <c r="E2249" s="76">
        <v>43895.0</v>
      </c>
      <c r="F2249" s="77">
        <v>0.20833333333333334</v>
      </c>
      <c r="G2249" s="62" t="b">
        <v>0</v>
      </c>
      <c r="H2249" s="78" t="b">
        <f>IF(VLOOKUP(C2249,Projetos!A:L,12,false)=TRUE,TRUE,FALSE)</f>
        <v>1</v>
      </c>
      <c r="I2249" s="68">
        <v>37.66052106481481</v>
      </c>
      <c r="J2249" s="68">
        <f t="shared" si="1"/>
        <v>0</v>
      </c>
      <c r="K2249" s="68" t="b">
        <v>1</v>
      </c>
    </row>
    <row r="2250" hidden="1">
      <c r="A2250" s="75">
        <v>2244.0</v>
      </c>
      <c r="B2250" s="62" t="s">
        <v>1306</v>
      </c>
      <c r="C2250" s="62" t="s">
        <v>108</v>
      </c>
      <c r="D2250" s="62" t="s">
        <v>1381</v>
      </c>
      <c r="E2250" s="76">
        <v>43899.0</v>
      </c>
      <c r="F2250" s="77">
        <v>0.125</v>
      </c>
      <c r="G2250" s="62" t="b">
        <v>0</v>
      </c>
      <c r="H2250" s="78" t="b">
        <f>IF(VLOOKUP(C2250,Projetos!A:L,12,false)=TRUE,TRUE,FALSE)</f>
        <v>1</v>
      </c>
      <c r="I2250" s="68">
        <v>37.66052106481481</v>
      </c>
      <c r="J2250" s="68">
        <f t="shared" si="1"/>
        <v>0</v>
      </c>
      <c r="K2250" s="68" t="b">
        <v>1</v>
      </c>
    </row>
    <row r="2251" hidden="1">
      <c r="A2251" s="75">
        <v>2245.0</v>
      </c>
      <c r="B2251" s="62" t="s">
        <v>1306</v>
      </c>
      <c r="C2251" s="62" t="s">
        <v>108</v>
      </c>
      <c r="D2251" s="62" t="s">
        <v>1379</v>
      </c>
      <c r="E2251" s="76">
        <v>43901.0</v>
      </c>
      <c r="F2251" s="77">
        <v>0.09375</v>
      </c>
      <c r="G2251" s="62" t="b">
        <v>0</v>
      </c>
      <c r="H2251" s="78" t="b">
        <f>IF(VLOOKUP(C2251,Projetos!A:L,12,false)=TRUE,TRUE,FALSE)</f>
        <v>1</v>
      </c>
      <c r="I2251" s="68">
        <v>37.66052106481481</v>
      </c>
      <c r="J2251" s="68">
        <f t="shared" si="1"/>
        <v>0</v>
      </c>
      <c r="K2251" s="68" t="b">
        <v>1</v>
      </c>
    </row>
    <row r="2252" hidden="1">
      <c r="A2252" s="75">
        <v>2246.0</v>
      </c>
      <c r="B2252" s="62" t="s">
        <v>1306</v>
      </c>
      <c r="C2252" s="62" t="s">
        <v>108</v>
      </c>
      <c r="D2252" s="62" t="s">
        <v>1382</v>
      </c>
      <c r="E2252" s="76">
        <v>43901.0</v>
      </c>
      <c r="F2252" s="77">
        <v>0.08333333333333333</v>
      </c>
      <c r="G2252" s="62" t="b">
        <v>0</v>
      </c>
      <c r="H2252" s="78" t="b">
        <f>IF(VLOOKUP(C2252,Projetos!A:L,12,false)=TRUE,TRUE,FALSE)</f>
        <v>1</v>
      </c>
      <c r="I2252" s="68">
        <v>37.66052106481481</v>
      </c>
      <c r="J2252" s="68">
        <f t="shared" si="1"/>
        <v>0</v>
      </c>
      <c r="K2252" s="68" t="b">
        <v>1</v>
      </c>
    </row>
    <row r="2253" hidden="1">
      <c r="A2253" s="75">
        <v>2247.0</v>
      </c>
      <c r="B2253" s="62" t="s">
        <v>1306</v>
      </c>
      <c r="C2253" s="62" t="s">
        <v>108</v>
      </c>
      <c r="D2253" s="62" t="s">
        <v>1383</v>
      </c>
      <c r="E2253" s="76">
        <v>43903.0</v>
      </c>
      <c r="F2253" s="77">
        <v>0.041666666666666664</v>
      </c>
      <c r="G2253" s="62" t="b">
        <v>0</v>
      </c>
      <c r="H2253" s="78" t="b">
        <f>IF(VLOOKUP(C2253,Projetos!A:L,12,false)=TRUE,TRUE,FALSE)</f>
        <v>1</v>
      </c>
      <c r="I2253" s="68">
        <v>37.66052106481481</v>
      </c>
      <c r="J2253" s="68">
        <f t="shared" si="1"/>
        <v>0</v>
      </c>
      <c r="K2253" s="68" t="b">
        <v>1</v>
      </c>
    </row>
    <row r="2254" hidden="1">
      <c r="A2254" s="75">
        <v>2248.0</v>
      </c>
      <c r="B2254" s="62" t="s">
        <v>1306</v>
      </c>
      <c r="C2254" s="62" t="s">
        <v>108</v>
      </c>
      <c r="D2254" s="62" t="s">
        <v>1366</v>
      </c>
      <c r="E2254" s="76">
        <v>43906.0</v>
      </c>
      <c r="F2254" s="77">
        <v>0.19791666666666666</v>
      </c>
      <c r="G2254" s="62" t="b">
        <v>0</v>
      </c>
      <c r="H2254" s="78" t="b">
        <f>IF(VLOOKUP(C2254,Projetos!A:L,12,false)=TRUE,TRUE,FALSE)</f>
        <v>1</v>
      </c>
      <c r="I2254" s="68">
        <v>37.66052106481481</v>
      </c>
      <c r="J2254" s="68">
        <f t="shared" si="1"/>
        <v>0</v>
      </c>
      <c r="K2254" s="68" t="b">
        <v>1</v>
      </c>
    </row>
    <row r="2255" hidden="1">
      <c r="A2255" s="75">
        <v>2249.0</v>
      </c>
      <c r="B2255" s="62" t="s">
        <v>1306</v>
      </c>
      <c r="C2255" s="62" t="s">
        <v>108</v>
      </c>
      <c r="D2255" s="62" t="s">
        <v>1359</v>
      </c>
      <c r="E2255" s="76">
        <v>43906.0</v>
      </c>
      <c r="F2255" s="77">
        <v>0.16666666666666666</v>
      </c>
      <c r="G2255" s="62" t="b">
        <v>0</v>
      </c>
      <c r="H2255" s="78" t="b">
        <f>IF(VLOOKUP(C2255,Projetos!A:L,12,false)=TRUE,TRUE,FALSE)</f>
        <v>1</v>
      </c>
      <c r="I2255" s="68">
        <v>37.66052106481481</v>
      </c>
      <c r="J2255" s="68">
        <f t="shared" si="1"/>
        <v>0</v>
      </c>
      <c r="K2255" s="68" t="b">
        <v>1</v>
      </c>
    </row>
    <row r="2256" hidden="1">
      <c r="A2256" s="75">
        <v>2250.0</v>
      </c>
      <c r="B2256" s="62" t="s">
        <v>1306</v>
      </c>
      <c r="C2256" s="62" t="s">
        <v>108</v>
      </c>
      <c r="D2256" s="62" t="s">
        <v>1366</v>
      </c>
      <c r="E2256" s="76">
        <v>43907.0</v>
      </c>
      <c r="F2256" s="77">
        <v>0.125</v>
      </c>
      <c r="G2256" s="62" t="b">
        <v>0</v>
      </c>
      <c r="H2256" s="78" t="b">
        <f>IF(VLOOKUP(C2256,Projetos!A:L,12,false)=TRUE,TRUE,FALSE)</f>
        <v>1</v>
      </c>
      <c r="I2256" s="68">
        <v>37.66052106481481</v>
      </c>
      <c r="J2256" s="68">
        <f t="shared" si="1"/>
        <v>0</v>
      </c>
      <c r="K2256" s="68" t="b">
        <v>1</v>
      </c>
    </row>
    <row r="2257" hidden="1">
      <c r="A2257" s="75">
        <v>2251.0</v>
      </c>
      <c r="B2257" s="62" t="s">
        <v>1306</v>
      </c>
      <c r="C2257" s="62" t="s">
        <v>108</v>
      </c>
      <c r="D2257" s="62" t="s">
        <v>1382</v>
      </c>
      <c r="E2257" s="76">
        <v>43908.0</v>
      </c>
      <c r="F2257" s="77">
        <v>0.3333333333333333</v>
      </c>
      <c r="G2257" s="62" t="b">
        <v>0</v>
      </c>
      <c r="H2257" s="78" t="b">
        <f>IF(VLOOKUP(C2257,Projetos!A:L,12,false)=TRUE,TRUE,FALSE)</f>
        <v>1</v>
      </c>
      <c r="I2257" s="68">
        <v>37.66052106481481</v>
      </c>
      <c r="J2257" s="68">
        <f t="shared" si="1"/>
        <v>0</v>
      </c>
      <c r="K2257" s="68" t="b">
        <v>1</v>
      </c>
    </row>
    <row r="2258" hidden="1">
      <c r="A2258" s="75">
        <v>2252.0</v>
      </c>
      <c r="B2258" s="62" t="s">
        <v>1306</v>
      </c>
      <c r="C2258" s="62" t="s">
        <v>108</v>
      </c>
      <c r="D2258" s="62" t="s">
        <v>1369</v>
      </c>
      <c r="E2258" s="76">
        <v>43909.0</v>
      </c>
      <c r="F2258" s="77">
        <v>0.28125</v>
      </c>
      <c r="G2258" s="62" t="b">
        <v>0</v>
      </c>
      <c r="H2258" s="78" t="b">
        <f>IF(VLOOKUP(C2258,Projetos!A:L,12,false)=TRUE,TRUE,FALSE)</f>
        <v>1</v>
      </c>
      <c r="I2258" s="68">
        <v>37.66052106481481</v>
      </c>
      <c r="J2258" s="68">
        <f t="shared" si="1"/>
        <v>0</v>
      </c>
      <c r="K2258" s="68" t="b">
        <v>1</v>
      </c>
    </row>
    <row r="2259" hidden="1">
      <c r="A2259" s="75">
        <v>2253.0</v>
      </c>
      <c r="B2259" s="62" t="s">
        <v>1306</v>
      </c>
      <c r="C2259" s="62" t="s">
        <v>108</v>
      </c>
      <c r="D2259" s="62" t="s">
        <v>1384</v>
      </c>
      <c r="E2259" s="76">
        <v>43910.0</v>
      </c>
      <c r="F2259" s="77">
        <v>0.125</v>
      </c>
      <c r="G2259" s="62" t="b">
        <v>0</v>
      </c>
      <c r="H2259" s="78" t="b">
        <f>IF(VLOOKUP(C2259,Projetos!A:L,12,false)=TRUE,TRUE,FALSE)</f>
        <v>1</v>
      </c>
      <c r="I2259" s="68">
        <v>37.66052106481481</v>
      </c>
      <c r="J2259" s="68">
        <f t="shared" si="1"/>
        <v>0</v>
      </c>
      <c r="K2259" s="68" t="b">
        <v>1</v>
      </c>
    </row>
    <row r="2260" hidden="1">
      <c r="A2260" s="75">
        <v>2254.0</v>
      </c>
      <c r="B2260" s="62" t="s">
        <v>1306</v>
      </c>
      <c r="C2260" s="62" t="s">
        <v>108</v>
      </c>
      <c r="D2260" s="62" t="s">
        <v>1385</v>
      </c>
      <c r="E2260" s="76">
        <v>43910.0</v>
      </c>
      <c r="F2260" s="77">
        <v>0.041666666666666664</v>
      </c>
      <c r="G2260" s="62" t="b">
        <v>0</v>
      </c>
      <c r="H2260" s="78" t="b">
        <f>IF(VLOOKUP(C2260,Projetos!A:L,12,false)=TRUE,TRUE,FALSE)</f>
        <v>1</v>
      </c>
      <c r="I2260" s="68">
        <v>37.66052106481481</v>
      </c>
      <c r="J2260" s="68">
        <f t="shared" si="1"/>
        <v>0</v>
      </c>
      <c r="K2260" s="68" t="b">
        <v>1</v>
      </c>
    </row>
    <row r="2261" hidden="1">
      <c r="A2261" s="75">
        <v>2255.0</v>
      </c>
      <c r="B2261" s="62" t="s">
        <v>1306</v>
      </c>
      <c r="C2261" s="62" t="s">
        <v>108</v>
      </c>
      <c r="D2261" s="62" t="s">
        <v>1369</v>
      </c>
      <c r="E2261" s="76">
        <v>43913.0</v>
      </c>
      <c r="F2261" s="77">
        <v>0.11458333333333333</v>
      </c>
      <c r="G2261" s="62" t="b">
        <v>0</v>
      </c>
      <c r="H2261" s="78" t="b">
        <f>IF(VLOOKUP(C2261,Projetos!A:L,12,false)=TRUE,TRUE,FALSE)</f>
        <v>1</v>
      </c>
      <c r="I2261" s="68">
        <v>37.66052106481481</v>
      </c>
      <c r="J2261" s="68">
        <f t="shared" si="1"/>
        <v>0</v>
      </c>
      <c r="K2261" s="68" t="b">
        <v>1</v>
      </c>
    </row>
    <row r="2262" hidden="1">
      <c r="A2262" s="75">
        <v>2256.0</v>
      </c>
      <c r="B2262" s="62" t="s">
        <v>1306</v>
      </c>
      <c r="C2262" s="62" t="s">
        <v>108</v>
      </c>
      <c r="D2262" s="62" t="s">
        <v>1382</v>
      </c>
      <c r="E2262" s="76">
        <v>43914.0</v>
      </c>
      <c r="F2262" s="77">
        <v>0.07291666666666667</v>
      </c>
      <c r="G2262" s="62" t="b">
        <v>0</v>
      </c>
      <c r="H2262" s="78" t="b">
        <f>IF(VLOOKUP(C2262,Projetos!A:L,12,false)=TRUE,TRUE,FALSE)</f>
        <v>1</v>
      </c>
      <c r="I2262" s="68">
        <v>37.66052106481481</v>
      </c>
      <c r="J2262" s="68">
        <f t="shared" si="1"/>
        <v>0</v>
      </c>
      <c r="K2262" s="68" t="b">
        <v>1</v>
      </c>
    </row>
    <row r="2263" hidden="1">
      <c r="A2263" s="75">
        <v>2257.0</v>
      </c>
      <c r="B2263" s="62" t="s">
        <v>1306</v>
      </c>
      <c r="C2263" s="62" t="s">
        <v>108</v>
      </c>
      <c r="D2263" s="62" t="s">
        <v>1386</v>
      </c>
      <c r="E2263" s="76">
        <v>43914.0</v>
      </c>
      <c r="F2263" s="77">
        <v>0.08333333333333333</v>
      </c>
      <c r="G2263" s="62" t="b">
        <v>0</v>
      </c>
      <c r="H2263" s="78" t="b">
        <f>IF(VLOOKUP(C2263,Projetos!A:L,12,false)=TRUE,TRUE,FALSE)</f>
        <v>1</v>
      </c>
      <c r="I2263" s="68">
        <v>37.66052106481481</v>
      </c>
      <c r="J2263" s="68">
        <f t="shared" si="1"/>
        <v>0</v>
      </c>
      <c r="K2263" s="68" t="b">
        <v>1</v>
      </c>
    </row>
    <row r="2264" hidden="1">
      <c r="A2264" s="75">
        <v>2258.0</v>
      </c>
      <c r="B2264" s="62" t="s">
        <v>1306</v>
      </c>
      <c r="C2264" s="62" t="s">
        <v>108</v>
      </c>
      <c r="D2264" s="62" t="s">
        <v>1387</v>
      </c>
      <c r="E2264" s="76">
        <v>43914.0</v>
      </c>
      <c r="F2264" s="77">
        <v>0.25</v>
      </c>
      <c r="G2264" s="62" t="b">
        <v>0</v>
      </c>
      <c r="H2264" s="78" t="b">
        <f>IF(VLOOKUP(C2264,Projetos!A:L,12,false)=TRUE,TRUE,FALSE)</f>
        <v>1</v>
      </c>
      <c r="I2264" s="68">
        <v>37.66052106481481</v>
      </c>
      <c r="J2264" s="68">
        <f t="shared" si="1"/>
        <v>0</v>
      </c>
      <c r="K2264" s="68" t="b">
        <v>1</v>
      </c>
    </row>
    <row r="2265" hidden="1">
      <c r="A2265" s="75">
        <v>2259.0</v>
      </c>
      <c r="B2265" s="62" t="s">
        <v>1306</v>
      </c>
      <c r="C2265" s="62" t="s">
        <v>108</v>
      </c>
      <c r="D2265" s="62" t="s">
        <v>1388</v>
      </c>
      <c r="E2265" s="76">
        <v>43915.0</v>
      </c>
      <c r="F2265" s="77">
        <v>0.07291666666666667</v>
      </c>
      <c r="G2265" s="62" t="b">
        <v>0</v>
      </c>
      <c r="H2265" s="78" t="b">
        <f>IF(VLOOKUP(C2265,Projetos!A:L,12,false)=TRUE,TRUE,FALSE)</f>
        <v>1</v>
      </c>
      <c r="I2265" s="68">
        <v>37.66052106481481</v>
      </c>
      <c r="J2265" s="68">
        <f t="shared" si="1"/>
        <v>0</v>
      </c>
      <c r="K2265" s="68" t="b">
        <v>1</v>
      </c>
    </row>
    <row r="2266" hidden="1">
      <c r="A2266" s="75">
        <v>2260.0</v>
      </c>
      <c r="B2266" s="62" t="s">
        <v>1306</v>
      </c>
      <c r="C2266" s="62" t="s">
        <v>108</v>
      </c>
      <c r="D2266" s="62" t="s">
        <v>1382</v>
      </c>
      <c r="E2266" s="76">
        <v>43916.0</v>
      </c>
      <c r="F2266" s="77">
        <v>0.11458333333333333</v>
      </c>
      <c r="G2266" s="62" t="b">
        <v>0</v>
      </c>
      <c r="H2266" s="78" t="b">
        <f>IF(VLOOKUP(C2266,Projetos!A:L,12,false)=TRUE,TRUE,FALSE)</f>
        <v>1</v>
      </c>
      <c r="I2266" s="68">
        <v>37.66052106481481</v>
      </c>
      <c r="J2266" s="68">
        <f t="shared" si="1"/>
        <v>0</v>
      </c>
      <c r="K2266" s="68" t="b">
        <v>1</v>
      </c>
    </row>
    <row r="2267" hidden="1">
      <c r="A2267" s="75">
        <v>2261.0</v>
      </c>
      <c r="B2267" s="62" t="s">
        <v>1306</v>
      </c>
      <c r="C2267" s="62" t="s">
        <v>108</v>
      </c>
      <c r="D2267" s="62" t="s">
        <v>1387</v>
      </c>
      <c r="E2267" s="76">
        <v>43916.0</v>
      </c>
      <c r="F2267" s="77">
        <v>0.08333333333333333</v>
      </c>
      <c r="G2267" s="62" t="b">
        <v>0</v>
      </c>
      <c r="H2267" s="78" t="b">
        <f>IF(VLOOKUP(C2267,Projetos!A:L,12,false)=TRUE,TRUE,FALSE)</f>
        <v>1</v>
      </c>
      <c r="I2267" s="68">
        <v>37.66052106481481</v>
      </c>
      <c r="J2267" s="68">
        <f t="shared" si="1"/>
        <v>0</v>
      </c>
      <c r="K2267" s="68" t="b">
        <v>1</v>
      </c>
    </row>
    <row r="2268" hidden="1">
      <c r="A2268" s="75">
        <v>2262.0</v>
      </c>
      <c r="B2268" s="62" t="s">
        <v>1306</v>
      </c>
      <c r="C2268" s="62" t="s">
        <v>108</v>
      </c>
      <c r="D2268" s="62" t="s">
        <v>1389</v>
      </c>
      <c r="E2268" s="76">
        <v>43917.0</v>
      </c>
      <c r="F2268" s="77">
        <v>0.125</v>
      </c>
      <c r="G2268" s="62" t="b">
        <v>0</v>
      </c>
      <c r="H2268" s="78" t="b">
        <f>IF(VLOOKUP(C2268,Projetos!A:L,12,false)=TRUE,TRUE,FALSE)</f>
        <v>1</v>
      </c>
      <c r="I2268" s="68">
        <v>37.66052106481481</v>
      </c>
      <c r="J2268" s="68">
        <f t="shared" si="1"/>
        <v>0</v>
      </c>
      <c r="K2268" s="68" t="b">
        <v>1</v>
      </c>
    </row>
    <row r="2269" hidden="1">
      <c r="A2269" s="75">
        <v>2263.0</v>
      </c>
      <c r="B2269" s="62" t="s">
        <v>1306</v>
      </c>
      <c r="C2269" s="62" t="s">
        <v>108</v>
      </c>
      <c r="D2269" s="62" t="s">
        <v>1382</v>
      </c>
      <c r="E2269" s="76">
        <v>43920.0</v>
      </c>
      <c r="F2269" s="77">
        <v>0.08333333333333333</v>
      </c>
      <c r="G2269" s="62" t="b">
        <v>0</v>
      </c>
      <c r="H2269" s="78" t="b">
        <f>IF(VLOOKUP(C2269,Projetos!A:L,12,false)=TRUE,TRUE,FALSE)</f>
        <v>1</v>
      </c>
      <c r="I2269" s="68">
        <v>37.66052106481481</v>
      </c>
      <c r="J2269" s="68">
        <f t="shared" si="1"/>
        <v>0</v>
      </c>
      <c r="K2269" s="68" t="b">
        <v>1</v>
      </c>
    </row>
    <row r="2270" hidden="1">
      <c r="A2270" s="75">
        <v>2264.0</v>
      </c>
      <c r="B2270" s="62" t="s">
        <v>1306</v>
      </c>
      <c r="C2270" s="62" t="s">
        <v>108</v>
      </c>
      <c r="D2270" s="62" t="s">
        <v>1308</v>
      </c>
      <c r="E2270" s="76">
        <v>43920.0</v>
      </c>
      <c r="F2270" s="77">
        <v>0.08333333333333333</v>
      </c>
      <c r="G2270" s="62" t="b">
        <v>0</v>
      </c>
      <c r="H2270" s="78" t="b">
        <f>IF(VLOOKUP(C2270,Projetos!A:L,12,false)=TRUE,TRUE,FALSE)</f>
        <v>1</v>
      </c>
      <c r="I2270" s="68">
        <v>37.66052106481481</v>
      </c>
      <c r="J2270" s="68">
        <f t="shared" si="1"/>
        <v>0</v>
      </c>
      <c r="K2270" s="68" t="b">
        <v>1</v>
      </c>
    </row>
    <row r="2271" hidden="1">
      <c r="A2271" s="75">
        <v>2265.0</v>
      </c>
      <c r="B2271" s="62" t="s">
        <v>1306</v>
      </c>
      <c r="C2271" s="62" t="s">
        <v>108</v>
      </c>
      <c r="D2271" s="62" t="s">
        <v>1390</v>
      </c>
      <c r="E2271" s="76">
        <v>43921.0</v>
      </c>
      <c r="F2271" s="77">
        <v>0.125</v>
      </c>
      <c r="G2271" s="62" t="b">
        <v>0</v>
      </c>
      <c r="H2271" s="78" t="b">
        <f>IF(VLOOKUP(C2271,Projetos!A:L,12,false)=TRUE,TRUE,FALSE)</f>
        <v>1</v>
      </c>
      <c r="I2271" s="68">
        <v>37.66052106481481</v>
      </c>
      <c r="J2271" s="68">
        <f t="shared" si="1"/>
        <v>0</v>
      </c>
      <c r="K2271" s="68" t="b">
        <v>1</v>
      </c>
    </row>
    <row r="2272">
      <c r="A2272" s="75">
        <v>2266.0</v>
      </c>
      <c r="B2272" s="62" t="s">
        <v>1306</v>
      </c>
      <c r="C2272" s="62" t="s">
        <v>110</v>
      </c>
      <c r="D2272" s="62" t="s">
        <v>1367</v>
      </c>
      <c r="E2272" s="76">
        <v>43900.0</v>
      </c>
      <c r="F2272" s="77">
        <v>0.0625</v>
      </c>
      <c r="G2272" s="62" t="b">
        <v>1</v>
      </c>
      <c r="H2272" s="78" t="b">
        <f>IF(VLOOKUP(C2272,Projetos!A:L,12,false)=TRUE,TRUE,FALSE)</f>
        <v>1</v>
      </c>
      <c r="I2272" s="68">
        <v>37.66052106481481</v>
      </c>
      <c r="J2272" s="68">
        <f t="shared" si="1"/>
        <v>56.4907816</v>
      </c>
      <c r="K2272" s="68" t="b">
        <v>1</v>
      </c>
    </row>
    <row r="2273">
      <c r="A2273" s="75">
        <v>2267.0</v>
      </c>
      <c r="B2273" s="62" t="s">
        <v>1306</v>
      </c>
      <c r="C2273" s="62" t="s">
        <v>110</v>
      </c>
      <c r="D2273" s="62" t="s">
        <v>1340</v>
      </c>
      <c r="E2273" s="76">
        <v>43901.0</v>
      </c>
      <c r="F2273" s="77">
        <v>0.10416666666666667</v>
      </c>
      <c r="G2273" s="62" t="b">
        <v>1</v>
      </c>
      <c r="H2273" s="78" t="b">
        <f>IF(VLOOKUP(C2273,Projetos!A:L,12,false)=TRUE,TRUE,FALSE)</f>
        <v>1</v>
      </c>
      <c r="I2273" s="68">
        <v>37.66052106481481</v>
      </c>
      <c r="J2273" s="68">
        <f t="shared" si="1"/>
        <v>94.15130266</v>
      </c>
      <c r="K2273" s="68" t="b">
        <v>1</v>
      </c>
    </row>
    <row r="2274">
      <c r="A2274" s="75">
        <v>2268.0</v>
      </c>
      <c r="B2274" s="62" t="s">
        <v>1306</v>
      </c>
      <c r="C2274" s="62" t="s">
        <v>110</v>
      </c>
      <c r="D2274" s="62" t="s">
        <v>1367</v>
      </c>
      <c r="E2274" s="76">
        <v>43902.0</v>
      </c>
      <c r="F2274" s="77">
        <v>0.10416666666666667</v>
      </c>
      <c r="G2274" s="62" t="b">
        <v>1</v>
      </c>
      <c r="H2274" s="78" t="b">
        <f>IF(VLOOKUP(C2274,Projetos!A:L,12,false)=TRUE,TRUE,FALSE)</f>
        <v>1</v>
      </c>
      <c r="I2274" s="68">
        <v>37.66052106481481</v>
      </c>
      <c r="J2274" s="68">
        <f t="shared" si="1"/>
        <v>94.15130266</v>
      </c>
      <c r="K2274" s="68" t="b">
        <v>1</v>
      </c>
    </row>
    <row r="2275">
      <c r="A2275" s="75">
        <v>2269.0</v>
      </c>
      <c r="B2275" s="62" t="s">
        <v>1306</v>
      </c>
      <c r="C2275" s="62" t="s">
        <v>110</v>
      </c>
      <c r="D2275" s="62" t="s">
        <v>1366</v>
      </c>
      <c r="E2275" s="76">
        <v>43902.0</v>
      </c>
      <c r="F2275" s="77">
        <v>0.10416666666666667</v>
      </c>
      <c r="G2275" s="62" t="b">
        <v>1</v>
      </c>
      <c r="H2275" s="78" t="b">
        <f>IF(VLOOKUP(C2275,Projetos!A:L,12,false)=TRUE,TRUE,FALSE)</f>
        <v>1</v>
      </c>
      <c r="I2275" s="68">
        <v>37.66052106481481</v>
      </c>
      <c r="J2275" s="68">
        <f t="shared" si="1"/>
        <v>94.15130266</v>
      </c>
      <c r="K2275" s="68" t="b">
        <v>1</v>
      </c>
    </row>
    <row r="2276">
      <c r="A2276" s="75">
        <v>2270.0</v>
      </c>
      <c r="B2276" s="62" t="s">
        <v>1306</v>
      </c>
      <c r="C2276" s="62" t="s">
        <v>110</v>
      </c>
      <c r="D2276" s="62" t="s">
        <v>1367</v>
      </c>
      <c r="E2276" s="76">
        <v>43908.0</v>
      </c>
      <c r="F2276" s="77">
        <v>0.0625</v>
      </c>
      <c r="G2276" s="62" t="b">
        <v>1</v>
      </c>
      <c r="H2276" s="78" t="b">
        <f>IF(VLOOKUP(C2276,Projetos!A:L,12,false)=TRUE,TRUE,FALSE)</f>
        <v>1</v>
      </c>
      <c r="I2276" s="68">
        <v>37.66052106481481</v>
      </c>
      <c r="J2276" s="68">
        <f t="shared" si="1"/>
        <v>56.4907816</v>
      </c>
      <c r="K2276" s="68" t="b">
        <v>1</v>
      </c>
    </row>
    <row r="2277">
      <c r="A2277" s="75">
        <v>2271.0</v>
      </c>
      <c r="B2277" s="62" t="s">
        <v>1306</v>
      </c>
      <c r="C2277" s="62" t="s">
        <v>110</v>
      </c>
      <c r="D2277" s="62" t="s">
        <v>1391</v>
      </c>
      <c r="E2277" s="76">
        <v>43910.0</v>
      </c>
      <c r="F2277" s="77">
        <v>0.125</v>
      </c>
      <c r="G2277" s="62" t="b">
        <v>1</v>
      </c>
      <c r="H2277" s="78" t="b">
        <f>IF(VLOOKUP(C2277,Projetos!A:L,12,false)=TRUE,TRUE,FALSE)</f>
        <v>1</v>
      </c>
      <c r="I2277" s="68">
        <v>37.66052106481481</v>
      </c>
      <c r="J2277" s="68">
        <f t="shared" si="1"/>
        <v>112.9815632</v>
      </c>
      <c r="K2277" s="68" t="b">
        <v>1</v>
      </c>
    </row>
    <row r="2278" hidden="1">
      <c r="A2278" s="75">
        <v>2272.0</v>
      </c>
      <c r="B2278" s="62" t="s">
        <v>1306</v>
      </c>
      <c r="C2278" s="62" t="s">
        <v>110</v>
      </c>
      <c r="D2278" s="62" t="s">
        <v>1363</v>
      </c>
      <c r="E2278" s="76">
        <v>43920.0</v>
      </c>
      <c r="F2278" s="77">
        <v>0.11458333333333333</v>
      </c>
      <c r="G2278" s="62" t="b">
        <v>0</v>
      </c>
      <c r="H2278" s="78" t="b">
        <f>IF(VLOOKUP(C2278,Projetos!A:L,12,false)=TRUE,TRUE,FALSE)</f>
        <v>1</v>
      </c>
      <c r="I2278" s="68">
        <v>37.66052106481481</v>
      </c>
      <c r="J2278" s="68">
        <f t="shared" si="1"/>
        <v>0</v>
      </c>
      <c r="K2278" s="68" t="b">
        <v>1</v>
      </c>
    </row>
    <row r="2279">
      <c r="A2279" s="75">
        <v>2273.0</v>
      </c>
      <c r="B2279" s="62" t="s">
        <v>1306</v>
      </c>
      <c r="C2279" s="62" t="s">
        <v>110</v>
      </c>
      <c r="D2279" s="62" t="s">
        <v>1359</v>
      </c>
      <c r="E2279" s="76">
        <v>43921.0</v>
      </c>
      <c r="F2279" s="77">
        <v>0.041666666666666664</v>
      </c>
      <c r="G2279" s="62" t="b">
        <v>1</v>
      </c>
      <c r="H2279" s="78" t="b">
        <f>IF(VLOOKUP(C2279,Projetos!A:L,12,false)=TRUE,TRUE,FALSE)</f>
        <v>1</v>
      </c>
      <c r="I2279" s="68">
        <v>37.66052106481481</v>
      </c>
      <c r="J2279" s="68">
        <f t="shared" si="1"/>
        <v>37.66052106</v>
      </c>
      <c r="K2279" s="68" t="b">
        <v>1</v>
      </c>
    </row>
    <row r="2280">
      <c r="A2280" s="75">
        <v>2274.0</v>
      </c>
      <c r="B2280" s="62" t="s">
        <v>1306</v>
      </c>
      <c r="C2280" s="62" t="s">
        <v>115</v>
      </c>
      <c r="D2280" s="62" t="s">
        <v>1339</v>
      </c>
      <c r="E2280" s="76">
        <v>43900.0</v>
      </c>
      <c r="F2280" s="77">
        <v>0.10416666666666667</v>
      </c>
      <c r="G2280" s="62" t="b">
        <v>1</v>
      </c>
      <c r="H2280" s="78" t="b">
        <f>IF(VLOOKUP(C2280,Projetos!A:L,12,false)=TRUE,TRUE,FALSE)</f>
        <v>1</v>
      </c>
      <c r="I2280" s="68">
        <v>37.66052106481481</v>
      </c>
      <c r="J2280" s="68">
        <f t="shared" si="1"/>
        <v>94.15130266</v>
      </c>
      <c r="K2280" s="68" t="b">
        <v>1</v>
      </c>
    </row>
    <row r="2281">
      <c r="A2281" s="75">
        <v>2275.0</v>
      </c>
      <c r="B2281" s="62" t="s">
        <v>1306</v>
      </c>
      <c r="C2281" s="62" t="s">
        <v>138</v>
      </c>
      <c r="D2281" s="62" t="s">
        <v>1364</v>
      </c>
      <c r="E2281" s="76">
        <v>43922.0</v>
      </c>
      <c r="F2281" s="77">
        <v>0.041666666666666664</v>
      </c>
      <c r="G2281" s="62" t="b">
        <v>1</v>
      </c>
      <c r="H2281" s="78" t="b">
        <f>IF(VLOOKUP(C2281,Projetos!A:L,12,false)=TRUE,TRUE,FALSE)</f>
        <v>1</v>
      </c>
      <c r="I2281" s="68">
        <v>35.94867919823232</v>
      </c>
      <c r="J2281" s="68">
        <f t="shared" si="1"/>
        <v>35.9486792</v>
      </c>
      <c r="K2281" s="68" t="b">
        <v>1</v>
      </c>
    </row>
    <row r="2282">
      <c r="A2282" s="75">
        <v>2276.0</v>
      </c>
      <c r="B2282" s="62" t="s">
        <v>1306</v>
      </c>
      <c r="C2282" s="62" t="s">
        <v>138</v>
      </c>
      <c r="D2282" s="62" t="s">
        <v>1364</v>
      </c>
      <c r="E2282" s="76">
        <v>43924.0</v>
      </c>
      <c r="F2282" s="77">
        <v>0.0625</v>
      </c>
      <c r="G2282" s="62" t="b">
        <v>1</v>
      </c>
      <c r="H2282" s="78" t="b">
        <f>IF(VLOOKUP(C2282,Projetos!A:L,12,false)=TRUE,TRUE,FALSE)</f>
        <v>1</v>
      </c>
      <c r="I2282" s="68">
        <v>35.94867919823232</v>
      </c>
      <c r="J2282" s="68">
        <f t="shared" si="1"/>
        <v>53.9230188</v>
      </c>
      <c r="K2282" s="68" t="b">
        <v>1</v>
      </c>
    </row>
    <row r="2283" hidden="1">
      <c r="A2283" s="75">
        <v>2277.0</v>
      </c>
      <c r="B2283" s="62" t="s">
        <v>1306</v>
      </c>
      <c r="C2283" s="62" t="s">
        <v>138</v>
      </c>
      <c r="D2283" s="62" t="s">
        <v>1392</v>
      </c>
      <c r="E2283" s="76">
        <v>43930.0</v>
      </c>
      <c r="F2283" s="77">
        <v>0.0625</v>
      </c>
      <c r="G2283" s="62" t="b">
        <v>0</v>
      </c>
      <c r="H2283" s="78" t="b">
        <f>IF(VLOOKUP(C2283,Projetos!A:L,12,false)=TRUE,TRUE,FALSE)</f>
        <v>1</v>
      </c>
      <c r="I2283" s="68">
        <v>35.94867919823232</v>
      </c>
      <c r="J2283" s="68">
        <f t="shared" si="1"/>
        <v>0</v>
      </c>
      <c r="K2283" s="68" t="b">
        <v>1</v>
      </c>
    </row>
    <row r="2284" hidden="1">
      <c r="A2284" s="75">
        <v>2278.0</v>
      </c>
      <c r="B2284" s="62" t="s">
        <v>1306</v>
      </c>
      <c r="C2284" s="62" t="s">
        <v>90</v>
      </c>
      <c r="D2284" s="62" t="s">
        <v>1393</v>
      </c>
      <c r="E2284" s="76">
        <v>43930.0</v>
      </c>
      <c r="F2284" s="77">
        <v>0.08333333333333333</v>
      </c>
      <c r="G2284" s="62" t="b">
        <v>0</v>
      </c>
      <c r="H2284" s="78" t="b">
        <f>IF(VLOOKUP(C2284,Projetos!A:L,12,false)=TRUE,TRUE,FALSE)</f>
        <v>1</v>
      </c>
      <c r="I2284" s="68">
        <v>35.94867919823232</v>
      </c>
      <c r="J2284" s="68">
        <f t="shared" si="1"/>
        <v>0</v>
      </c>
      <c r="K2284" s="68" t="b">
        <v>1</v>
      </c>
    </row>
    <row r="2285">
      <c r="A2285" s="75">
        <v>2279.0</v>
      </c>
      <c r="B2285" s="62" t="s">
        <v>1306</v>
      </c>
      <c r="C2285" s="62" t="s">
        <v>98</v>
      </c>
      <c r="D2285" s="62" t="s">
        <v>1394</v>
      </c>
      <c r="E2285" s="76">
        <v>43928.0</v>
      </c>
      <c r="F2285" s="77">
        <v>0.08333333333333333</v>
      </c>
      <c r="G2285" s="62" t="b">
        <v>1</v>
      </c>
      <c r="H2285" s="78" t="b">
        <f>IF(VLOOKUP(C2285,Projetos!A:L,12,false)=TRUE,TRUE,FALSE)</f>
        <v>1</v>
      </c>
      <c r="I2285" s="68">
        <v>35.94867919823232</v>
      </c>
      <c r="J2285" s="68">
        <f t="shared" si="1"/>
        <v>71.8973584</v>
      </c>
      <c r="K2285" s="68" t="b">
        <v>1</v>
      </c>
    </row>
    <row r="2286">
      <c r="A2286" s="75">
        <v>2280.0</v>
      </c>
      <c r="B2286" s="62" t="s">
        <v>1306</v>
      </c>
      <c r="C2286" s="62" t="s">
        <v>98</v>
      </c>
      <c r="D2286" s="62" t="s">
        <v>243</v>
      </c>
      <c r="E2286" s="76">
        <v>43929.0</v>
      </c>
      <c r="F2286" s="77">
        <v>0.041666666666666664</v>
      </c>
      <c r="G2286" s="62" t="b">
        <v>1</v>
      </c>
      <c r="H2286" s="78" t="b">
        <f>IF(VLOOKUP(C2286,Projetos!A:L,12,false)=TRUE,TRUE,FALSE)</f>
        <v>1</v>
      </c>
      <c r="I2286" s="68">
        <v>35.94867919823232</v>
      </c>
      <c r="J2286" s="68">
        <f t="shared" si="1"/>
        <v>35.9486792</v>
      </c>
      <c r="K2286" s="68" t="b">
        <v>1</v>
      </c>
    </row>
    <row r="2287">
      <c r="A2287" s="75">
        <v>2281.0</v>
      </c>
      <c r="B2287" s="62" t="s">
        <v>1306</v>
      </c>
      <c r="C2287" s="62" t="s">
        <v>100</v>
      </c>
      <c r="D2287" s="62" t="s">
        <v>1364</v>
      </c>
      <c r="E2287" s="76">
        <v>43922.0</v>
      </c>
      <c r="F2287" s="77">
        <v>0.08333333333333333</v>
      </c>
      <c r="G2287" s="62" t="b">
        <v>1</v>
      </c>
      <c r="H2287" s="78" t="b">
        <f>IF(VLOOKUP(C2287,Projetos!A:L,12,false)=TRUE,TRUE,FALSE)</f>
        <v>1</v>
      </c>
      <c r="I2287" s="68">
        <v>35.94867919823232</v>
      </c>
      <c r="J2287" s="68">
        <f t="shared" si="1"/>
        <v>71.8973584</v>
      </c>
      <c r="K2287" s="68" t="b">
        <v>1</v>
      </c>
    </row>
    <row r="2288">
      <c r="A2288" s="75">
        <v>2282.0</v>
      </c>
      <c r="B2288" s="62" t="s">
        <v>1306</v>
      </c>
      <c r="C2288" s="62" t="s">
        <v>100</v>
      </c>
      <c r="D2288" s="62" t="s">
        <v>1346</v>
      </c>
      <c r="E2288" s="76">
        <v>43924.0</v>
      </c>
      <c r="F2288" s="77">
        <v>0.020833333333333332</v>
      </c>
      <c r="G2288" s="62" t="b">
        <v>1</v>
      </c>
      <c r="H2288" s="78" t="b">
        <f>IF(VLOOKUP(C2288,Projetos!A:L,12,false)=TRUE,TRUE,FALSE)</f>
        <v>1</v>
      </c>
      <c r="I2288" s="68">
        <v>35.94867919823232</v>
      </c>
      <c r="J2288" s="68">
        <f t="shared" si="1"/>
        <v>17.9743396</v>
      </c>
      <c r="K2288" s="68" t="b">
        <v>1</v>
      </c>
    </row>
    <row r="2289">
      <c r="A2289" s="75">
        <v>2283.0</v>
      </c>
      <c r="B2289" s="62" t="s">
        <v>1306</v>
      </c>
      <c r="C2289" s="62" t="s">
        <v>100</v>
      </c>
      <c r="D2289" s="62" t="s">
        <v>1369</v>
      </c>
      <c r="E2289" s="76">
        <v>43924.0</v>
      </c>
      <c r="F2289" s="77">
        <v>0.041666666666666664</v>
      </c>
      <c r="G2289" s="62" t="b">
        <v>1</v>
      </c>
      <c r="H2289" s="78" t="b">
        <f>IF(VLOOKUP(C2289,Projetos!A:L,12,false)=TRUE,TRUE,FALSE)</f>
        <v>1</v>
      </c>
      <c r="I2289" s="68">
        <v>35.94867919823232</v>
      </c>
      <c r="J2289" s="68">
        <f t="shared" si="1"/>
        <v>35.9486792</v>
      </c>
      <c r="K2289" s="68" t="b">
        <v>1</v>
      </c>
    </row>
    <row r="2290">
      <c r="A2290" s="75">
        <v>2284.0</v>
      </c>
      <c r="B2290" s="62" t="s">
        <v>1306</v>
      </c>
      <c r="C2290" s="62" t="s">
        <v>100</v>
      </c>
      <c r="D2290" s="62" t="s">
        <v>1395</v>
      </c>
      <c r="E2290" s="76">
        <v>43927.0</v>
      </c>
      <c r="F2290" s="77">
        <v>0.020833333333333332</v>
      </c>
      <c r="G2290" s="62" t="b">
        <v>1</v>
      </c>
      <c r="H2290" s="78" t="b">
        <f>IF(VLOOKUP(C2290,Projetos!A:L,12,false)=TRUE,TRUE,FALSE)</f>
        <v>1</v>
      </c>
      <c r="I2290" s="68">
        <v>35.94867919823232</v>
      </c>
      <c r="J2290" s="68">
        <f t="shared" si="1"/>
        <v>17.9743396</v>
      </c>
      <c r="K2290" s="68" t="b">
        <v>1</v>
      </c>
    </row>
    <row r="2291">
      <c r="A2291" s="75">
        <v>2285.0</v>
      </c>
      <c r="B2291" s="62" t="s">
        <v>1306</v>
      </c>
      <c r="C2291" s="62" t="s">
        <v>100</v>
      </c>
      <c r="D2291" s="62" t="s">
        <v>1364</v>
      </c>
      <c r="E2291" s="76">
        <v>43927.0</v>
      </c>
      <c r="F2291" s="77">
        <v>0.041666666666666664</v>
      </c>
      <c r="G2291" s="62" t="b">
        <v>1</v>
      </c>
      <c r="H2291" s="78" t="b">
        <f>IF(VLOOKUP(C2291,Projetos!A:L,12,false)=TRUE,TRUE,FALSE)</f>
        <v>1</v>
      </c>
      <c r="I2291" s="68">
        <v>35.94867919823232</v>
      </c>
      <c r="J2291" s="68">
        <f t="shared" si="1"/>
        <v>35.9486792</v>
      </c>
      <c r="K2291" s="68" t="b">
        <v>1</v>
      </c>
    </row>
    <row r="2292">
      <c r="A2292" s="75">
        <v>2286.0</v>
      </c>
      <c r="B2292" s="62" t="s">
        <v>1306</v>
      </c>
      <c r="C2292" s="62" t="s">
        <v>100</v>
      </c>
      <c r="D2292" s="62" t="s">
        <v>1364</v>
      </c>
      <c r="E2292" s="76">
        <v>43928.0</v>
      </c>
      <c r="F2292" s="77">
        <v>0.03125</v>
      </c>
      <c r="G2292" s="62" t="b">
        <v>1</v>
      </c>
      <c r="H2292" s="78" t="b">
        <f>IF(VLOOKUP(C2292,Projetos!A:L,12,false)=TRUE,TRUE,FALSE)</f>
        <v>1</v>
      </c>
      <c r="I2292" s="68">
        <v>35.94867919823232</v>
      </c>
      <c r="J2292" s="68">
        <f t="shared" si="1"/>
        <v>26.9615094</v>
      </c>
      <c r="K2292" s="68" t="b">
        <v>1</v>
      </c>
    </row>
    <row r="2293">
      <c r="A2293" s="75">
        <v>2287.0</v>
      </c>
      <c r="B2293" s="62" t="s">
        <v>1306</v>
      </c>
      <c r="C2293" s="62" t="s">
        <v>100</v>
      </c>
      <c r="D2293" s="62" t="s">
        <v>1396</v>
      </c>
      <c r="E2293" s="76">
        <v>43929.0</v>
      </c>
      <c r="F2293" s="77">
        <v>0.041666666666666664</v>
      </c>
      <c r="G2293" s="62" t="b">
        <v>1</v>
      </c>
      <c r="H2293" s="78" t="b">
        <f>IF(VLOOKUP(C2293,Projetos!A:L,12,false)=TRUE,TRUE,FALSE)</f>
        <v>1</v>
      </c>
      <c r="I2293" s="68">
        <v>35.94867919823232</v>
      </c>
      <c r="J2293" s="68">
        <f t="shared" si="1"/>
        <v>35.9486792</v>
      </c>
      <c r="K2293" s="68" t="b">
        <v>1</v>
      </c>
    </row>
    <row r="2294">
      <c r="A2294" s="75">
        <v>2288.0</v>
      </c>
      <c r="B2294" s="62" t="s">
        <v>1306</v>
      </c>
      <c r="C2294" s="62" t="s">
        <v>103</v>
      </c>
      <c r="D2294" s="62" t="s">
        <v>1397</v>
      </c>
      <c r="E2294" s="76">
        <v>43923.0</v>
      </c>
      <c r="F2294" s="77">
        <v>0.03125</v>
      </c>
      <c r="G2294" s="62" t="b">
        <v>1</v>
      </c>
      <c r="H2294" s="78" t="b">
        <f>IF(VLOOKUP(C2294,Projetos!A:L,12,false)=TRUE,TRUE,FALSE)</f>
        <v>1</v>
      </c>
      <c r="I2294" s="68">
        <v>35.94867919823232</v>
      </c>
      <c r="J2294" s="68">
        <f t="shared" si="1"/>
        <v>26.9615094</v>
      </c>
      <c r="K2294" s="68" t="b">
        <v>1</v>
      </c>
    </row>
    <row r="2295">
      <c r="A2295" s="75">
        <v>2289.0</v>
      </c>
      <c r="B2295" s="62" t="s">
        <v>1306</v>
      </c>
      <c r="C2295" s="62" t="s">
        <v>103</v>
      </c>
      <c r="D2295" s="62" t="s">
        <v>1397</v>
      </c>
      <c r="E2295" s="76">
        <v>43924.0</v>
      </c>
      <c r="F2295" s="77">
        <v>0.0625</v>
      </c>
      <c r="G2295" s="62" t="b">
        <v>1</v>
      </c>
      <c r="H2295" s="78" t="b">
        <f>IF(VLOOKUP(C2295,Projetos!A:L,12,false)=TRUE,TRUE,FALSE)</f>
        <v>1</v>
      </c>
      <c r="I2295" s="68">
        <v>35.94867919823232</v>
      </c>
      <c r="J2295" s="68">
        <f t="shared" si="1"/>
        <v>53.9230188</v>
      </c>
      <c r="K2295" s="68" t="b">
        <v>1</v>
      </c>
    </row>
    <row r="2296">
      <c r="A2296" s="75">
        <v>2290.0</v>
      </c>
      <c r="B2296" s="62" t="s">
        <v>1306</v>
      </c>
      <c r="C2296" s="62" t="s">
        <v>103</v>
      </c>
      <c r="D2296" s="62" t="s">
        <v>1398</v>
      </c>
      <c r="E2296" s="76">
        <v>43924.0</v>
      </c>
      <c r="F2296" s="77">
        <v>0.041666666666666664</v>
      </c>
      <c r="G2296" s="62" t="b">
        <v>1</v>
      </c>
      <c r="H2296" s="78" t="b">
        <f>IF(VLOOKUP(C2296,Projetos!A:L,12,false)=TRUE,TRUE,FALSE)</f>
        <v>1</v>
      </c>
      <c r="I2296" s="68">
        <v>35.94867919823232</v>
      </c>
      <c r="J2296" s="68">
        <f t="shared" si="1"/>
        <v>35.9486792</v>
      </c>
      <c r="K2296" s="68" t="b">
        <v>1</v>
      </c>
    </row>
    <row r="2297">
      <c r="A2297" s="75">
        <v>2291.0</v>
      </c>
      <c r="B2297" s="62" t="s">
        <v>1306</v>
      </c>
      <c r="C2297" s="62" t="s">
        <v>103</v>
      </c>
      <c r="D2297" s="62" t="s">
        <v>1399</v>
      </c>
      <c r="E2297" s="76">
        <v>43929.0</v>
      </c>
      <c r="F2297" s="77">
        <v>0.041666666666666664</v>
      </c>
      <c r="G2297" s="62" t="b">
        <v>1</v>
      </c>
      <c r="H2297" s="78" t="b">
        <f>IF(VLOOKUP(C2297,Projetos!A:L,12,false)=TRUE,TRUE,FALSE)</f>
        <v>1</v>
      </c>
      <c r="I2297" s="68">
        <v>35.94867919823232</v>
      </c>
      <c r="J2297" s="68">
        <f t="shared" si="1"/>
        <v>35.9486792</v>
      </c>
      <c r="K2297" s="68" t="b">
        <v>1</v>
      </c>
    </row>
    <row r="2298">
      <c r="A2298" s="75">
        <v>2292.0</v>
      </c>
      <c r="B2298" s="62" t="s">
        <v>1306</v>
      </c>
      <c r="C2298" s="62" t="s">
        <v>103</v>
      </c>
      <c r="D2298" s="62" t="s">
        <v>1400</v>
      </c>
      <c r="E2298" s="76">
        <v>43929.0</v>
      </c>
      <c r="F2298" s="77">
        <v>0.041666666666666664</v>
      </c>
      <c r="G2298" s="62" t="b">
        <v>1</v>
      </c>
      <c r="H2298" s="78" t="b">
        <f>IF(VLOOKUP(C2298,Projetos!A:L,12,false)=TRUE,TRUE,FALSE)</f>
        <v>1</v>
      </c>
      <c r="I2298" s="68">
        <v>35.94867919823232</v>
      </c>
      <c r="J2298" s="68">
        <f t="shared" si="1"/>
        <v>35.9486792</v>
      </c>
      <c r="K2298" s="68" t="b">
        <v>1</v>
      </c>
    </row>
    <row r="2299">
      <c r="A2299" s="75">
        <v>2293.0</v>
      </c>
      <c r="B2299" s="62" t="s">
        <v>1306</v>
      </c>
      <c r="C2299" s="62" t="s">
        <v>103</v>
      </c>
      <c r="D2299" s="62" t="s">
        <v>1401</v>
      </c>
      <c r="E2299" s="76">
        <v>43930.0</v>
      </c>
      <c r="F2299" s="77">
        <v>0.0625</v>
      </c>
      <c r="G2299" s="62" t="b">
        <v>1</v>
      </c>
      <c r="H2299" s="78" t="b">
        <f>IF(VLOOKUP(C2299,Projetos!A:L,12,false)=TRUE,TRUE,FALSE)</f>
        <v>1</v>
      </c>
      <c r="I2299" s="68">
        <v>35.94867919823232</v>
      </c>
      <c r="J2299" s="68">
        <f t="shared" si="1"/>
        <v>53.9230188</v>
      </c>
      <c r="K2299" s="68" t="b">
        <v>1</v>
      </c>
    </row>
    <row r="2300">
      <c r="A2300" s="75">
        <v>2294.0</v>
      </c>
      <c r="B2300" s="62" t="s">
        <v>1306</v>
      </c>
      <c r="C2300" s="62" t="s">
        <v>104</v>
      </c>
      <c r="D2300" s="62" t="s">
        <v>1364</v>
      </c>
      <c r="E2300" s="76">
        <v>43922.0</v>
      </c>
      <c r="F2300" s="77">
        <v>0.041666666666666664</v>
      </c>
      <c r="G2300" s="62" t="b">
        <v>1</v>
      </c>
      <c r="H2300" s="78" t="b">
        <f>IF(VLOOKUP(C2300,Projetos!A:L,12,false)=TRUE,TRUE,FALSE)</f>
        <v>1</v>
      </c>
      <c r="I2300" s="68">
        <v>35.94867919823232</v>
      </c>
      <c r="J2300" s="68">
        <f t="shared" si="1"/>
        <v>35.9486792</v>
      </c>
      <c r="K2300" s="68" t="b">
        <v>1</v>
      </c>
    </row>
    <row r="2301">
      <c r="A2301" s="75">
        <v>2295.0</v>
      </c>
      <c r="B2301" s="62" t="s">
        <v>1306</v>
      </c>
      <c r="C2301" s="62" t="s">
        <v>104</v>
      </c>
      <c r="D2301" s="62" t="s">
        <v>1402</v>
      </c>
      <c r="E2301" s="76">
        <v>43927.0</v>
      </c>
      <c r="F2301" s="77">
        <v>0.08333333333333333</v>
      </c>
      <c r="G2301" s="62" t="b">
        <v>1</v>
      </c>
      <c r="H2301" s="78" t="b">
        <f>IF(VLOOKUP(C2301,Projetos!A:L,12,false)=TRUE,TRUE,FALSE)</f>
        <v>1</v>
      </c>
      <c r="I2301" s="68">
        <v>35.94867919823232</v>
      </c>
      <c r="J2301" s="68">
        <f t="shared" si="1"/>
        <v>71.8973584</v>
      </c>
      <c r="K2301" s="68" t="b">
        <v>1</v>
      </c>
    </row>
    <row r="2302">
      <c r="A2302" s="75">
        <v>2296.0</v>
      </c>
      <c r="B2302" s="62" t="s">
        <v>1306</v>
      </c>
      <c r="C2302" s="62" t="s">
        <v>104</v>
      </c>
      <c r="D2302" s="62" t="s">
        <v>1403</v>
      </c>
      <c r="E2302" s="76">
        <v>43928.0</v>
      </c>
      <c r="F2302" s="77">
        <v>0.041666666666666664</v>
      </c>
      <c r="G2302" s="62" t="b">
        <v>1</v>
      </c>
      <c r="H2302" s="78" t="b">
        <f>IF(VLOOKUP(C2302,Projetos!A:L,12,false)=TRUE,TRUE,FALSE)</f>
        <v>1</v>
      </c>
      <c r="I2302" s="68">
        <v>35.94867919823232</v>
      </c>
      <c r="J2302" s="68">
        <f t="shared" si="1"/>
        <v>35.9486792</v>
      </c>
      <c r="K2302" s="68" t="b">
        <v>1</v>
      </c>
    </row>
    <row r="2303">
      <c r="A2303" s="75">
        <v>2297.0</v>
      </c>
      <c r="B2303" s="62" t="s">
        <v>1306</v>
      </c>
      <c r="C2303" s="62" t="s">
        <v>104</v>
      </c>
      <c r="D2303" s="62" t="s">
        <v>1404</v>
      </c>
      <c r="E2303" s="76">
        <v>43928.0</v>
      </c>
      <c r="F2303" s="77">
        <v>0.0625</v>
      </c>
      <c r="G2303" s="62" t="b">
        <v>1</v>
      </c>
      <c r="H2303" s="78" t="b">
        <f>IF(VLOOKUP(C2303,Projetos!A:L,12,false)=TRUE,TRUE,FALSE)</f>
        <v>1</v>
      </c>
      <c r="I2303" s="68">
        <v>35.94867919823232</v>
      </c>
      <c r="J2303" s="68">
        <f t="shared" si="1"/>
        <v>53.9230188</v>
      </c>
      <c r="K2303" s="68" t="b">
        <v>1</v>
      </c>
    </row>
    <row r="2304">
      <c r="A2304" s="75">
        <v>2298.0</v>
      </c>
      <c r="B2304" s="62" t="s">
        <v>1306</v>
      </c>
      <c r="C2304" s="62" t="s">
        <v>104</v>
      </c>
      <c r="D2304" s="62" t="s">
        <v>1405</v>
      </c>
      <c r="E2304" s="76">
        <v>43929.0</v>
      </c>
      <c r="F2304" s="77">
        <v>0.03125</v>
      </c>
      <c r="G2304" s="62" t="b">
        <v>1</v>
      </c>
      <c r="H2304" s="78" t="b">
        <f>IF(VLOOKUP(C2304,Projetos!A:L,12,false)=TRUE,TRUE,FALSE)</f>
        <v>1</v>
      </c>
      <c r="I2304" s="68">
        <v>35.94867919823232</v>
      </c>
      <c r="J2304" s="68">
        <f t="shared" si="1"/>
        <v>26.9615094</v>
      </c>
      <c r="K2304" s="68" t="b">
        <v>1</v>
      </c>
    </row>
    <row r="2305">
      <c r="A2305" s="75">
        <v>2299.0</v>
      </c>
      <c r="B2305" s="62" t="s">
        <v>1306</v>
      </c>
      <c r="C2305" s="62" t="s">
        <v>104</v>
      </c>
      <c r="D2305" s="62" t="s">
        <v>1406</v>
      </c>
      <c r="E2305" s="76">
        <v>43929.0</v>
      </c>
      <c r="F2305" s="77">
        <v>0.041666666666666664</v>
      </c>
      <c r="G2305" s="62" t="b">
        <v>1</v>
      </c>
      <c r="H2305" s="78" t="b">
        <f>IF(VLOOKUP(C2305,Projetos!A:L,12,false)=TRUE,TRUE,FALSE)</f>
        <v>1</v>
      </c>
      <c r="I2305" s="68">
        <v>35.94867919823232</v>
      </c>
      <c r="J2305" s="68">
        <f t="shared" si="1"/>
        <v>35.9486792</v>
      </c>
      <c r="K2305" s="68" t="b">
        <v>1</v>
      </c>
    </row>
    <row r="2306">
      <c r="A2306" s="75">
        <v>2300.0</v>
      </c>
      <c r="B2306" s="62" t="s">
        <v>1306</v>
      </c>
      <c r="C2306" s="62" t="s">
        <v>104</v>
      </c>
      <c r="D2306" s="62" t="s">
        <v>1407</v>
      </c>
      <c r="E2306" s="76">
        <v>43929.0</v>
      </c>
      <c r="F2306" s="77">
        <v>0.0625</v>
      </c>
      <c r="G2306" s="62" t="b">
        <v>1</v>
      </c>
      <c r="H2306" s="78" t="b">
        <f>IF(VLOOKUP(C2306,Projetos!A:L,12,false)=TRUE,TRUE,FALSE)</f>
        <v>1</v>
      </c>
      <c r="I2306" s="68">
        <v>35.94867919823232</v>
      </c>
      <c r="J2306" s="68">
        <f t="shared" si="1"/>
        <v>53.9230188</v>
      </c>
      <c r="K2306" s="68" t="b">
        <v>1</v>
      </c>
    </row>
    <row r="2307">
      <c r="A2307" s="75">
        <v>2301.0</v>
      </c>
      <c r="B2307" s="62" t="s">
        <v>1306</v>
      </c>
      <c r="C2307" s="62" t="s">
        <v>104</v>
      </c>
      <c r="D2307" s="62" t="s">
        <v>1406</v>
      </c>
      <c r="E2307" s="76">
        <v>43930.0</v>
      </c>
      <c r="F2307" s="77">
        <v>0.0625</v>
      </c>
      <c r="G2307" s="62" t="b">
        <v>1</v>
      </c>
      <c r="H2307" s="78" t="b">
        <f>IF(VLOOKUP(C2307,Projetos!A:L,12,false)=TRUE,TRUE,FALSE)</f>
        <v>1</v>
      </c>
      <c r="I2307" s="68">
        <v>35.94867919823232</v>
      </c>
      <c r="J2307" s="68">
        <f t="shared" si="1"/>
        <v>53.9230188</v>
      </c>
      <c r="K2307" s="68" t="b">
        <v>1</v>
      </c>
    </row>
    <row r="2308">
      <c r="A2308" s="75">
        <v>2302.0</v>
      </c>
      <c r="B2308" s="62" t="s">
        <v>1306</v>
      </c>
      <c r="C2308" s="62" t="s">
        <v>105</v>
      </c>
      <c r="D2308" s="62" t="s">
        <v>243</v>
      </c>
      <c r="E2308" s="76">
        <v>43927.0</v>
      </c>
      <c r="F2308" s="77">
        <v>0.08333333333333333</v>
      </c>
      <c r="G2308" s="62" t="b">
        <v>1</v>
      </c>
      <c r="H2308" s="78" t="b">
        <f>IF(VLOOKUP(C2308,Projetos!A:L,12,false)=TRUE,TRUE,FALSE)</f>
        <v>1</v>
      </c>
      <c r="I2308" s="68">
        <v>35.94867919823232</v>
      </c>
      <c r="J2308" s="68">
        <f t="shared" si="1"/>
        <v>71.8973584</v>
      </c>
      <c r="K2308" s="68" t="b">
        <v>1</v>
      </c>
    </row>
    <row r="2309" hidden="1">
      <c r="A2309" s="75">
        <v>2303.0</v>
      </c>
      <c r="B2309" s="62" t="s">
        <v>1306</v>
      </c>
      <c r="C2309" s="62" t="s">
        <v>108</v>
      </c>
      <c r="D2309" s="62" t="s">
        <v>1364</v>
      </c>
      <c r="E2309" s="76">
        <v>43922.0</v>
      </c>
      <c r="F2309" s="77">
        <v>0.125</v>
      </c>
      <c r="G2309" s="62" t="b">
        <v>0</v>
      </c>
      <c r="H2309" s="78" t="b">
        <f>IF(VLOOKUP(C2309,Projetos!A:L,12,false)=TRUE,TRUE,FALSE)</f>
        <v>1</v>
      </c>
      <c r="I2309" s="68">
        <v>35.94867919823232</v>
      </c>
      <c r="J2309" s="68">
        <f t="shared" si="1"/>
        <v>0</v>
      </c>
      <c r="K2309" s="68" t="b">
        <v>1</v>
      </c>
    </row>
    <row r="2310" hidden="1">
      <c r="A2310" s="75">
        <v>2304.0</v>
      </c>
      <c r="B2310" s="62" t="s">
        <v>1306</v>
      </c>
      <c r="C2310" s="62" t="s">
        <v>108</v>
      </c>
      <c r="D2310" s="62" t="s">
        <v>1408</v>
      </c>
      <c r="E2310" s="76">
        <v>43923.0</v>
      </c>
      <c r="F2310" s="77">
        <v>0.16666666666666666</v>
      </c>
      <c r="G2310" s="62" t="b">
        <v>0</v>
      </c>
      <c r="H2310" s="78" t="b">
        <f>IF(VLOOKUP(C2310,Projetos!A:L,12,false)=TRUE,TRUE,FALSE)</f>
        <v>1</v>
      </c>
      <c r="I2310" s="68">
        <v>35.94867919823232</v>
      </c>
      <c r="J2310" s="68">
        <f t="shared" si="1"/>
        <v>0</v>
      </c>
      <c r="K2310" s="68" t="b">
        <v>1</v>
      </c>
    </row>
    <row r="2311" hidden="1">
      <c r="A2311" s="75">
        <v>2305.0</v>
      </c>
      <c r="B2311" s="62" t="s">
        <v>1306</v>
      </c>
      <c r="C2311" s="62" t="s">
        <v>108</v>
      </c>
      <c r="D2311" s="62" t="s">
        <v>1409</v>
      </c>
      <c r="E2311" s="76">
        <v>43924.0</v>
      </c>
      <c r="F2311" s="77">
        <v>0.07291666666666667</v>
      </c>
      <c r="G2311" s="62" t="b">
        <v>0</v>
      </c>
      <c r="H2311" s="78" t="b">
        <f>IF(VLOOKUP(C2311,Projetos!A:L,12,false)=TRUE,TRUE,FALSE)</f>
        <v>1</v>
      </c>
      <c r="I2311" s="68">
        <v>35.94867919823232</v>
      </c>
      <c r="J2311" s="68">
        <f t="shared" si="1"/>
        <v>0</v>
      </c>
      <c r="K2311" s="68" t="b">
        <v>1</v>
      </c>
    </row>
    <row r="2312" hidden="1">
      <c r="A2312" s="75">
        <v>2306.0</v>
      </c>
      <c r="B2312" s="62" t="s">
        <v>1306</v>
      </c>
      <c r="C2312" s="62" t="s">
        <v>108</v>
      </c>
      <c r="D2312" s="62" t="s">
        <v>1410</v>
      </c>
      <c r="E2312" s="76">
        <v>43924.0</v>
      </c>
      <c r="F2312" s="77">
        <v>0.0625</v>
      </c>
      <c r="G2312" s="62" t="b">
        <v>0</v>
      </c>
      <c r="H2312" s="78" t="b">
        <f>IF(VLOOKUP(C2312,Projetos!A:L,12,false)=TRUE,TRUE,FALSE)</f>
        <v>1</v>
      </c>
      <c r="I2312" s="68">
        <v>35.94867919823232</v>
      </c>
      <c r="J2312" s="68">
        <f t="shared" si="1"/>
        <v>0</v>
      </c>
      <c r="K2312" s="68" t="b">
        <v>1</v>
      </c>
    </row>
    <row r="2313" hidden="1">
      <c r="A2313" s="75">
        <v>2307.0</v>
      </c>
      <c r="B2313" s="62" t="s">
        <v>1306</v>
      </c>
      <c r="C2313" s="62" t="s">
        <v>108</v>
      </c>
      <c r="D2313" s="62" t="s">
        <v>1409</v>
      </c>
      <c r="E2313" s="76">
        <v>43927.0</v>
      </c>
      <c r="F2313" s="77">
        <v>0.041666666666666664</v>
      </c>
      <c r="G2313" s="62" t="b">
        <v>0</v>
      </c>
      <c r="H2313" s="78" t="b">
        <f>IF(VLOOKUP(C2313,Projetos!A:L,12,false)=TRUE,TRUE,FALSE)</f>
        <v>1</v>
      </c>
      <c r="I2313" s="68">
        <v>35.94867919823232</v>
      </c>
      <c r="J2313" s="68">
        <f t="shared" si="1"/>
        <v>0</v>
      </c>
      <c r="K2313" s="68" t="b">
        <v>1</v>
      </c>
    </row>
    <row r="2314" hidden="1">
      <c r="A2314" s="75">
        <v>2308.0</v>
      </c>
      <c r="B2314" s="62" t="s">
        <v>1306</v>
      </c>
      <c r="C2314" s="62" t="s">
        <v>108</v>
      </c>
      <c r="D2314" s="62" t="s">
        <v>1411</v>
      </c>
      <c r="E2314" s="76">
        <v>43927.0</v>
      </c>
      <c r="F2314" s="77">
        <v>0.041666666666666664</v>
      </c>
      <c r="G2314" s="62" t="b">
        <v>0</v>
      </c>
      <c r="H2314" s="78" t="b">
        <f>IF(VLOOKUP(C2314,Projetos!A:L,12,false)=TRUE,TRUE,FALSE)</f>
        <v>1</v>
      </c>
      <c r="I2314" s="68">
        <v>35.94867919823232</v>
      </c>
      <c r="J2314" s="68">
        <f t="shared" si="1"/>
        <v>0</v>
      </c>
      <c r="K2314" s="68" t="b">
        <v>1</v>
      </c>
    </row>
    <row r="2315" hidden="1">
      <c r="A2315" s="75">
        <v>2309.0</v>
      </c>
      <c r="B2315" s="62" t="s">
        <v>1306</v>
      </c>
      <c r="C2315" s="62" t="s">
        <v>108</v>
      </c>
      <c r="D2315" s="62" t="s">
        <v>1412</v>
      </c>
      <c r="E2315" s="76">
        <v>43927.0</v>
      </c>
      <c r="F2315" s="77">
        <v>0.03125</v>
      </c>
      <c r="G2315" s="62" t="b">
        <v>0</v>
      </c>
      <c r="H2315" s="78" t="b">
        <f>IF(VLOOKUP(C2315,Projetos!A:L,12,false)=TRUE,TRUE,FALSE)</f>
        <v>1</v>
      </c>
      <c r="I2315" s="68">
        <v>35.94867919823232</v>
      </c>
      <c r="J2315" s="68">
        <f t="shared" si="1"/>
        <v>0</v>
      </c>
      <c r="K2315" s="68" t="b">
        <v>1</v>
      </c>
    </row>
    <row r="2316" hidden="1">
      <c r="A2316" s="75">
        <v>2310.0</v>
      </c>
      <c r="B2316" s="62" t="s">
        <v>1306</v>
      </c>
      <c r="C2316" s="62" t="s">
        <v>108</v>
      </c>
      <c r="D2316" s="62" t="s">
        <v>243</v>
      </c>
      <c r="E2316" s="76">
        <v>43928.0</v>
      </c>
      <c r="F2316" s="77">
        <v>0.041666666666666664</v>
      </c>
      <c r="G2316" s="62" t="b">
        <v>0</v>
      </c>
      <c r="H2316" s="78" t="b">
        <f>IF(VLOOKUP(C2316,Projetos!A:L,12,false)=TRUE,TRUE,FALSE)</f>
        <v>1</v>
      </c>
      <c r="I2316" s="68">
        <v>35.94867919823232</v>
      </c>
      <c r="J2316" s="68">
        <f t="shared" si="1"/>
        <v>0</v>
      </c>
      <c r="K2316" s="68" t="b">
        <v>1</v>
      </c>
    </row>
    <row r="2317" hidden="1">
      <c r="A2317" s="75">
        <v>2311.0</v>
      </c>
      <c r="B2317" s="62" t="s">
        <v>1306</v>
      </c>
      <c r="C2317" s="62" t="s">
        <v>108</v>
      </c>
      <c r="D2317" s="62" t="s">
        <v>1413</v>
      </c>
      <c r="E2317" s="76">
        <v>43928.0</v>
      </c>
      <c r="F2317" s="77">
        <v>0.08333333333333333</v>
      </c>
      <c r="G2317" s="62" t="b">
        <v>0</v>
      </c>
      <c r="H2317" s="78" t="b">
        <f>IF(VLOOKUP(C2317,Projetos!A:L,12,false)=TRUE,TRUE,FALSE)</f>
        <v>1</v>
      </c>
      <c r="I2317" s="68">
        <v>35.94867919823232</v>
      </c>
      <c r="J2317" s="68">
        <f t="shared" si="1"/>
        <v>0</v>
      </c>
      <c r="K2317" s="68" t="b">
        <v>1</v>
      </c>
    </row>
    <row r="2318" hidden="1">
      <c r="A2318" s="75">
        <v>2312.0</v>
      </c>
      <c r="B2318" s="62" t="s">
        <v>1306</v>
      </c>
      <c r="C2318" s="62" t="s">
        <v>108</v>
      </c>
      <c r="D2318" s="62" t="s">
        <v>1414</v>
      </c>
      <c r="E2318" s="76">
        <v>43929.0</v>
      </c>
      <c r="F2318" s="77">
        <v>0.041666666666666664</v>
      </c>
      <c r="G2318" s="62" t="b">
        <v>0</v>
      </c>
      <c r="H2318" s="78" t="b">
        <f>IF(VLOOKUP(C2318,Projetos!A:L,12,false)=TRUE,TRUE,FALSE)</f>
        <v>1</v>
      </c>
      <c r="I2318" s="68">
        <v>35.94867919823232</v>
      </c>
      <c r="J2318" s="68">
        <f t="shared" si="1"/>
        <v>0</v>
      </c>
      <c r="K2318" s="68" t="b">
        <v>1</v>
      </c>
    </row>
    <row r="2319" hidden="1">
      <c r="A2319" s="75">
        <v>2313.0</v>
      </c>
      <c r="B2319" s="62" t="s">
        <v>1306</v>
      </c>
      <c r="C2319" s="62" t="s">
        <v>108</v>
      </c>
      <c r="D2319" s="62" t="s">
        <v>1392</v>
      </c>
      <c r="E2319" s="76">
        <v>43930.0</v>
      </c>
      <c r="F2319" s="77">
        <v>0.0625</v>
      </c>
      <c r="G2319" s="62" t="b">
        <v>0</v>
      </c>
      <c r="H2319" s="78" t="b">
        <f>IF(VLOOKUP(C2319,Projetos!A:L,12,false)=TRUE,TRUE,FALSE)</f>
        <v>1</v>
      </c>
      <c r="I2319" s="68">
        <v>35.94867919823232</v>
      </c>
      <c r="J2319" s="68">
        <f t="shared" si="1"/>
        <v>0</v>
      </c>
      <c r="K2319" s="68" t="b">
        <v>1</v>
      </c>
    </row>
    <row r="2320">
      <c r="A2320" s="75">
        <v>2314.0</v>
      </c>
      <c r="B2320" s="62" t="s">
        <v>1306</v>
      </c>
      <c r="C2320" s="62" t="s">
        <v>110</v>
      </c>
      <c r="D2320" s="62" t="s">
        <v>1346</v>
      </c>
      <c r="E2320" s="76">
        <v>43923.0</v>
      </c>
      <c r="F2320" s="77">
        <v>0.041666666666666664</v>
      </c>
      <c r="G2320" s="62" t="b">
        <v>1</v>
      </c>
      <c r="H2320" s="78" t="b">
        <f>IF(VLOOKUP(C2320,Projetos!A:L,12,false)=TRUE,TRUE,FALSE)</f>
        <v>1</v>
      </c>
      <c r="I2320" s="68">
        <v>35.94867919823232</v>
      </c>
      <c r="J2320" s="68">
        <f t="shared" si="1"/>
        <v>35.9486792</v>
      </c>
      <c r="K2320" s="68" t="b">
        <v>1</v>
      </c>
    </row>
    <row r="2321">
      <c r="A2321" s="75">
        <v>2315.0</v>
      </c>
      <c r="B2321" s="62" t="s">
        <v>1306</v>
      </c>
      <c r="C2321" s="62" t="s">
        <v>115</v>
      </c>
      <c r="D2321" s="62" t="s">
        <v>1415</v>
      </c>
      <c r="E2321" s="76">
        <v>43928.0</v>
      </c>
      <c r="F2321" s="77">
        <v>0.020833333333333332</v>
      </c>
      <c r="G2321" s="62" t="b">
        <v>1</v>
      </c>
      <c r="H2321" s="78" t="b">
        <f>IF(VLOOKUP(C2321,Projetos!A:L,12,false)=TRUE,TRUE,FALSE)</f>
        <v>1</v>
      </c>
      <c r="I2321" s="68">
        <v>35.94867919823232</v>
      </c>
      <c r="J2321" s="68">
        <f t="shared" si="1"/>
        <v>17.9743396</v>
      </c>
      <c r="K2321" s="68" t="b">
        <v>1</v>
      </c>
    </row>
    <row r="2322">
      <c r="A2322" s="75">
        <v>2316.0</v>
      </c>
      <c r="B2322" s="62" t="s">
        <v>1306</v>
      </c>
      <c r="C2322" s="62" t="s">
        <v>115</v>
      </c>
      <c r="D2322" s="62" t="s">
        <v>243</v>
      </c>
      <c r="E2322" s="76">
        <v>43930.0</v>
      </c>
      <c r="F2322" s="77">
        <v>0.020833333333333332</v>
      </c>
      <c r="G2322" s="62" t="b">
        <v>1</v>
      </c>
      <c r="H2322" s="78" t="b">
        <f>IF(VLOOKUP(C2322,Projetos!A:L,12,false)=TRUE,TRUE,FALSE)</f>
        <v>1</v>
      </c>
      <c r="I2322" s="68">
        <v>35.94867919823232</v>
      </c>
      <c r="J2322" s="68">
        <f t="shared" si="1"/>
        <v>17.9743396</v>
      </c>
      <c r="K2322" s="68" t="b">
        <v>1</v>
      </c>
    </row>
    <row r="2323" hidden="1">
      <c r="A2323" s="75">
        <v>2317.0</v>
      </c>
      <c r="B2323" s="62" t="s">
        <v>1306</v>
      </c>
      <c r="C2323" s="62" t="s">
        <v>116</v>
      </c>
      <c r="D2323" s="62" t="s">
        <v>1392</v>
      </c>
      <c r="E2323" s="76">
        <v>43930.0</v>
      </c>
      <c r="F2323" s="77">
        <v>0.041666666666666664</v>
      </c>
      <c r="G2323" s="62" t="b">
        <v>0</v>
      </c>
      <c r="H2323" s="78" t="b">
        <f>IF(VLOOKUP(C2323,Projetos!A:L,12,false)=TRUE,TRUE,FALSE)</f>
        <v>1</v>
      </c>
      <c r="I2323" s="68">
        <v>35.94867919823232</v>
      </c>
      <c r="J2323" s="68">
        <f t="shared" si="1"/>
        <v>0</v>
      </c>
      <c r="K2323" s="68" t="b">
        <v>1</v>
      </c>
    </row>
    <row r="2324">
      <c r="A2324" s="75">
        <v>2318.0</v>
      </c>
      <c r="B2324" s="62" t="s">
        <v>1306</v>
      </c>
      <c r="C2324" s="62" t="s">
        <v>138</v>
      </c>
      <c r="D2324" s="62" t="s">
        <v>1416</v>
      </c>
      <c r="E2324" s="76">
        <v>43965.0</v>
      </c>
      <c r="F2324" s="77">
        <v>0.041666666666666664</v>
      </c>
      <c r="G2324" s="62" t="b">
        <v>1</v>
      </c>
      <c r="H2324" s="78" t="b">
        <f>IF(VLOOKUP(C2324,Projetos!A:L,12,false)=TRUE,TRUE,FALSE)</f>
        <v>1</v>
      </c>
      <c r="I2324" s="68">
        <v>37.66052106481481</v>
      </c>
      <c r="J2324" s="68">
        <f t="shared" si="1"/>
        <v>37.66052106</v>
      </c>
      <c r="K2324" s="68" t="b">
        <v>1</v>
      </c>
    </row>
    <row r="2325" hidden="1">
      <c r="A2325" s="75">
        <v>2319.0</v>
      </c>
      <c r="B2325" s="62" t="s">
        <v>1306</v>
      </c>
      <c r="C2325" s="62" t="s">
        <v>138</v>
      </c>
      <c r="D2325" s="62" t="s">
        <v>1417</v>
      </c>
      <c r="E2325" s="76">
        <v>43976.0</v>
      </c>
      <c r="F2325" s="77">
        <v>0.07291666666666667</v>
      </c>
      <c r="G2325" s="62" t="b">
        <v>0</v>
      </c>
      <c r="H2325" s="78" t="b">
        <f>IF(VLOOKUP(C2325,Projetos!A:L,12,false)=TRUE,TRUE,FALSE)</f>
        <v>1</v>
      </c>
      <c r="I2325" s="68">
        <v>37.66052106481481</v>
      </c>
      <c r="J2325" s="68">
        <f t="shared" si="1"/>
        <v>0</v>
      </c>
      <c r="K2325" s="68" t="b">
        <v>1</v>
      </c>
    </row>
    <row r="2326">
      <c r="A2326" s="75">
        <v>2320.0</v>
      </c>
      <c r="B2326" s="62" t="s">
        <v>1306</v>
      </c>
      <c r="C2326" s="62" t="s">
        <v>138</v>
      </c>
      <c r="D2326" s="62" t="s">
        <v>1418</v>
      </c>
      <c r="E2326" s="76">
        <v>43976.0</v>
      </c>
      <c r="F2326" s="77">
        <v>0.041666666666666664</v>
      </c>
      <c r="G2326" s="62" t="b">
        <v>1</v>
      </c>
      <c r="H2326" s="78" t="b">
        <f>IF(VLOOKUP(C2326,Projetos!A:L,12,false)=TRUE,TRUE,FALSE)</f>
        <v>1</v>
      </c>
      <c r="I2326" s="68">
        <v>37.66052106481481</v>
      </c>
      <c r="J2326" s="68">
        <f t="shared" si="1"/>
        <v>37.66052106</v>
      </c>
      <c r="K2326" s="68" t="b">
        <v>1</v>
      </c>
    </row>
    <row r="2327">
      <c r="A2327" s="75">
        <v>2321.0</v>
      </c>
      <c r="B2327" s="62" t="s">
        <v>1306</v>
      </c>
      <c r="C2327" s="62" t="s">
        <v>138</v>
      </c>
      <c r="D2327" s="62" t="s">
        <v>1419</v>
      </c>
      <c r="E2327" s="76">
        <v>43980.0</v>
      </c>
      <c r="F2327" s="77">
        <v>0.020833333333333332</v>
      </c>
      <c r="G2327" s="62" t="b">
        <v>1</v>
      </c>
      <c r="H2327" s="78" t="b">
        <f>IF(VLOOKUP(C2327,Projetos!A:L,12,false)=TRUE,TRUE,FALSE)</f>
        <v>1</v>
      </c>
      <c r="I2327" s="68">
        <v>37.66052106481481</v>
      </c>
      <c r="J2327" s="68">
        <f t="shared" si="1"/>
        <v>18.83026053</v>
      </c>
      <c r="K2327" s="68" t="b">
        <v>1</v>
      </c>
    </row>
    <row r="2328" hidden="1">
      <c r="A2328" s="75">
        <v>2322.0</v>
      </c>
      <c r="B2328" s="62" t="s">
        <v>1306</v>
      </c>
      <c r="C2328" s="62" t="s">
        <v>83</v>
      </c>
      <c r="D2328" s="62" t="s">
        <v>1420</v>
      </c>
      <c r="E2328" s="76">
        <v>43966.0</v>
      </c>
      <c r="F2328" s="77">
        <v>0.0625</v>
      </c>
      <c r="G2328" s="62" t="b">
        <v>0</v>
      </c>
      <c r="H2328" s="78" t="b">
        <f>IF(VLOOKUP(C2328,Projetos!A:L,12,false)=TRUE,TRUE,FALSE)</f>
        <v>0</v>
      </c>
      <c r="I2328" s="68">
        <v>37.66052106481481</v>
      </c>
      <c r="J2328" s="68">
        <f t="shared" si="1"/>
        <v>0</v>
      </c>
      <c r="K2328" s="68" t="b">
        <v>0</v>
      </c>
    </row>
    <row r="2329">
      <c r="A2329" s="75">
        <v>2323.0</v>
      </c>
      <c r="B2329" s="62" t="s">
        <v>1306</v>
      </c>
      <c r="C2329" s="62" t="s">
        <v>90</v>
      </c>
      <c r="D2329" s="62" t="s">
        <v>1421</v>
      </c>
      <c r="E2329" s="76">
        <v>43964.0</v>
      </c>
      <c r="F2329" s="77">
        <v>0.041666666666666664</v>
      </c>
      <c r="G2329" s="62" t="b">
        <v>1</v>
      </c>
      <c r="H2329" s="78" t="b">
        <f>IF(VLOOKUP(C2329,Projetos!A:L,12,false)=TRUE,TRUE,FALSE)</f>
        <v>1</v>
      </c>
      <c r="I2329" s="68">
        <v>37.66052106481481</v>
      </c>
      <c r="J2329" s="68">
        <f t="shared" si="1"/>
        <v>37.66052106</v>
      </c>
      <c r="K2329" s="68" t="b">
        <v>1</v>
      </c>
    </row>
    <row r="2330">
      <c r="A2330" s="75">
        <v>2324.0</v>
      </c>
      <c r="B2330" s="62" t="s">
        <v>1306</v>
      </c>
      <c r="C2330" s="62" t="s">
        <v>90</v>
      </c>
      <c r="D2330" s="62" t="s">
        <v>243</v>
      </c>
      <c r="E2330" s="76">
        <v>43965.0</v>
      </c>
      <c r="F2330" s="77">
        <v>0.041666666666666664</v>
      </c>
      <c r="G2330" s="62" t="b">
        <v>1</v>
      </c>
      <c r="H2330" s="78" t="b">
        <f>IF(VLOOKUP(C2330,Projetos!A:L,12,false)=TRUE,TRUE,FALSE)</f>
        <v>1</v>
      </c>
      <c r="I2330" s="68">
        <v>37.66052106481481</v>
      </c>
      <c r="J2330" s="68">
        <f t="shared" si="1"/>
        <v>37.66052106</v>
      </c>
      <c r="K2330" s="68" t="b">
        <v>1</v>
      </c>
    </row>
    <row r="2331">
      <c r="A2331" s="75">
        <v>2325.0</v>
      </c>
      <c r="B2331" s="62" t="s">
        <v>1306</v>
      </c>
      <c r="C2331" s="62" t="s">
        <v>90</v>
      </c>
      <c r="D2331" s="62" t="s">
        <v>1422</v>
      </c>
      <c r="E2331" s="76">
        <v>43966.0</v>
      </c>
      <c r="F2331" s="77">
        <v>0.03125</v>
      </c>
      <c r="G2331" s="62" t="b">
        <v>1</v>
      </c>
      <c r="H2331" s="78" t="b">
        <f>IF(VLOOKUP(C2331,Projetos!A:L,12,false)=TRUE,TRUE,FALSE)</f>
        <v>1</v>
      </c>
      <c r="I2331" s="68">
        <v>37.66052106481481</v>
      </c>
      <c r="J2331" s="68">
        <f t="shared" si="1"/>
        <v>28.2453908</v>
      </c>
      <c r="K2331" s="68" t="b">
        <v>1</v>
      </c>
    </row>
    <row r="2332">
      <c r="A2332" s="75">
        <v>2326.0</v>
      </c>
      <c r="B2332" s="62" t="s">
        <v>1306</v>
      </c>
      <c r="C2332" s="62" t="s">
        <v>90</v>
      </c>
      <c r="D2332" s="62" t="s">
        <v>1423</v>
      </c>
      <c r="E2332" s="76">
        <v>43966.0</v>
      </c>
      <c r="F2332" s="77">
        <v>0.020833333333333332</v>
      </c>
      <c r="G2332" s="62" t="b">
        <v>1</v>
      </c>
      <c r="H2332" s="78" t="b">
        <f>IF(VLOOKUP(C2332,Projetos!A:L,12,false)=TRUE,TRUE,FALSE)</f>
        <v>1</v>
      </c>
      <c r="I2332" s="68">
        <v>37.66052106481481</v>
      </c>
      <c r="J2332" s="68">
        <f t="shared" si="1"/>
        <v>18.83026053</v>
      </c>
      <c r="K2332" s="68" t="b">
        <v>1</v>
      </c>
    </row>
    <row r="2333" hidden="1">
      <c r="A2333" s="75">
        <v>2327.0</v>
      </c>
      <c r="B2333" s="62" t="s">
        <v>1306</v>
      </c>
      <c r="C2333" s="62" t="s">
        <v>90</v>
      </c>
      <c r="D2333" s="62" t="s">
        <v>1424</v>
      </c>
      <c r="E2333" s="76">
        <v>43966.0</v>
      </c>
      <c r="F2333" s="77">
        <v>0.0625</v>
      </c>
      <c r="G2333" s="62" t="b">
        <v>0</v>
      </c>
      <c r="H2333" s="78" t="b">
        <f>IF(VLOOKUP(C2333,Projetos!A:L,12,false)=TRUE,TRUE,FALSE)</f>
        <v>1</v>
      </c>
      <c r="I2333" s="68">
        <v>37.66052106481481</v>
      </c>
      <c r="J2333" s="68">
        <f t="shared" si="1"/>
        <v>0</v>
      </c>
      <c r="K2333" s="68" t="b">
        <v>1</v>
      </c>
    </row>
    <row r="2334">
      <c r="A2334" s="75">
        <v>2328.0</v>
      </c>
      <c r="B2334" s="62" t="s">
        <v>1306</v>
      </c>
      <c r="C2334" s="62" t="s">
        <v>90</v>
      </c>
      <c r="D2334" s="62" t="s">
        <v>1423</v>
      </c>
      <c r="E2334" s="76">
        <v>43966.0</v>
      </c>
      <c r="F2334" s="77">
        <v>0.0625</v>
      </c>
      <c r="G2334" s="62" t="b">
        <v>1</v>
      </c>
      <c r="H2334" s="78" t="b">
        <f>IF(VLOOKUP(C2334,Projetos!A:L,12,false)=TRUE,TRUE,FALSE)</f>
        <v>1</v>
      </c>
      <c r="I2334" s="68">
        <v>37.66052106481481</v>
      </c>
      <c r="J2334" s="68">
        <f t="shared" si="1"/>
        <v>56.4907816</v>
      </c>
      <c r="K2334" s="68" t="b">
        <v>1</v>
      </c>
    </row>
    <row r="2335">
      <c r="A2335" s="75">
        <v>2329.0</v>
      </c>
      <c r="B2335" s="62" t="s">
        <v>1306</v>
      </c>
      <c r="C2335" s="62" t="s">
        <v>90</v>
      </c>
      <c r="D2335" s="62" t="s">
        <v>1423</v>
      </c>
      <c r="E2335" s="76">
        <v>43969.0</v>
      </c>
      <c r="F2335" s="77">
        <v>0.10416666666666667</v>
      </c>
      <c r="G2335" s="62" t="b">
        <v>1</v>
      </c>
      <c r="H2335" s="78" t="b">
        <f>IF(VLOOKUP(C2335,Projetos!A:L,12,false)=TRUE,TRUE,FALSE)</f>
        <v>1</v>
      </c>
      <c r="I2335" s="68">
        <v>37.66052106481481</v>
      </c>
      <c r="J2335" s="68">
        <f t="shared" si="1"/>
        <v>94.15130266</v>
      </c>
      <c r="K2335" s="68" t="b">
        <v>1</v>
      </c>
    </row>
    <row r="2336">
      <c r="A2336" s="75">
        <v>2330.0</v>
      </c>
      <c r="B2336" s="62" t="s">
        <v>1306</v>
      </c>
      <c r="C2336" s="62" t="s">
        <v>90</v>
      </c>
      <c r="D2336" s="62" t="s">
        <v>1423</v>
      </c>
      <c r="E2336" s="76">
        <v>43969.0</v>
      </c>
      <c r="F2336" s="77">
        <v>0.041666666666666664</v>
      </c>
      <c r="G2336" s="62" t="b">
        <v>1</v>
      </c>
      <c r="H2336" s="78" t="b">
        <f>IF(VLOOKUP(C2336,Projetos!A:L,12,false)=TRUE,TRUE,FALSE)</f>
        <v>1</v>
      </c>
      <c r="I2336" s="68">
        <v>37.66052106481481</v>
      </c>
      <c r="J2336" s="68">
        <f t="shared" si="1"/>
        <v>37.66052106</v>
      </c>
      <c r="K2336" s="68" t="b">
        <v>1</v>
      </c>
    </row>
    <row r="2337">
      <c r="A2337" s="75">
        <v>2331.0</v>
      </c>
      <c r="B2337" s="62" t="s">
        <v>1306</v>
      </c>
      <c r="C2337" s="62" t="s">
        <v>90</v>
      </c>
      <c r="D2337" s="62" t="s">
        <v>1425</v>
      </c>
      <c r="E2337" s="76">
        <v>43969.0</v>
      </c>
      <c r="F2337" s="77">
        <v>0.08333333333333333</v>
      </c>
      <c r="G2337" s="62" t="b">
        <v>1</v>
      </c>
      <c r="H2337" s="78" t="b">
        <f>IF(VLOOKUP(C2337,Projetos!A:L,12,false)=TRUE,TRUE,FALSE)</f>
        <v>1</v>
      </c>
      <c r="I2337" s="68">
        <v>37.66052106481481</v>
      </c>
      <c r="J2337" s="68">
        <f t="shared" si="1"/>
        <v>75.32104213</v>
      </c>
      <c r="K2337" s="68" t="b">
        <v>1</v>
      </c>
    </row>
    <row r="2338">
      <c r="A2338" s="75">
        <v>2332.0</v>
      </c>
      <c r="B2338" s="62" t="s">
        <v>1306</v>
      </c>
      <c r="C2338" s="62" t="s">
        <v>90</v>
      </c>
      <c r="D2338" s="62" t="s">
        <v>1426</v>
      </c>
      <c r="E2338" s="76">
        <v>43969.0</v>
      </c>
      <c r="F2338" s="77">
        <v>0.03125</v>
      </c>
      <c r="G2338" s="62" t="b">
        <v>1</v>
      </c>
      <c r="H2338" s="78" t="b">
        <f>IF(VLOOKUP(C2338,Projetos!A:L,12,false)=TRUE,TRUE,FALSE)</f>
        <v>1</v>
      </c>
      <c r="I2338" s="68">
        <v>37.66052106481481</v>
      </c>
      <c r="J2338" s="68">
        <f t="shared" si="1"/>
        <v>28.2453908</v>
      </c>
      <c r="K2338" s="68" t="b">
        <v>1</v>
      </c>
    </row>
    <row r="2339">
      <c r="A2339" s="75">
        <v>2333.0</v>
      </c>
      <c r="B2339" s="62" t="s">
        <v>1306</v>
      </c>
      <c r="C2339" s="62" t="s">
        <v>90</v>
      </c>
      <c r="D2339" s="62" t="s">
        <v>1427</v>
      </c>
      <c r="E2339" s="76">
        <v>43970.0</v>
      </c>
      <c r="F2339" s="77">
        <v>0.0625</v>
      </c>
      <c r="G2339" s="62" t="b">
        <v>1</v>
      </c>
      <c r="H2339" s="78" t="b">
        <f>IF(VLOOKUP(C2339,Projetos!A:L,12,false)=TRUE,TRUE,FALSE)</f>
        <v>1</v>
      </c>
      <c r="I2339" s="68">
        <v>37.66052106481481</v>
      </c>
      <c r="J2339" s="68">
        <f t="shared" si="1"/>
        <v>56.4907816</v>
      </c>
      <c r="K2339" s="68" t="b">
        <v>1</v>
      </c>
    </row>
    <row r="2340">
      <c r="A2340" s="75">
        <v>2334.0</v>
      </c>
      <c r="B2340" s="62" t="s">
        <v>1306</v>
      </c>
      <c r="C2340" s="62" t="s">
        <v>90</v>
      </c>
      <c r="D2340" s="62" t="s">
        <v>1428</v>
      </c>
      <c r="E2340" s="76">
        <v>43970.0</v>
      </c>
      <c r="F2340" s="77">
        <v>0.041666666666666664</v>
      </c>
      <c r="G2340" s="62" t="b">
        <v>1</v>
      </c>
      <c r="H2340" s="78" t="b">
        <f>IF(VLOOKUP(C2340,Projetos!A:L,12,false)=TRUE,TRUE,FALSE)</f>
        <v>1</v>
      </c>
      <c r="I2340" s="68">
        <v>37.66052106481481</v>
      </c>
      <c r="J2340" s="68">
        <f t="shared" si="1"/>
        <v>37.66052106</v>
      </c>
      <c r="K2340" s="68" t="b">
        <v>1</v>
      </c>
    </row>
    <row r="2341">
      <c r="A2341" s="75">
        <v>2335.0</v>
      </c>
      <c r="B2341" s="62" t="s">
        <v>1306</v>
      </c>
      <c r="C2341" s="62" t="s">
        <v>90</v>
      </c>
      <c r="D2341" s="62" t="s">
        <v>1429</v>
      </c>
      <c r="E2341" s="76">
        <v>43972.0</v>
      </c>
      <c r="F2341" s="77">
        <v>0.13541666666666666</v>
      </c>
      <c r="G2341" s="62" t="b">
        <v>1</v>
      </c>
      <c r="H2341" s="78" t="b">
        <f>IF(VLOOKUP(C2341,Projetos!A:L,12,false)=TRUE,TRUE,FALSE)</f>
        <v>1</v>
      </c>
      <c r="I2341" s="68">
        <v>37.66052106481481</v>
      </c>
      <c r="J2341" s="68">
        <f t="shared" si="1"/>
        <v>122.3966935</v>
      </c>
      <c r="K2341" s="68" t="b">
        <v>1</v>
      </c>
    </row>
    <row r="2342">
      <c r="A2342" s="75">
        <v>2336.0</v>
      </c>
      <c r="B2342" s="62" t="s">
        <v>1306</v>
      </c>
      <c r="C2342" s="62" t="s">
        <v>90</v>
      </c>
      <c r="D2342" s="62" t="s">
        <v>1430</v>
      </c>
      <c r="E2342" s="76">
        <v>43972.0</v>
      </c>
      <c r="F2342" s="77">
        <v>0.020833333333333332</v>
      </c>
      <c r="G2342" s="62" t="b">
        <v>1</v>
      </c>
      <c r="H2342" s="78" t="b">
        <f>IF(VLOOKUP(C2342,Projetos!A:L,12,false)=TRUE,TRUE,FALSE)</f>
        <v>1</v>
      </c>
      <c r="I2342" s="68">
        <v>37.66052106481481</v>
      </c>
      <c r="J2342" s="68">
        <f t="shared" si="1"/>
        <v>18.83026053</v>
      </c>
      <c r="K2342" s="68" t="b">
        <v>1</v>
      </c>
    </row>
    <row r="2343">
      <c r="A2343" s="75">
        <v>2337.0</v>
      </c>
      <c r="B2343" s="62" t="s">
        <v>1306</v>
      </c>
      <c r="C2343" s="62" t="s">
        <v>90</v>
      </c>
      <c r="D2343" s="62" t="s">
        <v>1431</v>
      </c>
      <c r="E2343" s="76">
        <v>43972.0</v>
      </c>
      <c r="F2343" s="77">
        <v>0.041666666666666664</v>
      </c>
      <c r="G2343" s="62" t="b">
        <v>1</v>
      </c>
      <c r="H2343" s="78" t="b">
        <f>IF(VLOOKUP(C2343,Projetos!A:L,12,false)=TRUE,TRUE,FALSE)</f>
        <v>1</v>
      </c>
      <c r="I2343" s="68">
        <v>37.66052106481481</v>
      </c>
      <c r="J2343" s="68">
        <f t="shared" si="1"/>
        <v>37.66052106</v>
      </c>
      <c r="K2343" s="68" t="b">
        <v>1</v>
      </c>
    </row>
    <row r="2344">
      <c r="A2344" s="75">
        <v>2338.0</v>
      </c>
      <c r="B2344" s="62" t="s">
        <v>1306</v>
      </c>
      <c r="C2344" s="62" t="s">
        <v>90</v>
      </c>
      <c r="D2344" s="62" t="s">
        <v>1422</v>
      </c>
      <c r="E2344" s="76">
        <v>43973.0</v>
      </c>
      <c r="F2344" s="77">
        <v>0.020833333333333332</v>
      </c>
      <c r="G2344" s="62" t="b">
        <v>1</v>
      </c>
      <c r="H2344" s="78" t="b">
        <f>IF(VLOOKUP(C2344,Projetos!A:L,12,false)=TRUE,TRUE,FALSE)</f>
        <v>1</v>
      </c>
      <c r="I2344" s="68">
        <v>37.66052106481481</v>
      </c>
      <c r="J2344" s="68">
        <f t="shared" si="1"/>
        <v>18.83026053</v>
      </c>
      <c r="K2344" s="68" t="b">
        <v>1</v>
      </c>
    </row>
    <row r="2345">
      <c r="A2345" s="75">
        <v>2339.0</v>
      </c>
      <c r="B2345" s="62" t="s">
        <v>1306</v>
      </c>
      <c r="C2345" s="62" t="s">
        <v>90</v>
      </c>
      <c r="D2345" s="62" t="s">
        <v>1432</v>
      </c>
      <c r="E2345" s="76">
        <v>43973.0</v>
      </c>
      <c r="F2345" s="77">
        <v>0.041666666666666664</v>
      </c>
      <c r="G2345" s="62" t="b">
        <v>1</v>
      </c>
      <c r="H2345" s="78" t="b">
        <f>IF(VLOOKUP(C2345,Projetos!A:L,12,false)=TRUE,TRUE,FALSE)</f>
        <v>1</v>
      </c>
      <c r="I2345" s="68">
        <v>37.66052106481481</v>
      </c>
      <c r="J2345" s="68">
        <f t="shared" si="1"/>
        <v>37.66052106</v>
      </c>
      <c r="K2345" s="68" t="b">
        <v>1</v>
      </c>
    </row>
    <row r="2346">
      <c r="A2346" s="75">
        <v>2340.0</v>
      </c>
      <c r="B2346" s="62" t="s">
        <v>1306</v>
      </c>
      <c r="C2346" s="62" t="s">
        <v>90</v>
      </c>
      <c r="D2346" s="62" t="s">
        <v>1433</v>
      </c>
      <c r="E2346" s="76">
        <v>43973.0</v>
      </c>
      <c r="F2346" s="77">
        <v>0.041666666666666664</v>
      </c>
      <c r="G2346" s="62" t="b">
        <v>1</v>
      </c>
      <c r="H2346" s="78" t="b">
        <f>IF(VLOOKUP(C2346,Projetos!A:L,12,false)=TRUE,TRUE,FALSE)</f>
        <v>1</v>
      </c>
      <c r="I2346" s="68">
        <v>37.66052106481481</v>
      </c>
      <c r="J2346" s="68">
        <f t="shared" si="1"/>
        <v>37.66052106</v>
      </c>
      <c r="K2346" s="68" t="b">
        <v>1</v>
      </c>
    </row>
    <row r="2347">
      <c r="A2347" s="75">
        <v>2341.0</v>
      </c>
      <c r="B2347" s="62" t="s">
        <v>1306</v>
      </c>
      <c r="C2347" s="62" t="s">
        <v>90</v>
      </c>
      <c r="D2347" s="62" t="s">
        <v>1434</v>
      </c>
      <c r="E2347" s="76">
        <v>43973.0</v>
      </c>
      <c r="F2347" s="77">
        <v>0.0625</v>
      </c>
      <c r="G2347" s="62" t="b">
        <v>1</v>
      </c>
      <c r="H2347" s="78" t="b">
        <f>IF(VLOOKUP(C2347,Projetos!A:L,12,false)=TRUE,TRUE,FALSE)</f>
        <v>1</v>
      </c>
      <c r="I2347" s="68">
        <v>37.66052106481481</v>
      </c>
      <c r="J2347" s="68">
        <f t="shared" si="1"/>
        <v>56.4907816</v>
      </c>
      <c r="K2347" s="68" t="b">
        <v>1</v>
      </c>
    </row>
    <row r="2348" hidden="1">
      <c r="A2348" s="75">
        <v>2342.0</v>
      </c>
      <c r="B2348" s="62" t="s">
        <v>1306</v>
      </c>
      <c r="C2348" s="62" t="s">
        <v>90</v>
      </c>
      <c r="D2348" s="62" t="s">
        <v>1435</v>
      </c>
      <c r="E2348" s="76">
        <v>43973.0</v>
      </c>
      <c r="F2348" s="77">
        <v>0.0625</v>
      </c>
      <c r="G2348" s="62" t="b">
        <v>0</v>
      </c>
      <c r="H2348" s="78" t="b">
        <f>IF(VLOOKUP(C2348,Projetos!A:L,12,false)=TRUE,TRUE,FALSE)</f>
        <v>1</v>
      </c>
      <c r="I2348" s="68">
        <v>37.66052106481481</v>
      </c>
      <c r="J2348" s="68">
        <f t="shared" si="1"/>
        <v>0</v>
      </c>
      <c r="K2348" s="68" t="b">
        <v>1</v>
      </c>
    </row>
    <row r="2349">
      <c r="A2349" s="75">
        <v>2343.0</v>
      </c>
      <c r="B2349" s="62" t="s">
        <v>1306</v>
      </c>
      <c r="C2349" s="62" t="s">
        <v>90</v>
      </c>
      <c r="D2349" s="62" t="s">
        <v>243</v>
      </c>
      <c r="E2349" s="76">
        <v>43976.0</v>
      </c>
      <c r="F2349" s="77">
        <v>0.0625</v>
      </c>
      <c r="G2349" s="62" t="b">
        <v>1</v>
      </c>
      <c r="H2349" s="78" t="b">
        <f>IF(VLOOKUP(C2349,Projetos!A:L,12,false)=TRUE,TRUE,FALSE)</f>
        <v>1</v>
      </c>
      <c r="I2349" s="68">
        <v>37.66052106481481</v>
      </c>
      <c r="J2349" s="68">
        <f t="shared" si="1"/>
        <v>56.4907816</v>
      </c>
      <c r="K2349" s="68" t="b">
        <v>1</v>
      </c>
    </row>
    <row r="2350" hidden="1">
      <c r="A2350" s="75">
        <v>2344.0</v>
      </c>
      <c r="B2350" s="62" t="s">
        <v>1306</v>
      </c>
      <c r="C2350" s="62" t="s">
        <v>90</v>
      </c>
      <c r="D2350" s="62" t="s">
        <v>1417</v>
      </c>
      <c r="E2350" s="76">
        <v>43976.0</v>
      </c>
      <c r="F2350" s="77">
        <v>0.020833333333333332</v>
      </c>
      <c r="G2350" s="62" t="b">
        <v>0</v>
      </c>
      <c r="H2350" s="78" t="b">
        <f>IF(VLOOKUP(C2350,Projetos!A:L,12,false)=TRUE,TRUE,FALSE)</f>
        <v>1</v>
      </c>
      <c r="I2350" s="68">
        <v>37.66052106481481</v>
      </c>
      <c r="J2350" s="68">
        <f t="shared" si="1"/>
        <v>0</v>
      </c>
      <c r="K2350" s="68" t="b">
        <v>1</v>
      </c>
    </row>
    <row r="2351">
      <c r="A2351" s="75">
        <v>2345.0</v>
      </c>
      <c r="B2351" s="62" t="s">
        <v>1306</v>
      </c>
      <c r="C2351" s="62" t="s">
        <v>90</v>
      </c>
      <c r="D2351" s="62" t="s">
        <v>1436</v>
      </c>
      <c r="E2351" s="76">
        <v>43979.0</v>
      </c>
      <c r="F2351" s="77">
        <v>0.041666666666666664</v>
      </c>
      <c r="G2351" s="62" t="b">
        <v>1</v>
      </c>
      <c r="H2351" s="78" t="b">
        <f>IF(VLOOKUP(C2351,Projetos!A:L,12,false)=TRUE,TRUE,FALSE)</f>
        <v>1</v>
      </c>
      <c r="I2351" s="68">
        <v>37.66052106481481</v>
      </c>
      <c r="J2351" s="68">
        <f t="shared" si="1"/>
        <v>37.66052106</v>
      </c>
      <c r="K2351" s="68" t="b">
        <v>1</v>
      </c>
    </row>
    <row r="2352">
      <c r="A2352" s="75">
        <v>2346.0</v>
      </c>
      <c r="B2352" s="62" t="s">
        <v>1306</v>
      </c>
      <c r="C2352" s="62" t="s">
        <v>90</v>
      </c>
      <c r="D2352" s="62" t="s">
        <v>1437</v>
      </c>
      <c r="E2352" s="76">
        <v>43979.0</v>
      </c>
      <c r="F2352" s="77">
        <v>0.041666666666666664</v>
      </c>
      <c r="G2352" s="62" t="b">
        <v>1</v>
      </c>
      <c r="H2352" s="78" t="b">
        <f>IF(VLOOKUP(C2352,Projetos!A:L,12,false)=TRUE,TRUE,FALSE)</f>
        <v>1</v>
      </c>
      <c r="I2352" s="68">
        <v>37.66052106481481</v>
      </c>
      <c r="J2352" s="68">
        <f t="shared" si="1"/>
        <v>37.66052106</v>
      </c>
      <c r="K2352" s="68" t="b">
        <v>1</v>
      </c>
    </row>
    <row r="2353">
      <c r="A2353" s="75">
        <v>2347.0</v>
      </c>
      <c r="B2353" s="62" t="s">
        <v>1306</v>
      </c>
      <c r="C2353" s="62" t="s">
        <v>90</v>
      </c>
      <c r="D2353" s="62" t="s">
        <v>1438</v>
      </c>
      <c r="E2353" s="76">
        <v>43979.0</v>
      </c>
      <c r="F2353" s="77">
        <v>0.020833333333333332</v>
      </c>
      <c r="G2353" s="62" t="b">
        <v>1</v>
      </c>
      <c r="H2353" s="78" t="b">
        <f>IF(VLOOKUP(C2353,Projetos!A:L,12,false)=TRUE,TRUE,FALSE)</f>
        <v>1</v>
      </c>
      <c r="I2353" s="68">
        <v>37.66052106481481</v>
      </c>
      <c r="J2353" s="68">
        <f t="shared" si="1"/>
        <v>18.83026053</v>
      </c>
      <c r="K2353" s="68" t="b">
        <v>1</v>
      </c>
    </row>
    <row r="2354">
      <c r="A2354" s="75">
        <v>2348.0</v>
      </c>
      <c r="B2354" s="62" t="s">
        <v>1306</v>
      </c>
      <c r="C2354" s="62" t="s">
        <v>90</v>
      </c>
      <c r="D2354" s="62" t="s">
        <v>1439</v>
      </c>
      <c r="E2354" s="76">
        <v>43980.0</v>
      </c>
      <c r="F2354" s="77">
        <v>0.0625</v>
      </c>
      <c r="G2354" s="62" t="b">
        <v>1</v>
      </c>
      <c r="H2354" s="78" t="b">
        <f>IF(VLOOKUP(C2354,Projetos!A:L,12,false)=TRUE,TRUE,FALSE)</f>
        <v>1</v>
      </c>
      <c r="I2354" s="68">
        <v>37.66052106481481</v>
      </c>
      <c r="J2354" s="68">
        <f t="shared" si="1"/>
        <v>56.4907816</v>
      </c>
      <c r="K2354" s="68" t="b">
        <v>1</v>
      </c>
    </row>
    <row r="2355">
      <c r="A2355" s="75">
        <v>2349.0</v>
      </c>
      <c r="B2355" s="62" t="s">
        <v>1306</v>
      </c>
      <c r="C2355" s="62" t="s">
        <v>97</v>
      </c>
      <c r="D2355" s="62" t="s">
        <v>243</v>
      </c>
      <c r="E2355" s="76">
        <v>43976.0</v>
      </c>
      <c r="F2355" s="77">
        <v>0.041666666666666664</v>
      </c>
      <c r="G2355" s="62" t="b">
        <v>1</v>
      </c>
      <c r="H2355" s="78" t="b">
        <f>IF(VLOOKUP(C2355,Projetos!A:L,12,false)=TRUE,TRUE,FALSE)</f>
        <v>1</v>
      </c>
      <c r="I2355" s="68">
        <v>37.66052106481481</v>
      </c>
      <c r="J2355" s="68">
        <f t="shared" si="1"/>
        <v>37.66052106</v>
      </c>
      <c r="K2355" s="68" t="b">
        <v>1</v>
      </c>
    </row>
    <row r="2356">
      <c r="A2356" s="75">
        <v>2350.0</v>
      </c>
      <c r="B2356" s="62" t="s">
        <v>1306</v>
      </c>
      <c r="C2356" s="62" t="s">
        <v>98</v>
      </c>
      <c r="D2356" s="62" t="s">
        <v>1440</v>
      </c>
      <c r="E2356" s="76">
        <v>43970.0</v>
      </c>
      <c r="F2356" s="77">
        <v>0.03125</v>
      </c>
      <c r="G2356" s="62" t="b">
        <v>1</v>
      </c>
      <c r="H2356" s="78" t="b">
        <f>IF(VLOOKUP(C2356,Projetos!A:L,12,false)=TRUE,TRUE,FALSE)</f>
        <v>1</v>
      </c>
      <c r="I2356" s="68">
        <v>37.66052106481481</v>
      </c>
      <c r="J2356" s="68">
        <f t="shared" si="1"/>
        <v>28.2453908</v>
      </c>
      <c r="K2356" s="68" t="b">
        <v>1</v>
      </c>
    </row>
    <row r="2357">
      <c r="A2357" s="75">
        <v>2351.0</v>
      </c>
      <c r="B2357" s="62" t="s">
        <v>1306</v>
      </c>
      <c r="C2357" s="62" t="s">
        <v>98</v>
      </c>
      <c r="D2357" s="62" t="s">
        <v>1346</v>
      </c>
      <c r="E2357" s="76">
        <v>43970.0</v>
      </c>
      <c r="F2357" s="77">
        <v>0.041666666666666664</v>
      </c>
      <c r="G2357" s="62" t="b">
        <v>1</v>
      </c>
      <c r="H2357" s="78" t="b">
        <f>IF(VLOOKUP(C2357,Projetos!A:L,12,false)=TRUE,TRUE,FALSE)</f>
        <v>1</v>
      </c>
      <c r="I2357" s="68">
        <v>37.66052106481481</v>
      </c>
      <c r="J2357" s="68">
        <f t="shared" si="1"/>
        <v>37.66052106</v>
      </c>
      <c r="K2357" s="68" t="b">
        <v>1</v>
      </c>
    </row>
    <row r="2358">
      <c r="A2358" s="75">
        <v>2352.0</v>
      </c>
      <c r="B2358" s="62" t="s">
        <v>1306</v>
      </c>
      <c r="C2358" s="62" t="s">
        <v>98</v>
      </c>
      <c r="D2358" s="62" t="s">
        <v>1441</v>
      </c>
      <c r="E2358" s="76">
        <v>43977.0</v>
      </c>
      <c r="F2358" s="77">
        <v>0.08333333333333333</v>
      </c>
      <c r="G2358" s="62" t="b">
        <v>1</v>
      </c>
      <c r="H2358" s="78" t="b">
        <f>IF(VLOOKUP(C2358,Projetos!A:L,12,false)=TRUE,TRUE,FALSE)</f>
        <v>1</v>
      </c>
      <c r="I2358" s="68">
        <v>37.66052106481481</v>
      </c>
      <c r="J2358" s="68">
        <f t="shared" si="1"/>
        <v>75.32104213</v>
      </c>
      <c r="K2358" s="68" t="b">
        <v>1</v>
      </c>
    </row>
    <row r="2359">
      <c r="A2359" s="75">
        <v>2353.0</v>
      </c>
      <c r="B2359" s="62" t="s">
        <v>1306</v>
      </c>
      <c r="C2359" s="62" t="s">
        <v>98</v>
      </c>
      <c r="D2359" s="62" t="s">
        <v>243</v>
      </c>
      <c r="E2359" s="76">
        <v>43978.0</v>
      </c>
      <c r="F2359" s="77">
        <v>0.041666666666666664</v>
      </c>
      <c r="G2359" s="62" t="b">
        <v>1</v>
      </c>
      <c r="H2359" s="78" t="b">
        <f>IF(VLOOKUP(C2359,Projetos!A:L,12,false)=TRUE,TRUE,FALSE)</f>
        <v>1</v>
      </c>
      <c r="I2359" s="68">
        <v>37.66052106481481</v>
      </c>
      <c r="J2359" s="68">
        <f t="shared" si="1"/>
        <v>37.66052106</v>
      </c>
      <c r="K2359" s="68" t="b">
        <v>1</v>
      </c>
    </row>
    <row r="2360">
      <c r="A2360" s="75">
        <v>2354.0</v>
      </c>
      <c r="B2360" s="62" t="s">
        <v>1306</v>
      </c>
      <c r="C2360" s="62" t="s">
        <v>100</v>
      </c>
      <c r="D2360" s="62" t="s">
        <v>1346</v>
      </c>
      <c r="E2360" s="76">
        <v>43971.0</v>
      </c>
      <c r="F2360" s="77">
        <v>0.020833333333333332</v>
      </c>
      <c r="G2360" s="62" t="b">
        <v>1</v>
      </c>
      <c r="H2360" s="78" t="b">
        <f>IF(VLOOKUP(C2360,Projetos!A:L,12,false)=TRUE,TRUE,FALSE)</f>
        <v>1</v>
      </c>
      <c r="I2360" s="68">
        <v>37.66052106481481</v>
      </c>
      <c r="J2360" s="68">
        <f t="shared" si="1"/>
        <v>18.83026053</v>
      </c>
      <c r="K2360" s="68" t="b">
        <v>1</v>
      </c>
    </row>
    <row r="2361">
      <c r="A2361" s="75">
        <v>2355.0</v>
      </c>
      <c r="B2361" s="62" t="s">
        <v>1306</v>
      </c>
      <c r="C2361" s="62" t="s">
        <v>101</v>
      </c>
      <c r="D2361" s="62" t="s">
        <v>1442</v>
      </c>
      <c r="E2361" s="76">
        <v>43965.0</v>
      </c>
      <c r="F2361" s="77">
        <v>0.020833333333333332</v>
      </c>
      <c r="G2361" s="62" t="b">
        <v>1</v>
      </c>
      <c r="H2361" s="78" t="b">
        <f>IF(VLOOKUP(C2361,Projetos!A:L,12,false)=TRUE,TRUE,FALSE)</f>
        <v>1</v>
      </c>
      <c r="I2361" s="68">
        <v>37.66052106481481</v>
      </c>
      <c r="J2361" s="68">
        <f t="shared" si="1"/>
        <v>18.83026053</v>
      </c>
      <c r="K2361" s="68" t="b">
        <v>1</v>
      </c>
    </row>
    <row r="2362">
      <c r="A2362" s="75">
        <v>2356.0</v>
      </c>
      <c r="B2362" s="62" t="s">
        <v>1306</v>
      </c>
      <c r="C2362" s="62" t="s">
        <v>103</v>
      </c>
      <c r="D2362" s="62" t="s">
        <v>1443</v>
      </c>
      <c r="E2362" s="76">
        <v>43964.0</v>
      </c>
      <c r="F2362" s="77">
        <v>0.08333333333333333</v>
      </c>
      <c r="G2362" s="62" t="b">
        <v>1</v>
      </c>
      <c r="H2362" s="78" t="b">
        <f>IF(VLOOKUP(C2362,Projetos!A:L,12,false)=TRUE,TRUE,FALSE)</f>
        <v>1</v>
      </c>
      <c r="I2362" s="68">
        <v>37.66052106481481</v>
      </c>
      <c r="J2362" s="68">
        <f t="shared" si="1"/>
        <v>75.32104213</v>
      </c>
      <c r="K2362" s="68" t="b">
        <v>1</v>
      </c>
    </row>
    <row r="2363">
      <c r="A2363" s="75">
        <v>2357.0</v>
      </c>
      <c r="B2363" s="62" t="s">
        <v>1306</v>
      </c>
      <c r="C2363" s="62" t="s">
        <v>103</v>
      </c>
      <c r="D2363" s="62" t="s">
        <v>1444</v>
      </c>
      <c r="E2363" s="76">
        <v>43966.0</v>
      </c>
      <c r="F2363" s="77">
        <v>0.041666666666666664</v>
      </c>
      <c r="G2363" s="62" t="b">
        <v>1</v>
      </c>
      <c r="H2363" s="78" t="b">
        <f>IF(VLOOKUP(C2363,Projetos!A:L,12,false)=TRUE,TRUE,FALSE)</f>
        <v>1</v>
      </c>
      <c r="I2363" s="68">
        <v>37.66052106481481</v>
      </c>
      <c r="J2363" s="68">
        <f t="shared" si="1"/>
        <v>37.66052106</v>
      </c>
      <c r="K2363" s="68" t="b">
        <v>1</v>
      </c>
    </row>
    <row r="2364">
      <c r="A2364" s="75">
        <v>2358.0</v>
      </c>
      <c r="B2364" s="62" t="s">
        <v>1306</v>
      </c>
      <c r="C2364" s="62" t="s">
        <v>103</v>
      </c>
      <c r="D2364" s="62" t="s">
        <v>1445</v>
      </c>
      <c r="E2364" s="76">
        <v>43973.0</v>
      </c>
      <c r="F2364" s="77">
        <v>0.020833333333333332</v>
      </c>
      <c r="G2364" s="62" t="b">
        <v>1</v>
      </c>
      <c r="H2364" s="78" t="b">
        <f>IF(VLOOKUP(C2364,Projetos!A:L,12,false)=TRUE,TRUE,FALSE)</f>
        <v>1</v>
      </c>
      <c r="I2364" s="68">
        <v>37.66052106481481</v>
      </c>
      <c r="J2364" s="68">
        <f t="shared" si="1"/>
        <v>18.83026053</v>
      </c>
      <c r="K2364" s="68" t="b">
        <v>1</v>
      </c>
    </row>
    <row r="2365">
      <c r="A2365" s="75">
        <v>2359.0</v>
      </c>
      <c r="B2365" s="62" t="s">
        <v>1306</v>
      </c>
      <c r="C2365" s="62" t="s">
        <v>103</v>
      </c>
      <c r="D2365" s="62" t="s">
        <v>1446</v>
      </c>
      <c r="E2365" s="76">
        <v>43973.0</v>
      </c>
      <c r="F2365" s="77">
        <v>0.0625</v>
      </c>
      <c r="G2365" s="62" t="b">
        <v>1</v>
      </c>
      <c r="H2365" s="78" t="b">
        <f>IF(VLOOKUP(C2365,Projetos!A:L,12,false)=TRUE,TRUE,FALSE)</f>
        <v>1</v>
      </c>
      <c r="I2365" s="68">
        <v>37.66052106481481</v>
      </c>
      <c r="J2365" s="68">
        <f t="shared" si="1"/>
        <v>56.4907816</v>
      </c>
      <c r="K2365" s="68" t="b">
        <v>1</v>
      </c>
    </row>
    <row r="2366">
      <c r="A2366" s="75">
        <v>2360.0</v>
      </c>
      <c r="B2366" s="62" t="s">
        <v>1306</v>
      </c>
      <c r="C2366" s="62" t="s">
        <v>103</v>
      </c>
      <c r="D2366" s="62" t="s">
        <v>1443</v>
      </c>
      <c r="E2366" s="76">
        <v>43977.0</v>
      </c>
      <c r="F2366" s="77">
        <v>0.07291666666666667</v>
      </c>
      <c r="G2366" s="62" t="b">
        <v>1</v>
      </c>
      <c r="H2366" s="78" t="b">
        <f>IF(VLOOKUP(C2366,Projetos!A:L,12,false)=TRUE,TRUE,FALSE)</f>
        <v>1</v>
      </c>
      <c r="I2366" s="68">
        <v>37.66052106481481</v>
      </c>
      <c r="J2366" s="68">
        <f t="shared" si="1"/>
        <v>65.90591186</v>
      </c>
      <c r="K2366" s="68" t="b">
        <v>1</v>
      </c>
    </row>
    <row r="2367">
      <c r="A2367" s="75">
        <v>2361.0</v>
      </c>
      <c r="B2367" s="62" t="s">
        <v>1306</v>
      </c>
      <c r="C2367" s="62" t="s">
        <v>103</v>
      </c>
      <c r="D2367" s="62" t="s">
        <v>1443</v>
      </c>
      <c r="E2367" s="76">
        <v>43978.0</v>
      </c>
      <c r="F2367" s="77">
        <v>0.041666666666666664</v>
      </c>
      <c r="G2367" s="62" t="b">
        <v>1</v>
      </c>
      <c r="H2367" s="78" t="b">
        <f>IF(VLOOKUP(C2367,Projetos!A:L,12,false)=TRUE,TRUE,FALSE)</f>
        <v>1</v>
      </c>
      <c r="I2367" s="68">
        <v>37.66052106481481</v>
      </c>
      <c r="J2367" s="68">
        <f t="shared" si="1"/>
        <v>37.66052106</v>
      </c>
      <c r="K2367" s="68" t="b">
        <v>1</v>
      </c>
    </row>
    <row r="2368">
      <c r="A2368" s="75">
        <v>2362.0</v>
      </c>
      <c r="B2368" s="62" t="s">
        <v>1306</v>
      </c>
      <c r="C2368" s="62" t="s">
        <v>103</v>
      </c>
      <c r="D2368" s="62" t="s">
        <v>1443</v>
      </c>
      <c r="E2368" s="76">
        <v>43979.0</v>
      </c>
      <c r="F2368" s="77">
        <v>0.041666666666666664</v>
      </c>
      <c r="G2368" s="62" t="b">
        <v>1</v>
      </c>
      <c r="H2368" s="78" t="b">
        <f>IF(VLOOKUP(C2368,Projetos!A:L,12,false)=TRUE,TRUE,FALSE)</f>
        <v>1</v>
      </c>
      <c r="I2368" s="68">
        <v>37.66052106481481</v>
      </c>
      <c r="J2368" s="68">
        <f t="shared" si="1"/>
        <v>37.66052106</v>
      </c>
      <c r="K2368" s="68" t="b">
        <v>1</v>
      </c>
    </row>
    <row r="2369">
      <c r="A2369" s="75">
        <v>2363.0</v>
      </c>
      <c r="B2369" s="62" t="s">
        <v>1306</v>
      </c>
      <c r="C2369" s="62" t="s">
        <v>103</v>
      </c>
      <c r="D2369" s="62" t="s">
        <v>1443</v>
      </c>
      <c r="E2369" s="76">
        <v>43980.0</v>
      </c>
      <c r="F2369" s="77">
        <v>0.03125</v>
      </c>
      <c r="G2369" s="62" t="b">
        <v>1</v>
      </c>
      <c r="H2369" s="78" t="b">
        <f>IF(VLOOKUP(C2369,Projetos!A:L,12,false)=TRUE,TRUE,FALSE)</f>
        <v>1</v>
      </c>
      <c r="I2369" s="68">
        <v>37.66052106481481</v>
      </c>
      <c r="J2369" s="68">
        <f t="shared" si="1"/>
        <v>28.2453908</v>
      </c>
      <c r="K2369" s="68" t="b">
        <v>1</v>
      </c>
    </row>
    <row r="2370">
      <c r="A2370" s="75">
        <v>2364.0</v>
      </c>
      <c r="B2370" s="62" t="s">
        <v>1306</v>
      </c>
      <c r="C2370" s="62" t="s">
        <v>103</v>
      </c>
      <c r="D2370" s="62" t="s">
        <v>1447</v>
      </c>
      <c r="E2370" s="76">
        <v>43980.0</v>
      </c>
      <c r="F2370" s="77">
        <v>0.0625</v>
      </c>
      <c r="G2370" s="62" t="b">
        <v>1</v>
      </c>
      <c r="H2370" s="78" t="b">
        <f>IF(VLOOKUP(C2370,Projetos!A:L,12,false)=TRUE,TRUE,FALSE)</f>
        <v>1</v>
      </c>
      <c r="I2370" s="68">
        <v>37.66052106481481</v>
      </c>
      <c r="J2370" s="68">
        <f t="shared" si="1"/>
        <v>56.4907816</v>
      </c>
      <c r="K2370" s="68" t="b">
        <v>1</v>
      </c>
    </row>
    <row r="2371">
      <c r="A2371" s="75">
        <v>2365.0</v>
      </c>
      <c r="B2371" s="62" t="s">
        <v>1306</v>
      </c>
      <c r="C2371" s="62" t="s">
        <v>104</v>
      </c>
      <c r="D2371" s="62" t="s">
        <v>1448</v>
      </c>
      <c r="E2371" s="76">
        <v>43964.0</v>
      </c>
      <c r="F2371" s="77">
        <v>0.03125</v>
      </c>
      <c r="G2371" s="62" t="b">
        <v>1</v>
      </c>
      <c r="H2371" s="78" t="b">
        <f>IF(VLOOKUP(C2371,Projetos!A:L,12,false)=TRUE,TRUE,FALSE)</f>
        <v>1</v>
      </c>
      <c r="I2371" s="68">
        <v>37.66052106481481</v>
      </c>
      <c r="J2371" s="68">
        <f t="shared" si="1"/>
        <v>28.2453908</v>
      </c>
      <c r="K2371" s="68" t="b">
        <v>1</v>
      </c>
    </row>
    <row r="2372">
      <c r="A2372" s="75">
        <v>2366.0</v>
      </c>
      <c r="B2372" s="62" t="s">
        <v>1306</v>
      </c>
      <c r="C2372" s="62" t="s">
        <v>104</v>
      </c>
      <c r="D2372" s="62" t="s">
        <v>1449</v>
      </c>
      <c r="E2372" s="76">
        <v>43964.0</v>
      </c>
      <c r="F2372" s="77">
        <v>0.041666666666666664</v>
      </c>
      <c r="G2372" s="62" t="b">
        <v>1</v>
      </c>
      <c r="H2372" s="78" t="b">
        <f>IF(VLOOKUP(C2372,Projetos!A:L,12,false)=TRUE,TRUE,FALSE)</f>
        <v>1</v>
      </c>
      <c r="I2372" s="68">
        <v>37.66052106481481</v>
      </c>
      <c r="J2372" s="68">
        <f t="shared" si="1"/>
        <v>37.66052106</v>
      </c>
      <c r="K2372" s="68" t="b">
        <v>1</v>
      </c>
    </row>
    <row r="2373">
      <c r="A2373" s="75">
        <v>2367.0</v>
      </c>
      <c r="B2373" s="62" t="s">
        <v>1306</v>
      </c>
      <c r="C2373" s="62" t="s">
        <v>104</v>
      </c>
      <c r="D2373" s="62" t="s">
        <v>1450</v>
      </c>
      <c r="E2373" s="76">
        <v>43965.0</v>
      </c>
      <c r="F2373" s="77">
        <v>0.03125</v>
      </c>
      <c r="G2373" s="62" t="b">
        <v>1</v>
      </c>
      <c r="H2373" s="78" t="b">
        <f>IF(VLOOKUP(C2373,Projetos!A:L,12,false)=TRUE,TRUE,FALSE)</f>
        <v>1</v>
      </c>
      <c r="I2373" s="68">
        <v>37.66052106481481</v>
      </c>
      <c r="J2373" s="68">
        <f t="shared" si="1"/>
        <v>28.2453908</v>
      </c>
      <c r="K2373" s="68" t="b">
        <v>1</v>
      </c>
    </row>
    <row r="2374">
      <c r="A2374" s="75">
        <v>2368.0</v>
      </c>
      <c r="B2374" s="62" t="s">
        <v>1306</v>
      </c>
      <c r="C2374" s="62" t="s">
        <v>104</v>
      </c>
      <c r="D2374" s="62" t="s">
        <v>243</v>
      </c>
      <c r="E2374" s="76">
        <v>43965.0</v>
      </c>
      <c r="F2374" s="77">
        <v>0.041666666666666664</v>
      </c>
      <c r="G2374" s="62" t="b">
        <v>1</v>
      </c>
      <c r="H2374" s="78" t="b">
        <f>IF(VLOOKUP(C2374,Projetos!A:L,12,false)=TRUE,TRUE,FALSE)</f>
        <v>1</v>
      </c>
      <c r="I2374" s="68">
        <v>37.66052106481481</v>
      </c>
      <c r="J2374" s="68">
        <f t="shared" si="1"/>
        <v>37.66052106</v>
      </c>
      <c r="K2374" s="68" t="b">
        <v>1</v>
      </c>
    </row>
    <row r="2375">
      <c r="A2375" s="75">
        <v>2369.0</v>
      </c>
      <c r="B2375" s="62" t="s">
        <v>1306</v>
      </c>
      <c r="C2375" s="62" t="s">
        <v>104</v>
      </c>
      <c r="D2375" s="62" t="s">
        <v>1451</v>
      </c>
      <c r="E2375" s="76">
        <v>43965.0</v>
      </c>
      <c r="F2375" s="77">
        <v>0.041666666666666664</v>
      </c>
      <c r="G2375" s="62" t="b">
        <v>1</v>
      </c>
      <c r="H2375" s="78" t="b">
        <f>IF(VLOOKUP(C2375,Projetos!A:L,12,false)=TRUE,TRUE,FALSE)</f>
        <v>1</v>
      </c>
      <c r="I2375" s="68">
        <v>37.66052106481481</v>
      </c>
      <c r="J2375" s="68">
        <f t="shared" si="1"/>
        <v>37.66052106</v>
      </c>
      <c r="K2375" s="68" t="b">
        <v>1</v>
      </c>
    </row>
    <row r="2376">
      <c r="A2376" s="75">
        <v>2370.0</v>
      </c>
      <c r="B2376" s="62" t="s">
        <v>1306</v>
      </c>
      <c r="C2376" s="62" t="s">
        <v>104</v>
      </c>
      <c r="D2376" s="62" t="s">
        <v>1452</v>
      </c>
      <c r="E2376" s="76">
        <v>43966.0</v>
      </c>
      <c r="F2376" s="77">
        <v>0.020833333333333332</v>
      </c>
      <c r="G2376" s="62" t="b">
        <v>1</v>
      </c>
      <c r="H2376" s="78" t="b">
        <f>IF(VLOOKUP(C2376,Projetos!A:L,12,false)=TRUE,TRUE,FALSE)</f>
        <v>1</v>
      </c>
      <c r="I2376" s="68">
        <v>37.66052106481481</v>
      </c>
      <c r="J2376" s="68">
        <f t="shared" si="1"/>
        <v>18.83026053</v>
      </c>
      <c r="K2376" s="68" t="b">
        <v>1</v>
      </c>
    </row>
    <row r="2377">
      <c r="A2377" s="75">
        <v>2371.0</v>
      </c>
      <c r="B2377" s="62" t="s">
        <v>1306</v>
      </c>
      <c r="C2377" s="62" t="s">
        <v>104</v>
      </c>
      <c r="D2377" s="62" t="s">
        <v>1453</v>
      </c>
      <c r="E2377" s="76">
        <v>43970.0</v>
      </c>
      <c r="F2377" s="77">
        <v>0.020833333333333332</v>
      </c>
      <c r="G2377" s="62" t="b">
        <v>1</v>
      </c>
      <c r="H2377" s="78" t="b">
        <f>IF(VLOOKUP(C2377,Projetos!A:L,12,false)=TRUE,TRUE,FALSE)</f>
        <v>1</v>
      </c>
      <c r="I2377" s="68">
        <v>37.66052106481481</v>
      </c>
      <c r="J2377" s="68">
        <f t="shared" si="1"/>
        <v>18.83026053</v>
      </c>
      <c r="K2377" s="68" t="b">
        <v>1</v>
      </c>
    </row>
    <row r="2378">
      <c r="A2378" s="75">
        <v>2372.0</v>
      </c>
      <c r="B2378" s="62" t="s">
        <v>1306</v>
      </c>
      <c r="C2378" s="62" t="s">
        <v>104</v>
      </c>
      <c r="D2378" s="62" t="s">
        <v>1454</v>
      </c>
      <c r="E2378" s="76">
        <v>43973.0</v>
      </c>
      <c r="F2378" s="77">
        <v>0.041666666666666664</v>
      </c>
      <c r="G2378" s="62" t="b">
        <v>1</v>
      </c>
      <c r="H2378" s="78" t="b">
        <f>IF(VLOOKUP(C2378,Projetos!A:L,12,false)=TRUE,TRUE,FALSE)</f>
        <v>1</v>
      </c>
      <c r="I2378" s="68">
        <v>37.66052106481481</v>
      </c>
      <c r="J2378" s="68">
        <f t="shared" si="1"/>
        <v>37.66052106</v>
      </c>
      <c r="K2378" s="68" t="b">
        <v>1</v>
      </c>
    </row>
    <row r="2379">
      <c r="A2379" s="75">
        <v>2373.0</v>
      </c>
      <c r="B2379" s="62" t="s">
        <v>1306</v>
      </c>
      <c r="C2379" s="62" t="s">
        <v>104</v>
      </c>
      <c r="D2379" s="62" t="s">
        <v>1346</v>
      </c>
      <c r="E2379" s="76">
        <v>43973.0</v>
      </c>
      <c r="F2379" s="77">
        <v>0.020833333333333332</v>
      </c>
      <c r="G2379" s="62" t="b">
        <v>1</v>
      </c>
      <c r="H2379" s="78" t="b">
        <f>IF(VLOOKUP(C2379,Projetos!A:L,12,false)=TRUE,TRUE,FALSE)</f>
        <v>1</v>
      </c>
      <c r="I2379" s="68">
        <v>37.66052106481481</v>
      </c>
      <c r="J2379" s="68">
        <f t="shared" si="1"/>
        <v>18.83026053</v>
      </c>
      <c r="K2379" s="68" t="b">
        <v>1</v>
      </c>
    </row>
    <row r="2380">
      <c r="A2380" s="75">
        <v>2374.0</v>
      </c>
      <c r="B2380" s="62" t="s">
        <v>1306</v>
      </c>
      <c r="C2380" s="62" t="s">
        <v>104</v>
      </c>
      <c r="D2380" s="62" t="s">
        <v>1455</v>
      </c>
      <c r="E2380" s="76">
        <v>43977.0</v>
      </c>
      <c r="F2380" s="77">
        <v>0.0625</v>
      </c>
      <c r="G2380" s="62" t="b">
        <v>1</v>
      </c>
      <c r="H2380" s="78" t="b">
        <f>IF(VLOOKUP(C2380,Projetos!A:L,12,false)=TRUE,TRUE,FALSE)</f>
        <v>1</v>
      </c>
      <c r="I2380" s="68">
        <v>37.66052106481481</v>
      </c>
      <c r="J2380" s="68">
        <f t="shared" si="1"/>
        <v>56.4907816</v>
      </c>
      <c r="K2380" s="68" t="b">
        <v>1</v>
      </c>
    </row>
    <row r="2381">
      <c r="A2381" s="75">
        <v>2375.0</v>
      </c>
      <c r="B2381" s="62" t="s">
        <v>1306</v>
      </c>
      <c r="C2381" s="62" t="s">
        <v>104</v>
      </c>
      <c r="D2381" s="62" t="s">
        <v>1339</v>
      </c>
      <c r="E2381" s="76">
        <v>43977.0</v>
      </c>
      <c r="F2381" s="77">
        <v>0.08333333333333333</v>
      </c>
      <c r="G2381" s="62" t="b">
        <v>1</v>
      </c>
      <c r="H2381" s="78" t="b">
        <f>IF(VLOOKUP(C2381,Projetos!A:L,12,false)=TRUE,TRUE,FALSE)</f>
        <v>1</v>
      </c>
      <c r="I2381" s="68">
        <v>37.66052106481481</v>
      </c>
      <c r="J2381" s="68">
        <f t="shared" si="1"/>
        <v>75.32104213</v>
      </c>
      <c r="K2381" s="68" t="b">
        <v>1</v>
      </c>
    </row>
    <row r="2382">
      <c r="A2382" s="75">
        <v>2376.0</v>
      </c>
      <c r="B2382" s="62" t="s">
        <v>1306</v>
      </c>
      <c r="C2382" s="62" t="s">
        <v>105</v>
      </c>
      <c r="D2382" s="62" t="s">
        <v>1456</v>
      </c>
      <c r="E2382" s="76">
        <v>43965.0</v>
      </c>
      <c r="F2382" s="77">
        <v>0.0625</v>
      </c>
      <c r="G2382" s="62" t="b">
        <v>1</v>
      </c>
      <c r="H2382" s="78" t="b">
        <f>IF(VLOOKUP(C2382,Projetos!A:L,12,false)=TRUE,TRUE,FALSE)</f>
        <v>1</v>
      </c>
      <c r="I2382" s="68">
        <v>37.66052106481481</v>
      </c>
      <c r="J2382" s="68">
        <f t="shared" si="1"/>
        <v>56.4907816</v>
      </c>
      <c r="K2382" s="68" t="b">
        <v>1</v>
      </c>
    </row>
    <row r="2383" hidden="1">
      <c r="A2383" s="75">
        <v>2377.0</v>
      </c>
      <c r="B2383" s="62" t="s">
        <v>1306</v>
      </c>
      <c r="C2383" s="62" t="s">
        <v>105</v>
      </c>
      <c r="D2383" s="62" t="s">
        <v>1457</v>
      </c>
      <c r="E2383" s="76">
        <v>43965.0</v>
      </c>
      <c r="F2383" s="77">
        <v>0.041666666666666664</v>
      </c>
      <c r="G2383" s="62" t="b">
        <v>0</v>
      </c>
      <c r="H2383" s="78" t="b">
        <f>IF(VLOOKUP(C2383,Projetos!A:L,12,false)=TRUE,TRUE,FALSE)</f>
        <v>1</v>
      </c>
      <c r="I2383" s="68">
        <v>37.66052106481481</v>
      </c>
      <c r="J2383" s="68">
        <f t="shared" si="1"/>
        <v>0</v>
      </c>
      <c r="K2383" s="68" t="b">
        <v>1</v>
      </c>
    </row>
    <row r="2384">
      <c r="A2384" s="75">
        <v>2378.0</v>
      </c>
      <c r="B2384" s="62" t="s">
        <v>1306</v>
      </c>
      <c r="C2384" s="62" t="s">
        <v>105</v>
      </c>
      <c r="D2384" s="62" t="s">
        <v>1425</v>
      </c>
      <c r="E2384" s="76">
        <v>43969.0</v>
      </c>
      <c r="F2384" s="77">
        <v>0.041666666666666664</v>
      </c>
      <c r="G2384" s="62" t="b">
        <v>1</v>
      </c>
      <c r="H2384" s="78" t="b">
        <f>IF(VLOOKUP(C2384,Projetos!A:L,12,false)=TRUE,TRUE,FALSE)</f>
        <v>1</v>
      </c>
      <c r="I2384" s="68">
        <v>37.66052106481481</v>
      </c>
      <c r="J2384" s="68">
        <f t="shared" si="1"/>
        <v>37.66052106</v>
      </c>
      <c r="K2384" s="68" t="b">
        <v>1</v>
      </c>
    </row>
    <row r="2385">
      <c r="A2385" s="75">
        <v>2379.0</v>
      </c>
      <c r="B2385" s="62" t="s">
        <v>1306</v>
      </c>
      <c r="C2385" s="62" t="s">
        <v>105</v>
      </c>
      <c r="D2385" s="62" t="s">
        <v>1458</v>
      </c>
      <c r="E2385" s="76">
        <v>43971.0</v>
      </c>
      <c r="F2385" s="77">
        <v>0.13541666666666666</v>
      </c>
      <c r="G2385" s="62" t="b">
        <v>1</v>
      </c>
      <c r="H2385" s="78" t="b">
        <f>IF(VLOOKUP(C2385,Projetos!A:L,12,false)=TRUE,TRUE,FALSE)</f>
        <v>1</v>
      </c>
      <c r="I2385" s="68">
        <v>37.66052106481481</v>
      </c>
      <c r="J2385" s="68">
        <f t="shared" si="1"/>
        <v>122.3966935</v>
      </c>
      <c r="K2385" s="68" t="b">
        <v>1</v>
      </c>
    </row>
    <row r="2386">
      <c r="A2386" s="75">
        <v>2380.0</v>
      </c>
      <c r="B2386" s="62" t="s">
        <v>1306</v>
      </c>
      <c r="C2386" s="62" t="s">
        <v>105</v>
      </c>
      <c r="D2386" s="62" t="s">
        <v>1346</v>
      </c>
      <c r="E2386" s="76">
        <v>43971.0</v>
      </c>
      <c r="F2386" s="77">
        <v>0.08333333333333333</v>
      </c>
      <c r="G2386" s="62" t="b">
        <v>1</v>
      </c>
      <c r="H2386" s="78" t="b">
        <f>IF(VLOOKUP(C2386,Projetos!A:L,12,false)=TRUE,TRUE,FALSE)</f>
        <v>1</v>
      </c>
      <c r="I2386" s="68">
        <v>37.66052106481481</v>
      </c>
      <c r="J2386" s="68">
        <f t="shared" si="1"/>
        <v>75.32104213</v>
      </c>
      <c r="K2386" s="68" t="b">
        <v>1</v>
      </c>
    </row>
    <row r="2387">
      <c r="A2387" s="75">
        <v>2381.0</v>
      </c>
      <c r="B2387" s="62" t="s">
        <v>1306</v>
      </c>
      <c r="C2387" s="62" t="s">
        <v>105</v>
      </c>
      <c r="D2387" s="62" t="s">
        <v>1346</v>
      </c>
      <c r="E2387" s="76">
        <v>43972.0</v>
      </c>
      <c r="F2387" s="77">
        <v>0.041666666666666664</v>
      </c>
      <c r="G2387" s="62" t="b">
        <v>1</v>
      </c>
      <c r="H2387" s="78" t="b">
        <f>IF(VLOOKUP(C2387,Projetos!A:L,12,false)=TRUE,TRUE,FALSE)</f>
        <v>1</v>
      </c>
      <c r="I2387" s="68">
        <v>37.66052106481481</v>
      </c>
      <c r="J2387" s="68">
        <f t="shared" si="1"/>
        <v>37.66052106</v>
      </c>
      <c r="K2387" s="68" t="b">
        <v>1</v>
      </c>
    </row>
    <row r="2388">
      <c r="A2388" s="75">
        <v>2382.0</v>
      </c>
      <c r="B2388" s="62" t="s">
        <v>1306</v>
      </c>
      <c r="C2388" s="62" t="s">
        <v>105</v>
      </c>
      <c r="D2388" s="62" t="s">
        <v>1459</v>
      </c>
      <c r="E2388" s="76">
        <v>43976.0</v>
      </c>
      <c r="F2388" s="77">
        <v>0.041666666666666664</v>
      </c>
      <c r="G2388" s="62" t="b">
        <v>1</v>
      </c>
      <c r="H2388" s="78" t="b">
        <f>IF(VLOOKUP(C2388,Projetos!A:L,12,false)=TRUE,TRUE,FALSE)</f>
        <v>1</v>
      </c>
      <c r="I2388" s="68">
        <v>37.66052106481481</v>
      </c>
      <c r="J2388" s="68">
        <f t="shared" si="1"/>
        <v>37.66052106</v>
      </c>
      <c r="K2388" s="68" t="b">
        <v>1</v>
      </c>
    </row>
    <row r="2389">
      <c r="A2389" s="75">
        <v>2383.0</v>
      </c>
      <c r="B2389" s="62" t="s">
        <v>1306</v>
      </c>
      <c r="C2389" s="62" t="s">
        <v>105</v>
      </c>
      <c r="D2389" s="62" t="s">
        <v>1459</v>
      </c>
      <c r="E2389" s="76">
        <v>43977.0</v>
      </c>
      <c r="F2389" s="77">
        <v>0.020833333333333332</v>
      </c>
      <c r="G2389" s="62" t="b">
        <v>1</v>
      </c>
      <c r="H2389" s="78" t="b">
        <f>IF(VLOOKUP(C2389,Projetos!A:L,12,false)=TRUE,TRUE,FALSE)</f>
        <v>1</v>
      </c>
      <c r="I2389" s="68">
        <v>37.66052106481481</v>
      </c>
      <c r="J2389" s="68">
        <f t="shared" si="1"/>
        <v>18.83026053</v>
      </c>
      <c r="K2389" s="68" t="b">
        <v>1</v>
      </c>
    </row>
    <row r="2390">
      <c r="A2390" s="75">
        <v>2384.0</v>
      </c>
      <c r="B2390" s="62" t="s">
        <v>1306</v>
      </c>
      <c r="C2390" s="62" t="s">
        <v>105</v>
      </c>
      <c r="D2390" s="62" t="s">
        <v>1460</v>
      </c>
      <c r="E2390" s="76">
        <v>43978.0</v>
      </c>
      <c r="F2390" s="77">
        <v>0.20833333333333334</v>
      </c>
      <c r="G2390" s="62" t="b">
        <v>1</v>
      </c>
      <c r="H2390" s="78" t="b">
        <f>IF(VLOOKUP(C2390,Projetos!A:L,12,false)=TRUE,TRUE,FALSE)</f>
        <v>1</v>
      </c>
      <c r="I2390" s="68">
        <v>37.66052106481481</v>
      </c>
      <c r="J2390" s="68">
        <f t="shared" si="1"/>
        <v>188.3026053</v>
      </c>
      <c r="K2390" s="68" t="b">
        <v>1</v>
      </c>
    </row>
    <row r="2391">
      <c r="A2391" s="75">
        <v>2385.0</v>
      </c>
      <c r="B2391" s="62" t="s">
        <v>1306</v>
      </c>
      <c r="C2391" s="62" t="s">
        <v>105</v>
      </c>
      <c r="D2391" s="62" t="s">
        <v>1461</v>
      </c>
      <c r="E2391" s="76">
        <v>43980.0</v>
      </c>
      <c r="F2391" s="77">
        <v>0.08333333333333333</v>
      </c>
      <c r="G2391" s="62" t="b">
        <v>1</v>
      </c>
      <c r="H2391" s="78" t="b">
        <f>IF(VLOOKUP(C2391,Projetos!A:L,12,false)=TRUE,TRUE,FALSE)</f>
        <v>1</v>
      </c>
      <c r="I2391" s="68">
        <v>37.66052106481481</v>
      </c>
      <c r="J2391" s="68">
        <f t="shared" si="1"/>
        <v>75.32104213</v>
      </c>
      <c r="K2391" s="68" t="b">
        <v>1</v>
      </c>
    </row>
    <row r="2392">
      <c r="A2392" s="75">
        <v>2386.0</v>
      </c>
      <c r="B2392" s="62" t="s">
        <v>1306</v>
      </c>
      <c r="C2392" s="62" t="s">
        <v>105</v>
      </c>
      <c r="D2392" s="62" t="s">
        <v>1462</v>
      </c>
      <c r="E2392" s="76">
        <v>43980.0</v>
      </c>
      <c r="F2392" s="77">
        <v>0.041666666666666664</v>
      </c>
      <c r="G2392" s="62" t="b">
        <v>1</v>
      </c>
      <c r="H2392" s="78" t="b">
        <f>IF(VLOOKUP(C2392,Projetos!A:L,12,false)=TRUE,TRUE,FALSE)</f>
        <v>1</v>
      </c>
      <c r="I2392" s="68">
        <v>37.66052106481481</v>
      </c>
      <c r="J2392" s="68">
        <f t="shared" si="1"/>
        <v>37.66052106</v>
      </c>
      <c r="K2392" s="68" t="b">
        <v>1</v>
      </c>
    </row>
    <row r="2393" hidden="1">
      <c r="A2393" s="75">
        <v>2387.0</v>
      </c>
      <c r="B2393" s="62" t="s">
        <v>1306</v>
      </c>
      <c r="C2393" s="62" t="s">
        <v>108</v>
      </c>
      <c r="D2393" s="62" t="s">
        <v>1463</v>
      </c>
      <c r="E2393" s="76">
        <v>43964.0</v>
      </c>
      <c r="F2393" s="77">
        <v>0.041666666666666664</v>
      </c>
      <c r="G2393" s="62" t="b">
        <v>0</v>
      </c>
      <c r="H2393" s="78" t="b">
        <f>IF(VLOOKUP(C2393,Projetos!A:L,12,false)=TRUE,TRUE,FALSE)</f>
        <v>1</v>
      </c>
      <c r="I2393" s="68">
        <v>37.66052106481481</v>
      </c>
      <c r="J2393" s="68">
        <f t="shared" si="1"/>
        <v>0</v>
      </c>
      <c r="K2393" s="68" t="b">
        <v>1</v>
      </c>
    </row>
    <row r="2394" hidden="1">
      <c r="A2394" s="75">
        <v>2388.0</v>
      </c>
      <c r="B2394" s="62" t="s">
        <v>1306</v>
      </c>
      <c r="C2394" s="62" t="s">
        <v>108</v>
      </c>
      <c r="D2394" s="62" t="s">
        <v>1464</v>
      </c>
      <c r="E2394" s="76">
        <v>43966.0</v>
      </c>
      <c r="F2394" s="77">
        <v>0.020833333333333332</v>
      </c>
      <c r="G2394" s="62" t="b">
        <v>0</v>
      </c>
      <c r="H2394" s="78" t="b">
        <f>IF(VLOOKUP(C2394,Projetos!A:L,12,false)=TRUE,TRUE,FALSE)</f>
        <v>1</v>
      </c>
      <c r="I2394" s="68">
        <v>37.66052106481481</v>
      </c>
      <c r="J2394" s="68">
        <f t="shared" si="1"/>
        <v>0</v>
      </c>
      <c r="K2394" s="68" t="b">
        <v>1</v>
      </c>
    </row>
    <row r="2395" hidden="1">
      <c r="A2395" s="75">
        <v>2389.0</v>
      </c>
      <c r="B2395" s="62" t="s">
        <v>1306</v>
      </c>
      <c r="C2395" s="62" t="s">
        <v>108</v>
      </c>
      <c r="D2395" s="62" t="s">
        <v>1465</v>
      </c>
      <c r="E2395" s="76">
        <v>43966.0</v>
      </c>
      <c r="F2395" s="77">
        <v>0.041666666666666664</v>
      </c>
      <c r="G2395" s="62" t="b">
        <v>0</v>
      </c>
      <c r="H2395" s="78" t="b">
        <f>IF(VLOOKUP(C2395,Projetos!A:L,12,false)=TRUE,TRUE,FALSE)</f>
        <v>1</v>
      </c>
      <c r="I2395" s="68">
        <v>37.66052106481481</v>
      </c>
      <c r="J2395" s="68">
        <f t="shared" si="1"/>
        <v>0</v>
      </c>
      <c r="K2395" s="68" t="b">
        <v>1</v>
      </c>
    </row>
    <row r="2396" hidden="1">
      <c r="A2396" s="75">
        <v>2390.0</v>
      </c>
      <c r="B2396" s="62" t="s">
        <v>1306</v>
      </c>
      <c r="C2396" s="62" t="s">
        <v>108</v>
      </c>
      <c r="D2396" s="62" t="s">
        <v>1409</v>
      </c>
      <c r="E2396" s="76">
        <v>43969.0</v>
      </c>
      <c r="F2396" s="77">
        <v>0.07291666666666667</v>
      </c>
      <c r="G2396" s="62" t="b">
        <v>0</v>
      </c>
      <c r="H2396" s="78" t="b">
        <f>IF(VLOOKUP(C2396,Projetos!A:L,12,false)=TRUE,TRUE,FALSE)</f>
        <v>1</v>
      </c>
      <c r="I2396" s="68">
        <v>37.66052106481481</v>
      </c>
      <c r="J2396" s="68">
        <f t="shared" si="1"/>
        <v>0</v>
      </c>
      <c r="K2396" s="68" t="b">
        <v>1</v>
      </c>
    </row>
    <row r="2397" hidden="1">
      <c r="A2397" s="75">
        <v>2391.0</v>
      </c>
      <c r="B2397" s="62" t="s">
        <v>1306</v>
      </c>
      <c r="C2397" s="62" t="s">
        <v>108</v>
      </c>
      <c r="D2397" s="62" t="s">
        <v>1466</v>
      </c>
      <c r="E2397" s="76">
        <v>43969.0</v>
      </c>
      <c r="F2397" s="77">
        <v>0.041666666666666664</v>
      </c>
      <c r="G2397" s="62" t="b">
        <v>0</v>
      </c>
      <c r="H2397" s="78" t="b">
        <f>IF(VLOOKUP(C2397,Projetos!A:L,12,false)=TRUE,TRUE,FALSE)</f>
        <v>1</v>
      </c>
      <c r="I2397" s="68">
        <v>37.66052106481481</v>
      </c>
      <c r="J2397" s="68">
        <f t="shared" si="1"/>
        <v>0</v>
      </c>
      <c r="K2397" s="68" t="b">
        <v>1</v>
      </c>
    </row>
    <row r="2398" hidden="1">
      <c r="A2398" s="75">
        <v>2392.0</v>
      </c>
      <c r="B2398" s="62" t="s">
        <v>1306</v>
      </c>
      <c r="C2398" s="62" t="s">
        <v>108</v>
      </c>
      <c r="D2398" s="62" t="s">
        <v>1308</v>
      </c>
      <c r="E2398" s="76">
        <v>43970.0</v>
      </c>
      <c r="F2398" s="77">
        <v>0.0625</v>
      </c>
      <c r="G2398" s="62" t="b">
        <v>0</v>
      </c>
      <c r="H2398" s="78" t="b">
        <f>IF(VLOOKUP(C2398,Projetos!A:L,12,false)=TRUE,TRUE,FALSE)</f>
        <v>1</v>
      </c>
      <c r="I2398" s="68">
        <v>37.66052106481481</v>
      </c>
      <c r="J2398" s="68">
        <f t="shared" si="1"/>
        <v>0</v>
      </c>
      <c r="K2398" s="68" t="b">
        <v>1</v>
      </c>
    </row>
    <row r="2399" hidden="1">
      <c r="A2399" s="75">
        <v>2393.0</v>
      </c>
      <c r="B2399" s="62" t="s">
        <v>1306</v>
      </c>
      <c r="C2399" s="62" t="s">
        <v>108</v>
      </c>
      <c r="D2399" s="62" t="s">
        <v>1467</v>
      </c>
      <c r="E2399" s="76">
        <v>43971.0</v>
      </c>
      <c r="F2399" s="77">
        <v>0.041666666666666664</v>
      </c>
      <c r="G2399" s="62" t="b">
        <v>0</v>
      </c>
      <c r="H2399" s="78" t="b">
        <f>IF(VLOOKUP(C2399,Projetos!A:L,12,false)=TRUE,TRUE,FALSE)</f>
        <v>1</v>
      </c>
      <c r="I2399" s="68">
        <v>37.66052106481481</v>
      </c>
      <c r="J2399" s="68">
        <f t="shared" si="1"/>
        <v>0</v>
      </c>
      <c r="K2399" s="68" t="b">
        <v>1</v>
      </c>
    </row>
    <row r="2400" hidden="1">
      <c r="A2400" s="75">
        <v>2394.0</v>
      </c>
      <c r="B2400" s="62" t="s">
        <v>1306</v>
      </c>
      <c r="C2400" s="62" t="s">
        <v>108</v>
      </c>
      <c r="D2400" s="62" t="s">
        <v>1468</v>
      </c>
      <c r="E2400" s="76">
        <v>43972.0</v>
      </c>
      <c r="F2400" s="77">
        <v>0.041666666666666664</v>
      </c>
      <c r="G2400" s="62" t="b">
        <v>0</v>
      </c>
      <c r="H2400" s="78" t="b">
        <f>IF(VLOOKUP(C2400,Projetos!A:L,12,false)=TRUE,TRUE,FALSE)</f>
        <v>1</v>
      </c>
      <c r="I2400" s="68">
        <v>37.66052106481481</v>
      </c>
      <c r="J2400" s="68">
        <f t="shared" si="1"/>
        <v>0</v>
      </c>
      <c r="K2400" s="68" t="b">
        <v>1</v>
      </c>
    </row>
    <row r="2401" hidden="1">
      <c r="A2401" s="75">
        <v>2395.0</v>
      </c>
      <c r="B2401" s="62" t="s">
        <v>1306</v>
      </c>
      <c r="C2401" s="62" t="s">
        <v>108</v>
      </c>
      <c r="D2401" s="62" t="s">
        <v>1469</v>
      </c>
      <c r="E2401" s="76">
        <v>43972.0</v>
      </c>
      <c r="F2401" s="77">
        <v>0.041666666666666664</v>
      </c>
      <c r="G2401" s="62" t="b">
        <v>0</v>
      </c>
      <c r="H2401" s="78" t="b">
        <f>IF(VLOOKUP(C2401,Projetos!A:L,12,false)=TRUE,TRUE,FALSE)</f>
        <v>1</v>
      </c>
      <c r="I2401" s="68">
        <v>37.66052106481481</v>
      </c>
      <c r="J2401" s="68">
        <f t="shared" si="1"/>
        <v>0</v>
      </c>
      <c r="K2401" s="68" t="b">
        <v>1</v>
      </c>
    </row>
    <row r="2402" hidden="1">
      <c r="A2402" s="75">
        <v>2396.0</v>
      </c>
      <c r="B2402" s="62" t="s">
        <v>1306</v>
      </c>
      <c r="C2402" s="62" t="s">
        <v>108</v>
      </c>
      <c r="D2402" s="62" t="s">
        <v>1470</v>
      </c>
      <c r="E2402" s="76">
        <v>43976.0</v>
      </c>
      <c r="F2402" s="77">
        <v>0.041666666666666664</v>
      </c>
      <c r="G2402" s="62" t="b">
        <v>0</v>
      </c>
      <c r="H2402" s="78" t="b">
        <f>IF(VLOOKUP(C2402,Projetos!A:L,12,false)=TRUE,TRUE,FALSE)</f>
        <v>1</v>
      </c>
      <c r="I2402" s="68">
        <v>37.66052106481481</v>
      </c>
      <c r="J2402" s="68">
        <f t="shared" si="1"/>
        <v>0</v>
      </c>
      <c r="K2402" s="68" t="b">
        <v>1</v>
      </c>
    </row>
    <row r="2403" hidden="1">
      <c r="A2403" s="75">
        <v>2397.0</v>
      </c>
      <c r="B2403" s="62" t="s">
        <v>1306</v>
      </c>
      <c r="C2403" s="62" t="s">
        <v>108</v>
      </c>
      <c r="D2403" s="62" t="s">
        <v>1471</v>
      </c>
      <c r="E2403" s="76">
        <v>43978.0</v>
      </c>
      <c r="F2403" s="77">
        <v>0.07291666666666667</v>
      </c>
      <c r="G2403" s="62" t="b">
        <v>0</v>
      </c>
      <c r="H2403" s="78" t="b">
        <f>IF(VLOOKUP(C2403,Projetos!A:L,12,false)=TRUE,TRUE,FALSE)</f>
        <v>1</v>
      </c>
      <c r="I2403" s="68">
        <v>37.66052106481481</v>
      </c>
      <c r="J2403" s="68">
        <f t="shared" si="1"/>
        <v>0</v>
      </c>
      <c r="K2403" s="68" t="b">
        <v>1</v>
      </c>
    </row>
    <row r="2404" hidden="1">
      <c r="A2404" s="75">
        <v>2398.0</v>
      </c>
      <c r="B2404" s="62" t="s">
        <v>1306</v>
      </c>
      <c r="C2404" s="62" t="s">
        <v>108</v>
      </c>
      <c r="D2404" s="62" t="s">
        <v>1423</v>
      </c>
      <c r="E2404" s="76">
        <v>43979.0</v>
      </c>
      <c r="F2404" s="77">
        <v>0.16666666666666666</v>
      </c>
      <c r="G2404" s="62" t="b">
        <v>0</v>
      </c>
      <c r="H2404" s="78" t="b">
        <f>IF(VLOOKUP(C2404,Projetos!A:L,12,false)=TRUE,TRUE,FALSE)</f>
        <v>1</v>
      </c>
      <c r="I2404" s="68">
        <v>37.66052106481481</v>
      </c>
      <c r="J2404" s="68">
        <f t="shared" si="1"/>
        <v>0</v>
      </c>
      <c r="K2404" s="68" t="b">
        <v>1</v>
      </c>
    </row>
    <row r="2405" hidden="1">
      <c r="A2405" s="75">
        <v>2399.0</v>
      </c>
      <c r="B2405" s="62" t="s">
        <v>1306</v>
      </c>
      <c r="C2405" s="62" t="s">
        <v>108</v>
      </c>
      <c r="D2405" s="62" t="s">
        <v>1472</v>
      </c>
      <c r="E2405" s="76">
        <v>43979.0</v>
      </c>
      <c r="F2405" s="77">
        <v>0.10416666666666667</v>
      </c>
      <c r="G2405" s="62" t="b">
        <v>0</v>
      </c>
      <c r="H2405" s="78" t="b">
        <f>IF(VLOOKUP(C2405,Projetos!A:L,12,false)=TRUE,TRUE,FALSE)</f>
        <v>1</v>
      </c>
      <c r="I2405" s="68">
        <v>37.66052106481481</v>
      </c>
      <c r="J2405" s="68">
        <f t="shared" si="1"/>
        <v>0</v>
      </c>
      <c r="K2405" s="68" t="b">
        <v>1</v>
      </c>
    </row>
    <row r="2406" hidden="1">
      <c r="A2406" s="75">
        <v>2400.0</v>
      </c>
      <c r="B2406" s="62" t="s">
        <v>1306</v>
      </c>
      <c r="C2406" s="62" t="s">
        <v>110</v>
      </c>
      <c r="D2406" s="62" t="s">
        <v>1473</v>
      </c>
      <c r="E2406" s="76">
        <v>43965.0</v>
      </c>
      <c r="F2406" s="77">
        <v>0.041666666666666664</v>
      </c>
      <c r="G2406" s="62" t="b">
        <v>0</v>
      </c>
      <c r="H2406" s="78" t="b">
        <f>IF(VLOOKUP(C2406,Projetos!A:L,12,false)=TRUE,TRUE,FALSE)</f>
        <v>1</v>
      </c>
      <c r="I2406" s="68">
        <v>37.66052106481481</v>
      </c>
      <c r="J2406" s="68">
        <f t="shared" si="1"/>
        <v>0</v>
      </c>
      <c r="K2406" s="68" t="b">
        <v>1</v>
      </c>
    </row>
    <row r="2407">
      <c r="A2407" s="75">
        <v>2401.0</v>
      </c>
      <c r="B2407" s="62" t="s">
        <v>1306</v>
      </c>
      <c r="C2407" s="62" t="s">
        <v>110</v>
      </c>
      <c r="D2407" s="62" t="s">
        <v>1474</v>
      </c>
      <c r="E2407" s="76">
        <v>43970.0</v>
      </c>
      <c r="F2407" s="77">
        <v>0.041666666666666664</v>
      </c>
      <c r="G2407" s="62" t="b">
        <v>1</v>
      </c>
      <c r="H2407" s="78" t="b">
        <f>IF(VLOOKUP(C2407,Projetos!A:L,12,false)=TRUE,TRUE,FALSE)</f>
        <v>1</v>
      </c>
      <c r="I2407" s="68">
        <v>37.66052106481481</v>
      </c>
      <c r="J2407" s="68">
        <f t="shared" si="1"/>
        <v>37.66052106</v>
      </c>
      <c r="K2407" s="68" t="b">
        <v>1</v>
      </c>
    </row>
    <row r="2408">
      <c r="A2408" s="75">
        <v>2402.0</v>
      </c>
      <c r="B2408" s="62" t="s">
        <v>1306</v>
      </c>
      <c r="C2408" s="62" t="s">
        <v>110</v>
      </c>
      <c r="D2408" s="62" t="s">
        <v>1475</v>
      </c>
      <c r="E2408" s="76">
        <v>43970.0</v>
      </c>
      <c r="F2408" s="77">
        <v>0.041666666666666664</v>
      </c>
      <c r="G2408" s="62" t="b">
        <v>1</v>
      </c>
      <c r="H2408" s="78" t="b">
        <f>IF(VLOOKUP(C2408,Projetos!A:L,12,false)=TRUE,TRUE,FALSE)</f>
        <v>1</v>
      </c>
      <c r="I2408" s="68">
        <v>37.66052106481481</v>
      </c>
      <c r="J2408" s="68">
        <f t="shared" si="1"/>
        <v>37.66052106</v>
      </c>
      <c r="K2408" s="68" t="b">
        <v>1</v>
      </c>
    </row>
    <row r="2409">
      <c r="A2409" s="75">
        <v>2403.0</v>
      </c>
      <c r="B2409" s="62" t="s">
        <v>1306</v>
      </c>
      <c r="C2409" s="62" t="s">
        <v>110</v>
      </c>
      <c r="D2409" s="62" t="s">
        <v>1475</v>
      </c>
      <c r="E2409" s="76">
        <v>43971.0</v>
      </c>
      <c r="F2409" s="77">
        <v>0.08333333333333333</v>
      </c>
      <c r="G2409" s="62" t="b">
        <v>1</v>
      </c>
      <c r="H2409" s="78" t="b">
        <f>IF(VLOOKUP(C2409,Projetos!A:L,12,false)=TRUE,TRUE,FALSE)</f>
        <v>1</v>
      </c>
      <c r="I2409" s="68">
        <v>37.66052106481481</v>
      </c>
      <c r="J2409" s="68">
        <f t="shared" si="1"/>
        <v>75.32104213</v>
      </c>
      <c r="K2409" s="68" t="b">
        <v>1</v>
      </c>
    </row>
    <row r="2410">
      <c r="A2410" s="75">
        <v>2404.0</v>
      </c>
      <c r="B2410" s="62" t="s">
        <v>1306</v>
      </c>
      <c r="C2410" s="62" t="s">
        <v>110</v>
      </c>
      <c r="D2410" s="62" t="s">
        <v>1476</v>
      </c>
      <c r="E2410" s="76">
        <v>43972.0</v>
      </c>
      <c r="F2410" s="77">
        <v>0.041666666666666664</v>
      </c>
      <c r="G2410" s="62" t="b">
        <v>1</v>
      </c>
      <c r="H2410" s="78" t="b">
        <f>IF(VLOOKUP(C2410,Projetos!A:L,12,false)=TRUE,TRUE,FALSE)</f>
        <v>1</v>
      </c>
      <c r="I2410" s="68">
        <v>37.66052106481481</v>
      </c>
      <c r="J2410" s="68">
        <f t="shared" si="1"/>
        <v>37.66052106</v>
      </c>
      <c r="K2410" s="68" t="b">
        <v>1</v>
      </c>
    </row>
    <row r="2411">
      <c r="A2411" s="75">
        <v>2405.0</v>
      </c>
      <c r="B2411" s="62" t="s">
        <v>1306</v>
      </c>
      <c r="C2411" s="62" t="s">
        <v>110</v>
      </c>
      <c r="D2411" s="62" t="s">
        <v>1477</v>
      </c>
      <c r="E2411" s="76">
        <v>43976.0</v>
      </c>
      <c r="F2411" s="77">
        <v>0.041666666666666664</v>
      </c>
      <c r="G2411" s="62" t="b">
        <v>1</v>
      </c>
      <c r="H2411" s="78" t="b">
        <f>IF(VLOOKUP(C2411,Projetos!A:L,12,false)=TRUE,TRUE,FALSE)</f>
        <v>1</v>
      </c>
      <c r="I2411" s="68">
        <v>37.66052106481481</v>
      </c>
      <c r="J2411" s="68">
        <f t="shared" si="1"/>
        <v>37.66052106</v>
      </c>
      <c r="K2411" s="68" t="b">
        <v>1</v>
      </c>
    </row>
    <row r="2412">
      <c r="A2412" s="75">
        <v>2406.0</v>
      </c>
      <c r="B2412" s="62" t="s">
        <v>1306</v>
      </c>
      <c r="C2412" s="62" t="s">
        <v>110</v>
      </c>
      <c r="D2412" s="62" t="s">
        <v>1478</v>
      </c>
      <c r="E2412" s="76">
        <v>43979.0</v>
      </c>
      <c r="F2412" s="77">
        <v>0.03125</v>
      </c>
      <c r="G2412" s="62" t="b">
        <v>1</v>
      </c>
      <c r="H2412" s="78" t="b">
        <f>IF(VLOOKUP(C2412,Projetos!A:L,12,false)=TRUE,TRUE,FALSE)</f>
        <v>1</v>
      </c>
      <c r="I2412" s="68">
        <v>37.66052106481481</v>
      </c>
      <c r="J2412" s="68">
        <f t="shared" si="1"/>
        <v>28.2453908</v>
      </c>
      <c r="K2412" s="68" t="b">
        <v>1</v>
      </c>
    </row>
    <row r="2413">
      <c r="A2413" s="75">
        <v>2407.0</v>
      </c>
      <c r="B2413" s="62" t="s">
        <v>1306</v>
      </c>
      <c r="C2413" s="62" t="s">
        <v>110</v>
      </c>
      <c r="D2413" s="62" t="s">
        <v>1378</v>
      </c>
      <c r="E2413" s="76">
        <v>43980.0</v>
      </c>
      <c r="F2413" s="77">
        <v>0.0625</v>
      </c>
      <c r="G2413" s="62" t="b">
        <v>1</v>
      </c>
      <c r="H2413" s="78" t="b">
        <f>IF(VLOOKUP(C2413,Projetos!A:L,12,false)=TRUE,TRUE,FALSE)</f>
        <v>1</v>
      </c>
      <c r="I2413" s="68">
        <v>37.66052106481481</v>
      </c>
      <c r="J2413" s="68">
        <f t="shared" si="1"/>
        <v>56.4907816</v>
      </c>
      <c r="K2413" s="68" t="b">
        <v>1</v>
      </c>
    </row>
    <row r="2414">
      <c r="A2414" s="75">
        <v>2408.0</v>
      </c>
      <c r="B2414" s="62" t="s">
        <v>1306</v>
      </c>
      <c r="C2414" s="62" t="s">
        <v>138</v>
      </c>
      <c r="D2414" s="62" t="s">
        <v>1479</v>
      </c>
      <c r="E2414" s="76">
        <v>43987.0</v>
      </c>
      <c r="F2414" s="77">
        <v>0.15625</v>
      </c>
      <c r="G2414" s="62" t="b">
        <v>1</v>
      </c>
      <c r="H2414" s="78" t="b">
        <f>IF(VLOOKUP(C2414,Projetos!A:L,12,false)=TRUE,TRUE,FALSE)</f>
        <v>1</v>
      </c>
      <c r="I2414" s="68">
        <v>35.94867919823232</v>
      </c>
      <c r="J2414" s="68">
        <f t="shared" si="1"/>
        <v>134.807547</v>
      </c>
      <c r="K2414" s="68" t="b">
        <v>1</v>
      </c>
    </row>
    <row r="2415">
      <c r="A2415" s="75">
        <v>2409.0</v>
      </c>
      <c r="B2415" s="62" t="s">
        <v>1306</v>
      </c>
      <c r="C2415" s="62" t="s">
        <v>138</v>
      </c>
      <c r="D2415" s="62" t="s">
        <v>1480</v>
      </c>
      <c r="E2415" s="76">
        <v>43991.0</v>
      </c>
      <c r="F2415" s="77">
        <v>0.020833333333333332</v>
      </c>
      <c r="G2415" s="62" t="b">
        <v>1</v>
      </c>
      <c r="H2415" s="78" t="b">
        <f>IF(VLOOKUP(C2415,Projetos!A:L,12,false)=TRUE,TRUE,FALSE)</f>
        <v>1</v>
      </c>
      <c r="I2415" s="68">
        <v>35.94867919823232</v>
      </c>
      <c r="J2415" s="68">
        <f t="shared" si="1"/>
        <v>17.9743396</v>
      </c>
      <c r="K2415" s="68" t="b">
        <v>1</v>
      </c>
    </row>
    <row r="2416">
      <c r="A2416" s="75">
        <v>2410.0</v>
      </c>
      <c r="B2416" s="62" t="s">
        <v>1306</v>
      </c>
      <c r="C2416" s="62" t="s">
        <v>138</v>
      </c>
      <c r="D2416" s="62" t="s">
        <v>1481</v>
      </c>
      <c r="E2416" s="76">
        <v>43992.0</v>
      </c>
      <c r="F2416" s="77">
        <v>0.11458333333333333</v>
      </c>
      <c r="G2416" s="62" t="b">
        <v>1</v>
      </c>
      <c r="H2416" s="78" t="b">
        <f>IF(VLOOKUP(C2416,Projetos!A:L,12,false)=TRUE,TRUE,FALSE)</f>
        <v>1</v>
      </c>
      <c r="I2416" s="68">
        <v>35.94867919823232</v>
      </c>
      <c r="J2416" s="68">
        <f t="shared" si="1"/>
        <v>98.8588678</v>
      </c>
      <c r="K2416" s="68" t="b">
        <v>1</v>
      </c>
    </row>
    <row r="2417" hidden="1">
      <c r="A2417" s="75">
        <v>2411.0</v>
      </c>
      <c r="B2417" s="62" t="s">
        <v>1306</v>
      </c>
      <c r="C2417" s="62" t="s">
        <v>138</v>
      </c>
      <c r="D2417" s="62" t="s">
        <v>1435</v>
      </c>
      <c r="E2417" s="76">
        <v>43997.0</v>
      </c>
      <c r="F2417" s="77">
        <v>0.03125</v>
      </c>
      <c r="G2417" s="62" t="b">
        <v>0</v>
      </c>
      <c r="H2417" s="78" t="b">
        <f>IF(VLOOKUP(C2417,Projetos!A:L,12,false)=TRUE,TRUE,FALSE)</f>
        <v>1</v>
      </c>
      <c r="I2417" s="68">
        <v>35.94867919823232</v>
      </c>
      <c r="J2417" s="68">
        <f t="shared" si="1"/>
        <v>0</v>
      </c>
      <c r="K2417" s="68" t="b">
        <v>1</v>
      </c>
    </row>
    <row r="2418" hidden="1">
      <c r="A2418" s="75">
        <v>2412.0</v>
      </c>
      <c r="B2418" s="62" t="s">
        <v>1306</v>
      </c>
      <c r="C2418" s="62" t="s">
        <v>138</v>
      </c>
      <c r="D2418" s="62" t="s">
        <v>1435</v>
      </c>
      <c r="E2418" s="76">
        <v>43997.0</v>
      </c>
      <c r="F2418" s="77">
        <v>0.020833333333333332</v>
      </c>
      <c r="G2418" s="62" t="b">
        <v>0</v>
      </c>
      <c r="H2418" s="78" t="b">
        <f>IF(VLOOKUP(C2418,Projetos!A:L,12,false)=TRUE,TRUE,FALSE)</f>
        <v>1</v>
      </c>
      <c r="I2418" s="68">
        <v>35.94867919823232</v>
      </c>
      <c r="J2418" s="68">
        <f t="shared" si="1"/>
        <v>0</v>
      </c>
      <c r="K2418" s="68" t="b">
        <v>1</v>
      </c>
    </row>
    <row r="2419">
      <c r="A2419" s="75">
        <v>2413.0</v>
      </c>
      <c r="B2419" s="62" t="s">
        <v>1306</v>
      </c>
      <c r="C2419" s="62" t="s">
        <v>138</v>
      </c>
      <c r="D2419" s="62" t="s">
        <v>1482</v>
      </c>
      <c r="E2419" s="76">
        <v>43997.0</v>
      </c>
      <c r="F2419" s="77">
        <v>0.09375</v>
      </c>
      <c r="G2419" s="62" t="b">
        <v>1</v>
      </c>
      <c r="H2419" s="78" t="b">
        <f>IF(VLOOKUP(C2419,Projetos!A:L,12,false)=TRUE,TRUE,FALSE)</f>
        <v>1</v>
      </c>
      <c r="I2419" s="68">
        <v>35.94867919823232</v>
      </c>
      <c r="J2419" s="68">
        <f t="shared" si="1"/>
        <v>80.8845282</v>
      </c>
      <c r="K2419" s="68" t="b">
        <v>1</v>
      </c>
    </row>
    <row r="2420">
      <c r="A2420" s="75">
        <v>2414.0</v>
      </c>
      <c r="B2420" s="62" t="s">
        <v>1306</v>
      </c>
      <c r="C2420" s="62" t="s">
        <v>138</v>
      </c>
      <c r="D2420" s="62" t="s">
        <v>1481</v>
      </c>
      <c r="E2420" s="76">
        <v>43999.0</v>
      </c>
      <c r="F2420" s="77">
        <v>0.08333333333333333</v>
      </c>
      <c r="G2420" s="62" t="b">
        <v>1</v>
      </c>
      <c r="H2420" s="78" t="b">
        <f>IF(VLOOKUP(C2420,Projetos!A:L,12,false)=TRUE,TRUE,FALSE)</f>
        <v>1</v>
      </c>
      <c r="I2420" s="68">
        <v>35.94867919823232</v>
      </c>
      <c r="J2420" s="68">
        <f t="shared" si="1"/>
        <v>71.8973584</v>
      </c>
      <c r="K2420" s="68" t="b">
        <v>1</v>
      </c>
    </row>
    <row r="2421">
      <c r="A2421" s="75">
        <v>2415.0</v>
      </c>
      <c r="B2421" s="62" t="s">
        <v>1306</v>
      </c>
      <c r="C2421" s="62" t="s">
        <v>138</v>
      </c>
      <c r="D2421" s="62" t="s">
        <v>1481</v>
      </c>
      <c r="E2421" s="76">
        <v>43999.0</v>
      </c>
      <c r="F2421" s="77">
        <v>0.041666666666666664</v>
      </c>
      <c r="G2421" s="62" t="b">
        <v>1</v>
      </c>
      <c r="H2421" s="78" t="b">
        <f>IF(VLOOKUP(C2421,Projetos!A:L,12,false)=TRUE,TRUE,FALSE)</f>
        <v>1</v>
      </c>
      <c r="I2421" s="68">
        <v>35.94867919823232</v>
      </c>
      <c r="J2421" s="68">
        <f t="shared" si="1"/>
        <v>35.9486792</v>
      </c>
      <c r="K2421" s="68" t="b">
        <v>1</v>
      </c>
    </row>
    <row r="2422" hidden="1">
      <c r="A2422" s="75">
        <v>2416.0</v>
      </c>
      <c r="B2422" s="62" t="s">
        <v>1306</v>
      </c>
      <c r="C2422" s="62" t="s">
        <v>138</v>
      </c>
      <c r="D2422" s="62" t="s">
        <v>1435</v>
      </c>
      <c r="E2422" s="76">
        <v>44000.0</v>
      </c>
      <c r="F2422" s="77">
        <v>0.052083333333333336</v>
      </c>
      <c r="G2422" s="62" t="b">
        <v>0</v>
      </c>
      <c r="H2422" s="78" t="b">
        <f>IF(VLOOKUP(C2422,Projetos!A:L,12,false)=TRUE,TRUE,FALSE)</f>
        <v>1</v>
      </c>
      <c r="I2422" s="68">
        <v>35.94867919823232</v>
      </c>
      <c r="J2422" s="68">
        <f t="shared" si="1"/>
        <v>0</v>
      </c>
      <c r="K2422" s="68" t="b">
        <v>1</v>
      </c>
    </row>
    <row r="2423">
      <c r="A2423" s="75">
        <v>2417.0</v>
      </c>
      <c r="B2423" s="62" t="s">
        <v>1306</v>
      </c>
      <c r="C2423" s="62" t="s">
        <v>138</v>
      </c>
      <c r="D2423" s="62" t="s">
        <v>1425</v>
      </c>
      <c r="E2423" s="76">
        <v>44004.0</v>
      </c>
      <c r="F2423" s="77">
        <v>0.052083333333333336</v>
      </c>
      <c r="G2423" s="62" t="b">
        <v>1</v>
      </c>
      <c r="H2423" s="78" t="b">
        <f>IF(VLOOKUP(C2423,Projetos!A:L,12,false)=TRUE,TRUE,FALSE)</f>
        <v>1</v>
      </c>
      <c r="I2423" s="68">
        <v>35.94867919823232</v>
      </c>
      <c r="J2423" s="68">
        <f t="shared" si="1"/>
        <v>44.935849</v>
      </c>
      <c r="K2423" s="68" t="b">
        <v>1</v>
      </c>
    </row>
    <row r="2424">
      <c r="A2424" s="75">
        <v>2418.0</v>
      </c>
      <c r="B2424" s="62" t="s">
        <v>1306</v>
      </c>
      <c r="C2424" s="62" t="s">
        <v>138</v>
      </c>
      <c r="D2424" s="62" t="s">
        <v>1483</v>
      </c>
      <c r="E2424" s="76">
        <v>44011.0</v>
      </c>
      <c r="F2424" s="77">
        <v>0.052083333333333336</v>
      </c>
      <c r="G2424" s="62" t="b">
        <v>1</v>
      </c>
      <c r="H2424" s="78" t="b">
        <f>IF(VLOOKUP(C2424,Projetos!A:L,12,false)=TRUE,TRUE,FALSE)</f>
        <v>1</v>
      </c>
      <c r="I2424" s="68">
        <v>35.94867919823232</v>
      </c>
      <c r="J2424" s="68">
        <f t="shared" si="1"/>
        <v>44.935849</v>
      </c>
      <c r="K2424" s="68" t="b">
        <v>1</v>
      </c>
    </row>
    <row r="2425">
      <c r="A2425" s="75">
        <v>2419.0</v>
      </c>
      <c r="B2425" s="62" t="s">
        <v>1306</v>
      </c>
      <c r="C2425" s="62" t="s">
        <v>138</v>
      </c>
      <c r="D2425" s="62" t="s">
        <v>1346</v>
      </c>
      <c r="E2425" s="76">
        <v>44011.0</v>
      </c>
      <c r="F2425" s="77">
        <v>0.041666666666666664</v>
      </c>
      <c r="G2425" s="62" t="b">
        <v>1</v>
      </c>
      <c r="H2425" s="78" t="b">
        <f>IF(VLOOKUP(C2425,Projetos!A:L,12,false)=TRUE,TRUE,FALSE)</f>
        <v>1</v>
      </c>
      <c r="I2425" s="68">
        <v>35.94867919823232</v>
      </c>
      <c r="J2425" s="68">
        <f t="shared" si="1"/>
        <v>35.9486792</v>
      </c>
      <c r="K2425" s="68" t="b">
        <v>1</v>
      </c>
    </row>
    <row r="2426">
      <c r="A2426" s="75">
        <v>2420.0</v>
      </c>
      <c r="B2426" s="62" t="s">
        <v>1306</v>
      </c>
      <c r="C2426" s="62" t="s">
        <v>138</v>
      </c>
      <c r="D2426" s="62" t="s">
        <v>1484</v>
      </c>
      <c r="E2426" s="76">
        <v>44011.0</v>
      </c>
      <c r="F2426" s="77">
        <v>0.0625</v>
      </c>
      <c r="G2426" s="62" t="b">
        <v>1</v>
      </c>
      <c r="H2426" s="78" t="b">
        <f>IF(VLOOKUP(C2426,Projetos!A:L,12,false)=TRUE,TRUE,FALSE)</f>
        <v>1</v>
      </c>
      <c r="I2426" s="68">
        <v>35.94867919823232</v>
      </c>
      <c r="J2426" s="68">
        <f t="shared" si="1"/>
        <v>53.9230188</v>
      </c>
      <c r="K2426" s="68" t="b">
        <v>1</v>
      </c>
    </row>
    <row r="2427">
      <c r="A2427" s="75">
        <v>2421.0</v>
      </c>
      <c r="B2427" s="62" t="s">
        <v>1306</v>
      </c>
      <c r="C2427" s="62" t="s">
        <v>90</v>
      </c>
      <c r="D2427" s="62" t="s">
        <v>1485</v>
      </c>
      <c r="E2427" s="76">
        <v>43983.0</v>
      </c>
      <c r="F2427" s="77">
        <v>0.041666666666666664</v>
      </c>
      <c r="G2427" s="62" t="b">
        <v>1</v>
      </c>
      <c r="H2427" s="78" t="b">
        <f>IF(VLOOKUP(C2427,Projetos!A:L,12,false)=TRUE,TRUE,FALSE)</f>
        <v>1</v>
      </c>
      <c r="I2427" s="68">
        <v>35.94867919823232</v>
      </c>
      <c r="J2427" s="68">
        <f t="shared" si="1"/>
        <v>35.9486792</v>
      </c>
      <c r="K2427" s="68" t="b">
        <v>1</v>
      </c>
    </row>
    <row r="2428">
      <c r="A2428" s="75">
        <v>2422.0</v>
      </c>
      <c r="B2428" s="62" t="s">
        <v>1306</v>
      </c>
      <c r="C2428" s="62" t="s">
        <v>90</v>
      </c>
      <c r="D2428" s="62" t="s">
        <v>1486</v>
      </c>
      <c r="E2428" s="76">
        <v>43983.0</v>
      </c>
      <c r="F2428" s="77">
        <v>0.041666666666666664</v>
      </c>
      <c r="G2428" s="62" t="b">
        <v>1</v>
      </c>
      <c r="H2428" s="78" t="b">
        <f>IF(VLOOKUP(C2428,Projetos!A:L,12,false)=TRUE,TRUE,FALSE)</f>
        <v>1</v>
      </c>
      <c r="I2428" s="68">
        <v>35.94867919823232</v>
      </c>
      <c r="J2428" s="68">
        <f t="shared" si="1"/>
        <v>35.9486792</v>
      </c>
      <c r="K2428" s="68" t="b">
        <v>1</v>
      </c>
    </row>
    <row r="2429">
      <c r="A2429" s="75">
        <v>2423.0</v>
      </c>
      <c r="B2429" s="62" t="s">
        <v>1306</v>
      </c>
      <c r="C2429" s="62" t="s">
        <v>90</v>
      </c>
      <c r="D2429" s="62" t="s">
        <v>1487</v>
      </c>
      <c r="E2429" s="76">
        <v>43983.0</v>
      </c>
      <c r="F2429" s="77">
        <v>0.041666666666666664</v>
      </c>
      <c r="G2429" s="62" t="b">
        <v>1</v>
      </c>
      <c r="H2429" s="78" t="b">
        <f>IF(VLOOKUP(C2429,Projetos!A:L,12,false)=TRUE,TRUE,FALSE)</f>
        <v>1</v>
      </c>
      <c r="I2429" s="68">
        <v>35.94867919823232</v>
      </c>
      <c r="J2429" s="68">
        <f t="shared" si="1"/>
        <v>35.9486792</v>
      </c>
      <c r="K2429" s="68" t="b">
        <v>1</v>
      </c>
    </row>
    <row r="2430">
      <c r="A2430" s="75">
        <v>2424.0</v>
      </c>
      <c r="B2430" s="62" t="s">
        <v>1306</v>
      </c>
      <c r="C2430" s="62" t="s">
        <v>90</v>
      </c>
      <c r="D2430" s="62" t="s">
        <v>1488</v>
      </c>
      <c r="E2430" s="76">
        <v>43984.0</v>
      </c>
      <c r="F2430" s="77">
        <v>0.0625</v>
      </c>
      <c r="G2430" s="62" t="b">
        <v>1</v>
      </c>
      <c r="H2430" s="78" t="b">
        <f>IF(VLOOKUP(C2430,Projetos!A:L,12,false)=TRUE,TRUE,FALSE)</f>
        <v>1</v>
      </c>
      <c r="I2430" s="68">
        <v>35.94867919823232</v>
      </c>
      <c r="J2430" s="68">
        <f t="shared" si="1"/>
        <v>53.9230188</v>
      </c>
      <c r="K2430" s="68" t="b">
        <v>1</v>
      </c>
    </row>
    <row r="2431">
      <c r="A2431" s="75">
        <v>2425.0</v>
      </c>
      <c r="B2431" s="62" t="s">
        <v>1306</v>
      </c>
      <c r="C2431" s="62" t="s">
        <v>90</v>
      </c>
      <c r="D2431" s="62" t="s">
        <v>1489</v>
      </c>
      <c r="E2431" s="76">
        <v>43985.0</v>
      </c>
      <c r="F2431" s="77">
        <v>0.041666666666666664</v>
      </c>
      <c r="G2431" s="62" t="b">
        <v>1</v>
      </c>
      <c r="H2431" s="78" t="b">
        <f>IF(VLOOKUP(C2431,Projetos!A:L,12,false)=TRUE,TRUE,FALSE)</f>
        <v>1</v>
      </c>
      <c r="I2431" s="68">
        <v>35.94867919823232</v>
      </c>
      <c r="J2431" s="68">
        <f t="shared" si="1"/>
        <v>35.9486792</v>
      </c>
      <c r="K2431" s="68" t="b">
        <v>1</v>
      </c>
    </row>
    <row r="2432">
      <c r="A2432" s="75">
        <v>2426.0</v>
      </c>
      <c r="B2432" s="62" t="s">
        <v>1306</v>
      </c>
      <c r="C2432" s="62" t="s">
        <v>90</v>
      </c>
      <c r="D2432" s="62" t="s">
        <v>1490</v>
      </c>
      <c r="E2432" s="76">
        <v>43985.0</v>
      </c>
      <c r="F2432" s="77">
        <v>0.10416666666666667</v>
      </c>
      <c r="G2432" s="62" t="b">
        <v>1</v>
      </c>
      <c r="H2432" s="78" t="b">
        <f>IF(VLOOKUP(C2432,Projetos!A:L,12,false)=TRUE,TRUE,FALSE)</f>
        <v>1</v>
      </c>
      <c r="I2432" s="68">
        <v>35.94867919823232</v>
      </c>
      <c r="J2432" s="68">
        <f t="shared" si="1"/>
        <v>89.871698</v>
      </c>
      <c r="K2432" s="68" t="b">
        <v>1</v>
      </c>
    </row>
    <row r="2433">
      <c r="A2433" s="75">
        <v>2427.0</v>
      </c>
      <c r="B2433" s="62" t="s">
        <v>1306</v>
      </c>
      <c r="C2433" s="62" t="s">
        <v>90</v>
      </c>
      <c r="D2433" s="62" t="s">
        <v>1428</v>
      </c>
      <c r="E2433" s="76">
        <v>43985.0</v>
      </c>
      <c r="F2433" s="77">
        <v>0.041666666666666664</v>
      </c>
      <c r="G2433" s="62" t="b">
        <v>1</v>
      </c>
      <c r="H2433" s="78" t="b">
        <f>IF(VLOOKUP(C2433,Projetos!A:L,12,false)=TRUE,TRUE,FALSE)</f>
        <v>1</v>
      </c>
      <c r="I2433" s="68">
        <v>35.94867919823232</v>
      </c>
      <c r="J2433" s="68">
        <f t="shared" si="1"/>
        <v>35.9486792</v>
      </c>
      <c r="K2433" s="68" t="b">
        <v>1</v>
      </c>
    </row>
    <row r="2434">
      <c r="A2434" s="75">
        <v>2428.0</v>
      </c>
      <c r="B2434" s="62" t="s">
        <v>1306</v>
      </c>
      <c r="C2434" s="62" t="s">
        <v>90</v>
      </c>
      <c r="D2434" s="62" t="s">
        <v>971</v>
      </c>
      <c r="E2434" s="76">
        <v>43986.0</v>
      </c>
      <c r="F2434" s="77">
        <v>0.020833333333333332</v>
      </c>
      <c r="G2434" s="62" t="b">
        <v>1</v>
      </c>
      <c r="H2434" s="78" t="b">
        <f>IF(VLOOKUP(C2434,Projetos!A:L,12,false)=TRUE,TRUE,FALSE)</f>
        <v>1</v>
      </c>
      <c r="I2434" s="68">
        <v>35.94867919823232</v>
      </c>
      <c r="J2434" s="68">
        <f t="shared" si="1"/>
        <v>17.9743396</v>
      </c>
      <c r="K2434" s="68" t="b">
        <v>1</v>
      </c>
    </row>
    <row r="2435">
      <c r="A2435" s="75">
        <v>2429.0</v>
      </c>
      <c r="B2435" s="62" t="s">
        <v>1306</v>
      </c>
      <c r="C2435" s="62" t="s">
        <v>90</v>
      </c>
      <c r="D2435" s="62" t="s">
        <v>1491</v>
      </c>
      <c r="E2435" s="76">
        <v>43986.0</v>
      </c>
      <c r="F2435" s="77">
        <v>0.0625</v>
      </c>
      <c r="G2435" s="62" t="b">
        <v>1</v>
      </c>
      <c r="H2435" s="78" t="b">
        <f>IF(VLOOKUP(C2435,Projetos!A:L,12,false)=TRUE,TRUE,FALSE)</f>
        <v>1</v>
      </c>
      <c r="I2435" s="68">
        <v>35.94867919823232</v>
      </c>
      <c r="J2435" s="68">
        <f t="shared" si="1"/>
        <v>53.9230188</v>
      </c>
      <c r="K2435" s="68" t="b">
        <v>1</v>
      </c>
    </row>
    <row r="2436">
      <c r="A2436" s="75">
        <v>2430.0</v>
      </c>
      <c r="B2436" s="62" t="s">
        <v>1306</v>
      </c>
      <c r="C2436" s="62" t="s">
        <v>90</v>
      </c>
      <c r="D2436" s="62" t="s">
        <v>1492</v>
      </c>
      <c r="E2436" s="76">
        <v>43986.0</v>
      </c>
      <c r="F2436" s="77">
        <v>0.041666666666666664</v>
      </c>
      <c r="G2436" s="62" t="b">
        <v>1</v>
      </c>
      <c r="H2436" s="78" t="b">
        <f>IF(VLOOKUP(C2436,Projetos!A:L,12,false)=TRUE,TRUE,FALSE)</f>
        <v>1</v>
      </c>
      <c r="I2436" s="68">
        <v>35.94867919823232</v>
      </c>
      <c r="J2436" s="68">
        <f t="shared" si="1"/>
        <v>35.9486792</v>
      </c>
      <c r="K2436" s="68" t="b">
        <v>1</v>
      </c>
    </row>
    <row r="2437">
      <c r="A2437" s="75">
        <v>2431.0</v>
      </c>
      <c r="B2437" s="62" t="s">
        <v>1306</v>
      </c>
      <c r="C2437" s="62" t="s">
        <v>90</v>
      </c>
      <c r="D2437" s="62" t="s">
        <v>1493</v>
      </c>
      <c r="E2437" s="76">
        <v>43987.0</v>
      </c>
      <c r="F2437" s="77">
        <v>0.0625</v>
      </c>
      <c r="G2437" s="62" t="b">
        <v>1</v>
      </c>
      <c r="H2437" s="78" t="b">
        <f>IF(VLOOKUP(C2437,Projetos!A:L,12,false)=TRUE,TRUE,FALSE)</f>
        <v>1</v>
      </c>
      <c r="I2437" s="68">
        <v>35.94867919823232</v>
      </c>
      <c r="J2437" s="68">
        <f t="shared" si="1"/>
        <v>53.9230188</v>
      </c>
      <c r="K2437" s="68" t="b">
        <v>1</v>
      </c>
    </row>
    <row r="2438">
      <c r="A2438" s="75">
        <v>2432.0</v>
      </c>
      <c r="B2438" s="62" t="s">
        <v>1306</v>
      </c>
      <c r="C2438" s="62" t="s">
        <v>90</v>
      </c>
      <c r="D2438" s="62" t="s">
        <v>1494</v>
      </c>
      <c r="E2438" s="76">
        <v>43990.0</v>
      </c>
      <c r="F2438" s="77">
        <v>0.041666666666666664</v>
      </c>
      <c r="G2438" s="62" t="b">
        <v>1</v>
      </c>
      <c r="H2438" s="78" t="b">
        <f>IF(VLOOKUP(C2438,Projetos!A:L,12,false)=TRUE,TRUE,FALSE)</f>
        <v>1</v>
      </c>
      <c r="I2438" s="68">
        <v>35.94867919823232</v>
      </c>
      <c r="J2438" s="68">
        <f t="shared" si="1"/>
        <v>35.9486792</v>
      </c>
      <c r="K2438" s="68" t="b">
        <v>1</v>
      </c>
    </row>
    <row r="2439">
      <c r="A2439" s="75">
        <v>2433.0</v>
      </c>
      <c r="B2439" s="62" t="s">
        <v>1306</v>
      </c>
      <c r="C2439" s="62" t="s">
        <v>90</v>
      </c>
      <c r="D2439" s="62" t="s">
        <v>1495</v>
      </c>
      <c r="E2439" s="76">
        <v>43991.0</v>
      </c>
      <c r="F2439" s="77">
        <v>0.052083333333333336</v>
      </c>
      <c r="G2439" s="62" t="b">
        <v>1</v>
      </c>
      <c r="H2439" s="78" t="b">
        <f>IF(VLOOKUP(C2439,Projetos!A:L,12,false)=TRUE,TRUE,FALSE)</f>
        <v>1</v>
      </c>
      <c r="I2439" s="68">
        <v>35.94867919823232</v>
      </c>
      <c r="J2439" s="68">
        <f t="shared" si="1"/>
        <v>44.935849</v>
      </c>
      <c r="K2439" s="68" t="b">
        <v>1</v>
      </c>
    </row>
    <row r="2440">
      <c r="A2440" s="75">
        <v>2434.0</v>
      </c>
      <c r="B2440" s="62" t="s">
        <v>1306</v>
      </c>
      <c r="C2440" s="62" t="s">
        <v>90</v>
      </c>
      <c r="D2440" s="62" t="s">
        <v>1496</v>
      </c>
      <c r="E2440" s="76">
        <v>43991.0</v>
      </c>
      <c r="F2440" s="77">
        <v>0.041666666666666664</v>
      </c>
      <c r="G2440" s="62" t="b">
        <v>1</v>
      </c>
      <c r="H2440" s="78" t="b">
        <f>IF(VLOOKUP(C2440,Projetos!A:L,12,false)=TRUE,TRUE,FALSE)</f>
        <v>1</v>
      </c>
      <c r="I2440" s="68">
        <v>35.94867919823232</v>
      </c>
      <c r="J2440" s="68">
        <f t="shared" si="1"/>
        <v>35.9486792</v>
      </c>
      <c r="K2440" s="68" t="b">
        <v>1</v>
      </c>
    </row>
    <row r="2441">
      <c r="A2441" s="75">
        <v>2435.0</v>
      </c>
      <c r="B2441" s="62" t="s">
        <v>1306</v>
      </c>
      <c r="C2441" s="62" t="s">
        <v>90</v>
      </c>
      <c r="D2441" s="62" t="s">
        <v>1497</v>
      </c>
      <c r="E2441" s="76">
        <v>43992.0</v>
      </c>
      <c r="F2441" s="77">
        <v>0.041666666666666664</v>
      </c>
      <c r="G2441" s="62" t="b">
        <v>1</v>
      </c>
      <c r="H2441" s="78" t="b">
        <f>IF(VLOOKUP(C2441,Projetos!A:L,12,false)=TRUE,TRUE,FALSE)</f>
        <v>1</v>
      </c>
      <c r="I2441" s="68">
        <v>35.94867919823232</v>
      </c>
      <c r="J2441" s="68">
        <f t="shared" si="1"/>
        <v>35.9486792</v>
      </c>
      <c r="K2441" s="68" t="b">
        <v>1</v>
      </c>
    </row>
    <row r="2442">
      <c r="A2442" s="75">
        <v>2436.0</v>
      </c>
      <c r="B2442" s="62" t="s">
        <v>1306</v>
      </c>
      <c r="C2442" s="62" t="s">
        <v>90</v>
      </c>
      <c r="D2442" s="62" t="s">
        <v>1481</v>
      </c>
      <c r="E2442" s="76">
        <v>43992.0</v>
      </c>
      <c r="F2442" s="77">
        <v>0.041666666666666664</v>
      </c>
      <c r="G2442" s="62" t="b">
        <v>1</v>
      </c>
      <c r="H2442" s="78" t="b">
        <f>IF(VLOOKUP(C2442,Projetos!A:L,12,false)=TRUE,TRUE,FALSE)</f>
        <v>1</v>
      </c>
      <c r="I2442" s="68">
        <v>35.94867919823232</v>
      </c>
      <c r="J2442" s="68">
        <f t="shared" si="1"/>
        <v>35.9486792</v>
      </c>
      <c r="K2442" s="68" t="b">
        <v>1</v>
      </c>
    </row>
    <row r="2443">
      <c r="A2443" s="75">
        <v>2437.0</v>
      </c>
      <c r="B2443" s="62" t="s">
        <v>1306</v>
      </c>
      <c r="C2443" s="62" t="s">
        <v>90</v>
      </c>
      <c r="D2443" s="62" t="s">
        <v>1485</v>
      </c>
      <c r="E2443" s="76">
        <v>43994.0</v>
      </c>
      <c r="F2443" s="77">
        <v>0.010416666666666666</v>
      </c>
      <c r="G2443" s="62" t="b">
        <v>1</v>
      </c>
      <c r="H2443" s="78" t="b">
        <f>IF(VLOOKUP(C2443,Projetos!A:L,12,false)=TRUE,TRUE,FALSE)</f>
        <v>1</v>
      </c>
      <c r="I2443" s="68">
        <v>35.94867919823232</v>
      </c>
      <c r="J2443" s="68">
        <f t="shared" si="1"/>
        <v>8.9871698</v>
      </c>
      <c r="K2443" s="68" t="b">
        <v>1</v>
      </c>
    </row>
    <row r="2444">
      <c r="A2444" s="75">
        <v>2438.0</v>
      </c>
      <c r="B2444" s="62" t="s">
        <v>1306</v>
      </c>
      <c r="C2444" s="62" t="s">
        <v>90</v>
      </c>
      <c r="D2444" s="62" t="s">
        <v>971</v>
      </c>
      <c r="E2444" s="76">
        <v>43994.0</v>
      </c>
      <c r="F2444" s="77">
        <v>0.020833333333333332</v>
      </c>
      <c r="G2444" s="62" t="b">
        <v>1</v>
      </c>
      <c r="H2444" s="78" t="b">
        <f>IF(VLOOKUP(C2444,Projetos!A:L,12,false)=TRUE,TRUE,FALSE)</f>
        <v>1</v>
      </c>
      <c r="I2444" s="68">
        <v>35.94867919823232</v>
      </c>
      <c r="J2444" s="68">
        <f t="shared" si="1"/>
        <v>17.9743396</v>
      </c>
      <c r="K2444" s="68" t="b">
        <v>1</v>
      </c>
    </row>
    <row r="2445">
      <c r="A2445" s="75">
        <v>2439.0</v>
      </c>
      <c r="B2445" s="62" t="s">
        <v>1306</v>
      </c>
      <c r="C2445" s="62" t="s">
        <v>90</v>
      </c>
      <c r="D2445" s="62" t="s">
        <v>1481</v>
      </c>
      <c r="E2445" s="76">
        <v>43994.0</v>
      </c>
      <c r="F2445" s="77">
        <v>0.041666666666666664</v>
      </c>
      <c r="G2445" s="62" t="b">
        <v>1</v>
      </c>
      <c r="H2445" s="78" t="b">
        <f>IF(VLOOKUP(C2445,Projetos!A:L,12,false)=TRUE,TRUE,FALSE)</f>
        <v>1</v>
      </c>
      <c r="I2445" s="68">
        <v>35.94867919823232</v>
      </c>
      <c r="J2445" s="68">
        <f t="shared" si="1"/>
        <v>35.9486792</v>
      </c>
      <c r="K2445" s="68" t="b">
        <v>1</v>
      </c>
    </row>
    <row r="2446">
      <c r="A2446" s="75">
        <v>2440.0</v>
      </c>
      <c r="B2446" s="62" t="s">
        <v>1306</v>
      </c>
      <c r="C2446" s="62" t="s">
        <v>90</v>
      </c>
      <c r="D2446" s="62" t="s">
        <v>1498</v>
      </c>
      <c r="E2446" s="76">
        <v>43994.0</v>
      </c>
      <c r="F2446" s="77">
        <v>0.125</v>
      </c>
      <c r="G2446" s="62" t="b">
        <v>1</v>
      </c>
      <c r="H2446" s="78" t="b">
        <f>IF(VLOOKUP(C2446,Projetos!A:L,12,false)=TRUE,TRUE,FALSE)</f>
        <v>1</v>
      </c>
      <c r="I2446" s="68">
        <v>35.94867919823232</v>
      </c>
      <c r="J2446" s="68">
        <f t="shared" si="1"/>
        <v>107.8460376</v>
      </c>
      <c r="K2446" s="68" t="b">
        <v>1</v>
      </c>
    </row>
    <row r="2447">
      <c r="A2447" s="75">
        <v>2441.0</v>
      </c>
      <c r="B2447" s="62" t="s">
        <v>1306</v>
      </c>
      <c r="C2447" s="62" t="s">
        <v>90</v>
      </c>
      <c r="D2447" s="62" t="s">
        <v>1481</v>
      </c>
      <c r="E2447" s="76">
        <v>43998.0</v>
      </c>
      <c r="F2447" s="77">
        <v>0.041666666666666664</v>
      </c>
      <c r="G2447" s="62" t="b">
        <v>1</v>
      </c>
      <c r="H2447" s="78" t="b">
        <f>IF(VLOOKUP(C2447,Projetos!A:L,12,false)=TRUE,TRUE,FALSE)</f>
        <v>1</v>
      </c>
      <c r="I2447" s="68">
        <v>35.94867919823232</v>
      </c>
      <c r="J2447" s="68">
        <f t="shared" si="1"/>
        <v>35.9486792</v>
      </c>
      <c r="K2447" s="68" t="b">
        <v>1</v>
      </c>
    </row>
    <row r="2448">
      <c r="A2448" s="75">
        <v>2442.0</v>
      </c>
      <c r="B2448" s="62" t="s">
        <v>1306</v>
      </c>
      <c r="C2448" s="62" t="s">
        <v>90</v>
      </c>
      <c r="D2448" s="62" t="s">
        <v>1499</v>
      </c>
      <c r="E2448" s="76">
        <v>43998.0</v>
      </c>
      <c r="F2448" s="77">
        <v>0.020833333333333332</v>
      </c>
      <c r="G2448" s="62" t="b">
        <v>1</v>
      </c>
      <c r="H2448" s="78" t="b">
        <f>IF(VLOOKUP(C2448,Projetos!A:L,12,false)=TRUE,TRUE,FALSE)</f>
        <v>1</v>
      </c>
      <c r="I2448" s="68">
        <v>35.94867919823232</v>
      </c>
      <c r="J2448" s="68">
        <f t="shared" si="1"/>
        <v>17.9743396</v>
      </c>
      <c r="K2448" s="68" t="b">
        <v>1</v>
      </c>
    </row>
    <row r="2449">
      <c r="A2449" s="75">
        <v>2443.0</v>
      </c>
      <c r="B2449" s="62" t="s">
        <v>1306</v>
      </c>
      <c r="C2449" s="62" t="s">
        <v>90</v>
      </c>
      <c r="D2449" s="62" t="s">
        <v>1500</v>
      </c>
      <c r="E2449" s="76">
        <v>43999.0</v>
      </c>
      <c r="F2449" s="77">
        <v>0.041666666666666664</v>
      </c>
      <c r="G2449" s="62" t="b">
        <v>1</v>
      </c>
      <c r="H2449" s="78" t="b">
        <f>IF(VLOOKUP(C2449,Projetos!A:L,12,false)=TRUE,TRUE,FALSE)</f>
        <v>1</v>
      </c>
      <c r="I2449" s="68">
        <v>35.94867919823232</v>
      </c>
      <c r="J2449" s="68">
        <f t="shared" si="1"/>
        <v>35.9486792</v>
      </c>
      <c r="K2449" s="68" t="b">
        <v>1</v>
      </c>
    </row>
    <row r="2450">
      <c r="A2450" s="75">
        <v>2444.0</v>
      </c>
      <c r="B2450" s="62" t="s">
        <v>1306</v>
      </c>
      <c r="C2450" s="62" t="s">
        <v>90</v>
      </c>
      <c r="D2450" s="62" t="s">
        <v>1501</v>
      </c>
      <c r="E2450" s="76">
        <v>43999.0</v>
      </c>
      <c r="F2450" s="77">
        <v>0.020833333333333332</v>
      </c>
      <c r="G2450" s="62" t="b">
        <v>1</v>
      </c>
      <c r="H2450" s="78" t="b">
        <f>IF(VLOOKUP(C2450,Projetos!A:L,12,false)=TRUE,TRUE,FALSE)</f>
        <v>1</v>
      </c>
      <c r="I2450" s="68">
        <v>35.94867919823232</v>
      </c>
      <c r="J2450" s="68">
        <f t="shared" si="1"/>
        <v>17.9743396</v>
      </c>
      <c r="K2450" s="68" t="b">
        <v>1</v>
      </c>
    </row>
    <row r="2451">
      <c r="A2451" s="75">
        <v>2445.0</v>
      </c>
      <c r="B2451" s="62" t="s">
        <v>1306</v>
      </c>
      <c r="C2451" s="62" t="s">
        <v>90</v>
      </c>
      <c r="D2451" s="62" t="s">
        <v>971</v>
      </c>
      <c r="E2451" s="76">
        <v>44000.0</v>
      </c>
      <c r="F2451" s="77">
        <v>0.020833333333333332</v>
      </c>
      <c r="G2451" s="62" t="b">
        <v>1</v>
      </c>
      <c r="H2451" s="78" t="b">
        <f>IF(VLOOKUP(C2451,Projetos!A:L,12,false)=TRUE,TRUE,FALSE)</f>
        <v>1</v>
      </c>
      <c r="I2451" s="68">
        <v>35.94867919823232</v>
      </c>
      <c r="J2451" s="68">
        <f t="shared" si="1"/>
        <v>17.9743396</v>
      </c>
      <c r="K2451" s="68" t="b">
        <v>1</v>
      </c>
    </row>
    <row r="2452">
      <c r="A2452" s="75">
        <v>2446.0</v>
      </c>
      <c r="B2452" s="62" t="s">
        <v>1306</v>
      </c>
      <c r="C2452" s="62" t="s">
        <v>90</v>
      </c>
      <c r="D2452" s="62" t="s">
        <v>1502</v>
      </c>
      <c r="E2452" s="76">
        <v>44000.0</v>
      </c>
      <c r="F2452" s="77">
        <v>0.041666666666666664</v>
      </c>
      <c r="G2452" s="62" t="b">
        <v>1</v>
      </c>
      <c r="H2452" s="78" t="b">
        <f>IF(VLOOKUP(C2452,Projetos!A:L,12,false)=TRUE,TRUE,FALSE)</f>
        <v>1</v>
      </c>
      <c r="I2452" s="68">
        <v>35.94867919823232</v>
      </c>
      <c r="J2452" s="68">
        <f t="shared" si="1"/>
        <v>35.9486792</v>
      </c>
      <c r="K2452" s="68" t="b">
        <v>1</v>
      </c>
    </row>
    <row r="2453">
      <c r="A2453" s="75">
        <v>2447.0</v>
      </c>
      <c r="B2453" s="62" t="s">
        <v>1306</v>
      </c>
      <c r="C2453" s="62" t="s">
        <v>90</v>
      </c>
      <c r="D2453" s="62" t="s">
        <v>1499</v>
      </c>
      <c r="E2453" s="76">
        <v>44000.0</v>
      </c>
      <c r="F2453" s="77">
        <v>0.041666666666666664</v>
      </c>
      <c r="G2453" s="62" t="b">
        <v>1</v>
      </c>
      <c r="H2453" s="78" t="b">
        <f>IF(VLOOKUP(C2453,Projetos!A:L,12,false)=TRUE,TRUE,FALSE)</f>
        <v>1</v>
      </c>
      <c r="I2453" s="68">
        <v>35.94867919823232</v>
      </c>
      <c r="J2453" s="68">
        <f t="shared" si="1"/>
        <v>35.9486792</v>
      </c>
      <c r="K2453" s="68" t="b">
        <v>1</v>
      </c>
    </row>
    <row r="2454">
      <c r="A2454" s="75">
        <v>2448.0</v>
      </c>
      <c r="B2454" s="62" t="s">
        <v>1306</v>
      </c>
      <c r="C2454" s="62" t="s">
        <v>90</v>
      </c>
      <c r="D2454" s="62" t="s">
        <v>971</v>
      </c>
      <c r="E2454" s="76">
        <v>44001.0</v>
      </c>
      <c r="F2454" s="77">
        <v>0.020833333333333332</v>
      </c>
      <c r="G2454" s="62" t="b">
        <v>1</v>
      </c>
      <c r="H2454" s="78" t="b">
        <f>IF(VLOOKUP(C2454,Projetos!A:L,12,false)=TRUE,TRUE,FALSE)</f>
        <v>1</v>
      </c>
      <c r="I2454" s="68">
        <v>35.94867919823232</v>
      </c>
      <c r="J2454" s="68">
        <f t="shared" si="1"/>
        <v>17.9743396</v>
      </c>
      <c r="K2454" s="68" t="b">
        <v>1</v>
      </c>
    </row>
    <row r="2455">
      <c r="A2455" s="75">
        <v>2449.0</v>
      </c>
      <c r="B2455" s="62" t="s">
        <v>1306</v>
      </c>
      <c r="C2455" s="62" t="s">
        <v>90</v>
      </c>
      <c r="D2455" s="62" t="s">
        <v>1502</v>
      </c>
      <c r="E2455" s="76">
        <v>44001.0</v>
      </c>
      <c r="F2455" s="77">
        <v>0.041666666666666664</v>
      </c>
      <c r="G2455" s="62" t="b">
        <v>1</v>
      </c>
      <c r="H2455" s="78" t="b">
        <f>IF(VLOOKUP(C2455,Projetos!A:L,12,false)=TRUE,TRUE,FALSE)</f>
        <v>1</v>
      </c>
      <c r="I2455" s="68">
        <v>35.94867919823232</v>
      </c>
      <c r="J2455" s="68">
        <f t="shared" si="1"/>
        <v>35.9486792</v>
      </c>
      <c r="K2455" s="68" t="b">
        <v>1</v>
      </c>
    </row>
    <row r="2456">
      <c r="A2456" s="75">
        <v>2450.0</v>
      </c>
      <c r="B2456" s="62" t="s">
        <v>1306</v>
      </c>
      <c r="C2456" s="62" t="s">
        <v>90</v>
      </c>
      <c r="D2456" s="62" t="s">
        <v>1503</v>
      </c>
      <c r="E2456" s="76">
        <v>44004.0</v>
      </c>
      <c r="F2456" s="77">
        <v>0.052083333333333336</v>
      </c>
      <c r="G2456" s="62" t="b">
        <v>1</v>
      </c>
      <c r="H2456" s="78" t="b">
        <f>IF(VLOOKUP(C2456,Projetos!A:L,12,false)=TRUE,TRUE,FALSE)</f>
        <v>1</v>
      </c>
      <c r="I2456" s="68">
        <v>35.94867919823232</v>
      </c>
      <c r="J2456" s="68">
        <f t="shared" si="1"/>
        <v>44.935849</v>
      </c>
      <c r="K2456" s="68" t="b">
        <v>1</v>
      </c>
    </row>
    <row r="2457">
      <c r="A2457" s="75">
        <v>2451.0</v>
      </c>
      <c r="B2457" s="62" t="s">
        <v>1306</v>
      </c>
      <c r="C2457" s="62" t="s">
        <v>90</v>
      </c>
      <c r="D2457" s="62" t="s">
        <v>1485</v>
      </c>
      <c r="E2457" s="76">
        <v>44005.0</v>
      </c>
      <c r="F2457" s="77">
        <v>0.041666666666666664</v>
      </c>
      <c r="G2457" s="62" t="b">
        <v>1</v>
      </c>
      <c r="H2457" s="78" t="b">
        <f>IF(VLOOKUP(C2457,Projetos!A:L,12,false)=TRUE,TRUE,FALSE)</f>
        <v>1</v>
      </c>
      <c r="I2457" s="68">
        <v>35.94867919823232</v>
      </c>
      <c r="J2457" s="68">
        <f t="shared" si="1"/>
        <v>35.9486792</v>
      </c>
      <c r="K2457" s="68" t="b">
        <v>1</v>
      </c>
    </row>
    <row r="2458">
      <c r="A2458" s="75">
        <v>2452.0</v>
      </c>
      <c r="B2458" s="62" t="s">
        <v>1306</v>
      </c>
      <c r="C2458" s="62" t="s">
        <v>90</v>
      </c>
      <c r="D2458" s="62" t="s">
        <v>971</v>
      </c>
      <c r="E2458" s="76">
        <v>44008.0</v>
      </c>
      <c r="F2458" s="77">
        <v>0.020833333333333332</v>
      </c>
      <c r="G2458" s="62" t="b">
        <v>1</v>
      </c>
      <c r="H2458" s="78" t="b">
        <f>IF(VLOOKUP(C2458,Projetos!A:L,12,false)=TRUE,TRUE,FALSE)</f>
        <v>1</v>
      </c>
      <c r="I2458" s="68">
        <v>35.94867919823232</v>
      </c>
      <c r="J2458" s="68">
        <f t="shared" si="1"/>
        <v>17.9743396</v>
      </c>
      <c r="K2458" s="68" t="b">
        <v>1</v>
      </c>
    </row>
    <row r="2459">
      <c r="A2459" s="75">
        <v>2453.0</v>
      </c>
      <c r="B2459" s="62" t="s">
        <v>1306</v>
      </c>
      <c r="C2459" s="62" t="s">
        <v>90</v>
      </c>
      <c r="D2459" s="62" t="s">
        <v>1504</v>
      </c>
      <c r="E2459" s="76">
        <v>44008.0</v>
      </c>
      <c r="F2459" s="77">
        <v>0.08333333333333333</v>
      </c>
      <c r="G2459" s="62" t="b">
        <v>1</v>
      </c>
      <c r="H2459" s="78" t="b">
        <f>IF(VLOOKUP(C2459,Projetos!A:L,12,false)=TRUE,TRUE,FALSE)</f>
        <v>1</v>
      </c>
      <c r="I2459" s="68">
        <v>35.94867919823232</v>
      </c>
      <c r="J2459" s="68">
        <f t="shared" si="1"/>
        <v>71.8973584</v>
      </c>
      <c r="K2459" s="68" t="b">
        <v>1</v>
      </c>
    </row>
    <row r="2460">
      <c r="A2460" s="75">
        <v>2454.0</v>
      </c>
      <c r="B2460" s="62" t="s">
        <v>1306</v>
      </c>
      <c r="C2460" s="62" t="s">
        <v>90</v>
      </c>
      <c r="D2460" s="62" t="s">
        <v>1387</v>
      </c>
      <c r="E2460" s="76">
        <v>44011.0</v>
      </c>
      <c r="F2460" s="77">
        <v>0.10416666666666667</v>
      </c>
      <c r="G2460" s="62" t="b">
        <v>1</v>
      </c>
      <c r="H2460" s="78" t="b">
        <f>IF(VLOOKUP(C2460,Projetos!A:L,12,false)=TRUE,TRUE,FALSE)</f>
        <v>1</v>
      </c>
      <c r="I2460" s="68">
        <v>35.94867919823232</v>
      </c>
      <c r="J2460" s="68">
        <f t="shared" si="1"/>
        <v>89.871698</v>
      </c>
      <c r="K2460" s="68" t="b">
        <v>1</v>
      </c>
    </row>
    <row r="2461">
      <c r="A2461" s="75">
        <v>2455.0</v>
      </c>
      <c r="B2461" s="62" t="s">
        <v>1306</v>
      </c>
      <c r="C2461" s="62" t="s">
        <v>97</v>
      </c>
      <c r="D2461" s="62" t="s">
        <v>243</v>
      </c>
      <c r="E2461" s="76">
        <v>44005.0</v>
      </c>
      <c r="F2461" s="77">
        <v>0.10416666666666667</v>
      </c>
      <c r="G2461" s="62" t="b">
        <v>1</v>
      </c>
      <c r="H2461" s="78" t="b">
        <f>IF(VLOOKUP(C2461,Projetos!A:L,12,false)=TRUE,TRUE,FALSE)</f>
        <v>1</v>
      </c>
      <c r="I2461" s="68">
        <v>35.94867919823232</v>
      </c>
      <c r="J2461" s="68">
        <f t="shared" si="1"/>
        <v>89.871698</v>
      </c>
      <c r="K2461" s="68" t="b">
        <v>1</v>
      </c>
    </row>
    <row r="2462">
      <c r="A2462" s="75">
        <v>2456.0</v>
      </c>
      <c r="B2462" s="62" t="s">
        <v>1306</v>
      </c>
      <c r="C2462" s="62" t="s">
        <v>97</v>
      </c>
      <c r="D2462" s="62" t="s">
        <v>1505</v>
      </c>
      <c r="E2462" s="76">
        <v>44006.0</v>
      </c>
      <c r="F2462" s="77">
        <v>0.041666666666666664</v>
      </c>
      <c r="G2462" s="62" t="b">
        <v>1</v>
      </c>
      <c r="H2462" s="78" t="b">
        <f>IF(VLOOKUP(C2462,Projetos!A:L,12,false)=TRUE,TRUE,FALSE)</f>
        <v>1</v>
      </c>
      <c r="I2462" s="68">
        <v>35.94867919823232</v>
      </c>
      <c r="J2462" s="68">
        <f t="shared" si="1"/>
        <v>35.9486792</v>
      </c>
      <c r="K2462" s="68" t="b">
        <v>1</v>
      </c>
    </row>
    <row r="2463" hidden="1">
      <c r="A2463" s="75">
        <v>2457.0</v>
      </c>
      <c r="B2463" s="62" t="s">
        <v>1306</v>
      </c>
      <c r="C2463" s="62" t="s">
        <v>97</v>
      </c>
      <c r="D2463" s="62" t="s">
        <v>1506</v>
      </c>
      <c r="E2463" s="76">
        <v>44012.0</v>
      </c>
      <c r="F2463" s="77">
        <v>0.041666666666666664</v>
      </c>
      <c r="G2463" s="62" t="b">
        <v>0</v>
      </c>
      <c r="H2463" s="78" t="b">
        <f>IF(VLOOKUP(C2463,Projetos!A:L,12,false)=TRUE,TRUE,FALSE)</f>
        <v>1</v>
      </c>
      <c r="I2463" s="68">
        <v>35.94867919823232</v>
      </c>
      <c r="J2463" s="68">
        <f t="shared" si="1"/>
        <v>0</v>
      </c>
      <c r="K2463" s="68" t="b">
        <v>1</v>
      </c>
    </row>
    <row r="2464">
      <c r="A2464" s="75">
        <v>2458.0</v>
      </c>
      <c r="B2464" s="62" t="s">
        <v>1306</v>
      </c>
      <c r="C2464" s="62" t="s">
        <v>98</v>
      </c>
      <c r="D2464" s="62" t="s">
        <v>1507</v>
      </c>
      <c r="E2464" s="76">
        <v>43986.0</v>
      </c>
      <c r="F2464" s="77">
        <v>0.041666666666666664</v>
      </c>
      <c r="G2464" s="62" t="b">
        <v>1</v>
      </c>
      <c r="H2464" s="78" t="b">
        <f>IF(VLOOKUP(C2464,Projetos!A:L,12,false)=TRUE,TRUE,FALSE)</f>
        <v>1</v>
      </c>
      <c r="I2464" s="68">
        <v>35.94867919823232</v>
      </c>
      <c r="J2464" s="68">
        <f t="shared" si="1"/>
        <v>35.9486792</v>
      </c>
      <c r="K2464" s="68" t="b">
        <v>1</v>
      </c>
    </row>
    <row r="2465">
      <c r="A2465" s="75">
        <v>2459.0</v>
      </c>
      <c r="B2465" s="62" t="s">
        <v>1306</v>
      </c>
      <c r="C2465" s="62" t="s">
        <v>100</v>
      </c>
      <c r="D2465" s="62" t="s">
        <v>1485</v>
      </c>
      <c r="E2465" s="76">
        <v>44004.0</v>
      </c>
      <c r="F2465" s="77">
        <v>0.10416666666666667</v>
      </c>
      <c r="G2465" s="62" t="b">
        <v>1</v>
      </c>
      <c r="H2465" s="78" t="b">
        <f>IF(VLOOKUP(C2465,Projetos!A:L,12,false)=TRUE,TRUE,FALSE)</f>
        <v>1</v>
      </c>
      <c r="I2465" s="68">
        <v>35.94867919823232</v>
      </c>
      <c r="J2465" s="68">
        <f t="shared" si="1"/>
        <v>89.871698</v>
      </c>
      <c r="K2465" s="68" t="b">
        <v>1</v>
      </c>
    </row>
    <row r="2466">
      <c r="A2466" s="75">
        <v>2460.0</v>
      </c>
      <c r="B2466" s="62" t="s">
        <v>1306</v>
      </c>
      <c r="C2466" s="62" t="s">
        <v>100</v>
      </c>
      <c r="D2466" s="62" t="s">
        <v>1508</v>
      </c>
      <c r="E2466" s="76">
        <v>44004.0</v>
      </c>
      <c r="F2466" s="77">
        <v>0.10416666666666667</v>
      </c>
      <c r="G2466" s="62" t="b">
        <v>1</v>
      </c>
      <c r="H2466" s="78" t="b">
        <f>IF(VLOOKUP(C2466,Projetos!A:L,12,false)=TRUE,TRUE,FALSE)</f>
        <v>1</v>
      </c>
      <c r="I2466" s="68">
        <v>35.94867919823232</v>
      </c>
      <c r="J2466" s="68">
        <f t="shared" si="1"/>
        <v>89.871698</v>
      </c>
      <c r="K2466" s="68" t="b">
        <v>1</v>
      </c>
    </row>
    <row r="2467">
      <c r="A2467" s="75">
        <v>2461.0</v>
      </c>
      <c r="B2467" s="62" t="s">
        <v>1306</v>
      </c>
      <c r="C2467" s="62" t="s">
        <v>100</v>
      </c>
      <c r="D2467" s="62" t="s">
        <v>1509</v>
      </c>
      <c r="E2467" s="76">
        <v>44012.0</v>
      </c>
      <c r="F2467" s="77">
        <v>0.10416666666666667</v>
      </c>
      <c r="G2467" s="62" t="b">
        <v>1</v>
      </c>
      <c r="H2467" s="78" t="b">
        <f>IF(VLOOKUP(C2467,Projetos!A:L,12,false)=TRUE,TRUE,FALSE)</f>
        <v>1</v>
      </c>
      <c r="I2467" s="68">
        <v>35.94867919823232</v>
      </c>
      <c r="J2467" s="68">
        <f t="shared" si="1"/>
        <v>89.871698</v>
      </c>
      <c r="K2467" s="68" t="b">
        <v>1</v>
      </c>
    </row>
    <row r="2468" hidden="1">
      <c r="A2468" s="75">
        <v>2462.0</v>
      </c>
      <c r="B2468" s="62" t="s">
        <v>1306</v>
      </c>
      <c r="C2468" s="62" t="s">
        <v>102</v>
      </c>
      <c r="D2468" s="62" t="s">
        <v>1510</v>
      </c>
      <c r="E2468" s="76">
        <v>43983.0</v>
      </c>
      <c r="F2468" s="77">
        <v>0.0625</v>
      </c>
      <c r="G2468" s="62" t="b">
        <v>0</v>
      </c>
      <c r="H2468" s="78" t="b">
        <f>IF(VLOOKUP(C2468,Projetos!A:L,12,false)=TRUE,TRUE,FALSE)</f>
        <v>0</v>
      </c>
      <c r="I2468" s="68">
        <v>35.94867919823232</v>
      </c>
      <c r="J2468" s="68">
        <f t="shared" si="1"/>
        <v>0</v>
      </c>
      <c r="K2468" s="68" t="b">
        <v>0</v>
      </c>
    </row>
    <row r="2469">
      <c r="A2469" s="75">
        <v>2463.0</v>
      </c>
      <c r="B2469" s="62" t="s">
        <v>1306</v>
      </c>
      <c r="C2469" s="62" t="s">
        <v>103</v>
      </c>
      <c r="D2469" s="62" t="s">
        <v>1511</v>
      </c>
      <c r="E2469" s="76">
        <v>43983.0</v>
      </c>
      <c r="F2469" s="77">
        <v>0.03125</v>
      </c>
      <c r="G2469" s="62" t="b">
        <v>1</v>
      </c>
      <c r="H2469" s="78" t="b">
        <f>IF(VLOOKUP(C2469,Projetos!A:L,12,false)=TRUE,TRUE,FALSE)</f>
        <v>1</v>
      </c>
      <c r="I2469" s="68">
        <v>35.94867919823232</v>
      </c>
      <c r="J2469" s="68">
        <f t="shared" si="1"/>
        <v>26.9615094</v>
      </c>
      <c r="K2469" s="68" t="b">
        <v>1</v>
      </c>
    </row>
    <row r="2470">
      <c r="A2470" s="75">
        <v>2464.0</v>
      </c>
      <c r="B2470" s="62" t="s">
        <v>1306</v>
      </c>
      <c r="C2470" s="62" t="s">
        <v>103</v>
      </c>
      <c r="D2470" s="62" t="s">
        <v>1443</v>
      </c>
      <c r="E2470" s="76">
        <v>43983.0</v>
      </c>
      <c r="F2470" s="77">
        <v>0.09027777777777778</v>
      </c>
      <c r="G2470" s="62" t="b">
        <v>1</v>
      </c>
      <c r="H2470" s="78" t="b">
        <f>IF(VLOOKUP(C2470,Projetos!A:L,12,false)=TRUE,TRUE,FALSE)</f>
        <v>1</v>
      </c>
      <c r="I2470" s="68">
        <v>35.94867919823232</v>
      </c>
      <c r="J2470" s="68">
        <f t="shared" si="1"/>
        <v>77.88880493</v>
      </c>
      <c r="K2470" s="68" t="b">
        <v>1</v>
      </c>
    </row>
    <row r="2471">
      <c r="A2471" s="75">
        <v>2465.0</v>
      </c>
      <c r="B2471" s="62" t="s">
        <v>1306</v>
      </c>
      <c r="C2471" s="62" t="s">
        <v>103</v>
      </c>
      <c r="D2471" s="62" t="s">
        <v>1443</v>
      </c>
      <c r="E2471" s="76">
        <v>43984.0</v>
      </c>
      <c r="F2471" s="77">
        <v>0.041666666666666664</v>
      </c>
      <c r="G2471" s="62" t="b">
        <v>1</v>
      </c>
      <c r="H2471" s="78" t="b">
        <f>IF(VLOOKUP(C2471,Projetos!A:L,12,false)=TRUE,TRUE,FALSE)</f>
        <v>1</v>
      </c>
      <c r="I2471" s="68">
        <v>35.94867919823232</v>
      </c>
      <c r="J2471" s="68">
        <f t="shared" si="1"/>
        <v>35.9486792</v>
      </c>
      <c r="K2471" s="68" t="b">
        <v>1</v>
      </c>
    </row>
    <row r="2472">
      <c r="A2472" s="75">
        <v>2466.0</v>
      </c>
      <c r="B2472" s="62" t="s">
        <v>1306</v>
      </c>
      <c r="C2472" s="62" t="s">
        <v>103</v>
      </c>
      <c r="D2472" s="62" t="s">
        <v>1446</v>
      </c>
      <c r="E2472" s="76">
        <v>43984.0</v>
      </c>
      <c r="F2472" s="77">
        <v>0.0625</v>
      </c>
      <c r="G2472" s="62" t="b">
        <v>1</v>
      </c>
      <c r="H2472" s="78" t="b">
        <f>IF(VLOOKUP(C2472,Projetos!A:L,12,false)=TRUE,TRUE,FALSE)</f>
        <v>1</v>
      </c>
      <c r="I2472" s="68">
        <v>35.94867919823232</v>
      </c>
      <c r="J2472" s="68">
        <f t="shared" si="1"/>
        <v>53.9230188</v>
      </c>
      <c r="K2472" s="68" t="b">
        <v>1</v>
      </c>
    </row>
    <row r="2473">
      <c r="A2473" s="75">
        <v>2467.0</v>
      </c>
      <c r="B2473" s="62" t="s">
        <v>1306</v>
      </c>
      <c r="C2473" s="62" t="s">
        <v>103</v>
      </c>
      <c r="D2473" s="62" t="s">
        <v>1512</v>
      </c>
      <c r="E2473" s="76">
        <v>43990.0</v>
      </c>
      <c r="F2473" s="77">
        <v>0.08333333333333333</v>
      </c>
      <c r="G2473" s="62" t="b">
        <v>1</v>
      </c>
      <c r="H2473" s="78" t="b">
        <f>IF(VLOOKUP(C2473,Projetos!A:L,12,false)=TRUE,TRUE,FALSE)</f>
        <v>1</v>
      </c>
      <c r="I2473" s="68">
        <v>35.94867919823232</v>
      </c>
      <c r="J2473" s="68">
        <f t="shared" si="1"/>
        <v>71.8973584</v>
      </c>
      <c r="K2473" s="68" t="b">
        <v>1</v>
      </c>
    </row>
    <row r="2474">
      <c r="A2474" s="75">
        <v>2468.0</v>
      </c>
      <c r="B2474" s="62" t="s">
        <v>1306</v>
      </c>
      <c r="C2474" s="62" t="s">
        <v>103</v>
      </c>
      <c r="D2474" s="62" t="s">
        <v>1513</v>
      </c>
      <c r="E2474" s="76">
        <v>43990.0</v>
      </c>
      <c r="F2474" s="77">
        <v>0.041666666666666664</v>
      </c>
      <c r="G2474" s="62" t="b">
        <v>1</v>
      </c>
      <c r="H2474" s="78" t="b">
        <f>IF(VLOOKUP(C2474,Projetos!A:L,12,false)=TRUE,TRUE,FALSE)</f>
        <v>1</v>
      </c>
      <c r="I2474" s="68">
        <v>35.94867919823232</v>
      </c>
      <c r="J2474" s="68">
        <f t="shared" si="1"/>
        <v>35.9486792</v>
      </c>
      <c r="K2474" s="68" t="b">
        <v>1</v>
      </c>
    </row>
    <row r="2475">
      <c r="A2475" s="75">
        <v>2469.0</v>
      </c>
      <c r="B2475" s="62" t="s">
        <v>1306</v>
      </c>
      <c r="C2475" s="62" t="s">
        <v>103</v>
      </c>
      <c r="D2475" s="62" t="s">
        <v>1514</v>
      </c>
      <c r="E2475" s="76">
        <v>43992.0</v>
      </c>
      <c r="F2475" s="77">
        <v>0.041666666666666664</v>
      </c>
      <c r="G2475" s="62" t="b">
        <v>1</v>
      </c>
      <c r="H2475" s="78" t="b">
        <f>IF(VLOOKUP(C2475,Projetos!A:L,12,false)=TRUE,TRUE,FALSE)</f>
        <v>1</v>
      </c>
      <c r="I2475" s="68">
        <v>35.94867919823232</v>
      </c>
      <c r="J2475" s="68">
        <f t="shared" si="1"/>
        <v>35.9486792</v>
      </c>
      <c r="K2475" s="68" t="b">
        <v>1</v>
      </c>
    </row>
    <row r="2476">
      <c r="A2476" s="75">
        <v>2470.0</v>
      </c>
      <c r="B2476" s="62" t="s">
        <v>1306</v>
      </c>
      <c r="C2476" s="62" t="s">
        <v>103</v>
      </c>
      <c r="D2476" s="62" t="s">
        <v>1514</v>
      </c>
      <c r="E2476" s="76">
        <v>43994.0</v>
      </c>
      <c r="F2476" s="77">
        <v>0.08333333333333333</v>
      </c>
      <c r="G2476" s="62" t="b">
        <v>1</v>
      </c>
      <c r="H2476" s="78" t="b">
        <f>IF(VLOOKUP(C2476,Projetos!A:L,12,false)=TRUE,TRUE,FALSE)</f>
        <v>1</v>
      </c>
      <c r="I2476" s="68">
        <v>35.94867919823232</v>
      </c>
      <c r="J2476" s="68">
        <f t="shared" si="1"/>
        <v>71.8973584</v>
      </c>
      <c r="K2476" s="68" t="b">
        <v>1</v>
      </c>
    </row>
    <row r="2477">
      <c r="A2477" s="75">
        <v>2471.0</v>
      </c>
      <c r="B2477" s="62" t="s">
        <v>1306</v>
      </c>
      <c r="C2477" s="62" t="s">
        <v>103</v>
      </c>
      <c r="D2477" s="62" t="s">
        <v>1514</v>
      </c>
      <c r="E2477" s="76">
        <v>43997.0</v>
      </c>
      <c r="F2477" s="77">
        <v>0.010416666666666666</v>
      </c>
      <c r="G2477" s="62" t="b">
        <v>1</v>
      </c>
      <c r="H2477" s="78" t="b">
        <f>IF(VLOOKUP(C2477,Projetos!A:L,12,false)=TRUE,TRUE,FALSE)</f>
        <v>1</v>
      </c>
      <c r="I2477" s="68">
        <v>35.94867919823232</v>
      </c>
      <c r="J2477" s="68">
        <f t="shared" si="1"/>
        <v>8.9871698</v>
      </c>
      <c r="K2477" s="68" t="b">
        <v>1</v>
      </c>
    </row>
    <row r="2478">
      <c r="A2478" s="75">
        <v>2472.0</v>
      </c>
      <c r="B2478" s="62" t="s">
        <v>1306</v>
      </c>
      <c r="C2478" s="62" t="s">
        <v>103</v>
      </c>
      <c r="D2478" s="62" t="s">
        <v>1515</v>
      </c>
      <c r="E2478" s="76">
        <v>43998.0</v>
      </c>
      <c r="F2478" s="77">
        <v>0.052083333333333336</v>
      </c>
      <c r="G2478" s="62" t="b">
        <v>1</v>
      </c>
      <c r="H2478" s="78" t="b">
        <f>IF(VLOOKUP(C2478,Projetos!A:L,12,false)=TRUE,TRUE,FALSE)</f>
        <v>1</v>
      </c>
      <c r="I2478" s="68">
        <v>35.94867919823232</v>
      </c>
      <c r="J2478" s="68">
        <f t="shared" si="1"/>
        <v>44.935849</v>
      </c>
      <c r="K2478" s="68" t="b">
        <v>1</v>
      </c>
    </row>
    <row r="2479">
      <c r="A2479" s="75">
        <v>2473.0</v>
      </c>
      <c r="B2479" s="62" t="s">
        <v>1306</v>
      </c>
      <c r="C2479" s="62" t="s">
        <v>103</v>
      </c>
      <c r="D2479" s="62" t="s">
        <v>1516</v>
      </c>
      <c r="E2479" s="76">
        <v>44008.0</v>
      </c>
      <c r="F2479" s="77">
        <v>0.041666666666666664</v>
      </c>
      <c r="G2479" s="62" t="b">
        <v>1</v>
      </c>
      <c r="H2479" s="78" t="b">
        <f>IF(VLOOKUP(C2479,Projetos!A:L,12,false)=TRUE,TRUE,FALSE)</f>
        <v>1</v>
      </c>
      <c r="I2479" s="68">
        <v>35.94867919823232</v>
      </c>
      <c r="J2479" s="68">
        <f t="shared" si="1"/>
        <v>35.9486792</v>
      </c>
      <c r="K2479" s="68" t="b">
        <v>1</v>
      </c>
    </row>
    <row r="2480">
      <c r="A2480" s="75">
        <v>2474.0</v>
      </c>
      <c r="B2480" s="62" t="s">
        <v>1306</v>
      </c>
      <c r="C2480" s="62" t="s">
        <v>104</v>
      </c>
      <c r="D2480" s="62" t="s">
        <v>1485</v>
      </c>
      <c r="E2480" s="76">
        <v>43984.0</v>
      </c>
      <c r="F2480" s="77">
        <v>0.08333333333333333</v>
      </c>
      <c r="G2480" s="62" t="b">
        <v>1</v>
      </c>
      <c r="H2480" s="78" t="b">
        <f>IF(VLOOKUP(C2480,Projetos!A:L,12,false)=TRUE,TRUE,FALSE)</f>
        <v>1</v>
      </c>
      <c r="I2480" s="68">
        <v>35.94867919823232</v>
      </c>
      <c r="J2480" s="68">
        <f t="shared" si="1"/>
        <v>71.8973584</v>
      </c>
      <c r="K2480" s="68" t="b">
        <v>1</v>
      </c>
    </row>
    <row r="2481">
      <c r="A2481" s="75">
        <v>2475.0</v>
      </c>
      <c r="B2481" s="62" t="s">
        <v>1306</v>
      </c>
      <c r="C2481" s="62" t="s">
        <v>104</v>
      </c>
      <c r="D2481" s="62" t="s">
        <v>1425</v>
      </c>
      <c r="E2481" s="76">
        <v>43984.0</v>
      </c>
      <c r="F2481" s="77">
        <v>0.08333333333333333</v>
      </c>
      <c r="G2481" s="62" t="b">
        <v>1</v>
      </c>
      <c r="H2481" s="78" t="b">
        <f>IF(VLOOKUP(C2481,Projetos!A:L,12,false)=TRUE,TRUE,FALSE)</f>
        <v>1</v>
      </c>
      <c r="I2481" s="68">
        <v>35.94867919823232</v>
      </c>
      <c r="J2481" s="68">
        <f t="shared" si="1"/>
        <v>71.8973584</v>
      </c>
      <c r="K2481" s="68" t="b">
        <v>1</v>
      </c>
    </row>
    <row r="2482">
      <c r="A2482" s="75">
        <v>2476.0</v>
      </c>
      <c r="B2482" s="62" t="s">
        <v>1306</v>
      </c>
      <c r="C2482" s="62" t="s">
        <v>104</v>
      </c>
      <c r="D2482" s="62" t="s">
        <v>1446</v>
      </c>
      <c r="E2482" s="76">
        <v>43985.0</v>
      </c>
      <c r="F2482" s="77">
        <v>0.041666666666666664</v>
      </c>
      <c r="G2482" s="62" t="b">
        <v>1</v>
      </c>
      <c r="H2482" s="78" t="b">
        <f>IF(VLOOKUP(C2482,Projetos!A:L,12,false)=TRUE,TRUE,FALSE)</f>
        <v>1</v>
      </c>
      <c r="I2482" s="68">
        <v>35.94867919823232</v>
      </c>
      <c r="J2482" s="68">
        <f t="shared" si="1"/>
        <v>35.9486792</v>
      </c>
      <c r="K2482" s="68" t="b">
        <v>1</v>
      </c>
    </row>
    <row r="2483">
      <c r="A2483" s="75">
        <v>2477.0</v>
      </c>
      <c r="B2483" s="62" t="s">
        <v>1306</v>
      </c>
      <c r="C2483" s="62" t="s">
        <v>104</v>
      </c>
      <c r="D2483" s="62" t="s">
        <v>1446</v>
      </c>
      <c r="E2483" s="76">
        <v>43986.0</v>
      </c>
      <c r="F2483" s="77">
        <v>0.0625</v>
      </c>
      <c r="G2483" s="62" t="b">
        <v>1</v>
      </c>
      <c r="H2483" s="78" t="b">
        <f>IF(VLOOKUP(C2483,Projetos!A:L,12,false)=TRUE,TRUE,FALSE)</f>
        <v>1</v>
      </c>
      <c r="I2483" s="68">
        <v>35.94867919823232</v>
      </c>
      <c r="J2483" s="68">
        <f t="shared" si="1"/>
        <v>53.9230188</v>
      </c>
      <c r="K2483" s="68" t="b">
        <v>1</v>
      </c>
    </row>
    <row r="2484">
      <c r="A2484" s="75">
        <v>2478.0</v>
      </c>
      <c r="B2484" s="62" t="s">
        <v>1306</v>
      </c>
      <c r="C2484" s="62" t="s">
        <v>104</v>
      </c>
      <c r="D2484" s="62" t="s">
        <v>1517</v>
      </c>
      <c r="E2484" s="76">
        <v>43986.0</v>
      </c>
      <c r="F2484" s="77">
        <v>0.041666666666666664</v>
      </c>
      <c r="G2484" s="62" t="b">
        <v>1</v>
      </c>
      <c r="H2484" s="78" t="b">
        <f>IF(VLOOKUP(C2484,Projetos!A:L,12,false)=TRUE,TRUE,FALSE)</f>
        <v>1</v>
      </c>
      <c r="I2484" s="68">
        <v>35.94867919823232</v>
      </c>
      <c r="J2484" s="68">
        <f t="shared" si="1"/>
        <v>35.9486792</v>
      </c>
      <c r="K2484" s="68" t="b">
        <v>1</v>
      </c>
    </row>
    <row r="2485">
      <c r="A2485" s="75">
        <v>2479.0</v>
      </c>
      <c r="B2485" s="62" t="s">
        <v>1306</v>
      </c>
      <c r="C2485" s="62" t="s">
        <v>104</v>
      </c>
      <c r="D2485" s="62" t="s">
        <v>1485</v>
      </c>
      <c r="E2485" s="76">
        <v>43990.0</v>
      </c>
      <c r="F2485" s="77">
        <v>0.041666666666666664</v>
      </c>
      <c r="G2485" s="62" t="b">
        <v>1</v>
      </c>
      <c r="H2485" s="78" t="b">
        <f>IF(VLOOKUP(C2485,Projetos!A:L,12,false)=TRUE,TRUE,FALSE)</f>
        <v>1</v>
      </c>
      <c r="I2485" s="68">
        <v>35.94867919823232</v>
      </c>
      <c r="J2485" s="68">
        <f t="shared" si="1"/>
        <v>35.9486792</v>
      </c>
      <c r="K2485" s="68" t="b">
        <v>1</v>
      </c>
    </row>
    <row r="2486">
      <c r="A2486" s="75">
        <v>2480.0</v>
      </c>
      <c r="B2486" s="62" t="s">
        <v>1306</v>
      </c>
      <c r="C2486" s="62" t="s">
        <v>104</v>
      </c>
      <c r="D2486" s="62" t="s">
        <v>1518</v>
      </c>
      <c r="E2486" s="76">
        <v>43991.0</v>
      </c>
      <c r="F2486" s="77">
        <v>0.10416666666666667</v>
      </c>
      <c r="G2486" s="62" t="b">
        <v>1</v>
      </c>
      <c r="H2486" s="78" t="b">
        <f>IF(VLOOKUP(C2486,Projetos!A:L,12,false)=TRUE,TRUE,FALSE)</f>
        <v>1</v>
      </c>
      <c r="I2486" s="68">
        <v>35.94867919823232</v>
      </c>
      <c r="J2486" s="68">
        <f t="shared" si="1"/>
        <v>89.871698</v>
      </c>
      <c r="K2486" s="68" t="b">
        <v>1</v>
      </c>
    </row>
    <row r="2487">
      <c r="A2487" s="75">
        <v>2481.0</v>
      </c>
      <c r="B2487" s="62" t="s">
        <v>1306</v>
      </c>
      <c r="C2487" s="62" t="s">
        <v>104</v>
      </c>
      <c r="D2487" s="62" t="s">
        <v>1519</v>
      </c>
      <c r="E2487" s="76">
        <v>43991.0</v>
      </c>
      <c r="F2487" s="77">
        <v>0.041666666666666664</v>
      </c>
      <c r="G2487" s="62" t="b">
        <v>1</v>
      </c>
      <c r="H2487" s="78" t="b">
        <f>IF(VLOOKUP(C2487,Projetos!A:L,12,false)=TRUE,TRUE,FALSE)</f>
        <v>1</v>
      </c>
      <c r="I2487" s="68">
        <v>35.94867919823232</v>
      </c>
      <c r="J2487" s="68">
        <f t="shared" si="1"/>
        <v>35.9486792</v>
      </c>
      <c r="K2487" s="68" t="b">
        <v>1</v>
      </c>
    </row>
    <row r="2488">
      <c r="A2488" s="75">
        <v>2482.0</v>
      </c>
      <c r="B2488" s="62" t="s">
        <v>1306</v>
      </c>
      <c r="C2488" s="62" t="s">
        <v>104</v>
      </c>
      <c r="D2488" s="62" t="s">
        <v>1520</v>
      </c>
      <c r="E2488" s="76">
        <v>43994.0</v>
      </c>
      <c r="F2488" s="77">
        <v>0.041666666666666664</v>
      </c>
      <c r="G2488" s="62" t="b">
        <v>1</v>
      </c>
      <c r="H2488" s="78" t="b">
        <f>IF(VLOOKUP(C2488,Projetos!A:L,12,false)=TRUE,TRUE,FALSE)</f>
        <v>1</v>
      </c>
      <c r="I2488" s="68">
        <v>35.94867919823232</v>
      </c>
      <c r="J2488" s="68">
        <f t="shared" si="1"/>
        <v>35.9486792</v>
      </c>
      <c r="K2488" s="68" t="b">
        <v>1</v>
      </c>
    </row>
    <row r="2489">
      <c r="A2489" s="75">
        <v>2483.0</v>
      </c>
      <c r="B2489" s="62" t="s">
        <v>1306</v>
      </c>
      <c r="C2489" s="62" t="s">
        <v>104</v>
      </c>
      <c r="D2489" s="62" t="s">
        <v>1521</v>
      </c>
      <c r="E2489" s="76">
        <v>43998.0</v>
      </c>
      <c r="F2489" s="77">
        <v>0.020833333333333332</v>
      </c>
      <c r="G2489" s="62" t="b">
        <v>1</v>
      </c>
      <c r="H2489" s="78" t="b">
        <f>IF(VLOOKUP(C2489,Projetos!A:L,12,false)=TRUE,TRUE,FALSE)</f>
        <v>1</v>
      </c>
      <c r="I2489" s="68">
        <v>35.94867919823232</v>
      </c>
      <c r="J2489" s="68">
        <f t="shared" si="1"/>
        <v>17.9743396</v>
      </c>
      <c r="K2489" s="68" t="b">
        <v>1</v>
      </c>
    </row>
    <row r="2490">
      <c r="A2490" s="75">
        <v>2484.0</v>
      </c>
      <c r="B2490" s="62" t="s">
        <v>1306</v>
      </c>
      <c r="C2490" s="62" t="s">
        <v>104</v>
      </c>
      <c r="D2490" s="62" t="s">
        <v>1522</v>
      </c>
      <c r="E2490" s="76">
        <v>44012.0</v>
      </c>
      <c r="F2490" s="77">
        <v>0.041666666666666664</v>
      </c>
      <c r="G2490" s="62" t="b">
        <v>1</v>
      </c>
      <c r="H2490" s="78" t="b">
        <f>IF(VLOOKUP(C2490,Projetos!A:L,12,false)=TRUE,TRUE,FALSE)</f>
        <v>1</v>
      </c>
      <c r="I2490" s="68">
        <v>35.94867919823232</v>
      </c>
      <c r="J2490" s="68">
        <f t="shared" si="1"/>
        <v>35.9486792</v>
      </c>
      <c r="K2490" s="68" t="b">
        <v>1</v>
      </c>
    </row>
    <row r="2491">
      <c r="A2491" s="75">
        <v>2485.0</v>
      </c>
      <c r="B2491" s="62" t="s">
        <v>1306</v>
      </c>
      <c r="C2491" s="62" t="s">
        <v>105</v>
      </c>
      <c r="D2491" s="62" t="s">
        <v>1523</v>
      </c>
      <c r="E2491" s="76">
        <v>43986.0</v>
      </c>
      <c r="F2491" s="77">
        <v>0.041666666666666664</v>
      </c>
      <c r="G2491" s="62" t="b">
        <v>1</v>
      </c>
      <c r="H2491" s="78" t="b">
        <f>IF(VLOOKUP(C2491,Projetos!A:L,12,false)=TRUE,TRUE,FALSE)</f>
        <v>1</v>
      </c>
      <c r="I2491" s="68">
        <v>35.94867919823232</v>
      </c>
      <c r="J2491" s="68">
        <f t="shared" si="1"/>
        <v>35.9486792</v>
      </c>
      <c r="K2491" s="68" t="b">
        <v>1</v>
      </c>
    </row>
    <row r="2492" hidden="1">
      <c r="A2492" s="75">
        <v>2486.0</v>
      </c>
      <c r="B2492" s="62" t="s">
        <v>1306</v>
      </c>
      <c r="C2492" s="62" t="s">
        <v>105</v>
      </c>
      <c r="D2492" s="62" t="s">
        <v>1524</v>
      </c>
      <c r="E2492" s="76">
        <v>43998.0</v>
      </c>
      <c r="F2492" s="77">
        <v>0.010416666666666666</v>
      </c>
      <c r="G2492" s="62" t="b">
        <v>0</v>
      </c>
      <c r="H2492" s="78" t="b">
        <f>IF(VLOOKUP(C2492,Projetos!A:L,12,false)=TRUE,TRUE,FALSE)</f>
        <v>1</v>
      </c>
      <c r="I2492" s="68">
        <v>35.94867919823232</v>
      </c>
      <c r="J2492" s="68">
        <f t="shared" si="1"/>
        <v>0</v>
      </c>
      <c r="K2492" s="68" t="b">
        <v>1</v>
      </c>
    </row>
    <row r="2493">
      <c r="A2493" s="75">
        <v>2487.0</v>
      </c>
      <c r="B2493" s="62" t="s">
        <v>1306</v>
      </c>
      <c r="C2493" s="62" t="s">
        <v>105</v>
      </c>
      <c r="D2493" s="62" t="s">
        <v>1525</v>
      </c>
      <c r="E2493" s="76">
        <v>44000.0</v>
      </c>
      <c r="F2493" s="77">
        <v>0.041666666666666664</v>
      </c>
      <c r="G2493" s="62" t="b">
        <v>1</v>
      </c>
      <c r="H2493" s="78" t="b">
        <f>IF(VLOOKUP(C2493,Projetos!A:L,12,false)=TRUE,TRUE,FALSE)</f>
        <v>1</v>
      </c>
      <c r="I2493" s="68">
        <v>35.94867919823232</v>
      </c>
      <c r="J2493" s="68">
        <f t="shared" si="1"/>
        <v>35.9486792</v>
      </c>
      <c r="K2493" s="68" t="b">
        <v>1</v>
      </c>
    </row>
    <row r="2494">
      <c r="A2494" s="75">
        <v>2488.0</v>
      </c>
      <c r="B2494" s="62" t="s">
        <v>1306</v>
      </c>
      <c r="C2494" s="62" t="s">
        <v>105</v>
      </c>
      <c r="D2494" s="62" t="s">
        <v>1526</v>
      </c>
      <c r="E2494" s="76">
        <v>44005.0</v>
      </c>
      <c r="F2494" s="77">
        <v>0.125</v>
      </c>
      <c r="G2494" s="62" t="b">
        <v>1</v>
      </c>
      <c r="H2494" s="78" t="b">
        <f>IF(VLOOKUP(C2494,Projetos!A:L,12,false)=TRUE,TRUE,FALSE)</f>
        <v>1</v>
      </c>
      <c r="I2494" s="68">
        <v>35.94867919823232</v>
      </c>
      <c r="J2494" s="68">
        <f t="shared" si="1"/>
        <v>107.8460376</v>
      </c>
      <c r="K2494" s="68" t="b">
        <v>1</v>
      </c>
    </row>
    <row r="2495">
      <c r="A2495" s="75">
        <v>2489.0</v>
      </c>
      <c r="B2495" s="62" t="s">
        <v>1306</v>
      </c>
      <c r="C2495" s="62" t="s">
        <v>105</v>
      </c>
      <c r="D2495" s="62" t="s">
        <v>1527</v>
      </c>
      <c r="E2495" s="76">
        <v>44006.0</v>
      </c>
      <c r="F2495" s="77">
        <v>0.11458333333333333</v>
      </c>
      <c r="G2495" s="62" t="b">
        <v>1</v>
      </c>
      <c r="H2495" s="78" t="b">
        <f>IF(VLOOKUP(C2495,Projetos!A:L,12,false)=TRUE,TRUE,FALSE)</f>
        <v>1</v>
      </c>
      <c r="I2495" s="68">
        <v>35.94867919823232</v>
      </c>
      <c r="J2495" s="68">
        <f t="shared" si="1"/>
        <v>98.8588678</v>
      </c>
      <c r="K2495" s="68" t="b">
        <v>1</v>
      </c>
    </row>
    <row r="2496">
      <c r="A2496" s="75">
        <v>2490.0</v>
      </c>
      <c r="B2496" s="62" t="s">
        <v>1306</v>
      </c>
      <c r="C2496" s="62" t="s">
        <v>105</v>
      </c>
      <c r="D2496" s="62" t="s">
        <v>1527</v>
      </c>
      <c r="E2496" s="76">
        <v>44006.0</v>
      </c>
      <c r="F2496" s="77">
        <v>0.0625</v>
      </c>
      <c r="G2496" s="62" t="b">
        <v>1</v>
      </c>
      <c r="H2496" s="78" t="b">
        <f>IF(VLOOKUP(C2496,Projetos!A:L,12,false)=TRUE,TRUE,FALSE)</f>
        <v>1</v>
      </c>
      <c r="I2496" s="68">
        <v>35.94867919823232</v>
      </c>
      <c r="J2496" s="68">
        <f t="shared" si="1"/>
        <v>53.9230188</v>
      </c>
      <c r="K2496" s="68" t="b">
        <v>1</v>
      </c>
    </row>
    <row r="2497">
      <c r="A2497" s="75">
        <v>2491.0</v>
      </c>
      <c r="B2497" s="62" t="s">
        <v>1306</v>
      </c>
      <c r="C2497" s="62" t="s">
        <v>105</v>
      </c>
      <c r="D2497" s="62" t="s">
        <v>1528</v>
      </c>
      <c r="E2497" s="76">
        <v>44006.0</v>
      </c>
      <c r="F2497" s="77">
        <v>0.16666666666666666</v>
      </c>
      <c r="G2497" s="62" t="b">
        <v>1</v>
      </c>
      <c r="H2497" s="78" t="b">
        <f>IF(VLOOKUP(C2497,Projetos!A:L,12,false)=TRUE,TRUE,FALSE)</f>
        <v>1</v>
      </c>
      <c r="I2497" s="68">
        <v>35.94867919823232</v>
      </c>
      <c r="J2497" s="68">
        <f t="shared" si="1"/>
        <v>143.7947168</v>
      </c>
      <c r="K2497" s="68" t="b">
        <v>1</v>
      </c>
    </row>
    <row r="2498">
      <c r="A2498" s="75">
        <v>2492.0</v>
      </c>
      <c r="B2498" s="62" t="s">
        <v>1306</v>
      </c>
      <c r="C2498" s="62" t="s">
        <v>105</v>
      </c>
      <c r="D2498" s="62" t="s">
        <v>1528</v>
      </c>
      <c r="E2498" s="76">
        <v>44007.0</v>
      </c>
      <c r="F2498" s="77">
        <v>0.21875</v>
      </c>
      <c r="G2498" s="62" t="b">
        <v>1</v>
      </c>
      <c r="H2498" s="78" t="b">
        <f>IF(VLOOKUP(C2498,Projetos!A:L,12,false)=TRUE,TRUE,FALSE)</f>
        <v>1</v>
      </c>
      <c r="I2498" s="68">
        <v>35.94867919823232</v>
      </c>
      <c r="J2498" s="68">
        <f t="shared" si="1"/>
        <v>188.7305658</v>
      </c>
      <c r="K2498" s="68" t="b">
        <v>1</v>
      </c>
    </row>
    <row r="2499">
      <c r="A2499" s="75">
        <v>2493.0</v>
      </c>
      <c r="B2499" s="62" t="s">
        <v>1306</v>
      </c>
      <c r="C2499" s="62" t="s">
        <v>105</v>
      </c>
      <c r="D2499" s="62" t="s">
        <v>1528</v>
      </c>
      <c r="E2499" s="76">
        <v>44007.0</v>
      </c>
      <c r="F2499" s="77">
        <v>0.125</v>
      </c>
      <c r="G2499" s="62" t="b">
        <v>1</v>
      </c>
      <c r="H2499" s="78" t="b">
        <f>IF(VLOOKUP(C2499,Projetos!A:L,12,false)=TRUE,TRUE,FALSE)</f>
        <v>1</v>
      </c>
      <c r="I2499" s="68">
        <v>35.94867919823232</v>
      </c>
      <c r="J2499" s="68">
        <f t="shared" si="1"/>
        <v>107.8460376</v>
      </c>
      <c r="K2499" s="68" t="b">
        <v>1</v>
      </c>
    </row>
    <row r="2500">
      <c r="A2500" s="75">
        <v>2494.0</v>
      </c>
      <c r="B2500" s="62" t="s">
        <v>1306</v>
      </c>
      <c r="C2500" s="62" t="s">
        <v>105</v>
      </c>
      <c r="D2500" s="62" t="s">
        <v>1529</v>
      </c>
      <c r="E2500" s="76">
        <v>44011.0</v>
      </c>
      <c r="F2500" s="77">
        <v>0.041666666666666664</v>
      </c>
      <c r="G2500" s="62" t="b">
        <v>1</v>
      </c>
      <c r="H2500" s="78" t="b">
        <f>IF(VLOOKUP(C2500,Projetos!A:L,12,false)=TRUE,TRUE,FALSE)</f>
        <v>1</v>
      </c>
      <c r="I2500" s="68">
        <v>35.94867919823232</v>
      </c>
      <c r="J2500" s="68">
        <f t="shared" si="1"/>
        <v>35.9486792</v>
      </c>
      <c r="K2500" s="68" t="b">
        <v>1</v>
      </c>
    </row>
    <row r="2501">
      <c r="A2501" s="75">
        <v>2495.0</v>
      </c>
      <c r="B2501" s="62" t="s">
        <v>1306</v>
      </c>
      <c r="C2501" s="62" t="s">
        <v>105</v>
      </c>
      <c r="D2501" s="62" t="s">
        <v>1530</v>
      </c>
      <c r="E2501" s="76">
        <v>44011.0</v>
      </c>
      <c r="F2501" s="77">
        <v>0.0625</v>
      </c>
      <c r="G2501" s="62" t="b">
        <v>1</v>
      </c>
      <c r="H2501" s="78" t="b">
        <f>IF(VLOOKUP(C2501,Projetos!A:L,12,false)=TRUE,TRUE,FALSE)</f>
        <v>1</v>
      </c>
      <c r="I2501" s="68">
        <v>35.94867919823232</v>
      </c>
      <c r="J2501" s="68">
        <f t="shared" si="1"/>
        <v>53.9230188</v>
      </c>
      <c r="K2501" s="68" t="b">
        <v>1</v>
      </c>
    </row>
    <row r="2502">
      <c r="A2502" s="75">
        <v>2496.0</v>
      </c>
      <c r="B2502" s="62" t="s">
        <v>1306</v>
      </c>
      <c r="C2502" s="62" t="s">
        <v>105</v>
      </c>
      <c r="D2502" s="62" t="s">
        <v>1531</v>
      </c>
      <c r="E2502" s="76">
        <v>44012.0</v>
      </c>
      <c r="F2502" s="77">
        <v>0.041666666666666664</v>
      </c>
      <c r="G2502" s="62" t="b">
        <v>1</v>
      </c>
      <c r="H2502" s="78" t="b">
        <f>IF(VLOOKUP(C2502,Projetos!A:L,12,false)=TRUE,TRUE,FALSE)</f>
        <v>1</v>
      </c>
      <c r="I2502" s="68">
        <v>35.94867919823232</v>
      </c>
      <c r="J2502" s="68">
        <f t="shared" si="1"/>
        <v>35.9486792</v>
      </c>
      <c r="K2502" s="68" t="b">
        <v>1</v>
      </c>
    </row>
    <row r="2503">
      <c r="A2503" s="75">
        <v>2497.0</v>
      </c>
      <c r="B2503" s="62" t="s">
        <v>1306</v>
      </c>
      <c r="C2503" s="62" t="s">
        <v>105</v>
      </c>
      <c r="D2503" s="62" t="s">
        <v>1346</v>
      </c>
      <c r="E2503" s="76">
        <v>44012.0</v>
      </c>
      <c r="F2503" s="77">
        <v>0.020833333333333332</v>
      </c>
      <c r="G2503" s="62" t="b">
        <v>1</v>
      </c>
      <c r="H2503" s="78" t="b">
        <f>IF(VLOOKUP(C2503,Projetos!A:L,12,false)=TRUE,TRUE,FALSE)</f>
        <v>1</v>
      </c>
      <c r="I2503" s="68">
        <v>35.94867919823232</v>
      </c>
      <c r="J2503" s="68">
        <f t="shared" si="1"/>
        <v>17.9743396</v>
      </c>
      <c r="K2503" s="68" t="b">
        <v>1</v>
      </c>
    </row>
    <row r="2504">
      <c r="A2504" s="75">
        <v>2498.0</v>
      </c>
      <c r="B2504" s="62" t="s">
        <v>1306</v>
      </c>
      <c r="C2504" s="62" t="s">
        <v>105</v>
      </c>
      <c r="D2504" s="62" t="s">
        <v>1532</v>
      </c>
      <c r="E2504" s="76">
        <v>44012.0</v>
      </c>
      <c r="F2504" s="77">
        <v>0.08333333333333333</v>
      </c>
      <c r="G2504" s="62" t="b">
        <v>1</v>
      </c>
      <c r="H2504" s="78" t="b">
        <f>IF(VLOOKUP(C2504,Projetos!A:L,12,false)=TRUE,TRUE,FALSE)</f>
        <v>1</v>
      </c>
      <c r="I2504" s="68">
        <v>35.94867919823232</v>
      </c>
      <c r="J2504" s="68">
        <f t="shared" si="1"/>
        <v>71.8973584</v>
      </c>
      <c r="K2504" s="68" t="b">
        <v>1</v>
      </c>
    </row>
    <row r="2505" hidden="1">
      <c r="A2505" s="75">
        <v>2499.0</v>
      </c>
      <c r="B2505" s="62" t="s">
        <v>1306</v>
      </c>
      <c r="C2505" s="62" t="s">
        <v>108</v>
      </c>
      <c r="D2505" s="62" t="s">
        <v>1533</v>
      </c>
      <c r="E2505" s="76">
        <v>43983.0</v>
      </c>
      <c r="F2505" s="77">
        <v>0.041666666666666664</v>
      </c>
      <c r="G2505" s="62" t="b">
        <v>0</v>
      </c>
      <c r="H2505" s="78" t="b">
        <f>IF(VLOOKUP(C2505,Projetos!A:L,12,false)=TRUE,TRUE,FALSE)</f>
        <v>1</v>
      </c>
      <c r="I2505" s="68">
        <v>35.94867919823232</v>
      </c>
      <c r="J2505" s="68">
        <f t="shared" si="1"/>
        <v>0</v>
      </c>
      <c r="K2505" s="68" t="b">
        <v>1</v>
      </c>
    </row>
    <row r="2506" hidden="1">
      <c r="A2506" s="75">
        <v>2500.0</v>
      </c>
      <c r="B2506" s="62" t="s">
        <v>1306</v>
      </c>
      <c r="C2506" s="62" t="s">
        <v>108</v>
      </c>
      <c r="D2506" s="62" t="s">
        <v>1508</v>
      </c>
      <c r="E2506" s="76">
        <v>43984.0</v>
      </c>
      <c r="F2506" s="77">
        <v>0.07291666666666667</v>
      </c>
      <c r="G2506" s="62" t="b">
        <v>0</v>
      </c>
      <c r="H2506" s="78" t="b">
        <f>IF(VLOOKUP(C2506,Projetos!A:L,12,false)=TRUE,TRUE,FALSE)</f>
        <v>1</v>
      </c>
      <c r="I2506" s="68">
        <v>35.94867919823232</v>
      </c>
      <c r="J2506" s="68">
        <f t="shared" si="1"/>
        <v>0</v>
      </c>
      <c r="K2506" s="68" t="b">
        <v>1</v>
      </c>
    </row>
    <row r="2507" hidden="1">
      <c r="A2507" s="75">
        <v>2501.0</v>
      </c>
      <c r="B2507" s="62" t="s">
        <v>1306</v>
      </c>
      <c r="C2507" s="62" t="s">
        <v>108</v>
      </c>
      <c r="D2507" s="62" t="s">
        <v>1534</v>
      </c>
      <c r="E2507" s="76">
        <v>43985.0</v>
      </c>
      <c r="F2507" s="77">
        <v>0.052083333333333336</v>
      </c>
      <c r="G2507" s="62" t="b">
        <v>0</v>
      </c>
      <c r="H2507" s="78" t="b">
        <f>IF(VLOOKUP(C2507,Projetos!A:L,12,false)=TRUE,TRUE,FALSE)</f>
        <v>1</v>
      </c>
      <c r="I2507" s="68">
        <v>35.94867919823232</v>
      </c>
      <c r="J2507" s="68">
        <f t="shared" si="1"/>
        <v>0</v>
      </c>
      <c r="K2507" s="68" t="b">
        <v>1</v>
      </c>
    </row>
    <row r="2508" hidden="1">
      <c r="A2508" s="75">
        <v>2502.0</v>
      </c>
      <c r="B2508" s="62" t="s">
        <v>1306</v>
      </c>
      <c r="C2508" s="62" t="s">
        <v>108</v>
      </c>
      <c r="D2508" s="62" t="s">
        <v>1387</v>
      </c>
      <c r="E2508" s="76">
        <v>43987.0</v>
      </c>
      <c r="F2508" s="77">
        <v>0.08333333333333333</v>
      </c>
      <c r="G2508" s="62" t="b">
        <v>0</v>
      </c>
      <c r="H2508" s="78" t="b">
        <f>IF(VLOOKUP(C2508,Projetos!A:L,12,false)=TRUE,TRUE,FALSE)</f>
        <v>1</v>
      </c>
      <c r="I2508" s="68">
        <v>35.94867919823232</v>
      </c>
      <c r="J2508" s="68">
        <f t="shared" si="1"/>
        <v>0</v>
      </c>
      <c r="K2508" s="68" t="b">
        <v>1</v>
      </c>
    </row>
    <row r="2509" hidden="1">
      <c r="A2509" s="75">
        <v>2503.0</v>
      </c>
      <c r="B2509" s="62" t="s">
        <v>1306</v>
      </c>
      <c r="C2509" s="62" t="s">
        <v>108</v>
      </c>
      <c r="D2509" s="62" t="s">
        <v>1535</v>
      </c>
      <c r="E2509" s="76">
        <v>43987.0</v>
      </c>
      <c r="F2509" s="77">
        <v>0.0625</v>
      </c>
      <c r="G2509" s="62" t="b">
        <v>0</v>
      </c>
      <c r="H2509" s="78" t="b">
        <f>IF(VLOOKUP(C2509,Projetos!A:L,12,false)=TRUE,TRUE,FALSE)</f>
        <v>1</v>
      </c>
      <c r="I2509" s="68">
        <v>35.94867919823232</v>
      </c>
      <c r="J2509" s="68">
        <f t="shared" si="1"/>
        <v>0</v>
      </c>
      <c r="K2509" s="68" t="b">
        <v>1</v>
      </c>
    </row>
    <row r="2510" hidden="1">
      <c r="A2510" s="75">
        <v>2504.0</v>
      </c>
      <c r="B2510" s="62" t="s">
        <v>1306</v>
      </c>
      <c r="C2510" s="62" t="s">
        <v>108</v>
      </c>
      <c r="D2510" s="62" t="s">
        <v>1536</v>
      </c>
      <c r="E2510" s="76">
        <v>43990.0</v>
      </c>
      <c r="F2510" s="77">
        <v>0.052083333333333336</v>
      </c>
      <c r="G2510" s="62" t="b">
        <v>0</v>
      </c>
      <c r="H2510" s="78" t="b">
        <f>IF(VLOOKUP(C2510,Projetos!A:L,12,false)=TRUE,TRUE,FALSE)</f>
        <v>1</v>
      </c>
      <c r="I2510" s="68">
        <v>35.94867919823232</v>
      </c>
      <c r="J2510" s="68">
        <f t="shared" si="1"/>
        <v>0</v>
      </c>
      <c r="K2510" s="68" t="b">
        <v>1</v>
      </c>
    </row>
    <row r="2511" hidden="1">
      <c r="A2511" s="75">
        <v>2505.0</v>
      </c>
      <c r="B2511" s="62" t="s">
        <v>1306</v>
      </c>
      <c r="C2511" s="62" t="s">
        <v>108</v>
      </c>
      <c r="D2511" s="62" t="s">
        <v>1508</v>
      </c>
      <c r="E2511" s="76">
        <v>43990.0</v>
      </c>
      <c r="F2511" s="77">
        <v>0.0625</v>
      </c>
      <c r="G2511" s="62" t="b">
        <v>0</v>
      </c>
      <c r="H2511" s="78" t="b">
        <f>IF(VLOOKUP(C2511,Projetos!A:L,12,false)=TRUE,TRUE,FALSE)</f>
        <v>1</v>
      </c>
      <c r="I2511" s="68">
        <v>35.94867919823232</v>
      </c>
      <c r="J2511" s="68">
        <f t="shared" si="1"/>
        <v>0</v>
      </c>
      <c r="K2511" s="68" t="b">
        <v>1</v>
      </c>
    </row>
    <row r="2512" hidden="1">
      <c r="A2512" s="75">
        <v>2506.0</v>
      </c>
      <c r="B2512" s="62" t="s">
        <v>1306</v>
      </c>
      <c r="C2512" s="62" t="s">
        <v>108</v>
      </c>
      <c r="D2512" s="62" t="s">
        <v>1537</v>
      </c>
      <c r="E2512" s="76">
        <v>43991.0</v>
      </c>
      <c r="F2512" s="77">
        <v>0.041666666666666664</v>
      </c>
      <c r="G2512" s="62" t="b">
        <v>0</v>
      </c>
      <c r="H2512" s="78" t="b">
        <f>IF(VLOOKUP(C2512,Projetos!A:L,12,false)=TRUE,TRUE,FALSE)</f>
        <v>1</v>
      </c>
      <c r="I2512" s="68">
        <v>35.94867919823232</v>
      </c>
      <c r="J2512" s="68">
        <f t="shared" si="1"/>
        <v>0</v>
      </c>
      <c r="K2512" s="68" t="b">
        <v>1</v>
      </c>
    </row>
    <row r="2513" hidden="1">
      <c r="A2513" s="75">
        <v>2507.0</v>
      </c>
      <c r="B2513" s="62" t="s">
        <v>1306</v>
      </c>
      <c r="C2513" s="62" t="s">
        <v>108</v>
      </c>
      <c r="D2513" s="62" t="s">
        <v>1538</v>
      </c>
      <c r="E2513" s="76">
        <v>43992.0</v>
      </c>
      <c r="F2513" s="77">
        <v>0.041666666666666664</v>
      </c>
      <c r="G2513" s="62" t="b">
        <v>0</v>
      </c>
      <c r="H2513" s="78" t="b">
        <f>IF(VLOOKUP(C2513,Projetos!A:L,12,false)=TRUE,TRUE,FALSE)</f>
        <v>1</v>
      </c>
      <c r="I2513" s="68">
        <v>35.94867919823232</v>
      </c>
      <c r="J2513" s="68">
        <f t="shared" si="1"/>
        <v>0</v>
      </c>
      <c r="K2513" s="68" t="b">
        <v>1</v>
      </c>
    </row>
    <row r="2514" hidden="1">
      <c r="A2514" s="75">
        <v>2508.0</v>
      </c>
      <c r="B2514" s="62" t="s">
        <v>1306</v>
      </c>
      <c r="C2514" s="62" t="s">
        <v>108</v>
      </c>
      <c r="D2514" s="62" t="s">
        <v>1539</v>
      </c>
      <c r="E2514" s="76">
        <v>43994.0</v>
      </c>
      <c r="F2514" s="77">
        <v>0.041666666666666664</v>
      </c>
      <c r="G2514" s="62" t="b">
        <v>0</v>
      </c>
      <c r="H2514" s="78" t="b">
        <f>IF(VLOOKUP(C2514,Projetos!A:L,12,false)=TRUE,TRUE,FALSE)</f>
        <v>1</v>
      </c>
      <c r="I2514" s="68">
        <v>35.94867919823232</v>
      </c>
      <c r="J2514" s="68">
        <f t="shared" si="1"/>
        <v>0</v>
      </c>
      <c r="K2514" s="68" t="b">
        <v>1</v>
      </c>
    </row>
    <row r="2515" hidden="1">
      <c r="A2515" s="75">
        <v>2509.0</v>
      </c>
      <c r="B2515" s="62" t="s">
        <v>1306</v>
      </c>
      <c r="C2515" s="62" t="s">
        <v>108</v>
      </c>
      <c r="D2515" s="62" t="s">
        <v>1485</v>
      </c>
      <c r="E2515" s="76">
        <v>43997.0</v>
      </c>
      <c r="F2515" s="77">
        <v>0.029166666666666667</v>
      </c>
      <c r="G2515" s="62" t="b">
        <v>0</v>
      </c>
      <c r="H2515" s="78" t="b">
        <f>IF(VLOOKUP(C2515,Projetos!A:L,12,false)=TRUE,TRUE,FALSE)</f>
        <v>1</v>
      </c>
      <c r="I2515" s="68">
        <v>35.94867919823232</v>
      </c>
      <c r="J2515" s="68">
        <f t="shared" si="1"/>
        <v>0</v>
      </c>
      <c r="K2515" s="68" t="b">
        <v>1</v>
      </c>
    </row>
    <row r="2516" hidden="1">
      <c r="A2516" s="75">
        <v>2510.0</v>
      </c>
      <c r="B2516" s="62" t="s">
        <v>1306</v>
      </c>
      <c r="C2516" s="62" t="s">
        <v>108</v>
      </c>
      <c r="D2516" s="62" t="s">
        <v>1540</v>
      </c>
      <c r="E2516" s="76">
        <v>43997.0</v>
      </c>
      <c r="F2516" s="77">
        <v>0.0625</v>
      </c>
      <c r="G2516" s="62" t="b">
        <v>0</v>
      </c>
      <c r="H2516" s="78" t="b">
        <f>IF(VLOOKUP(C2516,Projetos!A:L,12,false)=TRUE,TRUE,FALSE)</f>
        <v>1</v>
      </c>
      <c r="I2516" s="68">
        <v>35.94867919823232</v>
      </c>
      <c r="J2516" s="68">
        <f t="shared" si="1"/>
        <v>0</v>
      </c>
      <c r="K2516" s="68" t="b">
        <v>1</v>
      </c>
    </row>
    <row r="2517" hidden="1">
      <c r="A2517" s="75">
        <v>2511.0</v>
      </c>
      <c r="B2517" s="62" t="s">
        <v>1306</v>
      </c>
      <c r="C2517" s="62" t="s">
        <v>108</v>
      </c>
      <c r="D2517" s="62" t="s">
        <v>1541</v>
      </c>
      <c r="E2517" s="76">
        <v>43999.0</v>
      </c>
      <c r="F2517" s="77">
        <v>0.03125</v>
      </c>
      <c r="G2517" s="62" t="b">
        <v>0</v>
      </c>
      <c r="H2517" s="78" t="b">
        <f>IF(VLOOKUP(C2517,Projetos!A:L,12,false)=TRUE,TRUE,FALSE)</f>
        <v>1</v>
      </c>
      <c r="I2517" s="68">
        <v>35.94867919823232</v>
      </c>
      <c r="J2517" s="68">
        <f t="shared" si="1"/>
        <v>0</v>
      </c>
      <c r="K2517" s="68" t="b">
        <v>1</v>
      </c>
    </row>
    <row r="2518" hidden="1">
      <c r="A2518" s="75">
        <v>2512.0</v>
      </c>
      <c r="B2518" s="62" t="s">
        <v>1306</v>
      </c>
      <c r="C2518" s="62" t="s">
        <v>108</v>
      </c>
      <c r="D2518" s="62" t="s">
        <v>1542</v>
      </c>
      <c r="E2518" s="76">
        <v>43999.0</v>
      </c>
      <c r="F2518" s="77">
        <v>0.020833333333333332</v>
      </c>
      <c r="G2518" s="62" t="b">
        <v>0</v>
      </c>
      <c r="H2518" s="78" t="b">
        <f>IF(VLOOKUP(C2518,Projetos!A:L,12,false)=TRUE,TRUE,FALSE)</f>
        <v>1</v>
      </c>
      <c r="I2518" s="68">
        <v>35.94867919823232</v>
      </c>
      <c r="J2518" s="68">
        <f t="shared" si="1"/>
        <v>0</v>
      </c>
      <c r="K2518" s="68" t="b">
        <v>1</v>
      </c>
    </row>
    <row r="2519" hidden="1">
      <c r="A2519" s="75">
        <v>2513.0</v>
      </c>
      <c r="B2519" s="62" t="s">
        <v>1306</v>
      </c>
      <c r="C2519" s="62" t="s">
        <v>108</v>
      </c>
      <c r="D2519" s="62" t="s">
        <v>1543</v>
      </c>
      <c r="E2519" s="76">
        <v>44001.0</v>
      </c>
      <c r="F2519" s="77">
        <v>0.0625</v>
      </c>
      <c r="G2519" s="62" t="b">
        <v>0</v>
      </c>
      <c r="H2519" s="78" t="b">
        <f>IF(VLOOKUP(C2519,Projetos!A:L,12,false)=TRUE,TRUE,FALSE)</f>
        <v>1</v>
      </c>
      <c r="I2519" s="68">
        <v>35.94867919823232</v>
      </c>
      <c r="J2519" s="68">
        <f t="shared" si="1"/>
        <v>0</v>
      </c>
      <c r="K2519" s="68" t="b">
        <v>1</v>
      </c>
    </row>
    <row r="2520" hidden="1">
      <c r="A2520" s="75">
        <v>2514.0</v>
      </c>
      <c r="B2520" s="62" t="s">
        <v>1306</v>
      </c>
      <c r="C2520" s="62" t="s">
        <v>108</v>
      </c>
      <c r="D2520" s="62" t="s">
        <v>1544</v>
      </c>
      <c r="E2520" s="76">
        <v>44001.0</v>
      </c>
      <c r="F2520" s="77">
        <v>0.0625</v>
      </c>
      <c r="G2520" s="62" t="b">
        <v>0</v>
      </c>
      <c r="H2520" s="78" t="b">
        <f>IF(VLOOKUP(C2520,Projetos!A:L,12,false)=TRUE,TRUE,FALSE)</f>
        <v>1</v>
      </c>
      <c r="I2520" s="68">
        <v>35.94867919823232</v>
      </c>
      <c r="J2520" s="68">
        <f t="shared" si="1"/>
        <v>0</v>
      </c>
      <c r="K2520" s="68" t="b">
        <v>1</v>
      </c>
    </row>
    <row r="2521" hidden="1">
      <c r="A2521" s="75">
        <v>2515.0</v>
      </c>
      <c r="B2521" s="62" t="s">
        <v>1306</v>
      </c>
      <c r="C2521" s="62" t="s">
        <v>108</v>
      </c>
      <c r="D2521" s="62" t="s">
        <v>1544</v>
      </c>
      <c r="E2521" s="76">
        <v>44004.0</v>
      </c>
      <c r="F2521" s="77">
        <v>0.0625</v>
      </c>
      <c r="G2521" s="62" t="b">
        <v>0</v>
      </c>
      <c r="H2521" s="78" t="b">
        <f>IF(VLOOKUP(C2521,Projetos!A:L,12,false)=TRUE,TRUE,FALSE)</f>
        <v>1</v>
      </c>
      <c r="I2521" s="68">
        <v>35.94867919823232</v>
      </c>
      <c r="J2521" s="68">
        <f t="shared" si="1"/>
        <v>0</v>
      </c>
      <c r="K2521" s="68" t="b">
        <v>1</v>
      </c>
    </row>
    <row r="2522" hidden="1">
      <c r="A2522" s="75">
        <v>2516.0</v>
      </c>
      <c r="B2522" s="62" t="s">
        <v>1306</v>
      </c>
      <c r="C2522" s="62" t="s">
        <v>108</v>
      </c>
      <c r="D2522" s="62" t="s">
        <v>1507</v>
      </c>
      <c r="E2522" s="76">
        <v>44005.0</v>
      </c>
      <c r="F2522" s="77">
        <v>0.041666666666666664</v>
      </c>
      <c r="G2522" s="62" t="b">
        <v>0</v>
      </c>
      <c r="H2522" s="78" t="b">
        <f>IF(VLOOKUP(C2522,Projetos!A:L,12,false)=TRUE,TRUE,FALSE)</f>
        <v>1</v>
      </c>
      <c r="I2522" s="68">
        <v>35.94867919823232</v>
      </c>
      <c r="J2522" s="68">
        <f t="shared" si="1"/>
        <v>0</v>
      </c>
      <c r="K2522" s="68" t="b">
        <v>1</v>
      </c>
    </row>
    <row r="2523" hidden="1">
      <c r="A2523" s="75">
        <v>2517.0</v>
      </c>
      <c r="B2523" s="62" t="s">
        <v>1306</v>
      </c>
      <c r="C2523" s="62" t="s">
        <v>108</v>
      </c>
      <c r="D2523" s="62" t="s">
        <v>1545</v>
      </c>
      <c r="E2523" s="76">
        <v>44007.0</v>
      </c>
      <c r="F2523" s="77">
        <v>0.020833333333333332</v>
      </c>
      <c r="G2523" s="62" t="b">
        <v>0</v>
      </c>
      <c r="H2523" s="78" t="b">
        <f>IF(VLOOKUP(C2523,Projetos!A:L,12,false)=TRUE,TRUE,FALSE)</f>
        <v>1</v>
      </c>
      <c r="I2523" s="68">
        <v>35.94867919823232</v>
      </c>
      <c r="J2523" s="68">
        <f t="shared" si="1"/>
        <v>0</v>
      </c>
      <c r="K2523" s="68" t="b">
        <v>1</v>
      </c>
    </row>
    <row r="2524" hidden="1">
      <c r="A2524" s="75">
        <v>2518.0</v>
      </c>
      <c r="B2524" s="62" t="s">
        <v>1306</v>
      </c>
      <c r="C2524" s="62" t="s">
        <v>109</v>
      </c>
      <c r="D2524" s="62" t="s">
        <v>1546</v>
      </c>
      <c r="E2524" s="76">
        <v>43983.0</v>
      </c>
      <c r="F2524" s="77">
        <v>0.034722222222222224</v>
      </c>
      <c r="G2524" s="62" t="b">
        <v>0</v>
      </c>
      <c r="H2524" s="78" t="b">
        <f>IF(VLOOKUP(C2524,Projetos!A:L,12,false)=TRUE,TRUE,FALSE)</f>
        <v>0</v>
      </c>
      <c r="I2524" s="68">
        <v>35.94867919823232</v>
      </c>
      <c r="J2524" s="68">
        <f t="shared" si="1"/>
        <v>0</v>
      </c>
      <c r="K2524" s="68" t="b">
        <v>0</v>
      </c>
    </row>
    <row r="2525" hidden="1">
      <c r="A2525" s="75">
        <v>2519.0</v>
      </c>
      <c r="B2525" s="62" t="s">
        <v>1306</v>
      </c>
      <c r="C2525" s="62" t="s">
        <v>109</v>
      </c>
      <c r="D2525" s="62" t="s">
        <v>1546</v>
      </c>
      <c r="E2525" s="76">
        <v>43985.0</v>
      </c>
      <c r="F2525" s="77">
        <v>0.041666666666666664</v>
      </c>
      <c r="G2525" s="62" t="b">
        <v>0</v>
      </c>
      <c r="H2525" s="78" t="b">
        <f>IF(VLOOKUP(C2525,Projetos!A:L,12,false)=TRUE,TRUE,FALSE)</f>
        <v>0</v>
      </c>
      <c r="I2525" s="68">
        <v>35.94867919823232</v>
      </c>
      <c r="J2525" s="68">
        <f t="shared" si="1"/>
        <v>0</v>
      </c>
      <c r="K2525" s="68" t="b">
        <v>0</v>
      </c>
    </row>
    <row r="2526" hidden="1">
      <c r="A2526" s="75">
        <v>2520.0</v>
      </c>
      <c r="B2526" s="62" t="s">
        <v>1306</v>
      </c>
      <c r="C2526" s="62" t="s">
        <v>109</v>
      </c>
      <c r="D2526" s="62" t="s">
        <v>1492</v>
      </c>
      <c r="E2526" s="76">
        <v>43985.0</v>
      </c>
      <c r="F2526" s="77">
        <v>0.041666666666666664</v>
      </c>
      <c r="G2526" s="62" t="b">
        <v>0</v>
      </c>
      <c r="H2526" s="78" t="b">
        <f>IF(VLOOKUP(C2526,Projetos!A:L,12,false)=TRUE,TRUE,FALSE)</f>
        <v>0</v>
      </c>
      <c r="I2526" s="68">
        <v>35.94867919823232</v>
      </c>
      <c r="J2526" s="68">
        <f t="shared" si="1"/>
        <v>0</v>
      </c>
      <c r="K2526" s="68" t="b">
        <v>0</v>
      </c>
    </row>
    <row r="2527" hidden="1">
      <c r="A2527" s="75">
        <v>2521.0</v>
      </c>
      <c r="B2527" s="62" t="s">
        <v>1306</v>
      </c>
      <c r="C2527" s="62" t="s">
        <v>109</v>
      </c>
      <c r="D2527" s="62" t="s">
        <v>1546</v>
      </c>
      <c r="E2527" s="76">
        <v>43986.0</v>
      </c>
      <c r="F2527" s="77">
        <v>0.041666666666666664</v>
      </c>
      <c r="G2527" s="62" t="b">
        <v>0</v>
      </c>
      <c r="H2527" s="78" t="b">
        <f>IF(VLOOKUP(C2527,Projetos!A:L,12,false)=TRUE,TRUE,FALSE)</f>
        <v>0</v>
      </c>
      <c r="I2527" s="68">
        <v>35.94867919823232</v>
      </c>
      <c r="J2527" s="68">
        <f t="shared" si="1"/>
        <v>0</v>
      </c>
      <c r="K2527" s="68" t="b">
        <v>0</v>
      </c>
    </row>
    <row r="2528" hidden="1">
      <c r="A2528" s="75">
        <v>2522.0</v>
      </c>
      <c r="B2528" s="62" t="s">
        <v>1306</v>
      </c>
      <c r="C2528" s="62" t="s">
        <v>109</v>
      </c>
      <c r="D2528" s="62" t="s">
        <v>1547</v>
      </c>
      <c r="E2528" s="76">
        <v>43990.0</v>
      </c>
      <c r="F2528" s="77">
        <v>0.041666666666666664</v>
      </c>
      <c r="G2528" s="62" t="b">
        <v>0</v>
      </c>
      <c r="H2528" s="78" t="b">
        <f>IF(VLOOKUP(C2528,Projetos!A:L,12,false)=TRUE,TRUE,FALSE)</f>
        <v>0</v>
      </c>
      <c r="I2528" s="68">
        <v>35.94867919823232</v>
      </c>
      <c r="J2528" s="68">
        <f t="shared" si="1"/>
        <v>0</v>
      </c>
      <c r="K2528" s="68" t="b">
        <v>0</v>
      </c>
    </row>
    <row r="2529" hidden="1">
      <c r="A2529" s="75">
        <v>2523.0</v>
      </c>
      <c r="B2529" s="62" t="s">
        <v>1306</v>
      </c>
      <c r="C2529" s="62" t="s">
        <v>109</v>
      </c>
      <c r="D2529" s="62" t="s">
        <v>1425</v>
      </c>
      <c r="E2529" s="76">
        <v>43990.0</v>
      </c>
      <c r="F2529" s="77">
        <v>0.03125</v>
      </c>
      <c r="G2529" s="62" t="b">
        <v>0</v>
      </c>
      <c r="H2529" s="78" t="b">
        <f>IF(VLOOKUP(C2529,Projetos!A:L,12,false)=TRUE,TRUE,FALSE)</f>
        <v>0</v>
      </c>
      <c r="I2529" s="68">
        <v>35.94867919823232</v>
      </c>
      <c r="J2529" s="68">
        <f t="shared" si="1"/>
        <v>0</v>
      </c>
      <c r="K2529" s="68" t="b">
        <v>0</v>
      </c>
    </row>
    <row r="2530" hidden="1">
      <c r="A2530" s="75">
        <v>2524.0</v>
      </c>
      <c r="B2530" s="62" t="s">
        <v>1306</v>
      </c>
      <c r="C2530" s="62" t="s">
        <v>109</v>
      </c>
      <c r="D2530" s="62" t="s">
        <v>1547</v>
      </c>
      <c r="E2530" s="76">
        <v>43991.0</v>
      </c>
      <c r="F2530" s="77">
        <v>0.041666666666666664</v>
      </c>
      <c r="G2530" s="62" t="b">
        <v>0</v>
      </c>
      <c r="H2530" s="78" t="b">
        <f>IF(VLOOKUP(C2530,Projetos!A:L,12,false)=TRUE,TRUE,FALSE)</f>
        <v>0</v>
      </c>
      <c r="I2530" s="68">
        <v>35.94867919823232</v>
      </c>
      <c r="J2530" s="68">
        <f t="shared" si="1"/>
        <v>0</v>
      </c>
      <c r="K2530" s="68" t="b">
        <v>0</v>
      </c>
    </row>
    <row r="2531" hidden="1">
      <c r="A2531" s="75">
        <v>2525.0</v>
      </c>
      <c r="B2531" s="62" t="s">
        <v>1306</v>
      </c>
      <c r="C2531" s="62" t="s">
        <v>109</v>
      </c>
      <c r="D2531" s="62" t="s">
        <v>1548</v>
      </c>
      <c r="E2531" s="76">
        <v>43997.0</v>
      </c>
      <c r="F2531" s="77">
        <v>0.11458333333333333</v>
      </c>
      <c r="G2531" s="62" t="b">
        <v>0</v>
      </c>
      <c r="H2531" s="78" t="b">
        <f>IF(VLOOKUP(C2531,Projetos!A:L,12,false)=TRUE,TRUE,FALSE)</f>
        <v>0</v>
      </c>
      <c r="I2531" s="68">
        <v>35.94867919823232</v>
      </c>
      <c r="J2531" s="68">
        <f t="shared" si="1"/>
        <v>0</v>
      </c>
      <c r="K2531" s="68" t="b">
        <v>0</v>
      </c>
    </row>
    <row r="2532" hidden="1">
      <c r="A2532" s="75">
        <v>2526.0</v>
      </c>
      <c r="B2532" s="62" t="s">
        <v>1306</v>
      </c>
      <c r="C2532" s="62" t="s">
        <v>109</v>
      </c>
      <c r="D2532" s="62" t="s">
        <v>1548</v>
      </c>
      <c r="E2532" s="76">
        <v>43998.0</v>
      </c>
      <c r="F2532" s="77">
        <v>0.11458333333333333</v>
      </c>
      <c r="G2532" s="62" t="b">
        <v>0</v>
      </c>
      <c r="H2532" s="78" t="b">
        <f>IF(VLOOKUP(C2532,Projetos!A:L,12,false)=TRUE,TRUE,FALSE)</f>
        <v>0</v>
      </c>
      <c r="I2532" s="68">
        <v>35.94867919823232</v>
      </c>
      <c r="J2532" s="68">
        <f t="shared" si="1"/>
        <v>0</v>
      </c>
      <c r="K2532" s="68" t="b">
        <v>0</v>
      </c>
    </row>
    <row r="2533" hidden="1">
      <c r="A2533" s="75">
        <v>2527.0</v>
      </c>
      <c r="B2533" s="62" t="s">
        <v>1306</v>
      </c>
      <c r="C2533" s="62" t="s">
        <v>109</v>
      </c>
      <c r="D2533" s="62" t="s">
        <v>1548</v>
      </c>
      <c r="E2533" s="76">
        <v>43999.0</v>
      </c>
      <c r="F2533" s="77">
        <v>0.11458333333333333</v>
      </c>
      <c r="G2533" s="62" t="b">
        <v>0</v>
      </c>
      <c r="H2533" s="78" t="b">
        <f>IF(VLOOKUP(C2533,Projetos!A:L,12,false)=TRUE,TRUE,FALSE)</f>
        <v>0</v>
      </c>
      <c r="I2533" s="68">
        <v>35.94867919823232</v>
      </c>
      <c r="J2533" s="68">
        <f t="shared" si="1"/>
        <v>0</v>
      </c>
      <c r="K2533" s="68" t="b">
        <v>0</v>
      </c>
    </row>
    <row r="2534" hidden="1">
      <c r="A2534" s="75">
        <v>2528.0</v>
      </c>
      <c r="B2534" s="62" t="s">
        <v>1306</v>
      </c>
      <c r="C2534" s="62" t="s">
        <v>109</v>
      </c>
      <c r="D2534" s="62" t="s">
        <v>1549</v>
      </c>
      <c r="E2534" s="76">
        <v>43999.0</v>
      </c>
      <c r="F2534" s="77">
        <v>0.041666666666666664</v>
      </c>
      <c r="G2534" s="62" t="b">
        <v>0</v>
      </c>
      <c r="H2534" s="78" t="b">
        <f>IF(VLOOKUP(C2534,Projetos!A:L,12,false)=TRUE,TRUE,FALSE)</f>
        <v>0</v>
      </c>
      <c r="I2534" s="68">
        <v>35.94867919823232</v>
      </c>
      <c r="J2534" s="68">
        <f t="shared" si="1"/>
        <v>0</v>
      </c>
      <c r="K2534" s="68" t="b">
        <v>0</v>
      </c>
    </row>
    <row r="2535" hidden="1">
      <c r="A2535" s="75">
        <v>2529.0</v>
      </c>
      <c r="B2535" s="62" t="s">
        <v>1306</v>
      </c>
      <c r="C2535" s="62" t="s">
        <v>109</v>
      </c>
      <c r="D2535" s="62" t="s">
        <v>1548</v>
      </c>
      <c r="E2535" s="76">
        <v>44000.0</v>
      </c>
      <c r="F2535" s="77">
        <v>0.11458333333333333</v>
      </c>
      <c r="G2535" s="62" t="b">
        <v>0</v>
      </c>
      <c r="H2535" s="78" t="b">
        <f>IF(VLOOKUP(C2535,Projetos!A:L,12,false)=TRUE,TRUE,FALSE)</f>
        <v>0</v>
      </c>
      <c r="I2535" s="68">
        <v>35.94867919823232</v>
      </c>
      <c r="J2535" s="68">
        <f t="shared" si="1"/>
        <v>0</v>
      </c>
      <c r="K2535" s="68" t="b">
        <v>0</v>
      </c>
    </row>
    <row r="2536" hidden="1">
      <c r="A2536" s="75">
        <v>2530.0</v>
      </c>
      <c r="B2536" s="62" t="s">
        <v>1306</v>
      </c>
      <c r="C2536" s="62" t="s">
        <v>109</v>
      </c>
      <c r="D2536" s="62" t="s">
        <v>1548</v>
      </c>
      <c r="E2536" s="76">
        <v>44001.0</v>
      </c>
      <c r="F2536" s="77">
        <v>0.11458333333333333</v>
      </c>
      <c r="G2536" s="62" t="b">
        <v>0</v>
      </c>
      <c r="H2536" s="78" t="b">
        <f>IF(VLOOKUP(C2536,Projetos!A:L,12,false)=TRUE,TRUE,FALSE)</f>
        <v>0</v>
      </c>
      <c r="I2536" s="68">
        <v>35.94867919823232</v>
      </c>
      <c r="J2536" s="68">
        <f t="shared" si="1"/>
        <v>0</v>
      </c>
      <c r="K2536" s="68" t="b">
        <v>0</v>
      </c>
    </row>
    <row r="2537" hidden="1">
      <c r="A2537" s="75">
        <v>2531.0</v>
      </c>
      <c r="B2537" s="62" t="s">
        <v>1306</v>
      </c>
      <c r="C2537" s="62" t="s">
        <v>109</v>
      </c>
      <c r="D2537" s="62" t="s">
        <v>1550</v>
      </c>
      <c r="E2537" s="76">
        <v>44001.0</v>
      </c>
      <c r="F2537" s="77">
        <v>0.08333333333333333</v>
      </c>
      <c r="G2537" s="62" t="b">
        <v>0</v>
      </c>
      <c r="H2537" s="78" t="b">
        <f>IF(VLOOKUP(C2537,Projetos!A:L,12,false)=TRUE,TRUE,FALSE)</f>
        <v>0</v>
      </c>
      <c r="I2537" s="68">
        <v>35.94867919823232</v>
      </c>
      <c r="J2537" s="68">
        <f t="shared" si="1"/>
        <v>0</v>
      </c>
      <c r="K2537" s="68" t="b">
        <v>0</v>
      </c>
    </row>
    <row r="2538" hidden="1">
      <c r="A2538" s="75">
        <v>2532.0</v>
      </c>
      <c r="B2538" s="62" t="s">
        <v>1306</v>
      </c>
      <c r="C2538" s="62" t="s">
        <v>109</v>
      </c>
      <c r="D2538" s="62" t="s">
        <v>1551</v>
      </c>
      <c r="E2538" s="76">
        <v>44008.0</v>
      </c>
      <c r="F2538" s="77">
        <v>0.10416666666666667</v>
      </c>
      <c r="G2538" s="62" t="b">
        <v>0</v>
      </c>
      <c r="H2538" s="78" t="b">
        <f>IF(VLOOKUP(C2538,Projetos!A:L,12,false)=TRUE,TRUE,FALSE)</f>
        <v>0</v>
      </c>
      <c r="I2538" s="68">
        <v>35.94867919823232</v>
      </c>
      <c r="J2538" s="68">
        <f t="shared" si="1"/>
        <v>0</v>
      </c>
      <c r="K2538" s="68" t="b">
        <v>0</v>
      </c>
    </row>
    <row r="2539">
      <c r="A2539" s="75">
        <v>2533.0</v>
      </c>
      <c r="B2539" s="62" t="s">
        <v>1306</v>
      </c>
      <c r="C2539" s="62" t="s">
        <v>110</v>
      </c>
      <c r="D2539" s="62" t="s">
        <v>1552</v>
      </c>
      <c r="E2539" s="76">
        <v>43990.0</v>
      </c>
      <c r="F2539" s="77">
        <v>0.020833333333333332</v>
      </c>
      <c r="G2539" s="62" t="b">
        <v>1</v>
      </c>
      <c r="H2539" s="78" t="b">
        <f>IF(VLOOKUP(C2539,Projetos!A:L,12,false)=TRUE,TRUE,FALSE)</f>
        <v>1</v>
      </c>
      <c r="I2539" s="68">
        <v>35.94867919823232</v>
      </c>
      <c r="J2539" s="68">
        <f t="shared" si="1"/>
        <v>17.9743396</v>
      </c>
      <c r="K2539" s="68" t="b">
        <v>1</v>
      </c>
    </row>
    <row r="2540">
      <c r="A2540" s="75">
        <v>2534.0</v>
      </c>
      <c r="B2540" s="62" t="s">
        <v>1306</v>
      </c>
      <c r="C2540" s="62" t="s">
        <v>110</v>
      </c>
      <c r="D2540" s="62" t="s">
        <v>1446</v>
      </c>
      <c r="E2540" s="76">
        <v>43992.0</v>
      </c>
      <c r="F2540" s="77">
        <v>0.0625</v>
      </c>
      <c r="G2540" s="62" t="b">
        <v>1</v>
      </c>
      <c r="H2540" s="78" t="b">
        <f>IF(VLOOKUP(C2540,Projetos!A:L,12,false)=TRUE,TRUE,FALSE)</f>
        <v>1</v>
      </c>
      <c r="I2540" s="68">
        <v>35.94867919823232</v>
      </c>
      <c r="J2540" s="68">
        <f t="shared" si="1"/>
        <v>53.9230188</v>
      </c>
      <c r="K2540" s="68" t="b">
        <v>1</v>
      </c>
    </row>
    <row r="2541">
      <c r="A2541" s="75">
        <v>2535.0</v>
      </c>
      <c r="B2541" s="62" t="s">
        <v>1306</v>
      </c>
      <c r="C2541" s="62" t="s">
        <v>110</v>
      </c>
      <c r="D2541" s="62" t="s">
        <v>1501</v>
      </c>
      <c r="E2541" s="76">
        <v>43992.0</v>
      </c>
      <c r="F2541" s="77">
        <v>0.041666666666666664</v>
      </c>
      <c r="G2541" s="62" t="b">
        <v>1</v>
      </c>
      <c r="H2541" s="78" t="b">
        <f>IF(VLOOKUP(C2541,Projetos!A:L,12,false)=TRUE,TRUE,FALSE)</f>
        <v>1</v>
      </c>
      <c r="I2541" s="68">
        <v>35.94867919823232</v>
      </c>
      <c r="J2541" s="68">
        <f t="shared" si="1"/>
        <v>35.9486792</v>
      </c>
      <c r="K2541" s="68" t="b">
        <v>1</v>
      </c>
    </row>
    <row r="2542">
      <c r="A2542" s="75">
        <v>2536.0</v>
      </c>
      <c r="B2542" s="62" t="s">
        <v>1306</v>
      </c>
      <c r="C2542" s="62" t="s">
        <v>110</v>
      </c>
      <c r="D2542" s="62" t="s">
        <v>1501</v>
      </c>
      <c r="E2542" s="76">
        <v>43998.0</v>
      </c>
      <c r="F2542" s="77">
        <v>0.041666666666666664</v>
      </c>
      <c r="G2542" s="62" t="b">
        <v>1</v>
      </c>
      <c r="H2542" s="78" t="b">
        <f>IF(VLOOKUP(C2542,Projetos!A:L,12,false)=TRUE,TRUE,FALSE)</f>
        <v>1</v>
      </c>
      <c r="I2542" s="68">
        <v>35.94867919823232</v>
      </c>
      <c r="J2542" s="68">
        <f t="shared" si="1"/>
        <v>35.9486792</v>
      </c>
      <c r="K2542" s="68" t="b">
        <v>1</v>
      </c>
    </row>
    <row r="2543">
      <c r="A2543" s="75">
        <v>2537.0</v>
      </c>
      <c r="B2543" s="62" t="s">
        <v>1306</v>
      </c>
      <c r="C2543" s="62" t="s">
        <v>110</v>
      </c>
      <c r="D2543" s="62" t="s">
        <v>1507</v>
      </c>
      <c r="E2543" s="76">
        <v>43998.0</v>
      </c>
      <c r="F2543" s="77">
        <v>0.0625</v>
      </c>
      <c r="G2543" s="62" t="b">
        <v>1</v>
      </c>
      <c r="H2543" s="78" t="b">
        <f>IF(VLOOKUP(C2543,Projetos!A:L,12,false)=TRUE,TRUE,FALSE)</f>
        <v>1</v>
      </c>
      <c r="I2543" s="68">
        <v>35.94867919823232</v>
      </c>
      <c r="J2543" s="68">
        <f t="shared" si="1"/>
        <v>53.9230188</v>
      </c>
      <c r="K2543" s="68" t="b">
        <v>1</v>
      </c>
    </row>
    <row r="2544">
      <c r="A2544" s="75">
        <v>2538.0</v>
      </c>
      <c r="B2544" s="62" t="s">
        <v>1306</v>
      </c>
      <c r="C2544" s="62" t="s">
        <v>110</v>
      </c>
      <c r="D2544" s="62" t="s">
        <v>1378</v>
      </c>
      <c r="E2544" s="76">
        <v>44000.0</v>
      </c>
      <c r="F2544" s="77">
        <v>0.041666666666666664</v>
      </c>
      <c r="G2544" s="62" t="b">
        <v>1</v>
      </c>
      <c r="H2544" s="78" t="b">
        <f>IF(VLOOKUP(C2544,Projetos!A:L,12,false)=TRUE,TRUE,FALSE)</f>
        <v>1</v>
      </c>
      <c r="I2544" s="68">
        <v>35.94867919823232</v>
      </c>
      <c r="J2544" s="68">
        <f t="shared" si="1"/>
        <v>35.9486792</v>
      </c>
      <c r="K2544" s="68" t="b">
        <v>1</v>
      </c>
    </row>
    <row r="2545">
      <c r="A2545" s="75">
        <v>2539.0</v>
      </c>
      <c r="B2545" s="62" t="s">
        <v>1306</v>
      </c>
      <c r="C2545" s="62" t="s">
        <v>110</v>
      </c>
      <c r="D2545" s="62" t="s">
        <v>1501</v>
      </c>
      <c r="E2545" s="76">
        <v>44004.0</v>
      </c>
      <c r="F2545" s="77">
        <v>0.041666666666666664</v>
      </c>
      <c r="G2545" s="62" t="b">
        <v>1</v>
      </c>
      <c r="H2545" s="78" t="b">
        <f>IF(VLOOKUP(C2545,Projetos!A:L,12,false)=TRUE,TRUE,FALSE)</f>
        <v>1</v>
      </c>
      <c r="I2545" s="68">
        <v>35.94867919823232</v>
      </c>
      <c r="J2545" s="68">
        <f t="shared" si="1"/>
        <v>35.9486792</v>
      </c>
      <c r="K2545" s="68" t="b">
        <v>1</v>
      </c>
    </row>
    <row r="2546">
      <c r="A2546" s="75">
        <v>2540.0</v>
      </c>
      <c r="B2546" s="62" t="s">
        <v>1306</v>
      </c>
      <c r="C2546" s="62" t="s">
        <v>110</v>
      </c>
      <c r="D2546" s="62" t="s">
        <v>1553</v>
      </c>
      <c r="E2546" s="76">
        <v>44005.0</v>
      </c>
      <c r="F2546" s="77">
        <v>0.041666666666666664</v>
      </c>
      <c r="G2546" s="62" t="b">
        <v>1</v>
      </c>
      <c r="H2546" s="78" t="b">
        <f>IF(VLOOKUP(C2546,Projetos!A:L,12,false)=TRUE,TRUE,FALSE)</f>
        <v>1</v>
      </c>
      <c r="I2546" s="68">
        <v>35.94867919823232</v>
      </c>
      <c r="J2546" s="68">
        <f t="shared" si="1"/>
        <v>35.9486792</v>
      </c>
      <c r="K2546" s="68" t="b">
        <v>1</v>
      </c>
    </row>
    <row r="2547">
      <c r="A2547" s="75">
        <v>2541.0</v>
      </c>
      <c r="B2547" s="62" t="s">
        <v>1306</v>
      </c>
      <c r="C2547" s="62" t="s">
        <v>138</v>
      </c>
      <c r="D2547" s="62" t="s">
        <v>1554</v>
      </c>
      <c r="E2547" s="76">
        <v>44013.0</v>
      </c>
      <c r="F2547" s="77">
        <v>0.041666666666666664</v>
      </c>
      <c r="G2547" s="62" t="b">
        <v>1</v>
      </c>
      <c r="H2547" s="78" t="b">
        <f>IF(VLOOKUP(C2547,Projetos!A:L,12,false)=TRUE,TRUE,FALSE)</f>
        <v>1</v>
      </c>
      <c r="I2547" s="68">
        <v>37.66052106481481</v>
      </c>
      <c r="J2547" s="68">
        <f t="shared" si="1"/>
        <v>37.66052106</v>
      </c>
      <c r="K2547" s="68" t="b">
        <v>1</v>
      </c>
    </row>
    <row r="2548">
      <c r="A2548" s="75">
        <v>2542.0</v>
      </c>
      <c r="B2548" s="62" t="s">
        <v>1306</v>
      </c>
      <c r="C2548" s="62" t="s">
        <v>138</v>
      </c>
      <c r="D2548" s="62" t="s">
        <v>1555</v>
      </c>
      <c r="E2548" s="76">
        <v>44013.0</v>
      </c>
      <c r="F2548" s="77">
        <v>0.07291666666666667</v>
      </c>
      <c r="G2548" s="62" t="b">
        <v>1</v>
      </c>
      <c r="H2548" s="78" t="b">
        <f>IF(VLOOKUP(C2548,Projetos!A:L,12,false)=TRUE,TRUE,FALSE)</f>
        <v>1</v>
      </c>
      <c r="I2548" s="68">
        <v>37.66052106481481</v>
      </c>
      <c r="J2548" s="68">
        <f t="shared" si="1"/>
        <v>65.90591186</v>
      </c>
      <c r="K2548" s="68" t="b">
        <v>1</v>
      </c>
    </row>
    <row r="2549">
      <c r="A2549" s="75">
        <v>2543.0</v>
      </c>
      <c r="B2549" s="62" t="s">
        <v>1306</v>
      </c>
      <c r="C2549" s="62" t="s">
        <v>138</v>
      </c>
      <c r="D2549" s="62" t="s">
        <v>1556</v>
      </c>
      <c r="E2549" s="76">
        <v>44014.0</v>
      </c>
      <c r="F2549" s="77">
        <v>0.041666666666666664</v>
      </c>
      <c r="G2549" s="62" t="b">
        <v>1</v>
      </c>
      <c r="H2549" s="78" t="b">
        <f>IF(VLOOKUP(C2549,Projetos!A:L,12,false)=TRUE,TRUE,FALSE)</f>
        <v>1</v>
      </c>
      <c r="I2549" s="68">
        <v>37.66052106481481</v>
      </c>
      <c r="J2549" s="68">
        <f t="shared" si="1"/>
        <v>37.66052106</v>
      </c>
      <c r="K2549" s="68" t="b">
        <v>1</v>
      </c>
    </row>
    <row r="2550">
      <c r="A2550" s="75">
        <v>2544.0</v>
      </c>
      <c r="B2550" s="62" t="s">
        <v>1306</v>
      </c>
      <c r="C2550" s="62" t="s">
        <v>138</v>
      </c>
      <c r="D2550" s="62" t="s">
        <v>1557</v>
      </c>
      <c r="E2550" s="76">
        <v>44015.0</v>
      </c>
      <c r="F2550" s="77">
        <v>0.0625</v>
      </c>
      <c r="G2550" s="62" t="b">
        <v>1</v>
      </c>
      <c r="H2550" s="78" t="b">
        <f>IF(VLOOKUP(C2550,Projetos!A:L,12,false)=TRUE,TRUE,FALSE)</f>
        <v>1</v>
      </c>
      <c r="I2550" s="68">
        <v>37.66052106481481</v>
      </c>
      <c r="J2550" s="68">
        <f t="shared" si="1"/>
        <v>56.4907816</v>
      </c>
      <c r="K2550" s="68" t="b">
        <v>1</v>
      </c>
    </row>
    <row r="2551">
      <c r="A2551" s="75">
        <v>2545.0</v>
      </c>
      <c r="B2551" s="62" t="s">
        <v>1306</v>
      </c>
      <c r="C2551" s="62" t="s">
        <v>138</v>
      </c>
      <c r="D2551" s="62" t="s">
        <v>1558</v>
      </c>
      <c r="E2551" s="76">
        <v>44020.0</v>
      </c>
      <c r="F2551" s="77">
        <v>0.041666666666666664</v>
      </c>
      <c r="G2551" s="62" t="b">
        <v>1</v>
      </c>
      <c r="H2551" s="78" t="b">
        <f>IF(VLOOKUP(C2551,Projetos!A:L,12,false)=TRUE,TRUE,FALSE)</f>
        <v>1</v>
      </c>
      <c r="I2551" s="68">
        <v>37.66052106481481</v>
      </c>
      <c r="J2551" s="68">
        <f t="shared" si="1"/>
        <v>37.66052106</v>
      </c>
      <c r="K2551" s="68" t="b">
        <v>1</v>
      </c>
    </row>
    <row r="2552">
      <c r="A2552" s="75">
        <v>2546.0</v>
      </c>
      <c r="B2552" s="62" t="s">
        <v>1306</v>
      </c>
      <c r="C2552" s="62" t="s">
        <v>138</v>
      </c>
      <c r="D2552" s="62" t="s">
        <v>1559</v>
      </c>
      <c r="E2552" s="76">
        <v>44022.0</v>
      </c>
      <c r="F2552" s="77">
        <v>0.0625</v>
      </c>
      <c r="G2552" s="62" t="b">
        <v>1</v>
      </c>
      <c r="H2552" s="78" t="b">
        <f>IF(VLOOKUP(C2552,Projetos!A:L,12,false)=TRUE,TRUE,FALSE)</f>
        <v>1</v>
      </c>
      <c r="I2552" s="68">
        <v>37.66052106481481</v>
      </c>
      <c r="J2552" s="68">
        <f t="shared" si="1"/>
        <v>56.4907816</v>
      </c>
      <c r="K2552" s="68" t="b">
        <v>1</v>
      </c>
    </row>
    <row r="2553">
      <c r="A2553" s="75">
        <v>2547.0</v>
      </c>
      <c r="B2553" s="62" t="s">
        <v>1306</v>
      </c>
      <c r="C2553" s="62" t="s">
        <v>138</v>
      </c>
      <c r="D2553" s="62" t="s">
        <v>1560</v>
      </c>
      <c r="E2553" s="76">
        <v>44025.0</v>
      </c>
      <c r="F2553" s="77">
        <v>0.125</v>
      </c>
      <c r="G2553" s="62" t="b">
        <v>1</v>
      </c>
      <c r="H2553" s="78" t="b">
        <f>IF(VLOOKUP(C2553,Projetos!A:L,12,false)=TRUE,TRUE,FALSE)</f>
        <v>1</v>
      </c>
      <c r="I2553" s="68">
        <v>37.66052106481481</v>
      </c>
      <c r="J2553" s="68">
        <f t="shared" si="1"/>
        <v>112.9815632</v>
      </c>
      <c r="K2553" s="68" t="b">
        <v>1</v>
      </c>
    </row>
    <row r="2554">
      <c r="A2554" s="75">
        <v>2548.0</v>
      </c>
      <c r="B2554" s="62" t="s">
        <v>1306</v>
      </c>
      <c r="C2554" s="62" t="s">
        <v>138</v>
      </c>
      <c r="D2554" s="62" t="s">
        <v>1561</v>
      </c>
      <c r="E2554" s="76">
        <v>44027.0</v>
      </c>
      <c r="F2554" s="77">
        <v>0.041666666666666664</v>
      </c>
      <c r="G2554" s="62" t="b">
        <v>1</v>
      </c>
      <c r="H2554" s="78" t="b">
        <f>IF(VLOOKUP(C2554,Projetos!A:L,12,false)=TRUE,TRUE,FALSE)</f>
        <v>1</v>
      </c>
      <c r="I2554" s="68">
        <v>37.66052106481481</v>
      </c>
      <c r="J2554" s="68">
        <f t="shared" si="1"/>
        <v>37.66052106</v>
      </c>
      <c r="K2554" s="68" t="b">
        <v>1</v>
      </c>
    </row>
    <row r="2555" hidden="1">
      <c r="A2555" s="75">
        <v>2549.0</v>
      </c>
      <c r="B2555" s="62" t="s">
        <v>1306</v>
      </c>
      <c r="C2555" s="62" t="s">
        <v>138</v>
      </c>
      <c r="D2555" s="62" t="s">
        <v>1562</v>
      </c>
      <c r="E2555" s="76">
        <v>44027.0</v>
      </c>
      <c r="F2555" s="77">
        <v>0.041666666666666664</v>
      </c>
      <c r="G2555" s="62" t="b">
        <v>0</v>
      </c>
      <c r="H2555" s="78" t="b">
        <f>IF(VLOOKUP(C2555,Projetos!A:L,12,false)=TRUE,TRUE,FALSE)</f>
        <v>1</v>
      </c>
      <c r="I2555" s="68">
        <v>37.66052106481481</v>
      </c>
      <c r="J2555" s="68">
        <f t="shared" si="1"/>
        <v>0</v>
      </c>
      <c r="K2555" s="68" t="b">
        <v>1</v>
      </c>
    </row>
    <row r="2556">
      <c r="A2556" s="75">
        <v>2550.0</v>
      </c>
      <c r="B2556" s="62" t="s">
        <v>1306</v>
      </c>
      <c r="C2556" s="62" t="s">
        <v>138</v>
      </c>
      <c r="D2556" s="62" t="s">
        <v>1559</v>
      </c>
      <c r="E2556" s="76">
        <v>44035.0</v>
      </c>
      <c r="F2556" s="77">
        <v>0.041666666666666664</v>
      </c>
      <c r="G2556" s="62" t="b">
        <v>1</v>
      </c>
      <c r="H2556" s="78" t="b">
        <f>IF(VLOOKUP(C2556,Projetos!A:L,12,false)=TRUE,TRUE,FALSE)</f>
        <v>1</v>
      </c>
      <c r="I2556" s="68">
        <v>37.66052106481481</v>
      </c>
      <c r="J2556" s="68">
        <f t="shared" si="1"/>
        <v>37.66052106</v>
      </c>
      <c r="K2556" s="68" t="b">
        <v>1</v>
      </c>
    </row>
    <row r="2557">
      <c r="A2557" s="75">
        <v>2551.0</v>
      </c>
      <c r="B2557" s="62" t="s">
        <v>1306</v>
      </c>
      <c r="C2557" s="62" t="s">
        <v>90</v>
      </c>
      <c r="D2557" s="62" t="s">
        <v>417</v>
      </c>
      <c r="E2557" s="76">
        <v>44013.0</v>
      </c>
      <c r="F2557" s="77">
        <v>0.041666666666666664</v>
      </c>
      <c r="G2557" s="62" t="b">
        <v>1</v>
      </c>
      <c r="H2557" s="78" t="b">
        <f>IF(VLOOKUP(C2557,Projetos!A:L,12,false)=TRUE,TRUE,FALSE)</f>
        <v>1</v>
      </c>
      <c r="I2557" s="68">
        <v>37.66052106481481</v>
      </c>
      <c r="J2557" s="68">
        <f t="shared" si="1"/>
        <v>37.66052106</v>
      </c>
      <c r="K2557" s="68" t="b">
        <v>1</v>
      </c>
    </row>
    <row r="2558">
      <c r="A2558" s="75">
        <v>2552.0</v>
      </c>
      <c r="B2558" s="62" t="s">
        <v>1306</v>
      </c>
      <c r="C2558" s="62" t="s">
        <v>90</v>
      </c>
      <c r="D2558" s="62" t="s">
        <v>1563</v>
      </c>
      <c r="E2558" s="76">
        <v>44014.0</v>
      </c>
      <c r="F2558" s="77">
        <v>0.0625</v>
      </c>
      <c r="G2558" s="62" t="b">
        <v>1</v>
      </c>
      <c r="H2558" s="78" t="b">
        <f>IF(VLOOKUP(C2558,Projetos!A:L,12,false)=TRUE,TRUE,FALSE)</f>
        <v>1</v>
      </c>
      <c r="I2558" s="68">
        <v>37.66052106481481</v>
      </c>
      <c r="J2558" s="68">
        <f t="shared" si="1"/>
        <v>56.4907816</v>
      </c>
      <c r="K2558" s="68" t="b">
        <v>1</v>
      </c>
    </row>
    <row r="2559">
      <c r="A2559" s="75">
        <v>2553.0</v>
      </c>
      <c r="B2559" s="62" t="s">
        <v>1306</v>
      </c>
      <c r="C2559" s="62" t="s">
        <v>90</v>
      </c>
      <c r="D2559" s="62" t="s">
        <v>1564</v>
      </c>
      <c r="E2559" s="76">
        <v>44014.0</v>
      </c>
      <c r="F2559" s="77">
        <v>0.0625</v>
      </c>
      <c r="G2559" s="62" t="b">
        <v>1</v>
      </c>
      <c r="H2559" s="78" t="b">
        <f>IF(VLOOKUP(C2559,Projetos!A:L,12,false)=TRUE,TRUE,FALSE)</f>
        <v>1</v>
      </c>
      <c r="I2559" s="68">
        <v>37.66052106481481</v>
      </c>
      <c r="J2559" s="68">
        <f t="shared" si="1"/>
        <v>56.4907816</v>
      </c>
      <c r="K2559" s="68" t="b">
        <v>1</v>
      </c>
    </row>
    <row r="2560">
      <c r="A2560" s="75">
        <v>2554.0</v>
      </c>
      <c r="B2560" s="62" t="s">
        <v>1306</v>
      </c>
      <c r="C2560" s="62" t="s">
        <v>90</v>
      </c>
      <c r="D2560" s="62" t="s">
        <v>1565</v>
      </c>
      <c r="E2560" s="76">
        <v>44014.0</v>
      </c>
      <c r="F2560" s="77">
        <v>0.0625</v>
      </c>
      <c r="G2560" s="62" t="b">
        <v>1</v>
      </c>
      <c r="H2560" s="78" t="b">
        <f>IF(VLOOKUP(C2560,Projetos!A:L,12,false)=TRUE,TRUE,FALSE)</f>
        <v>1</v>
      </c>
      <c r="I2560" s="68">
        <v>37.66052106481481</v>
      </c>
      <c r="J2560" s="68">
        <f t="shared" si="1"/>
        <v>56.4907816</v>
      </c>
      <c r="K2560" s="68" t="b">
        <v>1</v>
      </c>
    </row>
    <row r="2561">
      <c r="A2561" s="75">
        <v>2555.0</v>
      </c>
      <c r="B2561" s="62" t="s">
        <v>1306</v>
      </c>
      <c r="C2561" s="62" t="s">
        <v>90</v>
      </c>
      <c r="D2561" s="62" t="s">
        <v>1566</v>
      </c>
      <c r="E2561" s="76">
        <v>44015.0</v>
      </c>
      <c r="F2561" s="77">
        <v>0.020833333333333332</v>
      </c>
      <c r="G2561" s="62" t="b">
        <v>1</v>
      </c>
      <c r="H2561" s="78" t="b">
        <f>IF(VLOOKUP(C2561,Projetos!A:L,12,false)=TRUE,TRUE,FALSE)</f>
        <v>1</v>
      </c>
      <c r="I2561" s="68">
        <v>37.66052106481481</v>
      </c>
      <c r="J2561" s="68">
        <f t="shared" si="1"/>
        <v>18.83026053</v>
      </c>
      <c r="K2561" s="68" t="b">
        <v>1</v>
      </c>
    </row>
    <row r="2562">
      <c r="A2562" s="75">
        <v>2556.0</v>
      </c>
      <c r="B2562" s="62" t="s">
        <v>1306</v>
      </c>
      <c r="C2562" s="62" t="s">
        <v>90</v>
      </c>
      <c r="D2562" s="62" t="s">
        <v>1567</v>
      </c>
      <c r="E2562" s="76">
        <v>44019.0</v>
      </c>
      <c r="F2562" s="77">
        <v>0.08333333333333333</v>
      </c>
      <c r="G2562" s="62" t="b">
        <v>1</v>
      </c>
      <c r="H2562" s="78" t="b">
        <f>IF(VLOOKUP(C2562,Projetos!A:L,12,false)=TRUE,TRUE,FALSE)</f>
        <v>1</v>
      </c>
      <c r="I2562" s="68">
        <v>37.66052106481481</v>
      </c>
      <c r="J2562" s="68">
        <f t="shared" si="1"/>
        <v>75.32104213</v>
      </c>
      <c r="K2562" s="68" t="b">
        <v>1</v>
      </c>
    </row>
    <row r="2563" hidden="1">
      <c r="A2563" s="75">
        <v>2557.0</v>
      </c>
      <c r="B2563" s="62" t="s">
        <v>1306</v>
      </c>
      <c r="C2563" s="62" t="s">
        <v>90</v>
      </c>
      <c r="D2563" s="62" t="s">
        <v>1568</v>
      </c>
      <c r="E2563" s="76">
        <v>44020.0</v>
      </c>
      <c r="F2563" s="77">
        <v>0.041666666666666664</v>
      </c>
      <c r="G2563" s="62" t="b">
        <v>0</v>
      </c>
      <c r="H2563" s="78" t="b">
        <f>IF(VLOOKUP(C2563,Projetos!A:L,12,false)=TRUE,TRUE,FALSE)</f>
        <v>1</v>
      </c>
      <c r="I2563" s="68">
        <v>37.66052106481481</v>
      </c>
      <c r="J2563" s="68">
        <f t="shared" si="1"/>
        <v>0</v>
      </c>
      <c r="K2563" s="68" t="b">
        <v>1</v>
      </c>
    </row>
    <row r="2564">
      <c r="A2564" s="75">
        <v>2558.0</v>
      </c>
      <c r="B2564" s="62" t="s">
        <v>1306</v>
      </c>
      <c r="C2564" s="62" t="s">
        <v>90</v>
      </c>
      <c r="D2564" s="62" t="s">
        <v>1569</v>
      </c>
      <c r="E2564" s="76">
        <v>44021.0</v>
      </c>
      <c r="F2564" s="77">
        <v>0.041666666666666664</v>
      </c>
      <c r="G2564" s="62" t="b">
        <v>1</v>
      </c>
      <c r="H2564" s="78" t="b">
        <f>IF(VLOOKUP(C2564,Projetos!A:L,12,false)=TRUE,TRUE,FALSE)</f>
        <v>1</v>
      </c>
      <c r="I2564" s="68">
        <v>37.66052106481481</v>
      </c>
      <c r="J2564" s="68">
        <f t="shared" si="1"/>
        <v>37.66052106</v>
      </c>
      <c r="K2564" s="68" t="b">
        <v>1</v>
      </c>
    </row>
    <row r="2565" hidden="1">
      <c r="A2565" s="75">
        <v>2559.0</v>
      </c>
      <c r="B2565" s="62" t="s">
        <v>1306</v>
      </c>
      <c r="C2565" s="62" t="s">
        <v>90</v>
      </c>
      <c r="D2565" s="62" t="s">
        <v>1570</v>
      </c>
      <c r="E2565" s="76">
        <v>44021.0</v>
      </c>
      <c r="F2565" s="77">
        <v>0.08333333333333333</v>
      </c>
      <c r="G2565" s="62" t="b">
        <v>0</v>
      </c>
      <c r="H2565" s="78" t="b">
        <f>IF(VLOOKUP(C2565,Projetos!A:L,12,false)=TRUE,TRUE,FALSE)</f>
        <v>1</v>
      </c>
      <c r="I2565" s="68">
        <v>37.66052106481481</v>
      </c>
      <c r="J2565" s="68">
        <f t="shared" si="1"/>
        <v>0</v>
      </c>
      <c r="K2565" s="68" t="b">
        <v>1</v>
      </c>
    </row>
    <row r="2566">
      <c r="A2566" s="75">
        <v>2560.0</v>
      </c>
      <c r="B2566" s="62" t="s">
        <v>1306</v>
      </c>
      <c r="C2566" s="62" t="s">
        <v>90</v>
      </c>
      <c r="D2566" s="62" t="s">
        <v>1571</v>
      </c>
      <c r="E2566" s="76">
        <v>44021.0</v>
      </c>
      <c r="F2566" s="77">
        <v>0.041666666666666664</v>
      </c>
      <c r="G2566" s="62" t="b">
        <v>1</v>
      </c>
      <c r="H2566" s="78" t="b">
        <f>IF(VLOOKUP(C2566,Projetos!A:L,12,false)=TRUE,TRUE,FALSE)</f>
        <v>1</v>
      </c>
      <c r="I2566" s="68">
        <v>37.66052106481481</v>
      </c>
      <c r="J2566" s="68">
        <f t="shared" si="1"/>
        <v>37.66052106</v>
      </c>
      <c r="K2566" s="68" t="b">
        <v>1</v>
      </c>
    </row>
    <row r="2567">
      <c r="A2567" s="75">
        <v>2561.0</v>
      </c>
      <c r="B2567" s="62" t="s">
        <v>1306</v>
      </c>
      <c r="C2567" s="62" t="s">
        <v>90</v>
      </c>
      <c r="D2567" s="62" t="s">
        <v>761</v>
      </c>
      <c r="E2567" s="76">
        <v>44021.0</v>
      </c>
      <c r="F2567" s="77">
        <v>0.0625</v>
      </c>
      <c r="G2567" s="62" t="b">
        <v>1</v>
      </c>
      <c r="H2567" s="78" t="b">
        <f>IF(VLOOKUP(C2567,Projetos!A:L,12,false)=TRUE,TRUE,FALSE)</f>
        <v>1</v>
      </c>
      <c r="I2567" s="68">
        <v>37.66052106481481</v>
      </c>
      <c r="J2567" s="68">
        <f t="shared" si="1"/>
        <v>56.4907816</v>
      </c>
      <c r="K2567" s="68" t="b">
        <v>1</v>
      </c>
    </row>
    <row r="2568">
      <c r="A2568" s="75">
        <v>2562.0</v>
      </c>
      <c r="B2568" s="62" t="s">
        <v>1306</v>
      </c>
      <c r="C2568" s="62" t="s">
        <v>90</v>
      </c>
      <c r="D2568" s="62" t="s">
        <v>1571</v>
      </c>
      <c r="E2568" s="76">
        <v>44022.0</v>
      </c>
      <c r="F2568" s="77">
        <v>0.08333333333333333</v>
      </c>
      <c r="G2568" s="62" t="b">
        <v>1</v>
      </c>
      <c r="H2568" s="78" t="b">
        <f>IF(VLOOKUP(C2568,Projetos!A:L,12,false)=TRUE,TRUE,FALSE)</f>
        <v>1</v>
      </c>
      <c r="I2568" s="68">
        <v>37.66052106481481</v>
      </c>
      <c r="J2568" s="68">
        <f t="shared" si="1"/>
        <v>75.32104213</v>
      </c>
      <c r="K2568" s="68" t="b">
        <v>1</v>
      </c>
    </row>
    <row r="2569">
      <c r="A2569" s="75">
        <v>2563.0</v>
      </c>
      <c r="B2569" s="62" t="s">
        <v>1306</v>
      </c>
      <c r="C2569" s="62" t="s">
        <v>90</v>
      </c>
      <c r="D2569" s="62" t="s">
        <v>1572</v>
      </c>
      <c r="E2569" s="76">
        <v>44022.0</v>
      </c>
      <c r="F2569" s="77">
        <v>0.0625</v>
      </c>
      <c r="G2569" s="62" t="b">
        <v>1</v>
      </c>
      <c r="H2569" s="78" t="b">
        <f>IF(VLOOKUP(C2569,Projetos!A:L,12,false)=TRUE,TRUE,FALSE)</f>
        <v>1</v>
      </c>
      <c r="I2569" s="68">
        <v>37.66052106481481</v>
      </c>
      <c r="J2569" s="68">
        <f t="shared" si="1"/>
        <v>56.4907816</v>
      </c>
      <c r="K2569" s="68" t="b">
        <v>1</v>
      </c>
    </row>
    <row r="2570">
      <c r="A2570" s="75">
        <v>2564.0</v>
      </c>
      <c r="B2570" s="62" t="s">
        <v>1306</v>
      </c>
      <c r="C2570" s="62" t="s">
        <v>90</v>
      </c>
      <c r="D2570" s="62" t="s">
        <v>1573</v>
      </c>
      <c r="E2570" s="76">
        <v>44025.0</v>
      </c>
      <c r="F2570" s="77">
        <v>0.03125</v>
      </c>
      <c r="G2570" s="62" t="b">
        <v>1</v>
      </c>
      <c r="H2570" s="78" t="b">
        <f>IF(VLOOKUP(C2570,Projetos!A:L,12,false)=TRUE,TRUE,FALSE)</f>
        <v>1</v>
      </c>
      <c r="I2570" s="68">
        <v>37.66052106481481</v>
      </c>
      <c r="J2570" s="68">
        <f t="shared" si="1"/>
        <v>28.2453908</v>
      </c>
      <c r="K2570" s="68" t="b">
        <v>1</v>
      </c>
    </row>
    <row r="2571">
      <c r="A2571" s="75">
        <v>2565.0</v>
      </c>
      <c r="B2571" s="62" t="s">
        <v>1306</v>
      </c>
      <c r="C2571" s="62" t="s">
        <v>90</v>
      </c>
      <c r="D2571" s="62" t="s">
        <v>1574</v>
      </c>
      <c r="E2571" s="76">
        <v>44027.0</v>
      </c>
      <c r="F2571" s="77">
        <v>0.0625</v>
      </c>
      <c r="G2571" s="62" t="b">
        <v>1</v>
      </c>
      <c r="H2571" s="78" t="b">
        <f>IF(VLOOKUP(C2571,Projetos!A:L,12,false)=TRUE,TRUE,FALSE)</f>
        <v>1</v>
      </c>
      <c r="I2571" s="68">
        <v>37.66052106481481</v>
      </c>
      <c r="J2571" s="68">
        <f t="shared" si="1"/>
        <v>56.4907816</v>
      </c>
      <c r="K2571" s="68" t="b">
        <v>1</v>
      </c>
    </row>
    <row r="2572">
      <c r="A2572" s="75">
        <v>2566.0</v>
      </c>
      <c r="B2572" s="62" t="s">
        <v>1306</v>
      </c>
      <c r="C2572" s="62" t="s">
        <v>90</v>
      </c>
      <c r="D2572" s="62" t="s">
        <v>1575</v>
      </c>
      <c r="E2572" s="76">
        <v>44028.0</v>
      </c>
      <c r="F2572" s="77">
        <v>0.08333333333333333</v>
      </c>
      <c r="G2572" s="62" t="b">
        <v>1</v>
      </c>
      <c r="H2572" s="78" t="b">
        <f>IF(VLOOKUP(C2572,Projetos!A:L,12,false)=TRUE,TRUE,FALSE)</f>
        <v>1</v>
      </c>
      <c r="I2572" s="68">
        <v>37.66052106481481</v>
      </c>
      <c r="J2572" s="68">
        <f t="shared" si="1"/>
        <v>75.32104213</v>
      </c>
      <c r="K2572" s="68" t="b">
        <v>1</v>
      </c>
    </row>
    <row r="2573">
      <c r="A2573" s="75">
        <v>2567.0</v>
      </c>
      <c r="B2573" s="62" t="s">
        <v>1306</v>
      </c>
      <c r="C2573" s="62" t="s">
        <v>90</v>
      </c>
      <c r="D2573" s="62" t="s">
        <v>1485</v>
      </c>
      <c r="E2573" s="76">
        <v>44028.0</v>
      </c>
      <c r="F2573" s="77">
        <v>0.041666666666666664</v>
      </c>
      <c r="G2573" s="62" t="b">
        <v>1</v>
      </c>
      <c r="H2573" s="78" t="b">
        <f>IF(VLOOKUP(C2573,Projetos!A:L,12,false)=TRUE,TRUE,FALSE)</f>
        <v>1</v>
      </c>
      <c r="I2573" s="68">
        <v>37.66052106481481</v>
      </c>
      <c r="J2573" s="68">
        <f t="shared" si="1"/>
        <v>37.66052106</v>
      </c>
      <c r="K2573" s="68" t="b">
        <v>1</v>
      </c>
    </row>
    <row r="2574">
      <c r="A2574" s="75">
        <v>2568.0</v>
      </c>
      <c r="B2574" s="62" t="s">
        <v>1306</v>
      </c>
      <c r="C2574" s="62" t="s">
        <v>90</v>
      </c>
      <c r="D2574" s="62" t="s">
        <v>1485</v>
      </c>
      <c r="E2574" s="76">
        <v>44028.0</v>
      </c>
      <c r="F2574" s="77">
        <v>0.041666666666666664</v>
      </c>
      <c r="G2574" s="62" t="b">
        <v>1</v>
      </c>
      <c r="H2574" s="78" t="b">
        <f>IF(VLOOKUP(C2574,Projetos!A:L,12,false)=TRUE,TRUE,FALSE)</f>
        <v>1</v>
      </c>
      <c r="I2574" s="68">
        <v>37.66052106481481</v>
      </c>
      <c r="J2574" s="68">
        <f t="shared" si="1"/>
        <v>37.66052106</v>
      </c>
      <c r="K2574" s="68" t="b">
        <v>1</v>
      </c>
    </row>
    <row r="2575">
      <c r="A2575" s="75">
        <v>2569.0</v>
      </c>
      <c r="B2575" s="62" t="s">
        <v>1306</v>
      </c>
      <c r="C2575" s="62" t="s">
        <v>90</v>
      </c>
      <c r="D2575" s="62" t="s">
        <v>1576</v>
      </c>
      <c r="E2575" s="76">
        <v>44028.0</v>
      </c>
      <c r="F2575" s="77">
        <v>0.05555555555555555</v>
      </c>
      <c r="G2575" s="62" t="b">
        <v>1</v>
      </c>
      <c r="H2575" s="78" t="b">
        <f>IF(VLOOKUP(C2575,Projetos!A:L,12,false)=TRUE,TRUE,FALSE)</f>
        <v>1</v>
      </c>
      <c r="I2575" s="68">
        <v>37.66052106481481</v>
      </c>
      <c r="J2575" s="68">
        <f t="shared" si="1"/>
        <v>50.21402809</v>
      </c>
      <c r="K2575" s="68" t="b">
        <v>1</v>
      </c>
    </row>
    <row r="2576">
      <c r="A2576" s="75">
        <v>2570.0</v>
      </c>
      <c r="B2576" s="62" t="s">
        <v>1306</v>
      </c>
      <c r="C2576" s="62" t="s">
        <v>90</v>
      </c>
      <c r="D2576" s="62" t="s">
        <v>1577</v>
      </c>
      <c r="E2576" s="76">
        <v>44028.0</v>
      </c>
      <c r="F2576" s="77">
        <v>0.03125</v>
      </c>
      <c r="G2576" s="62" t="b">
        <v>1</v>
      </c>
      <c r="H2576" s="78" t="b">
        <f>IF(VLOOKUP(C2576,Projetos!A:L,12,false)=TRUE,TRUE,FALSE)</f>
        <v>1</v>
      </c>
      <c r="I2576" s="68">
        <v>37.66052106481481</v>
      </c>
      <c r="J2576" s="68">
        <f t="shared" si="1"/>
        <v>28.2453908</v>
      </c>
      <c r="K2576" s="68" t="b">
        <v>1</v>
      </c>
    </row>
    <row r="2577">
      <c r="A2577" s="75">
        <v>2571.0</v>
      </c>
      <c r="B2577" s="62" t="s">
        <v>1306</v>
      </c>
      <c r="C2577" s="62" t="s">
        <v>90</v>
      </c>
      <c r="D2577" s="62" t="s">
        <v>1578</v>
      </c>
      <c r="E2577" s="76">
        <v>44029.0</v>
      </c>
      <c r="F2577" s="77">
        <v>0.041666666666666664</v>
      </c>
      <c r="G2577" s="62" t="b">
        <v>1</v>
      </c>
      <c r="H2577" s="78" t="b">
        <f>IF(VLOOKUP(C2577,Projetos!A:L,12,false)=TRUE,TRUE,FALSE)</f>
        <v>1</v>
      </c>
      <c r="I2577" s="68">
        <v>37.66052106481481</v>
      </c>
      <c r="J2577" s="68">
        <f t="shared" si="1"/>
        <v>37.66052106</v>
      </c>
      <c r="K2577" s="68" t="b">
        <v>1</v>
      </c>
    </row>
    <row r="2578">
      <c r="A2578" s="75">
        <v>2572.0</v>
      </c>
      <c r="B2578" s="62" t="s">
        <v>1306</v>
      </c>
      <c r="C2578" s="62" t="s">
        <v>90</v>
      </c>
      <c r="D2578" s="62" t="s">
        <v>1579</v>
      </c>
      <c r="E2578" s="76">
        <v>44029.0</v>
      </c>
      <c r="F2578" s="77">
        <v>0.041666666666666664</v>
      </c>
      <c r="G2578" s="62" t="b">
        <v>1</v>
      </c>
      <c r="H2578" s="78" t="b">
        <f>IF(VLOOKUP(C2578,Projetos!A:L,12,false)=TRUE,TRUE,FALSE)</f>
        <v>1</v>
      </c>
      <c r="I2578" s="68">
        <v>37.66052106481481</v>
      </c>
      <c r="J2578" s="68">
        <f t="shared" si="1"/>
        <v>37.66052106</v>
      </c>
      <c r="K2578" s="68" t="b">
        <v>1</v>
      </c>
    </row>
    <row r="2579" hidden="1">
      <c r="A2579" s="75">
        <v>2573.0</v>
      </c>
      <c r="B2579" s="62" t="s">
        <v>1306</v>
      </c>
      <c r="C2579" s="62" t="s">
        <v>90</v>
      </c>
      <c r="D2579" s="62" t="s">
        <v>1568</v>
      </c>
      <c r="E2579" s="76">
        <v>44032.0</v>
      </c>
      <c r="F2579" s="77">
        <v>0.03125</v>
      </c>
      <c r="G2579" s="62" t="b">
        <v>0</v>
      </c>
      <c r="H2579" s="78" t="b">
        <f>IF(VLOOKUP(C2579,Projetos!A:L,12,false)=TRUE,TRUE,FALSE)</f>
        <v>1</v>
      </c>
      <c r="I2579" s="68">
        <v>37.66052106481481</v>
      </c>
      <c r="J2579" s="68">
        <f t="shared" si="1"/>
        <v>0</v>
      </c>
      <c r="K2579" s="68" t="b">
        <v>1</v>
      </c>
    </row>
    <row r="2580">
      <c r="A2580" s="75">
        <v>2574.0</v>
      </c>
      <c r="B2580" s="62" t="s">
        <v>1306</v>
      </c>
      <c r="C2580" s="62" t="s">
        <v>90</v>
      </c>
      <c r="D2580" s="62" t="s">
        <v>1580</v>
      </c>
      <c r="E2580" s="76">
        <v>44032.0</v>
      </c>
      <c r="F2580" s="77">
        <v>0.125</v>
      </c>
      <c r="G2580" s="62" t="b">
        <v>1</v>
      </c>
      <c r="H2580" s="78" t="b">
        <f>IF(VLOOKUP(C2580,Projetos!A:L,12,false)=TRUE,TRUE,FALSE)</f>
        <v>1</v>
      </c>
      <c r="I2580" s="68">
        <v>37.66052106481481</v>
      </c>
      <c r="J2580" s="68">
        <f t="shared" si="1"/>
        <v>112.9815632</v>
      </c>
      <c r="K2580" s="68" t="b">
        <v>1</v>
      </c>
    </row>
    <row r="2581">
      <c r="A2581" s="75">
        <v>2575.0</v>
      </c>
      <c r="B2581" s="62" t="s">
        <v>1306</v>
      </c>
      <c r="C2581" s="62" t="s">
        <v>90</v>
      </c>
      <c r="D2581" s="62" t="s">
        <v>1581</v>
      </c>
      <c r="E2581" s="76">
        <v>44033.0</v>
      </c>
      <c r="F2581" s="77">
        <v>0.041666666666666664</v>
      </c>
      <c r="G2581" s="62" t="b">
        <v>1</v>
      </c>
      <c r="H2581" s="78" t="b">
        <f>IF(VLOOKUP(C2581,Projetos!A:L,12,false)=TRUE,TRUE,FALSE)</f>
        <v>1</v>
      </c>
      <c r="I2581" s="68">
        <v>37.66052106481481</v>
      </c>
      <c r="J2581" s="68">
        <f t="shared" si="1"/>
        <v>37.66052106</v>
      </c>
      <c r="K2581" s="68" t="b">
        <v>1</v>
      </c>
    </row>
    <row r="2582">
      <c r="A2582" s="75">
        <v>2576.0</v>
      </c>
      <c r="B2582" s="62" t="s">
        <v>1306</v>
      </c>
      <c r="C2582" s="62" t="s">
        <v>90</v>
      </c>
      <c r="D2582" s="62" t="s">
        <v>1582</v>
      </c>
      <c r="E2582" s="76">
        <v>44034.0</v>
      </c>
      <c r="F2582" s="77">
        <v>0.09375</v>
      </c>
      <c r="G2582" s="62" t="b">
        <v>1</v>
      </c>
      <c r="H2582" s="78" t="b">
        <f>IF(VLOOKUP(C2582,Projetos!A:L,12,false)=TRUE,TRUE,FALSE)</f>
        <v>1</v>
      </c>
      <c r="I2582" s="68">
        <v>37.66052106481481</v>
      </c>
      <c r="J2582" s="68">
        <f t="shared" si="1"/>
        <v>84.7361724</v>
      </c>
      <c r="K2582" s="68" t="b">
        <v>1</v>
      </c>
    </row>
    <row r="2583">
      <c r="A2583" s="75">
        <v>2577.0</v>
      </c>
      <c r="B2583" s="62" t="s">
        <v>1306</v>
      </c>
      <c r="C2583" s="62" t="s">
        <v>90</v>
      </c>
      <c r="D2583" s="62" t="s">
        <v>1583</v>
      </c>
      <c r="E2583" s="76">
        <v>44034.0</v>
      </c>
      <c r="F2583" s="77">
        <v>0.125</v>
      </c>
      <c r="G2583" s="62" t="b">
        <v>1</v>
      </c>
      <c r="H2583" s="78" t="b">
        <f>IF(VLOOKUP(C2583,Projetos!A:L,12,false)=TRUE,TRUE,FALSE)</f>
        <v>1</v>
      </c>
      <c r="I2583" s="68">
        <v>37.66052106481481</v>
      </c>
      <c r="J2583" s="68">
        <f t="shared" si="1"/>
        <v>112.9815632</v>
      </c>
      <c r="K2583" s="68" t="b">
        <v>1</v>
      </c>
    </row>
    <row r="2584">
      <c r="A2584" s="75">
        <v>2578.0</v>
      </c>
      <c r="B2584" s="62" t="s">
        <v>1306</v>
      </c>
      <c r="C2584" s="62" t="s">
        <v>90</v>
      </c>
      <c r="D2584" s="62" t="s">
        <v>1584</v>
      </c>
      <c r="E2584" s="76">
        <v>44035.0</v>
      </c>
      <c r="F2584" s="77">
        <v>0.041666666666666664</v>
      </c>
      <c r="G2584" s="62" t="b">
        <v>1</v>
      </c>
      <c r="H2584" s="78" t="b">
        <f>IF(VLOOKUP(C2584,Projetos!A:L,12,false)=TRUE,TRUE,FALSE)</f>
        <v>1</v>
      </c>
      <c r="I2584" s="68">
        <v>37.66052106481481</v>
      </c>
      <c r="J2584" s="68">
        <f t="shared" si="1"/>
        <v>37.66052106</v>
      </c>
      <c r="K2584" s="68" t="b">
        <v>1</v>
      </c>
    </row>
    <row r="2585">
      <c r="A2585" s="75">
        <v>2579.0</v>
      </c>
      <c r="B2585" s="62" t="s">
        <v>1306</v>
      </c>
      <c r="C2585" s="62" t="s">
        <v>90</v>
      </c>
      <c r="D2585" s="62" t="s">
        <v>1485</v>
      </c>
      <c r="E2585" s="76">
        <v>44035.0</v>
      </c>
      <c r="F2585" s="77">
        <v>0.041666666666666664</v>
      </c>
      <c r="G2585" s="62" t="b">
        <v>1</v>
      </c>
      <c r="H2585" s="78" t="b">
        <f>IF(VLOOKUP(C2585,Projetos!A:L,12,false)=TRUE,TRUE,FALSE)</f>
        <v>1</v>
      </c>
      <c r="I2585" s="68">
        <v>37.66052106481481</v>
      </c>
      <c r="J2585" s="68">
        <f t="shared" si="1"/>
        <v>37.66052106</v>
      </c>
      <c r="K2585" s="68" t="b">
        <v>1</v>
      </c>
    </row>
    <row r="2586">
      <c r="A2586" s="75">
        <v>2580.0</v>
      </c>
      <c r="B2586" s="62" t="s">
        <v>1306</v>
      </c>
      <c r="C2586" s="62" t="s">
        <v>90</v>
      </c>
      <c r="D2586" s="62" t="s">
        <v>1585</v>
      </c>
      <c r="E2586" s="76">
        <v>44035.0</v>
      </c>
      <c r="F2586" s="77">
        <v>0.125</v>
      </c>
      <c r="G2586" s="62" t="b">
        <v>1</v>
      </c>
      <c r="H2586" s="78" t="b">
        <f>IF(VLOOKUP(C2586,Projetos!A:L,12,false)=TRUE,TRUE,FALSE)</f>
        <v>1</v>
      </c>
      <c r="I2586" s="68">
        <v>37.66052106481481</v>
      </c>
      <c r="J2586" s="68">
        <f t="shared" si="1"/>
        <v>112.9815632</v>
      </c>
      <c r="K2586" s="68" t="b">
        <v>1</v>
      </c>
    </row>
    <row r="2587">
      <c r="A2587" s="75">
        <v>2581.0</v>
      </c>
      <c r="B2587" s="62" t="s">
        <v>1306</v>
      </c>
      <c r="C2587" s="62" t="s">
        <v>90</v>
      </c>
      <c r="D2587" s="62" t="s">
        <v>1566</v>
      </c>
      <c r="E2587" s="76">
        <v>44036.0</v>
      </c>
      <c r="F2587" s="77">
        <v>0.020833333333333332</v>
      </c>
      <c r="G2587" s="62" t="b">
        <v>1</v>
      </c>
      <c r="H2587" s="78" t="b">
        <f>IF(VLOOKUP(C2587,Projetos!A:L,12,false)=TRUE,TRUE,FALSE)</f>
        <v>1</v>
      </c>
      <c r="I2587" s="68">
        <v>37.66052106481481</v>
      </c>
      <c r="J2587" s="68">
        <f t="shared" si="1"/>
        <v>18.83026053</v>
      </c>
      <c r="K2587" s="68" t="b">
        <v>1</v>
      </c>
    </row>
    <row r="2588" hidden="1">
      <c r="A2588" s="75">
        <v>2582.0</v>
      </c>
      <c r="B2588" s="62" t="s">
        <v>1306</v>
      </c>
      <c r="C2588" s="62" t="s">
        <v>90</v>
      </c>
      <c r="D2588" s="62" t="s">
        <v>1586</v>
      </c>
      <c r="E2588" s="76">
        <v>44036.0</v>
      </c>
      <c r="F2588" s="77">
        <v>0.041666666666666664</v>
      </c>
      <c r="G2588" s="62" t="b">
        <v>0</v>
      </c>
      <c r="H2588" s="78" t="b">
        <f>IF(VLOOKUP(C2588,Projetos!A:L,12,false)=TRUE,TRUE,FALSE)</f>
        <v>1</v>
      </c>
      <c r="I2588" s="68">
        <v>37.66052106481481</v>
      </c>
      <c r="J2588" s="68">
        <f t="shared" si="1"/>
        <v>0</v>
      </c>
      <c r="K2588" s="68" t="b">
        <v>1</v>
      </c>
    </row>
    <row r="2589">
      <c r="A2589" s="75">
        <v>2583.0</v>
      </c>
      <c r="B2589" s="62" t="s">
        <v>1306</v>
      </c>
      <c r="C2589" s="62" t="s">
        <v>90</v>
      </c>
      <c r="D2589" s="62" t="s">
        <v>1587</v>
      </c>
      <c r="E2589" s="76">
        <v>44039.0</v>
      </c>
      <c r="F2589" s="77">
        <v>0.041666666666666664</v>
      </c>
      <c r="G2589" s="62" t="b">
        <v>1</v>
      </c>
      <c r="H2589" s="78" t="b">
        <f>IF(VLOOKUP(C2589,Projetos!A:L,12,false)=TRUE,TRUE,FALSE)</f>
        <v>1</v>
      </c>
      <c r="I2589" s="68">
        <v>37.66052106481481</v>
      </c>
      <c r="J2589" s="68">
        <f t="shared" si="1"/>
        <v>37.66052106</v>
      </c>
      <c r="K2589" s="68" t="b">
        <v>1</v>
      </c>
    </row>
    <row r="2590">
      <c r="A2590" s="75">
        <v>2584.0</v>
      </c>
      <c r="B2590" s="62" t="s">
        <v>1306</v>
      </c>
      <c r="C2590" s="62" t="s">
        <v>90</v>
      </c>
      <c r="D2590" s="62" t="s">
        <v>1588</v>
      </c>
      <c r="E2590" s="76">
        <v>44040.0</v>
      </c>
      <c r="F2590" s="77">
        <v>0.041666666666666664</v>
      </c>
      <c r="G2590" s="62" t="b">
        <v>1</v>
      </c>
      <c r="H2590" s="78" t="b">
        <f>IF(VLOOKUP(C2590,Projetos!A:L,12,false)=TRUE,TRUE,FALSE)</f>
        <v>1</v>
      </c>
      <c r="I2590" s="68">
        <v>37.66052106481481</v>
      </c>
      <c r="J2590" s="68">
        <f t="shared" si="1"/>
        <v>37.66052106</v>
      </c>
      <c r="K2590" s="68" t="b">
        <v>1</v>
      </c>
    </row>
    <row r="2591">
      <c r="A2591" s="75">
        <v>2585.0</v>
      </c>
      <c r="B2591" s="62" t="s">
        <v>1306</v>
      </c>
      <c r="C2591" s="62" t="s">
        <v>90</v>
      </c>
      <c r="D2591" s="62" t="s">
        <v>1485</v>
      </c>
      <c r="E2591" s="76">
        <v>44040.0</v>
      </c>
      <c r="F2591" s="77">
        <v>0.041666666666666664</v>
      </c>
      <c r="G2591" s="62" t="b">
        <v>1</v>
      </c>
      <c r="H2591" s="78" t="b">
        <f>IF(VLOOKUP(C2591,Projetos!A:L,12,false)=TRUE,TRUE,FALSE)</f>
        <v>1</v>
      </c>
      <c r="I2591" s="68">
        <v>37.66052106481481</v>
      </c>
      <c r="J2591" s="68">
        <f t="shared" si="1"/>
        <v>37.66052106</v>
      </c>
      <c r="K2591" s="68" t="b">
        <v>1</v>
      </c>
    </row>
    <row r="2592">
      <c r="A2592" s="75">
        <v>2586.0</v>
      </c>
      <c r="B2592" s="62" t="s">
        <v>1306</v>
      </c>
      <c r="C2592" s="62" t="s">
        <v>90</v>
      </c>
      <c r="D2592" s="62" t="s">
        <v>1589</v>
      </c>
      <c r="E2592" s="76">
        <v>44040.0</v>
      </c>
      <c r="F2592" s="77">
        <v>0.15625</v>
      </c>
      <c r="G2592" s="62" t="b">
        <v>1</v>
      </c>
      <c r="H2592" s="78" t="b">
        <f>IF(VLOOKUP(C2592,Projetos!A:L,12,false)=TRUE,TRUE,FALSE)</f>
        <v>1</v>
      </c>
      <c r="I2592" s="68">
        <v>37.66052106481481</v>
      </c>
      <c r="J2592" s="68">
        <f t="shared" si="1"/>
        <v>141.226954</v>
      </c>
      <c r="K2592" s="68" t="b">
        <v>1</v>
      </c>
    </row>
    <row r="2593">
      <c r="A2593" s="75">
        <v>2587.0</v>
      </c>
      <c r="B2593" s="62" t="s">
        <v>1306</v>
      </c>
      <c r="C2593" s="62" t="s">
        <v>90</v>
      </c>
      <c r="D2593" s="62" t="s">
        <v>1590</v>
      </c>
      <c r="E2593" s="76">
        <v>44041.0</v>
      </c>
      <c r="F2593" s="77">
        <v>0.16666666666666666</v>
      </c>
      <c r="G2593" s="62" t="b">
        <v>1</v>
      </c>
      <c r="H2593" s="78" t="b">
        <f>IF(VLOOKUP(C2593,Projetos!A:L,12,false)=TRUE,TRUE,FALSE)</f>
        <v>1</v>
      </c>
      <c r="I2593" s="68">
        <v>37.66052106481481</v>
      </c>
      <c r="J2593" s="68">
        <f t="shared" si="1"/>
        <v>150.6420843</v>
      </c>
      <c r="K2593" s="68" t="b">
        <v>1</v>
      </c>
    </row>
    <row r="2594">
      <c r="A2594" s="75">
        <v>2588.0</v>
      </c>
      <c r="B2594" s="62" t="s">
        <v>1306</v>
      </c>
      <c r="C2594" s="62" t="s">
        <v>90</v>
      </c>
      <c r="D2594" s="62" t="s">
        <v>1591</v>
      </c>
      <c r="E2594" s="76">
        <v>44042.0</v>
      </c>
      <c r="F2594" s="77">
        <v>0.125</v>
      </c>
      <c r="G2594" s="62" t="b">
        <v>1</v>
      </c>
      <c r="H2594" s="78" t="b">
        <f>IF(VLOOKUP(C2594,Projetos!A:L,12,false)=TRUE,TRUE,FALSE)</f>
        <v>1</v>
      </c>
      <c r="I2594" s="68">
        <v>37.66052106481481</v>
      </c>
      <c r="J2594" s="68">
        <f t="shared" si="1"/>
        <v>112.9815632</v>
      </c>
      <c r="K2594" s="68" t="b">
        <v>1</v>
      </c>
    </row>
    <row r="2595" hidden="1">
      <c r="A2595" s="75">
        <v>2589.0</v>
      </c>
      <c r="B2595" s="62" t="s">
        <v>1306</v>
      </c>
      <c r="C2595" s="62" t="s">
        <v>90</v>
      </c>
      <c r="D2595" s="62" t="s">
        <v>1568</v>
      </c>
      <c r="E2595" s="76">
        <v>44042.0</v>
      </c>
      <c r="F2595" s="77">
        <v>0.041666666666666664</v>
      </c>
      <c r="G2595" s="62" t="b">
        <v>0</v>
      </c>
      <c r="H2595" s="78" t="b">
        <f>IF(VLOOKUP(C2595,Projetos!A:L,12,false)=TRUE,TRUE,FALSE)</f>
        <v>1</v>
      </c>
      <c r="I2595" s="68">
        <v>37.66052106481481</v>
      </c>
      <c r="J2595" s="68">
        <f t="shared" si="1"/>
        <v>0</v>
      </c>
      <c r="K2595" s="68" t="b">
        <v>1</v>
      </c>
    </row>
    <row r="2596" hidden="1">
      <c r="A2596" s="75">
        <v>2590.0</v>
      </c>
      <c r="B2596" s="62" t="s">
        <v>1306</v>
      </c>
      <c r="C2596" s="62" t="s">
        <v>90</v>
      </c>
      <c r="D2596" s="62" t="s">
        <v>1592</v>
      </c>
      <c r="E2596" s="76">
        <v>44043.0</v>
      </c>
      <c r="F2596" s="77">
        <v>0.0625</v>
      </c>
      <c r="G2596" s="62" t="b">
        <v>0</v>
      </c>
      <c r="H2596" s="78" t="b">
        <f>IF(VLOOKUP(C2596,Projetos!A:L,12,false)=TRUE,TRUE,FALSE)</f>
        <v>1</v>
      </c>
      <c r="I2596" s="68">
        <v>37.66052106481481</v>
      </c>
      <c r="J2596" s="68">
        <f t="shared" si="1"/>
        <v>0</v>
      </c>
      <c r="K2596" s="68" t="b">
        <v>1</v>
      </c>
    </row>
    <row r="2597">
      <c r="A2597" s="75">
        <v>2591.0</v>
      </c>
      <c r="B2597" s="62" t="s">
        <v>1306</v>
      </c>
      <c r="C2597" s="62" t="s">
        <v>90</v>
      </c>
      <c r="D2597" s="62" t="s">
        <v>1593</v>
      </c>
      <c r="E2597" s="76">
        <v>44043.0</v>
      </c>
      <c r="F2597" s="77">
        <v>0.10416666666666667</v>
      </c>
      <c r="G2597" s="62" t="b">
        <v>1</v>
      </c>
      <c r="H2597" s="78" t="b">
        <f>IF(VLOOKUP(C2597,Projetos!A:L,12,false)=TRUE,TRUE,FALSE)</f>
        <v>1</v>
      </c>
      <c r="I2597" s="68">
        <v>37.66052106481481</v>
      </c>
      <c r="J2597" s="68">
        <f t="shared" si="1"/>
        <v>94.15130266</v>
      </c>
      <c r="K2597" s="68" t="b">
        <v>1</v>
      </c>
    </row>
    <row r="2598">
      <c r="A2598" s="75">
        <v>2592.0</v>
      </c>
      <c r="B2598" s="62" t="s">
        <v>1306</v>
      </c>
      <c r="C2598" s="62" t="s">
        <v>97</v>
      </c>
      <c r="D2598" s="62" t="s">
        <v>1594</v>
      </c>
      <c r="E2598" s="76">
        <v>44018.0</v>
      </c>
      <c r="F2598" s="77">
        <v>0.08333333333333333</v>
      </c>
      <c r="G2598" s="62" t="b">
        <v>1</v>
      </c>
      <c r="H2598" s="78" t="b">
        <f>IF(VLOOKUP(C2598,Projetos!A:L,12,false)=TRUE,TRUE,FALSE)</f>
        <v>1</v>
      </c>
      <c r="I2598" s="68">
        <v>37.66052106481481</v>
      </c>
      <c r="J2598" s="68">
        <f t="shared" si="1"/>
        <v>75.32104213</v>
      </c>
      <c r="K2598" s="68" t="b">
        <v>1</v>
      </c>
    </row>
    <row r="2599">
      <c r="A2599" s="75">
        <v>2593.0</v>
      </c>
      <c r="B2599" s="62" t="s">
        <v>1306</v>
      </c>
      <c r="C2599" s="62" t="s">
        <v>97</v>
      </c>
      <c r="D2599" s="62" t="s">
        <v>1595</v>
      </c>
      <c r="E2599" s="76">
        <v>44026.0</v>
      </c>
      <c r="F2599" s="77">
        <v>0.0625</v>
      </c>
      <c r="G2599" s="62" t="b">
        <v>1</v>
      </c>
      <c r="H2599" s="78" t="b">
        <f>IF(VLOOKUP(C2599,Projetos!A:L,12,false)=TRUE,TRUE,FALSE)</f>
        <v>1</v>
      </c>
      <c r="I2599" s="68">
        <v>37.66052106481481</v>
      </c>
      <c r="J2599" s="68">
        <f t="shared" si="1"/>
        <v>56.4907816</v>
      </c>
      <c r="K2599" s="68" t="b">
        <v>1</v>
      </c>
    </row>
    <row r="2600">
      <c r="A2600" s="75">
        <v>2594.0</v>
      </c>
      <c r="B2600" s="62" t="s">
        <v>1306</v>
      </c>
      <c r="C2600" s="62" t="s">
        <v>97</v>
      </c>
      <c r="D2600" s="62" t="s">
        <v>1595</v>
      </c>
      <c r="E2600" s="76">
        <v>44027.0</v>
      </c>
      <c r="F2600" s="77">
        <v>0.125</v>
      </c>
      <c r="G2600" s="62" t="b">
        <v>1</v>
      </c>
      <c r="H2600" s="78" t="b">
        <f>IF(VLOOKUP(C2600,Projetos!A:L,12,false)=TRUE,TRUE,FALSE)</f>
        <v>1</v>
      </c>
      <c r="I2600" s="68">
        <v>37.66052106481481</v>
      </c>
      <c r="J2600" s="68">
        <f t="shared" si="1"/>
        <v>112.9815632</v>
      </c>
      <c r="K2600" s="68" t="b">
        <v>1</v>
      </c>
    </row>
    <row r="2601">
      <c r="A2601" s="75">
        <v>2595.0</v>
      </c>
      <c r="B2601" s="62" t="s">
        <v>1306</v>
      </c>
      <c r="C2601" s="62" t="s">
        <v>97</v>
      </c>
      <c r="D2601" s="62" t="s">
        <v>1596</v>
      </c>
      <c r="E2601" s="76">
        <v>44036.0</v>
      </c>
      <c r="F2601" s="77">
        <v>0.041666666666666664</v>
      </c>
      <c r="G2601" s="62" t="b">
        <v>1</v>
      </c>
      <c r="H2601" s="78" t="b">
        <f>IF(VLOOKUP(C2601,Projetos!A:L,12,false)=TRUE,TRUE,FALSE)</f>
        <v>1</v>
      </c>
      <c r="I2601" s="68">
        <v>37.66052106481481</v>
      </c>
      <c r="J2601" s="68">
        <f t="shared" si="1"/>
        <v>37.66052106</v>
      </c>
      <c r="K2601" s="68" t="b">
        <v>1</v>
      </c>
    </row>
    <row r="2602">
      <c r="A2602" s="75">
        <v>2596.0</v>
      </c>
      <c r="B2602" s="62" t="s">
        <v>1306</v>
      </c>
      <c r="C2602" s="62" t="s">
        <v>98</v>
      </c>
      <c r="D2602" s="62" t="s">
        <v>1485</v>
      </c>
      <c r="E2602" s="76">
        <v>44013.0</v>
      </c>
      <c r="F2602" s="77">
        <v>0.08333333333333333</v>
      </c>
      <c r="G2602" s="62" t="b">
        <v>1</v>
      </c>
      <c r="H2602" s="78" t="b">
        <f>IF(VLOOKUP(C2602,Projetos!A:L,12,false)=TRUE,TRUE,FALSE)</f>
        <v>1</v>
      </c>
      <c r="I2602" s="68">
        <v>37.66052106481481</v>
      </c>
      <c r="J2602" s="68">
        <f t="shared" si="1"/>
        <v>75.32104213</v>
      </c>
      <c r="K2602" s="68" t="b">
        <v>1</v>
      </c>
    </row>
    <row r="2603">
      <c r="A2603" s="75">
        <v>2597.0</v>
      </c>
      <c r="B2603" s="62" t="s">
        <v>1306</v>
      </c>
      <c r="C2603" s="62" t="s">
        <v>100</v>
      </c>
      <c r="D2603" s="62" t="s">
        <v>1597</v>
      </c>
      <c r="E2603" s="76">
        <v>44020.0</v>
      </c>
      <c r="F2603" s="77">
        <v>0.041666666666666664</v>
      </c>
      <c r="G2603" s="62" t="b">
        <v>1</v>
      </c>
      <c r="H2603" s="78" t="b">
        <f>IF(VLOOKUP(C2603,Projetos!A:L,12,false)=TRUE,TRUE,FALSE)</f>
        <v>1</v>
      </c>
      <c r="I2603" s="68">
        <v>37.66052106481481</v>
      </c>
      <c r="J2603" s="68">
        <f t="shared" si="1"/>
        <v>37.66052106</v>
      </c>
      <c r="K2603" s="68" t="b">
        <v>1</v>
      </c>
    </row>
    <row r="2604">
      <c r="A2604" s="75">
        <v>2598.0</v>
      </c>
      <c r="B2604" s="62" t="s">
        <v>1306</v>
      </c>
      <c r="C2604" s="62" t="s">
        <v>100</v>
      </c>
      <c r="D2604" s="62" t="s">
        <v>1598</v>
      </c>
      <c r="E2604" s="76">
        <v>44028.0</v>
      </c>
      <c r="F2604" s="77">
        <v>0.0625</v>
      </c>
      <c r="G2604" s="62" t="b">
        <v>1</v>
      </c>
      <c r="H2604" s="78" t="b">
        <f>IF(VLOOKUP(C2604,Projetos!A:L,12,false)=TRUE,TRUE,FALSE)</f>
        <v>1</v>
      </c>
      <c r="I2604" s="68">
        <v>37.66052106481481</v>
      </c>
      <c r="J2604" s="68">
        <f t="shared" si="1"/>
        <v>56.4907816</v>
      </c>
      <c r="K2604" s="68" t="b">
        <v>1</v>
      </c>
    </row>
    <row r="2605">
      <c r="A2605" s="75">
        <v>2599.0</v>
      </c>
      <c r="B2605" s="62" t="s">
        <v>1306</v>
      </c>
      <c r="C2605" s="62" t="s">
        <v>100</v>
      </c>
      <c r="D2605" s="62" t="s">
        <v>1599</v>
      </c>
      <c r="E2605" s="76">
        <v>44043.0</v>
      </c>
      <c r="F2605" s="77">
        <v>0.020833333333333332</v>
      </c>
      <c r="G2605" s="62" t="b">
        <v>1</v>
      </c>
      <c r="H2605" s="78" t="b">
        <f>IF(VLOOKUP(C2605,Projetos!A:L,12,false)=TRUE,TRUE,FALSE)</f>
        <v>1</v>
      </c>
      <c r="I2605" s="68">
        <v>37.66052106481481</v>
      </c>
      <c r="J2605" s="68">
        <f t="shared" si="1"/>
        <v>18.83026053</v>
      </c>
      <c r="K2605" s="68" t="b">
        <v>1</v>
      </c>
    </row>
    <row r="2606" hidden="1">
      <c r="A2606" s="75">
        <v>2600.0</v>
      </c>
      <c r="B2606" s="62" t="s">
        <v>1306</v>
      </c>
      <c r="C2606" s="62" t="s">
        <v>102</v>
      </c>
      <c r="D2606" s="62" t="s">
        <v>1600</v>
      </c>
      <c r="E2606" s="76">
        <v>44021.0</v>
      </c>
      <c r="F2606" s="77">
        <v>0.041666666666666664</v>
      </c>
      <c r="G2606" s="62" t="b">
        <v>0</v>
      </c>
      <c r="H2606" s="78" t="b">
        <f>IF(VLOOKUP(C2606,Projetos!A:L,12,false)=TRUE,TRUE,FALSE)</f>
        <v>0</v>
      </c>
      <c r="I2606" s="68">
        <v>37.66052106481481</v>
      </c>
      <c r="J2606" s="68">
        <f t="shared" si="1"/>
        <v>0</v>
      </c>
      <c r="K2606" s="68" t="b">
        <v>0</v>
      </c>
    </row>
    <row r="2607" hidden="1">
      <c r="A2607" s="75">
        <v>2601.0</v>
      </c>
      <c r="B2607" s="62" t="s">
        <v>1306</v>
      </c>
      <c r="C2607" s="62" t="s">
        <v>102</v>
      </c>
      <c r="D2607" s="62" t="s">
        <v>1601</v>
      </c>
      <c r="E2607" s="76">
        <v>44036.0</v>
      </c>
      <c r="F2607" s="77">
        <v>0.10416666666666667</v>
      </c>
      <c r="G2607" s="62" t="b">
        <v>0</v>
      </c>
      <c r="H2607" s="78" t="b">
        <f>IF(VLOOKUP(C2607,Projetos!A:L,12,false)=TRUE,TRUE,FALSE)</f>
        <v>0</v>
      </c>
      <c r="I2607" s="68">
        <v>37.66052106481481</v>
      </c>
      <c r="J2607" s="68">
        <f t="shared" si="1"/>
        <v>0</v>
      </c>
      <c r="K2607" s="68" t="b">
        <v>0</v>
      </c>
    </row>
    <row r="2608" hidden="1">
      <c r="A2608" s="75">
        <v>2602.0</v>
      </c>
      <c r="B2608" s="62" t="s">
        <v>1306</v>
      </c>
      <c r="C2608" s="62" t="s">
        <v>102</v>
      </c>
      <c r="D2608" s="62" t="s">
        <v>1601</v>
      </c>
      <c r="E2608" s="76">
        <v>44043.0</v>
      </c>
      <c r="F2608" s="77">
        <v>0.10416666666666667</v>
      </c>
      <c r="G2608" s="62" t="b">
        <v>0</v>
      </c>
      <c r="H2608" s="78" t="b">
        <f>IF(VLOOKUP(C2608,Projetos!A:L,12,false)=TRUE,TRUE,FALSE)</f>
        <v>0</v>
      </c>
      <c r="I2608" s="68">
        <v>37.66052106481481</v>
      </c>
      <c r="J2608" s="68">
        <f t="shared" si="1"/>
        <v>0</v>
      </c>
      <c r="K2608" s="68" t="b">
        <v>0</v>
      </c>
    </row>
    <row r="2609">
      <c r="A2609" s="75">
        <v>2603.0</v>
      </c>
      <c r="B2609" s="62" t="s">
        <v>1306</v>
      </c>
      <c r="C2609" s="62" t="s">
        <v>103</v>
      </c>
      <c r="D2609" s="62" t="s">
        <v>1602</v>
      </c>
      <c r="E2609" s="76">
        <v>44032.0</v>
      </c>
      <c r="F2609" s="77">
        <v>0.041666666666666664</v>
      </c>
      <c r="G2609" s="62" t="b">
        <v>1</v>
      </c>
      <c r="H2609" s="78" t="b">
        <f>IF(VLOOKUP(C2609,Projetos!A:L,12,false)=TRUE,TRUE,FALSE)</f>
        <v>1</v>
      </c>
      <c r="I2609" s="68">
        <v>37.66052106481481</v>
      </c>
      <c r="J2609" s="68">
        <f t="shared" si="1"/>
        <v>37.66052106</v>
      </c>
      <c r="K2609" s="68" t="b">
        <v>1</v>
      </c>
    </row>
    <row r="2610">
      <c r="A2610" s="75">
        <v>2604.0</v>
      </c>
      <c r="B2610" s="62" t="s">
        <v>1306</v>
      </c>
      <c r="C2610" s="62" t="s">
        <v>103</v>
      </c>
      <c r="D2610" s="62" t="s">
        <v>1603</v>
      </c>
      <c r="E2610" s="76">
        <v>44033.0</v>
      </c>
      <c r="F2610" s="77">
        <v>0.052083333333333336</v>
      </c>
      <c r="G2610" s="62" t="b">
        <v>1</v>
      </c>
      <c r="H2610" s="78" t="b">
        <f>IF(VLOOKUP(C2610,Projetos!A:L,12,false)=TRUE,TRUE,FALSE)</f>
        <v>1</v>
      </c>
      <c r="I2610" s="68">
        <v>37.66052106481481</v>
      </c>
      <c r="J2610" s="68">
        <f t="shared" si="1"/>
        <v>47.07565133</v>
      </c>
      <c r="K2610" s="68" t="b">
        <v>1</v>
      </c>
    </row>
    <row r="2611">
      <c r="A2611" s="75">
        <v>2605.0</v>
      </c>
      <c r="B2611" s="62" t="s">
        <v>1306</v>
      </c>
      <c r="C2611" s="62" t="s">
        <v>103</v>
      </c>
      <c r="D2611" s="62" t="s">
        <v>1604</v>
      </c>
      <c r="E2611" s="76">
        <v>44039.0</v>
      </c>
      <c r="F2611" s="77">
        <v>0.020833333333333332</v>
      </c>
      <c r="G2611" s="62" t="b">
        <v>1</v>
      </c>
      <c r="H2611" s="78" t="b">
        <f>IF(VLOOKUP(C2611,Projetos!A:L,12,false)=TRUE,TRUE,FALSE)</f>
        <v>1</v>
      </c>
      <c r="I2611" s="68">
        <v>37.66052106481481</v>
      </c>
      <c r="J2611" s="68">
        <f t="shared" si="1"/>
        <v>18.83026053</v>
      </c>
      <c r="K2611" s="68" t="b">
        <v>1</v>
      </c>
    </row>
    <row r="2612">
      <c r="A2612" s="75">
        <v>2606.0</v>
      </c>
      <c r="B2612" s="62" t="s">
        <v>1306</v>
      </c>
      <c r="C2612" s="62" t="s">
        <v>104</v>
      </c>
      <c r="D2612" s="62" t="s">
        <v>1605</v>
      </c>
      <c r="E2612" s="76">
        <v>44019.0</v>
      </c>
      <c r="F2612" s="77">
        <v>0.041666666666666664</v>
      </c>
      <c r="G2612" s="62" t="b">
        <v>1</v>
      </c>
      <c r="H2612" s="78" t="b">
        <f>IF(VLOOKUP(C2612,Projetos!A:L,12,false)=TRUE,TRUE,FALSE)</f>
        <v>1</v>
      </c>
      <c r="I2612" s="68">
        <v>37.66052106481481</v>
      </c>
      <c r="J2612" s="68">
        <f t="shared" si="1"/>
        <v>37.66052106</v>
      </c>
      <c r="K2612" s="68" t="b">
        <v>1</v>
      </c>
    </row>
    <row r="2613">
      <c r="A2613" s="75">
        <v>2607.0</v>
      </c>
      <c r="B2613" s="62" t="s">
        <v>1306</v>
      </c>
      <c r="C2613" s="62" t="s">
        <v>104</v>
      </c>
      <c r="D2613" s="62" t="s">
        <v>1346</v>
      </c>
      <c r="E2613" s="76">
        <v>44019.0</v>
      </c>
      <c r="F2613" s="77">
        <v>0.041666666666666664</v>
      </c>
      <c r="G2613" s="62" t="b">
        <v>1</v>
      </c>
      <c r="H2613" s="78" t="b">
        <f>IF(VLOOKUP(C2613,Projetos!A:L,12,false)=TRUE,TRUE,FALSE)</f>
        <v>1</v>
      </c>
      <c r="I2613" s="68">
        <v>37.66052106481481</v>
      </c>
      <c r="J2613" s="68">
        <f t="shared" si="1"/>
        <v>37.66052106</v>
      </c>
      <c r="K2613" s="68" t="b">
        <v>1</v>
      </c>
    </row>
    <row r="2614" hidden="1">
      <c r="A2614" s="75">
        <v>2608.0</v>
      </c>
      <c r="B2614" s="62" t="s">
        <v>1306</v>
      </c>
      <c r="C2614" s="62" t="s">
        <v>104</v>
      </c>
      <c r="D2614" s="62" t="s">
        <v>1562</v>
      </c>
      <c r="E2614" s="76">
        <v>44022.0</v>
      </c>
      <c r="F2614" s="77">
        <v>0.11458333333333333</v>
      </c>
      <c r="G2614" s="62" t="b">
        <v>0</v>
      </c>
      <c r="H2614" s="78" t="b">
        <f>IF(VLOOKUP(C2614,Projetos!A:L,12,false)=TRUE,TRUE,FALSE)</f>
        <v>1</v>
      </c>
      <c r="I2614" s="68">
        <v>37.66052106481481</v>
      </c>
      <c r="J2614" s="68">
        <f t="shared" si="1"/>
        <v>0</v>
      </c>
      <c r="K2614" s="68" t="b">
        <v>1</v>
      </c>
    </row>
    <row r="2615">
      <c r="A2615" s="75">
        <v>2609.0</v>
      </c>
      <c r="B2615" s="62" t="s">
        <v>1306</v>
      </c>
      <c r="C2615" s="62" t="s">
        <v>104</v>
      </c>
      <c r="D2615" s="62" t="s">
        <v>1495</v>
      </c>
      <c r="E2615" s="76">
        <v>44025.0</v>
      </c>
      <c r="F2615" s="77">
        <v>0.0625</v>
      </c>
      <c r="G2615" s="62" t="b">
        <v>1</v>
      </c>
      <c r="H2615" s="78" t="b">
        <f>IF(VLOOKUP(C2615,Projetos!A:L,12,false)=TRUE,TRUE,FALSE)</f>
        <v>1</v>
      </c>
      <c r="I2615" s="68">
        <v>37.66052106481481</v>
      </c>
      <c r="J2615" s="68">
        <f t="shared" si="1"/>
        <v>56.4907816</v>
      </c>
      <c r="K2615" s="68" t="b">
        <v>1</v>
      </c>
    </row>
    <row r="2616">
      <c r="A2616" s="75">
        <v>2610.0</v>
      </c>
      <c r="B2616" s="62" t="s">
        <v>1306</v>
      </c>
      <c r="C2616" s="62" t="s">
        <v>104</v>
      </c>
      <c r="D2616" s="62" t="s">
        <v>1606</v>
      </c>
      <c r="E2616" s="76">
        <v>44025.0</v>
      </c>
      <c r="F2616" s="77">
        <v>0.041666666666666664</v>
      </c>
      <c r="G2616" s="62" t="b">
        <v>1</v>
      </c>
      <c r="H2616" s="78" t="b">
        <f>IF(VLOOKUP(C2616,Projetos!A:L,12,false)=TRUE,TRUE,FALSE)</f>
        <v>1</v>
      </c>
      <c r="I2616" s="68">
        <v>37.66052106481481</v>
      </c>
      <c r="J2616" s="68">
        <f t="shared" si="1"/>
        <v>37.66052106</v>
      </c>
      <c r="K2616" s="68" t="b">
        <v>1</v>
      </c>
    </row>
    <row r="2617">
      <c r="A2617" s="75">
        <v>2611.0</v>
      </c>
      <c r="B2617" s="62" t="s">
        <v>1306</v>
      </c>
      <c r="C2617" s="62" t="s">
        <v>104</v>
      </c>
      <c r="D2617" s="62" t="s">
        <v>1561</v>
      </c>
      <c r="E2617" s="76">
        <v>44026.0</v>
      </c>
      <c r="F2617" s="77">
        <v>0.0625</v>
      </c>
      <c r="G2617" s="62" t="b">
        <v>1</v>
      </c>
      <c r="H2617" s="78" t="b">
        <f>IF(VLOOKUP(C2617,Projetos!A:L,12,false)=TRUE,TRUE,FALSE)</f>
        <v>1</v>
      </c>
      <c r="I2617" s="68">
        <v>37.66052106481481</v>
      </c>
      <c r="J2617" s="68">
        <f t="shared" si="1"/>
        <v>56.4907816</v>
      </c>
      <c r="K2617" s="68" t="b">
        <v>1</v>
      </c>
    </row>
    <row r="2618">
      <c r="A2618" s="75">
        <v>2612.0</v>
      </c>
      <c r="B2618" s="62" t="s">
        <v>1306</v>
      </c>
      <c r="C2618" s="62" t="s">
        <v>104</v>
      </c>
      <c r="D2618" s="62" t="s">
        <v>1607</v>
      </c>
      <c r="E2618" s="76">
        <v>44042.0</v>
      </c>
      <c r="F2618" s="77">
        <v>0.020833333333333332</v>
      </c>
      <c r="G2618" s="62" t="b">
        <v>1</v>
      </c>
      <c r="H2618" s="78" t="b">
        <f>IF(VLOOKUP(C2618,Projetos!A:L,12,false)=TRUE,TRUE,FALSE)</f>
        <v>1</v>
      </c>
      <c r="I2618" s="68">
        <v>37.66052106481481</v>
      </c>
      <c r="J2618" s="68">
        <f t="shared" si="1"/>
        <v>18.83026053</v>
      </c>
      <c r="K2618" s="68" t="b">
        <v>1</v>
      </c>
    </row>
    <row r="2619">
      <c r="A2619" s="75">
        <v>2613.0</v>
      </c>
      <c r="B2619" s="62" t="s">
        <v>1306</v>
      </c>
      <c r="C2619" s="62" t="s">
        <v>105</v>
      </c>
      <c r="D2619" s="62" t="s">
        <v>1608</v>
      </c>
      <c r="E2619" s="76">
        <v>44015.0</v>
      </c>
      <c r="F2619" s="77">
        <v>0.10416666666666667</v>
      </c>
      <c r="G2619" s="62" t="b">
        <v>1</v>
      </c>
      <c r="H2619" s="78" t="b">
        <f>IF(VLOOKUP(C2619,Projetos!A:L,12,false)=TRUE,TRUE,FALSE)</f>
        <v>1</v>
      </c>
      <c r="I2619" s="68">
        <v>37.66052106481481</v>
      </c>
      <c r="J2619" s="68">
        <f t="shared" si="1"/>
        <v>94.15130266</v>
      </c>
      <c r="K2619" s="68" t="b">
        <v>1</v>
      </c>
    </row>
    <row r="2620">
      <c r="A2620" s="75">
        <v>2614.0</v>
      </c>
      <c r="B2620" s="62" t="s">
        <v>1306</v>
      </c>
      <c r="C2620" s="62" t="s">
        <v>105</v>
      </c>
      <c r="D2620" s="62" t="s">
        <v>1609</v>
      </c>
      <c r="E2620" s="76">
        <v>44032.0</v>
      </c>
      <c r="F2620" s="77">
        <v>0.0625</v>
      </c>
      <c r="G2620" s="62" t="b">
        <v>1</v>
      </c>
      <c r="H2620" s="78" t="b">
        <f>IF(VLOOKUP(C2620,Projetos!A:L,12,false)=TRUE,TRUE,FALSE)</f>
        <v>1</v>
      </c>
      <c r="I2620" s="68">
        <v>37.66052106481481</v>
      </c>
      <c r="J2620" s="68">
        <f t="shared" si="1"/>
        <v>56.4907816</v>
      </c>
      <c r="K2620" s="68" t="b">
        <v>1</v>
      </c>
    </row>
    <row r="2621">
      <c r="A2621" s="75">
        <v>2615.0</v>
      </c>
      <c r="B2621" s="62" t="s">
        <v>1306</v>
      </c>
      <c r="C2621" s="62" t="s">
        <v>105</v>
      </c>
      <c r="D2621" s="62" t="s">
        <v>1610</v>
      </c>
      <c r="E2621" s="76">
        <v>44032.0</v>
      </c>
      <c r="F2621" s="77">
        <v>0.10416666666666667</v>
      </c>
      <c r="G2621" s="62" t="b">
        <v>1</v>
      </c>
      <c r="H2621" s="78" t="b">
        <f>IF(VLOOKUP(C2621,Projetos!A:L,12,false)=TRUE,TRUE,FALSE)</f>
        <v>1</v>
      </c>
      <c r="I2621" s="68">
        <v>37.66052106481481</v>
      </c>
      <c r="J2621" s="68">
        <f t="shared" si="1"/>
        <v>94.15130266</v>
      </c>
      <c r="K2621" s="68" t="b">
        <v>1</v>
      </c>
    </row>
    <row r="2622">
      <c r="A2622" s="75">
        <v>2616.0</v>
      </c>
      <c r="B2622" s="62" t="s">
        <v>1306</v>
      </c>
      <c r="C2622" s="62" t="s">
        <v>105</v>
      </c>
      <c r="D2622" s="62" t="s">
        <v>1611</v>
      </c>
      <c r="E2622" s="76">
        <v>44033.0</v>
      </c>
      <c r="F2622" s="77">
        <v>0.0625</v>
      </c>
      <c r="G2622" s="62" t="b">
        <v>1</v>
      </c>
      <c r="H2622" s="78" t="b">
        <f>IF(VLOOKUP(C2622,Projetos!A:L,12,false)=TRUE,TRUE,FALSE)</f>
        <v>1</v>
      </c>
      <c r="I2622" s="68">
        <v>37.66052106481481</v>
      </c>
      <c r="J2622" s="68">
        <f t="shared" si="1"/>
        <v>56.4907816</v>
      </c>
      <c r="K2622" s="68" t="b">
        <v>1</v>
      </c>
    </row>
    <row r="2623">
      <c r="A2623" s="75">
        <v>2617.0</v>
      </c>
      <c r="B2623" s="62" t="s">
        <v>1306</v>
      </c>
      <c r="C2623" s="62" t="s">
        <v>105</v>
      </c>
      <c r="D2623" s="62" t="s">
        <v>1612</v>
      </c>
      <c r="E2623" s="76">
        <v>44033.0</v>
      </c>
      <c r="F2623" s="77">
        <v>0.08333333333333333</v>
      </c>
      <c r="G2623" s="62" t="b">
        <v>1</v>
      </c>
      <c r="H2623" s="78" t="b">
        <f>IF(VLOOKUP(C2623,Projetos!A:L,12,false)=TRUE,TRUE,FALSE)</f>
        <v>1</v>
      </c>
      <c r="I2623" s="68">
        <v>37.66052106481481</v>
      </c>
      <c r="J2623" s="68">
        <f t="shared" si="1"/>
        <v>75.32104213</v>
      </c>
      <c r="K2623" s="68" t="b">
        <v>1</v>
      </c>
    </row>
    <row r="2624">
      <c r="A2624" s="75">
        <v>2618.0</v>
      </c>
      <c r="B2624" s="62" t="s">
        <v>1306</v>
      </c>
      <c r="C2624" s="62" t="s">
        <v>105</v>
      </c>
      <c r="D2624" s="62" t="s">
        <v>1613</v>
      </c>
      <c r="E2624" s="76">
        <v>44034.0</v>
      </c>
      <c r="F2624" s="77">
        <v>0.14583333333333334</v>
      </c>
      <c r="G2624" s="62" t="b">
        <v>1</v>
      </c>
      <c r="H2624" s="78" t="b">
        <f>IF(VLOOKUP(C2624,Projetos!A:L,12,false)=TRUE,TRUE,FALSE)</f>
        <v>1</v>
      </c>
      <c r="I2624" s="68">
        <v>37.66052106481481</v>
      </c>
      <c r="J2624" s="68">
        <f t="shared" si="1"/>
        <v>131.8118237</v>
      </c>
      <c r="K2624" s="68" t="b">
        <v>1</v>
      </c>
    </row>
    <row r="2625" hidden="1">
      <c r="A2625" s="75">
        <v>2619.0</v>
      </c>
      <c r="B2625" s="62" t="s">
        <v>1306</v>
      </c>
      <c r="C2625" s="62" t="s">
        <v>108</v>
      </c>
      <c r="D2625" s="62" t="s">
        <v>419</v>
      </c>
      <c r="E2625" s="76">
        <v>44014.0</v>
      </c>
      <c r="F2625" s="77">
        <v>0.041666666666666664</v>
      </c>
      <c r="G2625" s="62" t="b">
        <v>0</v>
      </c>
      <c r="H2625" s="78" t="b">
        <f>IF(VLOOKUP(C2625,Projetos!A:L,12,false)=TRUE,TRUE,FALSE)</f>
        <v>1</v>
      </c>
      <c r="I2625" s="68">
        <v>37.66052106481481</v>
      </c>
      <c r="J2625" s="68">
        <f t="shared" si="1"/>
        <v>0</v>
      </c>
      <c r="K2625" s="68" t="b">
        <v>1</v>
      </c>
    </row>
    <row r="2626" hidden="1">
      <c r="A2626" s="75">
        <v>2620.0</v>
      </c>
      <c r="B2626" s="62" t="s">
        <v>1306</v>
      </c>
      <c r="C2626" s="62" t="s">
        <v>108</v>
      </c>
      <c r="D2626" s="62" t="s">
        <v>1614</v>
      </c>
      <c r="E2626" s="76">
        <v>44015.0</v>
      </c>
      <c r="F2626" s="77">
        <v>0.041666666666666664</v>
      </c>
      <c r="G2626" s="62" t="b">
        <v>0</v>
      </c>
      <c r="H2626" s="78" t="b">
        <f>IF(VLOOKUP(C2626,Projetos!A:L,12,false)=TRUE,TRUE,FALSE)</f>
        <v>1</v>
      </c>
      <c r="I2626" s="68">
        <v>37.66052106481481</v>
      </c>
      <c r="J2626" s="68">
        <f t="shared" si="1"/>
        <v>0</v>
      </c>
      <c r="K2626" s="68" t="b">
        <v>1</v>
      </c>
    </row>
    <row r="2627" hidden="1">
      <c r="A2627" s="75">
        <v>2621.0</v>
      </c>
      <c r="B2627" s="62" t="s">
        <v>1306</v>
      </c>
      <c r="C2627" s="62" t="s">
        <v>108</v>
      </c>
      <c r="D2627" s="62" t="s">
        <v>1614</v>
      </c>
      <c r="E2627" s="76">
        <v>44018.0</v>
      </c>
      <c r="F2627" s="77">
        <v>0.041666666666666664</v>
      </c>
      <c r="G2627" s="62" t="b">
        <v>0</v>
      </c>
      <c r="H2627" s="78" t="b">
        <f>IF(VLOOKUP(C2627,Projetos!A:L,12,false)=TRUE,TRUE,FALSE)</f>
        <v>1</v>
      </c>
      <c r="I2627" s="68">
        <v>37.66052106481481</v>
      </c>
      <c r="J2627" s="68">
        <f t="shared" si="1"/>
        <v>0</v>
      </c>
      <c r="K2627" s="68" t="b">
        <v>1</v>
      </c>
    </row>
    <row r="2628" hidden="1">
      <c r="A2628" s="75">
        <v>2622.0</v>
      </c>
      <c r="B2628" s="62" t="s">
        <v>1306</v>
      </c>
      <c r="C2628" s="62" t="s">
        <v>108</v>
      </c>
      <c r="D2628" s="62" t="s">
        <v>1615</v>
      </c>
      <c r="E2628" s="76">
        <v>44019.0</v>
      </c>
      <c r="F2628" s="77">
        <v>0.041666666666666664</v>
      </c>
      <c r="G2628" s="62" t="b">
        <v>0</v>
      </c>
      <c r="H2628" s="78" t="b">
        <f>IF(VLOOKUP(C2628,Projetos!A:L,12,false)=TRUE,TRUE,FALSE)</f>
        <v>1</v>
      </c>
      <c r="I2628" s="68">
        <v>37.66052106481481</v>
      </c>
      <c r="J2628" s="68">
        <f t="shared" si="1"/>
        <v>0</v>
      </c>
      <c r="K2628" s="68" t="b">
        <v>1</v>
      </c>
    </row>
    <row r="2629" hidden="1">
      <c r="A2629" s="75">
        <v>2623.0</v>
      </c>
      <c r="B2629" s="62" t="s">
        <v>1306</v>
      </c>
      <c r="C2629" s="62" t="s">
        <v>108</v>
      </c>
      <c r="D2629" s="62" t="s">
        <v>1616</v>
      </c>
      <c r="E2629" s="76">
        <v>44022.0</v>
      </c>
      <c r="F2629" s="77">
        <v>0.041666666666666664</v>
      </c>
      <c r="G2629" s="62" t="b">
        <v>0</v>
      </c>
      <c r="H2629" s="78" t="b">
        <f>IF(VLOOKUP(C2629,Projetos!A:L,12,false)=TRUE,TRUE,FALSE)</f>
        <v>1</v>
      </c>
      <c r="I2629" s="68">
        <v>37.66052106481481</v>
      </c>
      <c r="J2629" s="68">
        <f t="shared" si="1"/>
        <v>0</v>
      </c>
      <c r="K2629" s="68" t="b">
        <v>1</v>
      </c>
    </row>
    <row r="2630" hidden="1">
      <c r="A2630" s="75">
        <v>2624.0</v>
      </c>
      <c r="B2630" s="62" t="s">
        <v>1306</v>
      </c>
      <c r="C2630" s="62" t="s">
        <v>108</v>
      </c>
      <c r="D2630" s="62" t="s">
        <v>1617</v>
      </c>
      <c r="E2630" s="76">
        <v>44026.0</v>
      </c>
      <c r="F2630" s="77">
        <v>0.03125</v>
      </c>
      <c r="G2630" s="62" t="b">
        <v>0</v>
      </c>
      <c r="H2630" s="78" t="b">
        <f>IF(VLOOKUP(C2630,Projetos!A:L,12,false)=TRUE,TRUE,FALSE)</f>
        <v>1</v>
      </c>
      <c r="I2630" s="68">
        <v>37.66052106481481</v>
      </c>
      <c r="J2630" s="68">
        <f t="shared" si="1"/>
        <v>0</v>
      </c>
      <c r="K2630" s="68" t="b">
        <v>1</v>
      </c>
    </row>
    <row r="2631" hidden="1">
      <c r="A2631" s="75">
        <v>2625.0</v>
      </c>
      <c r="B2631" s="62" t="s">
        <v>1306</v>
      </c>
      <c r="C2631" s="62" t="s">
        <v>108</v>
      </c>
      <c r="D2631" s="62" t="s">
        <v>1617</v>
      </c>
      <c r="E2631" s="76">
        <v>44026.0</v>
      </c>
      <c r="F2631" s="77">
        <v>0.041666666666666664</v>
      </c>
      <c r="G2631" s="62" t="b">
        <v>0</v>
      </c>
      <c r="H2631" s="78" t="b">
        <f>IF(VLOOKUP(C2631,Projetos!A:L,12,false)=TRUE,TRUE,FALSE)</f>
        <v>1</v>
      </c>
      <c r="I2631" s="68">
        <v>37.66052106481481</v>
      </c>
      <c r="J2631" s="68">
        <f t="shared" si="1"/>
        <v>0</v>
      </c>
      <c r="K2631" s="68" t="b">
        <v>1</v>
      </c>
    </row>
    <row r="2632" hidden="1">
      <c r="A2632" s="75">
        <v>2626.0</v>
      </c>
      <c r="B2632" s="62" t="s">
        <v>1306</v>
      </c>
      <c r="C2632" s="62" t="s">
        <v>108</v>
      </c>
      <c r="D2632" s="62" t="s">
        <v>1618</v>
      </c>
      <c r="E2632" s="76">
        <v>44026.0</v>
      </c>
      <c r="F2632" s="77">
        <v>0.041666666666666664</v>
      </c>
      <c r="G2632" s="62" t="b">
        <v>0</v>
      </c>
      <c r="H2632" s="78" t="b">
        <f>IF(VLOOKUP(C2632,Projetos!A:L,12,false)=TRUE,TRUE,FALSE)</f>
        <v>1</v>
      </c>
      <c r="I2632" s="68">
        <v>37.66052106481481</v>
      </c>
      <c r="J2632" s="68">
        <f t="shared" si="1"/>
        <v>0</v>
      </c>
      <c r="K2632" s="68" t="b">
        <v>1</v>
      </c>
    </row>
    <row r="2633" hidden="1">
      <c r="A2633" s="75">
        <v>2627.0</v>
      </c>
      <c r="B2633" s="62" t="s">
        <v>1306</v>
      </c>
      <c r="C2633" s="62" t="s">
        <v>108</v>
      </c>
      <c r="D2633" s="62" t="s">
        <v>1619</v>
      </c>
      <c r="E2633" s="76">
        <v>44029.0</v>
      </c>
      <c r="F2633" s="77">
        <v>0.16666666666666666</v>
      </c>
      <c r="G2633" s="62" t="b">
        <v>0</v>
      </c>
      <c r="H2633" s="78" t="b">
        <f>IF(VLOOKUP(C2633,Projetos!A:L,12,false)=TRUE,TRUE,FALSE)</f>
        <v>1</v>
      </c>
      <c r="I2633" s="68">
        <v>37.66052106481481</v>
      </c>
      <c r="J2633" s="68">
        <f t="shared" si="1"/>
        <v>0</v>
      </c>
      <c r="K2633" s="68" t="b">
        <v>1</v>
      </c>
    </row>
    <row r="2634" hidden="1">
      <c r="A2634" s="75">
        <v>2628.0</v>
      </c>
      <c r="B2634" s="62" t="s">
        <v>1306</v>
      </c>
      <c r="C2634" s="62" t="s">
        <v>108</v>
      </c>
      <c r="D2634" s="62" t="s">
        <v>1485</v>
      </c>
      <c r="E2634" s="76">
        <v>44035.0</v>
      </c>
      <c r="F2634" s="77">
        <v>0.041666666666666664</v>
      </c>
      <c r="G2634" s="62" t="b">
        <v>0</v>
      </c>
      <c r="H2634" s="78" t="b">
        <f>IF(VLOOKUP(C2634,Projetos!A:L,12,false)=TRUE,TRUE,FALSE)</f>
        <v>1</v>
      </c>
      <c r="I2634" s="68">
        <v>37.66052106481481</v>
      </c>
      <c r="J2634" s="68">
        <f t="shared" si="1"/>
        <v>0</v>
      </c>
      <c r="K2634" s="68" t="b">
        <v>1</v>
      </c>
    </row>
    <row r="2635" hidden="1">
      <c r="A2635" s="75">
        <v>2629.0</v>
      </c>
      <c r="B2635" s="62" t="s">
        <v>1306</v>
      </c>
      <c r="C2635" s="62" t="s">
        <v>108</v>
      </c>
      <c r="D2635" s="62" t="s">
        <v>1620</v>
      </c>
      <c r="E2635" s="76">
        <v>44035.0</v>
      </c>
      <c r="F2635" s="77">
        <v>0.03125</v>
      </c>
      <c r="G2635" s="62" t="b">
        <v>0</v>
      </c>
      <c r="H2635" s="78" t="b">
        <f>IF(VLOOKUP(C2635,Projetos!A:L,12,false)=TRUE,TRUE,FALSE)</f>
        <v>1</v>
      </c>
      <c r="I2635" s="68">
        <v>37.66052106481481</v>
      </c>
      <c r="J2635" s="68">
        <f t="shared" si="1"/>
        <v>0</v>
      </c>
      <c r="K2635" s="68" t="b">
        <v>1</v>
      </c>
    </row>
    <row r="2636" hidden="1">
      <c r="A2636" s="75">
        <v>2630.0</v>
      </c>
      <c r="B2636" s="62" t="s">
        <v>1306</v>
      </c>
      <c r="C2636" s="62" t="s">
        <v>108</v>
      </c>
      <c r="D2636" s="62" t="s">
        <v>1621</v>
      </c>
      <c r="E2636" s="76">
        <v>44036.0</v>
      </c>
      <c r="F2636" s="77">
        <v>0.03125</v>
      </c>
      <c r="G2636" s="62" t="b">
        <v>0</v>
      </c>
      <c r="H2636" s="78" t="b">
        <f>IF(VLOOKUP(C2636,Projetos!A:L,12,false)=TRUE,TRUE,FALSE)</f>
        <v>1</v>
      </c>
      <c r="I2636" s="68">
        <v>37.66052106481481</v>
      </c>
      <c r="J2636" s="68">
        <f t="shared" si="1"/>
        <v>0</v>
      </c>
      <c r="K2636" s="68" t="b">
        <v>1</v>
      </c>
    </row>
    <row r="2637" hidden="1">
      <c r="A2637" s="75">
        <v>2631.0</v>
      </c>
      <c r="B2637" s="62" t="s">
        <v>1306</v>
      </c>
      <c r="C2637" s="62" t="s">
        <v>108</v>
      </c>
      <c r="D2637" s="62" t="s">
        <v>1468</v>
      </c>
      <c r="E2637" s="76">
        <v>44036.0</v>
      </c>
      <c r="F2637" s="77">
        <v>0.0625</v>
      </c>
      <c r="G2637" s="62" t="b">
        <v>0</v>
      </c>
      <c r="H2637" s="78" t="b">
        <f>IF(VLOOKUP(C2637,Projetos!A:L,12,false)=TRUE,TRUE,FALSE)</f>
        <v>1</v>
      </c>
      <c r="I2637" s="68">
        <v>37.66052106481481</v>
      </c>
      <c r="J2637" s="68">
        <f t="shared" si="1"/>
        <v>0</v>
      </c>
      <c r="K2637" s="68" t="b">
        <v>1</v>
      </c>
    </row>
    <row r="2638" hidden="1">
      <c r="A2638" s="75">
        <v>2632.0</v>
      </c>
      <c r="B2638" s="62" t="s">
        <v>1306</v>
      </c>
      <c r="C2638" s="62" t="s">
        <v>108</v>
      </c>
      <c r="D2638" s="62" t="s">
        <v>1622</v>
      </c>
      <c r="E2638" s="76">
        <v>44039.0</v>
      </c>
      <c r="F2638" s="77">
        <v>0.19791666666666666</v>
      </c>
      <c r="G2638" s="62" t="b">
        <v>0</v>
      </c>
      <c r="H2638" s="78" t="b">
        <f>IF(VLOOKUP(C2638,Projetos!A:L,12,false)=TRUE,TRUE,FALSE)</f>
        <v>1</v>
      </c>
      <c r="I2638" s="68">
        <v>37.66052106481481</v>
      </c>
      <c r="J2638" s="68">
        <f t="shared" si="1"/>
        <v>0</v>
      </c>
      <c r="K2638" s="68" t="b">
        <v>1</v>
      </c>
    </row>
    <row r="2639" hidden="1">
      <c r="A2639" s="75">
        <v>2633.0</v>
      </c>
      <c r="B2639" s="62" t="s">
        <v>1306</v>
      </c>
      <c r="C2639" s="62" t="s">
        <v>108</v>
      </c>
      <c r="D2639" s="62" t="s">
        <v>1623</v>
      </c>
      <c r="E2639" s="76">
        <v>44039.0</v>
      </c>
      <c r="F2639" s="77">
        <v>0.0625</v>
      </c>
      <c r="G2639" s="62" t="b">
        <v>0</v>
      </c>
      <c r="H2639" s="78" t="b">
        <f>IF(VLOOKUP(C2639,Projetos!A:L,12,false)=TRUE,TRUE,FALSE)</f>
        <v>1</v>
      </c>
      <c r="I2639" s="68">
        <v>37.66052106481481</v>
      </c>
      <c r="J2639" s="68">
        <f t="shared" si="1"/>
        <v>0</v>
      </c>
      <c r="K2639" s="68" t="b">
        <v>1</v>
      </c>
    </row>
    <row r="2640" hidden="1">
      <c r="A2640" s="75">
        <v>2634.0</v>
      </c>
      <c r="B2640" s="62" t="s">
        <v>1306</v>
      </c>
      <c r="C2640" s="62" t="s">
        <v>108</v>
      </c>
      <c r="D2640" s="62" t="s">
        <v>1624</v>
      </c>
      <c r="E2640" s="76">
        <v>44043.0</v>
      </c>
      <c r="F2640" s="77">
        <v>0.020833333333333332</v>
      </c>
      <c r="G2640" s="62" t="b">
        <v>0</v>
      </c>
      <c r="H2640" s="78" t="b">
        <f>IF(VLOOKUP(C2640,Projetos!A:L,12,false)=TRUE,TRUE,FALSE)</f>
        <v>1</v>
      </c>
      <c r="I2640" s="68">
        <v>37.66052106481481</v>
      </c>
      <c r="J2640" s="68">
        <f t="shared" si="1"/>
        <v>0</v>
      </c>
      <c r="K2640" s="68" t="b">
        <v>1</v>
      </c>
    </row>
    <row r="2641" hidden="1">
      <c r="A2641" s="75">
        <v>2635.0</v>
      </c>
      <c r="B2641" s="62" t="s">
        <v>1306</v>
      </c>
      <c r="C2641" s="62" t="s">
        <v>109</v>
      </c>
      <c r="D2641" s="62" t="s">
        <v>1625</v>
      </c>
      <c r="E2641" s="76">
        <v>44014.0</v>
      </c>
      <c r="F2641" s="77">
        <v>0.041666666666666664</v>
      </c>
      <c r="G2641" s="62" t="b">
        <v>0</v>
      </c>
      <c r="H2641" s="78" t="b">
        <f>IF(VLOOKUP(C2641,Projetos!A:L,12,false)=TRUE,TRUE,FALSE)</f>
        <v>0</v>
      </c>
      <c r="I2641" s="68">
        <v>37.66052106481481</v>
      </c>
      <c r="J2641" s="68">
        <f t="shared" si="1"/>
        <v>0</v>
      </c>
      <c r="K2641" s="68" t="b">
        <v>0</v>
      </c>
    </row>
    <row r="2642" hidden="1">
      <c r="A2642" s="75">
        <v>2636.0</v>
      </c>
      <c r="B2642" s="62" t="s">
        <v>1306</v>
      </c>
      <c r="C2642" s="62" t="s">
        <v>109</v>
      </c>
      <c r="D2642" s="62" t="s">
        <v>1485</v>
      </c>
      <c r="E2642" s="76">
        <v>44018.0</v>
      </c>
      <c r="F2642" s="77">
        <v>0.041666666666666664</v>
      </c>
      <c r="G2642" s="62" t="b">
        <v>0</v>
      </c>
      <c r="H2642" s="78" t="b">
        <f>IF(VLOOKUP(C2642,Projetos!A:L,12,false)=TRUE,TRUE,FALSE)</f>
        <v>0</v>
      </c>
      <c r="I2642" s="68">
        <v>37.66052106481481</v>
      </c>
      <c r="J2642" s="68">
        <f t="shared" si="1"/>
        <v>0</v>
      </c>
      <c r="K2642" s="68" t="b">
        <v>0</v>
      </c>
    </row>
    <row r="2643" hidden="1">
      <c r="A2643" s="75">
        <v>2637.0</v>
      </c>
      <c r="B2643" s="62" t="s">
        <v>1306</v>
      </c>
      <c r="C2643" s="62" t="s">
        <v>109</v>
      </c>
      <c r="D2643" s="62" t="s">
        <v>1626</v>
      </c>
      <c r="E2643" s="76">
        <v>44018.0</v>
      </c>
      <c r="F2643" s="77">
        <v>0.15625</v>
      </c>
      <c r="G2643" s="62" t="b">
        <v>0</v>
      </c>
      <c r="H2643" s="78" t="b">
        <f>IF(VLOOKUP(C2643,Projetos!A:L,12,false)=TRUE,TRUE,FALSE)</f>
        <v>0</v>
      </c>
      <c r="I2643" s="68">
        <v>37.66052106481481</v>
      </c>
      <c r="J2643" s="68">
        <f t="shared" si="1"/>
        <v>0</v>
      </c>
      <c r="K2643" s="68" t="b">
        <v>0</v>
      </c>
    </row>
    <row r="2644" hidden="1">
      <c r="A2644" s="75">
        <v>2638.0</v>
      </c>
      <c r="B2644" s="62" t="s">
        <v>1306</v>
      </c>
      <c r="C2644" s="62" t="s">
        <v>109</v>
      </c>
      <c r="D2644" s="62" t="s">
        <v>1625</v>
      </c>
      <c r="E2644" s="76">
        <v>44019.0</v>
      </c>
      <c r="F2644" s="77">
        <v>0.020833333333333332</v>
      </c>
      <c r="G2644" s="62" t="b">
        <v>0</v>
      </c>
      <c r="H2644" s="78" t="b">
        <f>IF(VLOOKUP(C2644,Projetos!A:L,12,false)=TRUE,TRUE,FALSE)</f>
        <v>0</v>
      </c>
      <c r="I2644" s="68">
        <v>37.66052106481481</v>
      </c>
      <c r="J2644" s="68">
        <f t="shared" si="1"/>
        <v>0</v>
      </c>
      <c r="K2644" s="68" t="b">
        <v>0</v>
      </c>
    </row>
    <row r="2645" hidden="1">
      <c r="A2645" s="75">
        <v>2639.0</v>
      </c>
      <c r="B2645" s="62" t="s">
        <v>1306</v>
      </c>
      <c r="C2645" s="62" t="s">
        <v>109</v>
      </c>
      <c r="D2645" s="62" t="s">
        <v>1627</v>
      </c>
      <c r="E2645" s="76">
        <v>44020.0</v>
      </c>
      <c r="F2645" s="77">
        <v>0.20833333333333334</v>
      </c>
      <c r="G2645" s="62" t="b">
        <v>0</v>
      </c>
      <c r="H2645" s="78" t="b">
        <f>IF(VLOOKUP(C2645,Projetos!A:L,12,false)=TRUE,TRUE,FALSE)</f>
        <v>0</v>
      </c>
      <c r="I2645" s="68">
        <v>37.66052106481481</v>
      </c>
      <c r="J2645" s="68">
        <f t="shared" si="1"/>
        <v>0</v>
      </c>
      <c r="K2645" s="68" t="b">
        <v>0</v>
      </c>
    </row>
    <row r="2646" hidden="1">
      <c r="A2646" s="75">
        <v>2640.0</v>
      </c>
      <c r="B2646" s="62" t="s">
        <v>1306</v>
      </c>
      <c r="C2646" s="62" t="s">
        <v>109</v>
      </c>
      <c r="D2646" s="62" t="s">
        <v>1628</v>
      </c>
      <c r="E2646" s="76">
        <v>44025.0</v>
      </c>
      <c r="F2646" s="77">
        <v>0.0625</v>
      </c>
      <c r="G2646" s="62" t="b">
        <v>0</v>
      </c>
      <c r="H2646" s="78" t="b">
        <f>IF(VLOOKUP(C2646,Projetos!A:L,12,false)=TRUE,TRUE,FALSE)</f>
        <v>0</v>
      </c>
      <c r="I2646" s="68">
        <v>37.66052106481481</v>
      </c>
      <c r="J2646" s="68">
        <f t="shared" si="1"/>
        <v>0</v>
      </c>
      <c r="K2646" s="68" t="b">
        <v>0</v>
      </c>
    </row>
    <row r="2647" hidden="1">
      <c r="A2647" s="75">
        <v>2641.0</v>
      </c>
      <c r="B2647" s="62" t="s">
        <v>1306</v>
      </c>
      <c r="C2647" s="62" t="s">
        <v>109</v>
      </c>
      <c r="D2647" s="62" t="s">
        <v>1629</v>
      </c>
      <c r="E2647" s="76">
        <v>44026.0</v>
      </c>
      <c r="F2647" s="77">
        <v>0.125</v>
      </c>
      <c r="G2647" s="62" t="b">
        <v>0</v>
      </c>
      <c r="H2647" s="78" t="b">
        <f>IF(VLOOKUP(C2647,Projetos!A:L,12,false)=TRUE,TRUE,FALSE)</f>
        <v>0</v>
      </c>
      <c r="I2647" s="68">
        <v>37.66052106481481</v>
      </c>
      <c r="J2647" s="68">
        <f t="shared" si="1"/>
        <v>0</v>
      </c>
      <c r="K2647" s="68" t="b">
        <v>0</v>
      </c>
    </row>
    <row r="2648" hidden="1">
      <c r="A2648" s="75">
        <v>2642.0</v>
      </c>
      <c r="B2648" s="62" t="s">
        <v>1306</v>
      </c>
      <c r="C2648" s="62" t="s">
        <v>109</v>
      </c>
      <c r="D2648" s="62" t="s">
        <v>1630</v>
      </c>
      <c r="E2648" s="76">
        <v>44028.0</v>
      </c>
      <c r="F2648" s="77">
        <v>0.041666666666666664</v>
      </c>
      <c r="G2648" s="62" t="b">
        <v>0</v>
      </c>
      <c r="H2648" s="78" t="b">
        <f>IF(VLOOKUP(C2648,Projetos!A:L,12,false)=TRUE,TRUE,FALSE)</f>
        <v>0</v>
      </c>
      <c r="I2648" s="68">
        <v>37.66052106481481</v>
      </c>
      <c r="J2648" s="68">
        <f t="shared" si="1"/>
        <v>0</v>
      </c>
      <c r="K2648" s="68" t="b">
        <v>0</v>
      </c>
    </row>
    <row r="2649" hidden="1">
      <c r="A2649" s="75">
        <v>2643.0</v>
      </c>
      <c r="B2649" s="62" t="s">
        <v>1306</v>
      </c>
      <c r="C2649" s="62" t="s">
        <v>109</v>
      </c>
      <c r="D2649" s="62" t="s">
        <v>1631</v>
      </c>
      <c r="E2649" s="76">
        <v>44033.0</v>
      </c>
      <c r="F2649" s="77">
        <v>0.0625</v>
      </c>
      <c r="G2649" s="62" t="b">
        <v>0</v>
      </c>
      <c r="H2649" s="78" t="b">
        <f>IF(VLOOKUP(C2649,Projetos!A:L,12,false)=TRUE,TRUE,FALSE)</f>
        <v>0</v>
      </c>
      <c r="I2649" s="68">
        <v>37.66052106481481</v>
      </c>
      <c r="J2649" s="68">
        <f t="shared" si="1"/>
        <v>0</v>
      </c>
      <c r="K2649" s="68" t="b">
        <v>0</v>
      </c>
    </row>
    <row r="2650" hidden="1">
      <c r="A2650" s="75">
        <v>2644.0</v>
      </c>
      <c r="B2650" s="62" t="s">
        <v>1306</v>
      </c>
      <c r="C2650" s="62" t="s">
        <v>109</v>
      </c>
      <c r="D2650" s="62" t="s">
        <v>1308</v>
      </c>
      <c r="E2650" s="76">
        <v>44033.0</v>
      </c>
      <c r="F2650" s="77">
        <v>0.041666666666666664</v>
      </c>
      <c r="G2650" s="62" t="b">
        <v>0</v>
      </c>
      <c r="H2650" s="78" t="b">
        <f>IF(VLOOKUP(C2650,Projetos!A:L,12,false)=TRUE,TRUE,FALSE)</f>
        <v>0</v>
      </c>
      <c r="I2650" s="68">
        <v>37.66052106481481</v>
      </c>
      <c r="J2650" s="68">
        <f t="shared" si="1"/>
        <v>0</v>
      </c>
      <c r="K2650" s="68" t="b">
        <v>0</v>
      </c>
    </row>
    <row r="2651" hidden="1">
      <c r="A2651" s="75">
        <v>2645.0</v>
      </c>
      <c r="B2651" s="62" t="s">
        <v>1306</v>
      </c>
      <c r="C2651" s="62" t="s">
        <v>109</v>
      </c>
      <c r="D2651" s="62" t="s">
        <v>1632</v>
      </c>
      <c r="E2651" s="76">
        <v>44035.0</v>
      </c>
      <c r="F2651" s="77">
        <v>0.041666666666666664</v>
      </c>
      <c r="G2651" s="62" t="b">
        <v>0</v>
      </c>
      <c r="H2651" s="78" t="b">
        <f>IF(VLOOKUP(C2651,Projetos!A:L,12,false)=TRUE,TRUE,FALSE)</f>
        <v>0</v>
      </c>
      <c r="I2651" s="68">
        <v>37.66052106481481</v>
      </c>
      <c r="J2651" s="68">
        <f t="shared" si="1"/>
        <v>0</v>
      </c>
      <c r="K2651" s="68" t="b">
        <v>0</v>
      </c>
    </row>
    <row r="2652" hidden="1">
      <c r="A2652" s="75">
        <v>2646.0</v>
      </c>
      <c r="B2652" s="62" t="s">
        <v>1306</v>
      </c>
      <c r="C2652" s="62" t="s">
        <v>109</v>
      </c>
      <c r="D2652" s="62" t="s">
        <v>1633</v>
      </c>
      <c r="E2652" s="76">
        <v>44040.0</v>
      </c>
      <c r="F2652" s="77">
        <v>0.16666666666666666</v>
      </c>
      <c r="G2652" s="62" t="b">
        <v>0</v>
      </c>
      <c r="H2652" s="78" t="b">
        <f>IF(VLOOKUP(C2652,Projetos!A:L,12,false)=TRUE,TRUE,FALSE)</f>
        <v>0</v>
      </c>
      <c r="I2652" s="68">
        <v>37.66052106481481</v>
      </c>
      <c r="J2652" s="68">
        <f t="shared" si="1"/>
        <v>0</v>
      </c>
      <c r="K2652" s="68" t="b">
        <v>0</v>
      </c>
    </row>
    <row r="2653" hidden="1">
      <c r="A2653" s="75">
        <v>2647.0</v>
      </c>
      <c r="B2653" s="62" t="s">
        <v>1306</v>
      </c>
      <c r="C2653" s="62" t="s">
        <v>109</v>
      </c>
      <c r="D2653" s="62" t="s">
        <v>1634</v>
      </c>
      <c r="E2653" s="76">
        <v>44041.0</v>
      </c>
      <c r="F2653" s="77">
        <v>0.13541666666666666</v>
      </c>
      <c r="G2653" s="62" t="b">
        <v>0</v>
      </c>
      <c r="H2653" s="78" t="b">
        <f>IF(VLOOKUP(C2653,Projetos!A:L,12,false)=TRUE,TRUE,FALSE)</f>
        <v>0</v>
      </c>
      <c r="I2653" s="68">
        <v>37.66052106481481</v>
      </c>
      <c r="J2653" s="68">
        <f t="shared" si="1"/>
        <v>0</v>
      </c>
      <c r="K2653" s="68" t="b">
        <v>0</v>
      </c>
    </row>
    <row r="2654" hidden="1">
      <c r="A2654" s="75">
        <v>2648.0</v>
      </c>
      <c r="B2654" s="62" t="s">
        <v>1306</v>
      </c>
      <c r="C2654" s="62" t="s">
        <v>109</v>
      </c>
      <c r="D2654" s="62" t="s">
        <v>1635</v>
      </c>
      <c r="E2654" s="76">
        <v>44041.0</v>
      </c>
      <c r="F2654" s="77">
        <v>0.041666666666666664</v>
      </c>
      <c r="G2654" s="62" t="b">
        <v>0</v>
      </c>
      <c r="H2654" s="78" t="b">
        <f>IF(VLOOKUP(C2654,Projetos!A:L,12,false)=TRUE,TRUE,FALSE)</f>
        <v>0</v>
      </c>
      <c r="I2654" s="68">
        <v>37.66052106481481</v>
      </c>
      <c r="J2654" s="68">
        <f t="shared" si="1"/>
        <v>0</v>
      </c>
      <c r="K2654" s="68" t="b">
        <v>0</v>
      </c>
    </row>
    <row r="2655" hidden="1">
      <c r="A2655" s="75">
        <v>2649.0</v>
      </c>
      <c r="B2655" s="62" t="s">
        <v>1306</v>
      </c>
      <c r="C2655" s="62" t="s">
        <v>109</v>
      </c>
      <c r="D2655" s="62" t="s">
        <v>1636</v>
      </c>
      <c r="E2655" s="76">
        <v>44042.0</v>
      </c>
      <c r="F2655" s="77">
        <v>0.0625</v>
      </c>
      <c r="G2655" s="62" t="b">
        <v>0</v>
      </c>
      <c r="H2655" s="78" t="b">
        <f>IF(VLOOKUP(C2655,Projetos!A:L,12,false)=TRUE,TRUE,FALSE)</f>
        <v>0</v>
      </c>
      <c r="I2655" s="68">
        <v>37.66052106481481</v>
      </c>
      <c r="J2655" s="68">
        <f t="shared" si="1"/>
        <v>0</v>
      </c>
      <c r="K2655" s="68" t="b">
        <v>0</v>
      </c>
    </row>
    <row r="2656">
      <c r="A2656" s="75">
        <v>2650.0</v>
      </c>
      <c r="B2656" s="62" t="s">
        <v>1306</v>
      </c>
      <c r="C2656" s="62" t="s">
        <v>110</v>
      </c>
      <c r="D2656" s="62" t="s">
        <v>1485</v>
      </c>
      <c r="E2656" s="76">
        <v>44013.0</v>
      </c>
      <c r="F2656" s="77">
        <v>0.041666666666666664</v>
      </c>
      <c r="G2656" s="62" t="b">
        <v>1</v>
      </c>
      <c r="H2656" s="78" t="b">
        <f>IF(VLOOKUP(C2656,Projetos!A:L,12,false)=TRUE,TRUE,FALSE)</f>
        <v>1</v>
      </c>
      <c r="I2656" s="68">
        <v>37.66052106481481</v>
      </c>
      <c r="J2656" s="68">
        <f t="shared" si="1"/>
        <v>37.66052106</v>
      </c>
      <c r="K2656" s="68" t="b">
        <v>1</v>
      </c>
    </row>
    <row r="2657">
      <c r="A2657" s="75">
        <v>2651.0</v>
      </c>
      <c r="B2657" s="62" t="s">
        <v>1306</v>
      </c>
      <c r="C2657" s="62" t="s">
        <v>110</v>
      </c>
      <c r="D2657" s="62" t="s">
        <v>1637</v>
      </c>
      <c r="E2657" s="76">
        <v>44015.0</v>
      </c>
      <c r="F2657" s="77">
        <v>0.020833333333333332</v>
      </c>
      <c r="G2657" s="62" t="b">
        <v>1</v>
      </c>
      <c r="H2657" s="78" t="b">
        <f>IF(VLOOKUP(C2657,Projetos!A:L,12,false)=TRUE,TRUE,FALSE)</f>
        <v>1</v>
      </c>
      <c r="I2657" s="68">
        <v>37.66052106481481</v>
      </c>
      <c r="J2657" s="68">
        <f t="shared" si="1"/>
        <v>18.83026053</v>
      </c>
      <c r="K2657" s="68" t="b">
        <v>1</v>
      </c>
    </row>
    <row r="2658">
      <c r="A2658" s="75">
        <v>2652.0</v>
      </c>
      <c r="B2658" s="62" t="s">
        <v>1306</v>
      </c>
      <c r="C2658" s="62" t="s">
        <v>110</v>
      </c>
      <c r="D2658" s="62" t="s">
        <v>1378</v>
      </c>
      <c r="E2658" s="76">
        <v>44019.0</v>
      </c>
      <c r="F2658" s="77">
        <v>0.0625</v>
      </c>
      <c r="G2658" s="62" t="b">
        <v>1</v>
      </c>
      <c r="H2658" s="78" t="b">
        <f>IF(VLOOKUP(C2658,Projetos!A:L,12,false)=TRUE,TRUE,FALSE)</f>
        <v>1</v>
      </c>
      <c r="I2658" s="68">
        <v>37.66052106481481</v>
      </c>
      <c r="J2658" s="68">
        <f t="shared" si="1"/>
        <v>56.4907816</v>
      </c>
      <c r="K2658" s="68" t="b">
        <v>1</v>
      </c>
    </row>
    <row r="2659">
      <c r="A2659" s="75">
        <v>2653.0</v>
      </c>
      <c r="B2659" s="62" t="s">
        <v>1306</v>
      </c>
      <c r="C2659" s="62" t="s">
        <v>110</v>
      </c>
      <c r="D2659" s="62" t="s">
        <v>1638</v>
      </c>
      <c r="E2659" s="76">
        <v>44020.0</v>
      </c>
      <c r="F2659" s="77">
        <v>0.03125</v>
      </c>
      <c r="G2659" s="62" t="b">
        <v>1</v>
      </c>
      <c r="H2659" s="78" t="b">
        <f>IF(VLOOKUP(C2659,Projetos!A:L,12,false)=TRUE,TRUE,FALSE)</f>
        <v>1</v>
      </c>
      <c r="I2659" s="68">
        <v>37.66052106481481</v>
      </c>
      <c r="J2659" s="68">
        <f t="shared" si="1"/>
        <v>28.2453908</v>
      </c>
      <c r="K2659" s="68" t="b">
        <v>1</v>
      </c>
    </row>
    <row r="2660">
      <c r="A2660" s="75">
        <v>2654.0</v>
      </c>
      <c r="B2660" s="62" t="s">
        <v>1306</v>
      </c>
      <c r="C2660" s="62" t="s">
        <v>110</v>
      </c>
      <c r="D2660" s="62" t="s">
        <v>1639</v>
      </c>
      <c r="E2660" s="76">
        <v>44021.0</v>
      </c>
      <c r="F2660" s="77">
        <v>0.041666666666666664</v>
      </c>
      <c r="G2660" s="62" t="b">
        <v>1</v>
      </c>
      <c r="H2660" s="78" t="b">
        <f>IF(VLOOKUP(C2660,Projetos!A:L,12,false)=TRUE,TRUE,FALSE)</f>
        <v>1</v>
      </c>
      <c r="I2660" s="68">
        <v>37.66052106481481</v>
      </c>
      <c r="J2660" s="68">
        <f t="shared" si="1"/>
        <v>37.66052106</v>
      </c>
      <c r="K2660" s="68" t="b">
        <v>1</v>
      </c>
    </row>
    <row r="2661">
      <c r="A2661" s="75">
        <v>2655.0</v>
      </c>
      <c r="B2661" s="62" t="s">
        <v>1306</v>
      </c>
      <c r="C2661" s="62" t="s">
        <v>110</v>
      </c>
      <c r="D2661" s="62" t="s">
        <v>1346</v>
      </c>
      <c r="E2661" s="76">
        <v>44025.0</v>
      </c>
      <c r="F2661" s="77">
        <v>0.041666666666666664</v>
      </c>
      <c r="G2661" s="62" t="b">
        <v>1</v>
      </c>
      <c r="H2661" s="78" t="b">
        <f>IF(VLOOKUP(C2661,Projetos!A:L,12,false)=TRUE,TRUE,FALSE)</f>
        <v>1</v>
      </c>
      <c r="I2661" s="68">
        <v>37.66052106481481</v>
      </c>
      <c r="J2661" s="68">
        <f t="shared" si="1"/>
        <v>37.66052106</v>
      </c>
      <c r="K2661" s="68" t="b">
        <v>1</v>
      </c>
    </row>
    <row r="2662">
      <c r="A2662" s="75">
        <v>2656.0</v>
      </c>
      <c r="B2662" s="62" t="s">
        <v>1306</v>
      </c>
      <c r="C2662" s="62" t="s">
        <v>110</v>
      </c>
      <c r="D2662" s="62" t="s">
        <v>1346</v>
      </c>
      <c r="E2662" s="76">
        <v>44027.0</v>
      </c>
      <c r="F2662" s="77">
        <v>0.03125</v>
      </c>
      <c r="G2662" s="62" t="b">
        <v>1</v>
      </c>
      <c r="H2662" s="78" t="b">
        <f>IF(VLOOKUP(C2662,Projetos!A:L,12,false)=TRUE,TRUE,FALSE)</f>
        <v>1</v>
      </c>
      <c r="I2662" s="68">
        <v>37.66052106481481</v>
      </c>
      <c r="J2662" s="68">
        <f t="shared" si="1"/>
        <v>28.2453908</v>
      </c>
      <c r="K2662" s="68" t="b">
        <v>1</v>
      </c>
    </row>
    <row r="2663">
      <c r="A2663" s="75">
        <v>2657.0</v>
      </c>
      <c r="B2663" s="62" t="s">
        <v>1306</v>
      </c>
      <c r="C2663" s="62" t="s">
        <v>110</v>
      </c>
      <c r="D2663" s="62" t="s">
        <v>1640</v>
      </c>
      <c r="E2663" s="76">
        <v>44028.0</v>
      </c>
      <c r="F2663" s="77">
        <v>0.027777777777777776</v>
      </c>
      <c r="G2663" s="62" t="b">
        <v>1</v>
      </c>
      <c r="H2663" s="78" t="b">
        <f>IF(VLOOKUP(C2663,Projetos!A:L,12,false)=TRUE,TRUE,FALSE)</f>
        <v>1</v>
      </c>
      <c r="I2663" s="68">
        <v>37.66052106481481</v>
      </c>
      <c r="J2663" s="68">
        <f t="shared" si="1"/>
        <v>25.10701404</v>
      </c>
      <c r="K2663" s="68" t="b">
        <v>1</v>
      </c>
    </row>
    <row r="2664">
      <c r="A2664" s="75">
        <v>2658.0</v>
      </c>
      <c r="B2664" s="62" t="s">
        <v>1306</v>
      </c>
      <c r="C2664" s="62" t="s">
        <v>110</v>
      </c>
      <c r="D2664" s="62" t="s">
        <v>1641</v>
      </c>
      <c r="E2664" s="76">
        <v>44029.0</v>
      </c>
      <c r="F2664" s="77">
        <v>0.052083333333333336</v>
      </c>
      <c r="G2664" s="62" t="b">
        <v>1</v>
      </c>
      <c r="H2664" s="78" t="b">
        <f>IF(VLOOKUP(C2664,Projetos!A:L,12,false)=TRUE,TRUE,FALSE)</f>
        <v>1</v>
      </c>
      <c r="I2664" s="68">
        <v>37.66052106481481</v>
      </c>
      <c r="J2664" s="68">
        <f t="shared" si="1"/>
        <v>47.07565133</v>
      </c>
      <c r="K2664" s="68" t="b">
        <v>1</v>
      </c>
    </row>
    <row r="2665">
      <c r="A2665" s="75">
        <v>2659.0</v>
      </c>
      <c r="B2665" s="62" t="s">
        <v>1306</v>
      </c>
      <c r="C2665" s="62" t="s">
        <v>110</v>
      </c>
      <c r="D2665" s="62" t="s">
        <v>1642</v>
      </c>
      <c r="E2665" s="76">
        <v>44033.0</v>
      </c>
      <c r="F2665" s="77">
        <v>0.041666666666666664</v>
      </c>
      <c r="G2665" s="62" t="b">
        <v>1</v>
      </c>
      <c r="H2665" s="78" t="b">
        <f>IF(VLOOKUP(C2665,Projetos!A:L,12,false)=TRUE,TRUE,FALSE)</f>
        <v>1</v>
      </c>
      <c r="I2665" s="68">
        <v>37.66052106481481</v>
      </c>
      <c r="J2665" s="68">
        <f t="shared" si="1"/>
        <v>37.66052106</v>
      </c>
      <c r="K2665" s="68" t="b">
        <v>1</v>
      </c>
    </row>
    <row r="2666">
      <c r="A2666" s="75">
        <v>2660.0</v>
      </c>
      <c r="B2666" s="62" t="s">
        <v>1306</v>
      </c>
      <c r="C2666" s="62" t="s">
        <v>110</v>
      </c>
      <c r="D2666" s="62" t="s">
        <v>1643</v>
      </c>
      <c r="E2666" s="76">
        <v>44043.0</v>
      </c>
      <c r="F2666" s="77">
        <v>0.020833333333333332</v>
      </c>
      <c r="G2666" s="62" t="b">
        <v>1</v>
      </c>
      <c r="H2666" s="78" t="b">
        <f>IF(VLOOKUP(C2666,Projetos!A:L,12,false)=TRUE,TRUE,FALSE)</f>
        <v>1</v>
      </c>
      <c r="I2666" s="68">
        <v>37.66052106481481</v>
      </c>
      <c r="J2666" s="68">
        <f t="shared" si="1"/>
        <v>18.83026053</v>
      </c>
      <c r="K2666" s="68" t="b">
        <v>1</v>
      </c>
    </row>
    <row r="2667" hidden="1">
      <c r="A2667" s="75">
        <v>2661.0</v>
      </c>
      <c r="B2667" s="62" t="s">
        <v>1306</v>
      </c>
      <c r="C2667" s="62" t="s">
        <v>111</v>
      </c>
      <c r="D2667" s="62" t="s">
        <v>1644</v>
      </c>
      <c r="E2667" s="76">
        <v>44013.0</v>
      </c>
      <c r="F2667" s="77">
        <v>0.041666666666666664</v>
      </c>
      <c r="G2667" s="62" t="b">
        <v>0</v>
      </c>
      <c r="H2667" s="78" t="b">
        <f>IF(VLOOKUP(C2667,Projetos!A:L,12,false)=TRUE,TRUE,FALSE)</f>
        <v>0</v>
      </c>
      <c r="I2667" s="68">
        <v>37.66052106481481</v>
      </c>
      <c r="J2667" s="68">
        <f t="shared" si="1"/>
        <v>0</v>
      </c>
      <c r="K2667" s="68" t="b">
        <v>0</v>
      </c>
    </row>
    <row r="2668" hidden="1">
      <c r="A2668" s="75">
        <v>2662.0</v>
      </c>
      <c r="B2668" s="62" t="s">
        <v>1306</v>
      </c>
      <c r="C2668" s="62" t="s">
        <v>111</v>
      </c>
      <c r="D2668" s="62" t="s">
        <v>1645</v>
      </c>
      <c r="E2668" s="76">
        <v>44036.0</v>
      </c>
      <c r="F2668" s="77">
        <v>0.041666666666666664</v>
      </c>
      <c r="G2668" s="62" t="b">
        <v>0</v>
      </c>
      <c r="H2668" s="78" t="b">
        <f>IF(VLOOKUP(C2668,Projetos!A:L,12,false)=TRUE,TRUE,FALSE)</f>
        <v>0</v>
      </c>
      <c r="I2668" s="68">
        <v>37.66052106481481</v>
      </c>
      <c r="J2668" s="68">
        <f t="shared" si="1"/>
        <v>0</v>
      </c>
      <c r="K2668" s="68" t="b">
        <v>0</v>
      </c>
    </row>
    <row r="2669">
      <c r="A2669" s="75">
        <v>2663.0</v>
      </c>
      <c r="B2669" s="62" t="s">
        <v>1306</v>
      </c>
      <c r="C2669" s="62" t="s">
        <v>116</v>
      </c>
      <c r="D2669" s="62" t="s">
        <v>1646</v>
      </c>
      <c r="E2669" s="76">
        <v>44013.0</v>
      </c>
      <c r="F2669" s="77">
        <v>0.08333333333333333</v>
      </c>
      <c r="G2669" s="62" t="b">
        <v>1</v>
      </c>
      <c r="H2669" s="78" t="b">
        <f>IF(VLOOKUP(C2669,Projetos!A:L,12,false)=TRUE,TRUE,FALSE)</f>
        <v>1</v>
      </c>
      <c r="I2669" s="68">
        <v>37.66052106481481</v>
      </c>
      <c r="J2669" s="68">
        <f t="shared" si="1"/>
        <v>75.32104213</v>
      </c>
      <c r="K2669" s="68" t="b">
        <v>1</v>
      </c>
    </row>
    <row r="2670">
      <c r="A2670" s="75">
        <v>2664.0</v>
      </c>
      <c r="B2670" s="62" t="s">
        <v>1306</v>
      </c>
      <c r="C2670" s="62" t="s">
        <v>116</v>
      </c>
      <c r="D2670" s="62" t="s">
        <v>1647</v>
      </c>
      <c r="E2670" s="76">
        <v>44015.0</v>
      </c>
      <c r="F2670" s="77">
        <v>0.08333333333333333</v>
      </c>
      <c r="G2670" s="62" t="b">
        <v>1</v>
      </c>
      <c r="H2670" s="78" t="b">
        <f>IF(VLOOKUP(C2670,Projetos!A:L,12,false)=TRUE,TRUE,FALSE)</f>
        <v>1</v>
      </c>
      <c r="I2670" s="68">
        <v>37.66052106481481</v>
      </c>
      <c r="J2670" s="68">
        <f t="shared" si="1"/>
        <v>75.32104213</v>
      </c>
      <c r="K2670" s="68" t="b">
        <v>1</v>
      </c>
    </row>
    <row r="2671">
      <c r="A2671" s="75">
        <v>2665.0</v>
      </c>
      <c r="B2671" s="62" t="s">
        <v>1306</v>
      </c>
      <c r="C2671" s="62" t="s">
        <v>116</v>
      </c>
      <c r="D2671" s="62" t="s">
        <v>1648</v>
      </c>
      <c r="E2671" s="76">
        <v>44018.0</v>
      </c>
      <c r="F2671" s="77">
        <v>0.041666666666666664</v>
      </c>
      <c r="G2671" s="62" t="b">
        <v>1</v>
      </c>
      <c r="H2671" s="78" t="b">
        <f>IF(VLOOKUP(C2671,Projetos!A:L,12,false)=TRUE,TRUE,FALSE)</f>
        <v>1</v>
      </c>
      <c r="I2671" s="68">
        <v>37.66052106481481</v>
      </c>
      <c r="J2671" s="68">
        <f t="shared" si="1"/>
        <v>37.66052106</v>
      </c>
      <c r="K2671" s="68" t="b">
        <v>1</v>
      </c>
    </row>
    <row r="2672">
      <c r="A2672" s="75">
        <v>2666.0</v>
      </c>
      <c r="B2672" s="62" t="s">
        <v>1306</v>
      </c>
      <c r="C2672" s="62" t="s">
        <v>116</v>
      </c>
      <c r="D2672" s="62" t="s">
        <v>1649</v>
      </c>
      <c r="E2672" s="76">
        <v>44029.0</v>
      </c>
      <c r="F2672" s="77">
        <v>0.041666666666666664</v>
      </c>
      <c r="G2672" s="62" t="b">
        <v>1</v>
      </c>
      <c r="H2672" s="78" t="b">
        <f>IF(VLOOKUP(C2672,Projetos!A:L,12,false)=TRUE,TRUE,FALSE)</f>
        <v>1</v>
      </c>
      <c r="I2672" s="68">
        <v>37.66052106481481</v>
      </c>
      <c r="J2672" s="68">
        <f t="shared" si="1"/>
        <v>37.66052106</v>
      </c>
      <c r="K2672" s="68" t="b">
        <v>1</v>
      </c>
    </row>
    <row r="2673">
      <c r="A2673" s="75">
        <v>2667.0</v>
      </c>
      <c r="B2673" s="62" t="s">
        <v>1306</v>
      </c>
      <c r="C2673" s="62" t="s">
        <v>138</v>
      </c>
      <c r="D2673" s="62" t="s">
        <v>1650</v>
      </c>
      <c r="E2673" s="76">
        <v>44063.0</v>
      </c>
      <c r="F2673" s="77">
        <v>0.020833333333333332</v>
      </c>
      <c r="G2673" s="62" t="b">
        <v>1</v>
      </c>
      <c r="H2673" s="78" t="b">
        <f>IF(VLOOKUP(C2673,Projetos!A:L,12,false)=TRUE,TRUE,FALSE)</f>
        <v>1</v>
      </c>
      <c r="I2673" s="68">
        <v>37.66052106481481</v>
      </c>
      <c r="J2673" s="68">
        <f t="shared" si="1"/>
        <v>18.83026053</v>
      </c>
      <c r="K2673" s="68" t="b">
        <v>1</v>
      </c>
    </row>
    <row r="2674">
      <c r="A2674" s="75">
        <v>2668.0</v>
      </c>
      <c r="B2674" s="62" t="s">
        <v>1306</v>
      </c>
      <c r="C2674" s="62" t="s">
        <v>138</v>
      </c>
      <c r="D2674" s="62" t="s">
        <v>1651</v>
      </c>
      <c r="E2674" s="76">
        <v>44064.0</v>
      </c>
      <c r="F2674" s="77">
        <v>0.041666666666666664</v>
      </c>
      <c r="G2674" s="62" t="b">
        <v>1</v>
      </c>
      <c r="H2674" s="78" t="b">
        <f>IF(VLOOKUP(C2674,Projetos!A:L,12,false)=TRUE,TRUE,FALSE)</f>
        <v>1</v>
      </c>
      <c r="I2674" s="68">
        <v>37.66052106481481</v>
      </c>
      <c r="J2674" s="68">
        <f t="shared" si="1"/>
        <v>37.66052106</v>
      </c>
      <c r="K2674" s="68" t="b">
        <v>1</v>
      </c>
    </row>
    <row r="2675">
      <c r="A2675" s="75">
        <v>2669.0</v>
      </c>
      <c r="B2675" s="62" t="s">
        <v>1306</v>
      </c>
      <c r="C2675" s="62" t="s">
        <v>138</v>
      </c>
      <c r="D2675" s="62" t="s">
        <v>1652</v>
      </c>
      <c r="E2675" s="76">
        <v>44064.0</v>
      </c>
      <c r="F2675" s="77">
        <v>0.125</v>
      </c>
      <c r="G2675" s="62" t="b">
        <v>1</v>
      </c>
      <c r="H2675" s="78" t="b">
        <f>IF(VLOOKUP(C2675,Projetos!A:L,12,false)=TRUE,TRUE,FALSE)</f>
        <v>1</v>
      </c>
      <c r="I2675" s="68">
        <v>37.66052106481481</v>
      </c>
      <c r="J2675" s="68">
        <f t="shared" si="1"/>
        <v>112.9815632</v>
      </c>
      <c r="K2675" s="68" t="b">
        <v>1</v>
      </c>
    </row>
    <row r="2676">
      <c r="A2676" s="75">
        <v>2670.0</v>
      </c>
      <c r="B2676" s="62" t="s">
        <v>1306</v>
      </c>
      <c r="C2676" s="62" t="s">
        <v>138</v>
      </c>
      <c r="D2676" s="62" t="s">
        <v>1653</v>
      </c>
      <c r="E2676" s="76">
        <v>44067.0</v>
      </c>
      <c r="F2676" s="77">
        <v>0.08333333333333333</v>
      </c>
      <c r="G2676" s="62" t="b">
        <v>1</v>
      </c>
      <c r="H2676" s="78" t="b">
        <f>IF(VLOOKUP(C2676,Projetos!A:L,12,false)=TRUE,TRUE,FALSE)</f>
        <v>1</v>
      </c>
      <c r="I2676" s="68">
        <v>37.66052106481481</v>
      </c>
      <c r="J2676" s="68">
        <f t="shared" si="1"/>
        <v>75.32104213</v>
      </c>
      <c r="K2676" s="68" t="b">
        <v>1</v>
      </c>
    </row>
    <row r="2677">
      <c r="A2677" s="75">
        <v>2671.0</v>
      </c>
      <c r="B2677" s="62" t="s">
        <v>1306</v>
      </c>
      <c r="C2677" s="62" t="s">
        <v>138</v>
      </c>
      <c r="D2677" s="62" t="s">
        <v>1654</v>
      </c>
      <c r="E2677" s="76">
        <v>44068.0</v>
      </c>
      <c r="F2677" s="77">
        <v>0.14583333333333334</v>
      </c>
      <c r="G2677" s="62" t="b">
        <v>1</v>
      </c>
      <c r="H2677" s="78" t="b">
        <f>IF(VLOOKUP(C2677,Projetos!A:L,12,false)=TRUE,TRUE,FALSE)</f>
        <v>1</v>
      </c>
      <c r="I2677" s="68">
        <v>37.66052106481481</v>
      </c>
      <c r="J2677" s="68">
        <f t="shared" si="1"/>
        <v>131.8118237</v>
      </c>
      <c r="K2677" s="68" t="b">
        <v>1</v>
      </c>
    </row>
    <row r="2678">
      <c r="A2678" s="75">
        <v>2672.0</v>
      </c>
      <c r="B2678" s="62" t="s">
        <v>1306</v>
      </c>
      <c r="C2678" s="62" t="s">
        <v>138</v>
      </c>
      <c r="D2678" s="62" t="s">
        <v>1655</v>
      </c>
      <c r="E2678" s="76">
        <v>44069.0</v>
      </c>
      <c r="F2678" s="77">
        <v>0.041666666666666664</v>
      </c>
      <c r="G2678" s="62" t="b">
        <v>1</v>
      </c>
      <c r="H2678" s="78" t="b">
        <f>IF(VLOOKUP(C2678,Projetos!A:L,12,false)=TRUE,TRUE,FALSE)</f>
        <v>1</v>
      </c>
      <c r="I2678" s="68">
        <v>37.66052106481481</v>
      </c>
      <c r="J2678" s="68">
        <f t="shared" si="1"/>
        <v>37.66052106</v>
      </c>
      <c r="K2678" s="68" t="b">
        <v>1</v>
      </c>
    </row>
    <row r="2679">
      <c r="A2679" s="75">
        <v>2673.0</v>
      </c>
      <c r="B2679" s="62" t="s">
        <v>1306</v>
      </c>
      <c r="C2679" s="62" t="s">
        <v>88</v>
      </c>
      <c r="D2679" s="62" t="s">
        <v>1656</v>
      </c>
      <c r="E2679" s="76">
        <v>44054.0</v>
      </c>
      <c r="F2679" s="77">
        <v>0.15625</v>
      </c>
      <c r="G2679" s="62" t="b">
        <v>1</v>
      </c>
      <c r="H2679" s="78" t="b">
        <f>IF(VLOOKUP(C2679,Projetos!A:L,12,false)=TRUE,TRUE,FALSE)</f>
        <v>1</v>
      </c>
      <c r="I2679" s="68">
        <v>37.66052106481481</v>
      </c>
      <c r="J2679" s="68">
        <f t="shared" si="1"/>
        <v>141.226954</v>
      </c>
      <c r="K2679" s="68" t="b">
        <v>1</v>
      </c>
    </row>
    <row r="2680">
      <c r="A2680" s="75">
        <v>2674.0</v>
      </c>
      <c r="B2680" s="62" t="s">
        <v>1306</v>
      </c>
      <c r="C2680" s="62" t="s">
        <v>88</v>
      </c>
      <c r="D2680" s="62" t="s">
        <v>1657</v>
      </c>
      <c r="E2680" s="76">
        <v>44060.0</v>
      </c>
      <c r="F2680" s="77">
        <v>0.10416666666666667</v>
      </c>
      <c r="G2680" s="62" t="b">
        <v>1</v>
      </c>
      <c r="H2680" s="78" t="b">
        <f>IF(VLOOKUP(C2680,Projetos!A:L,12,false)=TRUE,TRUE,FALSE)</f>
        <v>1</v>
      </c>
      <c r="I2680" s="68">
        <v>37.66052106481481</v>
      </c>
      <c r="J2680" s="68">
        <f t="shared" si="1"/>
        <v>94.15130266</v>
      </c>
      <c r="K2680" s="68" t="b">
        <v>1</v>
      </c>
    </row>
    <row r="2681">
      <c r="A2681" s="75">
        <v>2675.0</v>
      </c>
      <c r="B2681" s="62" t="s">
        <v>1306</v>
      </c>
      <c r="C2681" s="62" t="s">
        <v>88</v>
      </c>
      <c r="D2681" s="62" t="s">
        <v>1658</v>
      </c>
      <c r="E2681" s="76">
        <v>44061.0</v>
      </c>
      <c r="F2681" s="77">
        <v>0.08333333333333333</v>
      </c>
      <c r="G2681" s="62" t="b">
        <v>1</v>
      </c>
      <c r="H2681" s="78" t="b">
        <f>IF(VLOOKUP(C2681,Projetos!A:L,12,false)=TRUE,TRUE,FALSE)</f>
        <v>1</v>
      </c>
      <c r="I2681" s="68">
        <v>37.66052106481481</v>
      </c>
      <c r="J2681" s="68">
        <f t="shared" si="1"/>
        <v>75.32104213</v>
      </c>
      <c r="K2681" s="68" t="b">
        <v>1</v>
      </c>
    </row>
    <row r="2682">
      <c r="A2682" s="75">
        <v>2676.0</v>
      </c>
      <c r="B2682" s="62" t="s">
        <v>1306</v>
      </c>
      <c r="C2682" s="62" t="s">
        <v>88</v>
      </c>
      <c r="D2682" s="62" t="s">
        <v>1659</v>
      </c>
      <c r="E2682" s="76">
        <v>44061.0</v>
      </c>
      <c r="F2682" s="77">
        <v>0.0625</v>
      </c>
      <c r="G2682" s="62" t="b">
        <v>1</v>
      </c>
      <c r="H2682" s="78" t="b">
        <f>IF(VLOOKUP(C2682,Projetos!A:L,12,false)=TRUE,TRUE,FALSE)</f>
        <v>1</v>
      </c>
      <c r="I2682" s="68">
        <v>37.66052106481481</v>
      </c>
      <c r="J2682" s="68">
        <f t="shared" si="1"/>
        <v>56.4907816</v>
      </c>
      <c r="K2682" s="68" t="b">
        <v>1</v>
      </c>
    </row>
    <row r="2683">
      <c r="A2683" s="75">
        <v>2677.0</v>
      </c>
      <c r="B2683" s="62" t="s">
        <v>1306</v>
      </c>
      <c r="C2683" s="62" t="s">
        <v>88</v>
      </c>
      <c r="D2683" s="62" t="s">
        <v>1659</v>
      </c>
      <c r="E2683" s="76">
        <v>44068.0</v>
      </c>
      <c r="F2683" s="77">
        <v>0.041666666666666664</v>
      </c>
      <c r="G2683" s="62" t="b">
        <v>1</v>
      </c>
      <c r="H2683" s="78" t="b">
        <f>IF(VLOOKUP(C2683,Projetos!A:L,12,false)=TRUE,TRUE,FALSE)</f>
        <v>1</v>
      </c>
      <c r="I2683" s="68">
        <v>37.66052106481481</v>
      </c>
      <c r="J2683" s="68">
        <f t="shared" si="1"/>
        <v>37.66052106</v>
      </c>
      <c r="K2683" s="68" t="b">
        <v>1</v>
      </c>
    </row>
    <row r="2684">
      <c r="A2684" s="75">
        <v>2678.0</v>
      </c>
      <c r="B2684" s="62" t="s">
        <v>1306</v>
      </c>
      <c r="C2684" s="62" t="s">
        <v>88</v>
      </c>
      <c r="D2684" s="62" t="s">
        <v>1659</v>
      </c>
      <c r="E2684" s="76">
        <v>44071.0</v>
      </c>
      <c r="F2684" s="77">
        <v>0.041666666666666664</v>
      </c>
      <c r="G2684" s="62" t="b">
        <v>1</v>
      </c>
      <c r="H2684" s="78" t="b">
        <f>IF(VLOOKUP(C2684,Projetos!A:L,12,false)=TRUE,TRUE,FALSE)</f>
        <v>1</v>
      </c>
      <c r="I2684" s="68">
        <v>37.66052106481481</v>
      </c>
      <c r="J2684" s="68">
        <f t="shared" si="1"/>
        <v>37.66052106</v>
      </c>
      <c r="K2684" s="68" t="b">
        <v>1</v>
      </c>
    </row>
    <row r="2685">
      <c r="A2685" s="75">
        <v>2679.0</v>
      </c>
      <c r="B2685" s="62" t="s">
        <v>1306</v>
      </c>
      <c r="C2685" s="62" t="s">
        <v>90</v>
      </c>
      <c r="D2685" s="62" t="s">
        <v>1660</v>
      </c>
      <c r="E2685" s="76">
        <v>44046.0</v>
      </c>
      <c r="F2685" s="77">
        <v>0.041666666666666664</v>
      </c>
      <c r="G2685" s="62" t="b">
        <v>1</v>
      </c>
      <c r="H2685" s="78" t="b">
        <f>IF(VLOOKUP(C2685,Projetos!A:L,12,false)=TRUE,TRUE,FALSE)</f>
        <v>1</v>
      </c>
      <c r="I2685" s="68">
        <v>37.66052106481481</v>
      </c>
      <c r="J2685" s="68">
        <f t="shared" si="1"/>
        <v>37.66052106</v>
      </c>
      <c r="K2685" s="68" t="b">
        <v>1</v>
      </c>
    </row>
    <row r="2686">
      <c r="A2686" s="75">
        <v>2680.0</v>
      </c>
      <c r="B2686" s="62" t="s">
        <v>1306</v>
      </c>
      <c r="C2686" s="62" t="s">
        <v>90</v>
      </c>
      <c r="D2686" s="62" t="s">
        <v>1661</v>
      </c>
      <c r="E2686" s="76">
        <v>44047.0</v>
      </c>
      <c r="F2686" s="77">
        <v>0.010416666666666666</v>
      </c>
      <c r="G2686" s="62" t="b">
        <v>1</v>
      </c>
      <c r="H2686" s="78" t="b">
        <f>IF(VLOOKUP(C2686,Projetos!A:L,12,false)=TRUE,TRUE,FALSE)</f>
        <v>1</v>
      </c>
      <c r="I2686" s="68">
        <v>37.66052106481481</v>
      </c>
      <c r="J2686" s="68">
        <f t="shared" si="1"/>
        <v>9.415130266</v>
      </c>
      <c r="K2686" s="68" t="b">
        <v>1</v>
      </c>
    </row>
    <row r="2687" hidden="1">
      <c r="A2687" s="75">
        <v>2681.0</v>
      </c>
      <c r="B2687" s="62" t="s">
        <v>1306</v>
      </c>
      <c r="C2687" s="62" t="s">
        <v>90</v>
      </c>
      <c r="D2687" s="62" t="s">
        <v>1662</v>
      </c>
      <c r="E2687" s="76">
        <v>44048.0</v>
      </c>
      <c r="F2687" s="77">
        <v>0.0625</v>
      </c>
      <c r="G2687" s="62" t="b">
        <v>0</v>
      </c>
      <c r="H2687" s="78" t="b">
        <f>IF(VLOOKUP(C2687,Projetos!A:L,12,false)=TRUE,TRUE,FALSE)</f>
        <v>1</v>
      </c>
      <c r="I2687" s="68">
        <v>37.66052106481481</v>
      </c>
      <c r="J2687" s="68">
        <f t="shared" si="1"/>
        <v>0</v>
      </c>
      <c r="K2687" s="68" t="b">
        <v>1</v>
      </c>
    </row>
    <row r="2688">
      <c r="A2688" s="75">
        <v>2682.0</v>
      </c>
      <c r="B2688" s="62" t="s">
        <v>1306</v>
      </c>
      <c r="C2688" s="62" t="s">
        <v>90</v>
      </c>
      <c r="D2688" s="62" t="s">
        <v>1485</v>
      </c>
      <c r="E2688" s="76">
        <v>44048.0</v>
      </c>
      <c r="F2688" s="77">
        <v>0.041666666666666664</v>
      </c>
      <c r="G2688" s="62" t="b">
        <v>1</v>
      </c>
      <c r="H2688" s="78" t="b">
        <f>IF(VLOOKUP(C2688,Projetos!A:L,12,false)=TRUE,TRUE,FALSE)</f>
        <v>1</v>
      </c>
      <c r="I2688" s="68">
        <v>37.66052106481481</v>
      </c>
      <c r="J2688" s="68">
        <f t="shared" si="1"/>
        <v>37.66052106</v>
      </c>
      <c r="K2688" s="68" t="b">
        <v>1</v>
      </c>
    </row>
    <row r="2689">
      <c r="A2689" s="75">
        <v>2683.0</v>
      </c>
      <c r="B2689" s="62" t="s">
        <v>1306</v>
      </c>
      <c r="C2689" s="62" t="s">
        <v>90</v>
      </c>
      <c r="D2689" s="62" t="s">
        <v>1663</v>
      </c>
      <c r="E2689" s="76">
        <v>44048.0</v>
      </c>
      <c r="F2689" s="77">
        <v>0.0625</v>
      </c>
      <c r="G2689" s="62" t="b">
        <v>1</v>
      </c>
      <c r="H2689" s="78" t="b">
        <f>IF(VLOOKUP(C2689,Projetos!A:L,12,false)=TRUE,TRUE,FALSE)</f>
        <v>1</v>
      </c>
      <c r="I2689" s="68">
        <v>37.66052106481481</v>
      </c>
      <c r="J2689" s="68">
        <f t="shared" si="1"/>
        <v>56.4907816</v>
      </c>
      <c r="K2689" s="68" t="b">
        <v>1</v>
      </c>
    </row>
    <row r="2690">
      <c r="A2690" s="75">
        <v>2684.0</v>
      </c>
      <c r="B2690" s="62" t="s">
        <v>1306</v>
      </c>
      <c r="C2690" s="62" t="s">
        <v>90</v>
      </c>
      <c r="D2690" s="62" t="s">
        <v>1664</v>
      </c>
      <c r="E2690" s="76">
        <v>44050.0</v>
      </c>
      <c r="F2690" s="77">
        <v>0.020833333333333332</v>
      </c>
      <c r="G2690" s="62" t="b">
        <v>1</v>
      </c>
      <c r="H2690" s="78" t="b">
        <f>IF(VLOOKUP(C2690,Projetos!A:L,12,false)=TRUE,TRUE,FALSE)</f>
        <v>1</v>
      </c>
      <c r="I2690" s="68">
        <v>37.66052106481481</v>
      </c>
      <c r="J2690" s="68">
        <f t="shared" si="1"/>
        <v>18.83026053</v>
      </c>
      <c r="K2690" s="68" t="b">
        <v>1</v>
      </c>
    </row>
    <row r="2691">
      <c r="A2691" s="75">
        <v>2685.0</v>
      </c>
      <c r="B2691" s="62" t="s">
        <v>1306</v>
      </c>
      <c r="C2691" s="62" t="s">
        <v>90</v>
      </c>
      <c r="D2691" s="62" t="s">
        <v>1665</v>
      </c>
      <c r="E2691" s="76">
        <v>44053.0</v>
      </c>
      <c r="F2691" s="77">
        <v>0.125</v>
      </c>
      <c r="G2691" s="62" t="b">
        <v>1</v>
      </c>
      <c r="H2691" s="78" t="b">
        <f>IF(VLOOKUP(C2691,Projetos!A:L,12,false)=TRUE,TRUE,FALSE)</f>
        <v>1</v>
      </c>
      <c r="I2691" s="68">
        <v>37.66052106481481</v>
      </c>
      <c r="J2691" s="68">
        <f t="shared" si="1"/>
        <v>112.9815632</v>
      </c>
      <c r="K2691" s="68" t="b">
        <v>1</v>
      </c>
    </row>
    <row r="2692">
      <c r="A2692" s="75">
        <v>2686.0</v>
      </c>
      <c r="B2692" s="62" t="s">
        <v>1306</v>
      </c>
      <c r="C2692" s="62" t="s">
        <v>90</v>
      </c>
      <c r="D2692" s="62" t="s">
        <v>1665</v>
      </c>
      <c r="E2692" s="76">
        <v>44053.0</v>
      </c>
      <c r="F2692" s="77">
        <v>0.041666666666666664</v>
      </c>
      <c r="G2692" s="62" t="b">
        <v>1</v>
      </c>
      <c r="H2692" s="78" t="b">
        <f>IF(VLOOKUP(C2692,Projetos!A:L,12,false)=TRUE,TRUE,FALSE)</f>
        <v>1</v>
      </c>
      <c r="I2692" s="68">
        <v>37.66052106481481</v>
      </c>
      <c r="J2692" s="68">
        <f t="shared" si="1"/>
        <v>37.66052106</v>
      </c>
      <c r="K2692" s="68" t="b">
        <v>1</v>
      </c>
    </row>
    <row r="2693" hidden="1">
      <c r="A2693" s="75">
        <v>2687.0</v>
      </c>
      <c r="B2693" s="62" t="s">
        <v>1306</v>
      </c>
      <c r="C2693" s="62" t="s">
        <v>90</v>
      </c>
      <c r="D2693" s="62" t="s">
        <v>1666</v>
      </c>
      <c r="E2693" s="76">
        <v>44054.0</v>
      </c>
      <c r="F2693" s="77">
        <v>0.08333333333333333</v>
      </c>
      <c r="G2693" s="62" t="b">
        <v>0</v>
      </c>
      <c r="H2693" s="78" t="b">
        <f>IF(VLOOKUP(C2693,Projetos!A:L,12,false)=TRUE,TRUE,FALSE)</f>
        <v>1</v>
      </c>
      <c r="I2693" s="68">
        <v>37.66052106481481</v>
      </c>
      <c r="J2693" s="68">
        <f t="shared" si="1"/>
        <v>0</v>
      </c>
      <c r="K2693" s="68" t="b">
        <v>1</v>
      </c>
    </row>
    <row r="2694">
      <c r="A2694" s="75">
        <v>2688.0</v>
      </c>
      <c r="B2694" s="62" t="s">
        <v>1306</v>
      </c>
      <c r="C2694" s="62" t="s">
        <v>90</v>
      </c>
      <c r="D2694" s="62" t="s">
        <v>1667</v>
      </c>
      <c r="E2694" s="76">
        <v>44055.0</v>
      </c>
      <c r="F2694" s="77">
        <v>0.0625</v>
      </c>
      <c r="G2694" s="62" t="b">
        <v>1</v>
      </c>
      <c r="H2694" s="78" t="b">
        <f>IF(VLOOKUP(C2694,Projetos!A:L,12,false)=TRUE,TRUE,FALSE)</f>
        <v>1</v>
      </c>
      <c r="I2694" s="68">
        <v>37.66052106481481</v>
      </c>
      <c r="J2694" s="68">
        <f t="shared" si="1"/>
        <v>56.4907816</v>
      </c>
      <c r="K2694" s="68" t="b">
        <v>1</v>
      </c>
    </row>
    <row r="2695">
      <c r="A2695" s="75">
        <v>2689.0</v>
      </c>
      <c r="B2695" s="62" t="s">
        <v>1306</v>
      </c>
      <c r="C2695" s="62" t="s">
        <v>90</v>
      </c>
      <c r="D2695" s="62" t="s">
        <v>1668</v>
      </c>
      <c r="E2695" s="76">
        <v>44057.0</v>
      </c>
      <c r="F2695" s="77">
        <v>0.16666666666666666</v>
      </c>
      <c r="G2695" s="62" t="b">
        <v>1</v>
      </c>
      <c r="H2695" s="78" t="b">
        <f>IF(VLOOKUP(C2695,Projetos!A:L,12,false)=TRUE,TRUE,FALSE)</f>
        <v>1</v>
      </c>
      <c r="I2695" s="68">
        <v>37.66052106481481</v>
      </c>
      <c r="J2695" s="68">
        <f t="shared" si="1"/>
        <v>150.6420843</v>
      </c>
      <c r="K2695" s="68" t="b">
        <v>1</v>
      </c>
    </row>
    <row r="2696">
      <c r="A2696" s="75">
        <v>2690.0</v>
      </c>
      <c r="B2696" s="62" t="s">
        <v>1306</v>
      </c>
      <c r="C2696" s="62" t="s">
        <v>90</v>
      </c>
      <c r="D2696" s="62" t="s">
        <v>1669</v>
      </c>
      <c r="E2696" s="76">
        <v>44057.0</v>
      </c>
      <c r="F2696" s="77">
        <v>0.041666666666666664</v>
      </c>
      <c r="G2696" s="62" t="b">
        <v>1</v>
      </c>
      <c r="H2696" s="78" t="b">
        <f>IF(VLOOKUP(C2696,Projetos!A:L,12,false)=TRUE,TRUE,FALSE)</f>
        <v>1</v>
      </c>
      <c r="I2696" s="68">
        <v>37.66052106481481</v>
      </c>
      <c r="J2696" s="68">
        <f t="shared" si="1"/>
        <v>37.66052106</v>
      </c>
      <c r="K2696" s="68" t="b">
        <v>1</v>
      </c>
    </row>
    <row r="2697">
      <c r="A2697" s="75">
        <v>2691.0</v>
      </c>
      <c r="B2697" s="62" t="s">
        <v>1306</v>
      </c>
      <c r="C2697" s="62" t="s">
        <v>90</v>
      </c>
      <c r="D2697" s="62" t="s">
        <v>1397</v>
      </c>
      <c r="E2697" s="76">
        <v>44061.0</v>
      </c>
      <c r="F2697" s="77">
        <v>0.041666666666666664</v>
      </c>
      <c r="G2697" s="62" t="b">
        <v>1</v>
      </c>
      <c r="H2697" s="78" t="b">
        <f>IF(VLOOKUP(C2697,Projetos!A:L,12,false)=TRUE,TRUE,FALSE)</f>
        <v>1</v>
      </c>
      <c r="I2697" s="68">
        <v>37.66052106481481</v>
      </c>
      <c r="J2697" s="68">
        <f t="shared" si="1"/>
        <v>37.66052106</v>
      </c>
      <c r="K2697" s="68" t="b">
        <v>1</v>
      </c>
    </row>
    <row r="2698">
      <c r="A2698" s="75">
        <v>2692.0</v>
      </c>
      <c r="B2698" s="62" t="s">
        <v>1306</v>
      </c>
      <c r="C2698" s="62" t="s">
        <v>90</v>
      </c>
      <c r="D2698" s="62" t="s">
        <v>1670</v>
      </c>
      <c r="E2698" s="76">
        <v>44061.0</v>
      </c>
      <c r="F2698" s="77">
        <v>0.10416666666666667</v>
      </c>
      <c r="G2698" s="62" t="b">
        <v>1</v>
      </c>
      <c r="H2698" s="78" t="b">
        <f>IF(VLOOKUP(C2698,Projetos!A:L,12,false)=TRUE,TRUE,FALSE)</f>
        <v>1</v>
      </c>
      <c r="I2698" s="68">
        <v>37.66052106481481</v>
      </c>
      <c r="J2698" s="68">
        <f t="shared" si="1"/>
        <v>94.15130266</v>
      </c>
      <c r="K2698" s="68" t="b">
        <v>1</v>
      </c>
    </row>
    <row r="2699">
      <c r="A2699" s="75">
        <v>2693.0</v>
      </c>
      <c r="B2699" s="62" t="s">
        <v>1306</v>
      </c>
      <c r="C2699" s="62" t="s">
        <v>90</v>
      </c>
      <c r="D2699" s="62" t="s">
        <v>1397</v>
      </c>
      <c r="E2699" s="76">
        <v>44062.0</v>
      </c>
      <c r="F2699" s="77">
        <v>0.08333333333333333</v>
      </c>
      <c r="G2699" s="62" t="b">
        <v>1</v>
      </c>
      <c r="H2699" s="78" t="b">
        <f>IF(VLOOKUP(C2699,Projetos!A:L,12,false)=TRUE,TRUE,FALSE)</f>
        <v>1</v>
      </c>
      <c r="I2699" s="68">
        <v>37.66052106481481</v>
      </c>
      <c r="J2699" s="68">
        <f t="shared" si="1"/>
        <v>75.32104213</v>
      </c>
      <c r="K2699" s="68" t="b">
        <v>1</v>
      </c>
    </row>
    <row r="2700">
      <c r="A2700" s="75">
        <v>2694.0</v>
      </c>
      <c r="B2700" s="62" t="s">
        <v>1306</v>
      </c>
      <c r="C2700" s="62" t="s">
        <v>90</v>
      </c>
      <c r="D2700" s="62" t="s">
        <v>1671</v>
      </c>
      <c r="E2700" s="76">
        <v>44064.0</v>
      </c>
      <c r="F2700" s="77">
        <v>0.07291666666666667</v>
      </c>
      <c r="G2700" s="62" t="b">
        <v>1</v>
      </c>
      <c r="H2700" s="78" t="b">
        <f>IF(VLOOKUP(C2700,Projetos!A:L,12,false)=TRUE,TRUE,FALSE)</f>
        <v>1</v>
      </c>
      <c r="I2700" s="68">
        <v>37.66052106481481</v>
      </c>
      <c r="J2700" s="68">
        <f t="shared" si="1"/>
        <v>65.90591186</v>
      </c>
      <c r="K2700" s="68" t="b">
        <v>1</v>
      </c>
    </row>
    <row r="2701">
      <c r="A2701" s="75">
        <v>2695.0</v>
      </c>
      <c r="B2701" s="62" t="s">
        <v>1306</v>
      </c>
      <c r="C2701" s="62" t="s">
        <v>90</v>
      </c>
      <c r="D2701" s="62" t="s">
        <v>1672</v>
      </c>
      <c r="E2701" s="76">
        <v>44067.0</v>
      </c>
      <c r="F2701" s="77">
        <v>0.08333333333333333</v>
      </c>
      <c r="G2701" s="62" t="b">
        <v>1</v>
      </c>
      <c r="H2701" s="78" t="b">
        <f>IF(VLOOKUP(C2701,Projetos!A:L,12,false)=TRUE,TRUE,FALSE)</f>
        <v>1</v>
      </c>
      <c r="I2701" s="68">
        <v>37.66052106481481</v>
      </c>
      <c r="J2701" s="68">
        <f t="shared" si="1"/>
        <v>75.32104213</v>
      </c>
      <c r="K2701" s="68" t="b">
        <v>1</v>
      </c>
    </row>
    <row r="2702">
      <c r="A2702" s="75">
        <v>2696.0</v>
      </c>
      <c r="B2702" s="62" t="s">
        <v>1306</v>
      </c>
      <c r="C2702" s="62" t="s">
        <v>90</v>
      </c>
      <c r="D2702" s="62" t="s">
        <v>1673</v>
      </c>
      <c r="E2702" s="76">
        <v>44068.0</v>
      </c>
      <c r="F2702" s="77">
        <v>0.041666666666666664</v>
      </c>
      <c r="G2702" s="62" t="b">
        <v>1</v>
      </c>
      <c r="H2702" s="78" t="b">
        <f>IF(VLOOKUP(C2702,Projetos!A:L,12,false)=TRUE,TRUE,FALSE)</f>
        <v>1</v>
      </c>
      <c r="I2702" s="68">
        <v>37.66052106481481</v>
      </c>
      <c r="J2702" s="68">
        <f t="shared" si="1"/>
        <v>37.66052106</v>
      </c>
      <c r="K2702" s="68" t="b">
        <v>1</v>
      </c>
    </row>
    <row r="2703">
      <c r="A2703" s="75">
        <v>2697.0</v>
      </c>
      <c r="B2703" s="62" t="s">
        <v>1306</v>
      </c>
      <c r="C2703" s="62" t="s">
        <v>90</v>
      </c>
      <c r="D2703" s="62" t="s">
        <v>1674</v>
      </c>
      <c r="E2703" s="76">
        <v>44070.0</v>
      </c>
      <c r="F2703" s="77">
        <v>0.125</v>
      </c>
      <c r="G2703" s="62" t="b">
        <v>1</v>
      </c>
      <c r="H2703" s="78" t="b">
        <f>IF(VLOOKUP(C2703,Projetos!A:L,12,false)=TRUE,TRUE,FALSE)</f>
        <v>1</v>
      </c>
      <c r="I2703" s="68">
        <v>37.66052106481481</v>
      </c>
      <c r="J2703" s="68">
        <f t="shared" si="1"/>
        <v>112.9815632</v>
      </c>
      <c r="K2703" s="68" t="b">
        <v>1</v>
      </c>
    </row>
    <row r="2704">
      <c r="A2704" s="75">
        <v>2698.0</v>
      </c>
      <c r="B2704" s="62" t="s">
        <v>1306</v>
      </c>
      <c r="C2704" s="62" t="s">
        <v>90</v>
      </c>
      <c r="D2704" s="62" t="s">
        <v>971</v>
      </c>
      <c r="E2704" s="76">
        <v>44071.0</v>
      </c>
      <c r="F2704" s="77">
        <v>0.03125</v>
      </c>
      <c r="G2704" s="62" t="b">
        <v>1</v>
      </c>
      <c r="H2704" s="78" t="b">
        <f>IF(VLOOKUP(C2704,Projetos!A:L,12,false)=TRUE,TRUE,FALSE)</f>
        <v>1</v>
      </c>
      <c r="I2704" s="68">
        <v>37.66052106481481</v>
      </c>
      <c r="J2704" s="68">
        <f t="shared" si="1"/>
        <v>28.2453908</v>
      </c>
      <c r="K2704" s="68" t="b">
        <v>1</v>
      </c>
    </row>
    <row r="2705">
      <c r="A2705" s="75">
        <v>2699.0</v>
      </c>
      <c r="B2705" s="62" t="s">
        <v>1306</v>
      </c>
      <c r="C2705" s="62" t="s">
        <v>90</v>
      </c>
      <c r="D2705" s="62" t="s">
        <v>1675</v>
      </c>
      <c r="E2705" s="76">
        <v>44071.0</v>
      </c>
      <c r="F2705" s="77">
        <v>0.0625</v>
      </c>
      <c r="G2705" s="62" t="b">
        <v>1</v>
      </c>
      <c r="H2705" s="78" t="b">
        <f>IF(VLOOKUP(C2705,Projetos!A:L,12,false)=TRUE,TRUE,FALSE)</f>
        <v>1</v>
      </c>
      <c r="I2705" s="68">
        <v>37.66052106481481</v>
      </c>
      <c r="J2705" s="68">
        <f t="shared" si="1"/>
        <v>56.4907816</v>
      </c>
      <c r="K2705" s="68" t="b">
        <v>1</v>
      </c>
    </row>
    <row r="2706" hidden="1">
      <c r="A2706" s="75">
        <v>2700.0</v>
      </c>
      <c r="B2706" s="62" t="s">
        <v>1306</v>
      </c>
      <c r="C2706" s="62" t="s">
        <v>90</v>
      </c>
      <c r="D2706" s="62" t="s">
        <v>1676</v>
      </c>
      <c r="E2706" s="76">
        <v>44074.0</v>
      </c>
      <c r="F2706" s="77">
        <v>0.0625</v>
      </c>
      <c r="G2706" s="62" t="b">
        <v>0</v>
      </c>
      <c r="H2706" s="78" t="b">
        <f>IF(VLOOKUP(C2706,Projetos!A:L,12,false)=TRUE,TRUE,FALSE)</f>
        <v>1</v>
      </c>
      <c r="I2706" s="68">
        <v>37.66052106481481</v>
      </c>
      <c r="J2706" s="68">
        <f t="shared" si="1"/>
        <v>0</v>
      </c>
      <c r="K2706" s="68" t="b">
        <v>1</v>
      </c>
    </row>
    <row r="2707">
      <c r="A2707" s="75">
        <v>2701.0</v>
      </c>
      <c r="B2707" s="62" t="s">
        <v>1306</v>
      </c>
      <c r="C2707" s="62" t="s">
        <v>97</v>
      </c>
      <c r="D2707" s="62" t="s">
        <v>1677</v>
      </c>
      <c r="E2707" s="76">
        <v>44053.0</v>
      </c>
      <c r="F2707" s="77">
        <v>0.052083333333333336</v>
      </c>
      <c r="G2707" s="62" t="b">
        <v>1</v>
      </c>
      <c r="H2707" s="78" t="b">
        <f>IF(VLOOKUP(C2707,Projetos!A:L,12,false)=TRUE,TRUE,FALSE)</f>
        <v>1</v>
      </c>
      <c r="I2707" s="68">
        <v>37.66052106481481</v>
      </c>
      <c r="J2707" s="68">
        <f t="shared" si="1"/>
        <v>47.07565133</v>
      </c>
      <c r="K2707" s="68" t="b">
        <v>1</v>
      </c>
    </row>
    <row r="2708">
      <c r="A2708" s="75">
        <v>2702.0</v>
      </c>
      <c r="B2708" s="62" t="s">
        <v>1306</v>
      </c>
      <c r="C2708" s="62" t="s">
        <v>98</v>
      </c>
      <c r="D2708" s="62" t="s">
        <v>1678</v>
      </c>
      <c r="E2708" s="76">
        <v>44056.0</v>
      </c>
      <c r="F2708" s="77">
        <v>0.1875</v>
      </c>
      <c r="G2708" s="62" t="b">
        <v>1</v>
      </c>
      <c r="H2708" s="78" t="b">
        <f>IF(VLOOKUP(C2708,Projetos!A:L,12,false)=TRUE,TRUE,FALSE)</f>
        <v>1</v>
      </c>
      <c r="I2708" s="68">
        <v>37.66052106481481</v>
      </c>
      <c r="J2708" s="68">
        <f t="shared" si="1"/>
        <v>169.4723448</v>
      </c>
      <c r="K2708" s="68" t="b">
        <v>1</v>
      </c>
    </row>
    <row r="2709">
      <c r="A2709" s="75">
        <v>2703.0</v>
      </c>
      <c r="B2709" s="62" t="s">
        <v>1306</v>
      </c>
      <c r="C2709" s="62" t="s">
        <v>98</v>
      </c>
      <c r="D2709" s="62" t="s">
        <v>1679</v>
      </c>
      <c r="E2709" s="76">
        <v>44061.0</v>
      </c>
      <c r="F2709" s="77">
        <v>0.03125</v>
      </c>
      <c r="G2709" s="62" t="b">
        <v>1</v>
      </c>
      <c r="H2709" s="78" t="b">
        <f>IF(VLOOKUP(C2709,Projetos!A:L,12,false)=TRUE,TRUE,FALSE)</f>
        <v>1</v>
      </c>
      <c r="I2709" s="68">
        <v>37.66052106481481</v>
      </c>
      <c r="J2709" s="68">
        <f t="shared" si="1"/>
        <v>28.2453908</v>
      </c>
      <c r="K2709" s="68" t="b">
        <v>1</v>
      </c>
    </row>
    <row r="2710">
      <c r="A2710" s="75">
        <v>2704.0</v>
      </c>
      <c r="B2710" s="62" t="s">
        <v>1306</v>
      </c>
      <c r="C2710" s="62" t="s">
        <v>100</v>
      </c>
      <c r="D2710" s="62" t="s">
        <v>1423</v>
      </c>
      <c r="E2710" s="76">
        <v>44047.0</v>
      </c>
      <c r="F2710" s="77">
        <v>0.020833333333333332</v>
      </c>
      <c r="G2710" s="62" t="b">
        <v>1</v>
      </c>
      <c r="H2710" s="78" t="b">
        <f>IF(VLOOKUP(C2710,Projetos!A:L,12,false)=TRUE,TRUE,FALSE)</f>
        <v>1</v>
      </c>
      <c r="I2710" s="68">
        <v>37.66052106481481</v>
      </c>
      <c r="J2710" s="68">
        <f t="shared" si="1"/>
        <v>18.83026053</v>
      </c>
      <c r="K2710" s="68" t="b">
        <v>1</v>
      </c>
    </row>
    <row r="2711">
      <c r="A2711" s="75">
        <v>2705.0</v>
      </c>
      <c r="B2711" s="62" t="s">
        <v>1306</v>
      </c>
      <c r="C2711" s="62" t="s">
        <v>100</v>
      </c>
      <c r="D2711" s="62" t="s">
        <v>1508</v>
      </c>
      <c r="E2711" s="76">
        <v>44048.0</v>
      </c>
      <c r="F2711" s="77">
        <v>0.0625</v>
      </c>
      <c r="G2711" s="62" t="b">
        <v>1</v>
      </c>
      <c r="H2711" s="78" t="b">
        <f>IF(VLOOKUP(C2711,Projetos!A:L,12,false)=TRUE,TRUE,FALSE)</f>
        <v>1</v>
      </c>
      <c r="I2711" s="68">
        <v>37.66052106481481</v>
      </c>
      <c r="J2711" s="68">
        <f t="shared" si="1"/>
        <v>56.4907816</v>
      </c>
      <c r="K2711" s="68" t="b">
        <v>1</v>
      </c>
    </row>
    <row r="2712">
      <c r="A2712" s="75">
        <v>2706.0</v>
      </c>
      <c r="B2712" s="62" t="s">
        <v>1306</v>
      </c>
      <c r="C2712" s="62" t="s">
        <v>100</v>
      </c>
      <c r="D2712" s="62" t="s">
        <v>1680</v>
      </c>
      <c r="E2712" s="76">
        <v>44057.0</v>
      </c>
      <c r="F2712" s="77">
        <v>0.0625</v>
      </c>
      <c r="G2712" s="62" t="b">
        <v>1</v>
      </c>
      <c r="H2712" s="78" t="b">
        <f>IF(VLOOKUP(C2712,Projetos!A:L,12,false)=TRUE,TRUE,FALSE)</f>
        <v>1</v>
      </c>
      <c r="I2712" s="68">
        <v>37.66052106481481</v>
      </c>
      <c r="J2712" s="68">
        <f t="shared" si="1"/>
        <v>56.4907816</v>
      </c>
      <c r="K2712" s="68" t="b">
        <v>1</v>
      </c>
    </row>
    <row r="2713">
      <c r="A2713" s="75">
        <v>2707.0</v>
      </c>
      <c r="B2713" s="62" t="s">
        <v>1306</v>
      </c>
      <c r="C2713" s="62" t="s">
        <v>100</v>
      </c>
      <c r="D2713" s="62" t="s">
        <v>1308</v>
      </c>
      <c r="E2713" s="76">
        <v>44057.0</v>
      </c>
      <c r="F2713" s="77">
        <v>0.041666666666666664</v>
      </c>
      <c r="G2713" s="62" t="b">
        <v>1</v>
      </c>
      <c r="H2713" s="78" t="b">
        <f>IF(VLOOKUP(C2713,Projetos!A:L,12,false)=TRUE,TRUE,FALSE)</f>
        <v>1</v>
      </c>
      <c r="I2713" s="68">
        <v>37.66052106481481</v>
      </c>
      <c r="J2713" s="68">
        <f t="shared" si="1"/>
        <v>37.66052106</v>
      </c>
      <c r="K2713" s="68" t="b">
        <v>1</v>
      </c>
    </row>
    <row r="2714">
      <c r="A2714" s="75">
        <v>2708.0</v>
      </c>
      <c r="B2714" s="62" t="s">
        <v>1306</v>
      </c>
      <c r="C2714" s="62" t="s">
        <v>100</v>
      </c>
      <c r="D2714" s="62" t="s">
        <v>1681</v>
      </c>
      <c r="E2714" s="76">
        <v>44070.0</v>
      </c>
      <c r="F2714" s="77">
        <v>0.08333333333333333</v>
      </c>
      <c r="G2714" s="62" t="b">
        <v>1</v>
      </c>
      <c r="H2714" s="78" t="b">
        <f>IF(VLOOKUP(C2714,Projetos!A:L,12,false)=TRUE,TRUE,FALSE)</f>
        <v>1</v>
      </c>
      <c r="I2714" s="68">
        <v>37.66052106481481</v>
      </c>
      <c r="J2714" s="68">
        <f t="shared" si="1"/>
        <v>75.32104213</v>
      </c>
      <c r="K2714" s="68" t="b">
        <v>1</v>
      </c>
    </row>
    <row r="2715">
      <c r="A2715" s="75">
        <v>2709.0</v>
      </c>
      <c r="B2715" s="62" t="s">
        <v>1306</v>
      </c>
      <c r="C2715" s="62" t="s">
        <v>101</v>
      </c>
      <c r="D2715" s="62" t="s">
        <v>1682</v>
      </c>
      <c r="E2715" s="76">
        <v>44046.0</v>
      </c>
      <c r="F2715" s="77">
        <v>0.03125</v>
      </c>
      <c r="G2715" s="62" t="b">
        <v>1</v>
      </c>
      <c r="H2715" s="78" t="b">
        <f>IF(VLOOKUP(C2715,Projetos!A:L,12,false)=TRUE,TRUE,FALSE)</f>
        <v>1</v>
      </c>
      <c r="I2715" s="68">
        <v>37.66052106481481</v>
      </c>
      <c r="J2715" s="68">
        <f t="shared" si="1"/>
        <v>28.2453908</v>
      </c>
      <c r="K2715" s="68" t="b">
        <v>1</v>
      </c>
    </row>
    <row r="2716">
      <c r="A2716" s="75">
        <v>2710.0</v>
      </c>
      <c r="B2716" s="62" t="s">
        <v>1306</v>
      </c>
      <c r="C2716" s="62" t="s">
        <v>101</v>
      </c>
      <c r="D2716" s="62" t="s">
        <v>1683</v>
      </c>
      <c r="E2716" s="76">
        <v>44049.0</v>
      </c>
      <c r="F2716" s="77">
        <v>0.08333333333333333</v>
      </c>
      <c r="G2716" s="62" t="b">
        <v>1</v>
      </c>
      <c r="H2716" s="78" t="b">
        <f>IF(VLOOKUP(C2716,Projetos!A:L,12,false)=TRUE,TRUE,FALSE)</f>
        <v>1</v>
      </c>
      <c r="I2716" s="68">
        <v>37.66052106481481</v>
      </c>
      <c r="J2716" s="68">
        <f t="shared" si="1"/>
        <v>75.32104213</v>
      </c>
      <c r="K2716" s="68" t="b">
        <v>1</v>
      </c>
    </row>
    <row r="2717">
      <c r="A2717" s="75">
        <v>2711.0</v>
      </c>
      <c r="B2717" s="62" t="s">
        <v>1306</v>
      </c>
      <c r="C2717" s="62" t="s">
        <v>101</v>
      </c>
      <c r="D2717" s="62" t="s">
        <v>1684</v>
      </c>
      <c r="E2717" s="76">
        <v>44050.0</v>
      </c>
      <c r="F2717" s="77">
        <v>0.041666666666666664</v>
      </c>
      <c r="G2717" s="62" t="b">
        <v>1</v>
      </c>
      <c r="H2717" s="78" t="b">
        <f>IF(VLOOKUP(C2717,Projetos!A:L,12,false)=TRUE,TRUE,FALSE)</f>
        <v>1</v>
      </c>
      <c r="I2717" s="68">
        <v>37.66052106481481</v>
      </c>
      <c r="J2717" s="68">
        <f t="shared" si="1"/>
        <v>37.66052106</v>
      </c>
      <c r="K2717" s="68" t="b">
        <v>1</v>
      </c>
    </row>
    <row r="2718" hidden="1">
      <c r="A2718" s="75">
        <v>2712.0</v>
      </c>
      <c r="B2718" s="62" t="s">
        <v>1306</v>
      </c>
      <c r="C2718" s="62" t="s">
        <v>102</v>
      </c>
      <c r="D2718" s="62" t="s">
        <v>1685</v>
      </c>
      <c r="E2718" s="76">
        <v>44055.0</v>
      </c>
      <c r="F2718" s="77">
        <v>0.08333333333333333</v>
      </c>
      <c r="G2718" s="62" t="b">
        <v>0</v>
      </c>
      <c r="H2718" s="78" t="b">
        <f>IF(VLOOKUP(C2718,Projetos!A:L,12,false)=TRUE,TRUE,FALSE)</f>
        <v>0</v>
      </c>
      <c r="I2718" s="68">
        <v>37.66052106481481</v>
      </c>
      <c r="J2718" s="68">
        <f t="shared" si="1"/>
        <v>0</v>
      </c>
      <c r="K2718" s="68" t="b">
        <v>0</v>
      </c>
    </row>
    <row r="2719" hidden="1">
      <c r="A2719" s="75">
        <v>2713.0</v>
      </c>
      <c r="B2719" s="62" t="s">
        <v>1306</v>
      </c>
      <c r="C2719" s="62" t="s">
        <v>102</v>
      </c>
      <c r="D2719" s="62" t="s">
        <v>1686</v>
      </c>
      <c r="E2719" s="76">
        <v>44056.0</v>
      </c>
      <c r="F2719" s="77">
        <v>0.0625</v>
      </c>
      <c r="G2719" s="62" t="b">
        <v>0</v>
      </c>
      <c r="H2719" s="78" t="b">
        <f>IF(VLOOKUP(C2719,Projetos!A:L,12,false)=TRUE,TRUE,FALSE)</f>
        <v>0</v>
      </c>
      <c r="I2719" s="68">
        <v>37.66052106481481</v>
      </c>
      <c r="J2719" s="68">
        <f t="shared" si="1"/>
        <v>0</v>
      </c>
      <c r="K2719" s="68" t="b">
        <v>0</v>
      </c>
    </row>
    <row r="2720" hidden="1">
      <c r="A2720" s="75">
        <v>2714.0</v>
      </c>
      <c r="B2720" s="62" t="s">
        <v>1306</v>
      </c>
      <c r="C2720" s="62" t="s">
        <v>102</v>
      </c>
      <c r="D2720" s="62" t="s">
        <v>1687</v>
      </c>
      <c r="E2720" s="76">
        <v>44060.0</v>
      </c>
      <c r="F2720" s="77">
        <v>0.10416666666666667</v>
      </c>
      <c r="G2720" s="62" t="b">
        <v>0</v>
      </c>
      <c r="H2720" s="78" t="b">
        <f>IF(VLOOKUP(C2720,Projetos!A:L,12,false)=TRUE,TRUE,FALSE)</f>
        <v>0</v>
      </c>
      <c r="I2720" s="68">
        <v>37.66052106481481</v>
      </c>
      <c r="J2720" s="68">
        <f t="shared" si="1"/>
        <v>0</v>
      </c>
      <c r="K2720" s="68" t="b">
        <v>0</v>
      </c>
    </row>
    <row r="2721" hidden="1">
      <c r="A2721" s="75">
        <v>2715.0</v>
      </c>
      <c r="B2721" s="62" t="s">
        <v>1306</v>
      </c>
      <c r="C2721" s="62" t="s">
        <v>102</v>
      </c>
      <c r="D2721" s="62" t="s">
        <v>1678</v>
      </c>
      <c r="E2721" s="76">
        <v>44062.0</v>
      </c>
      <c r="F2721" s="77">
        <v>0.10416666666666667</v>
      </c>
      <c r="G2721" s="62" t="b">
        <v>0</v>
      </c>
      <c r="H2721" s="78" t="b">
        <f>IF(VLOOKUP(C2721,Projetos!A:L,12,false)=TRUE,TRUE,FALSE)</f>
        <v>0</v>
      </c>
      <c r="I2721" s="68">
        <v>37.66052106481481</v>
      </c>
      <c r="J2721" s="68">
        <f t="shared" si="1"/>
        <v>0</v>
      </c>
      <c r="K2721" s="68" t="b">
        <v>0</v>
      </c>
    </row>
    <row r="2722" hidden="1">
      <c r="A2722" s="75">
        <v>2716.0</v>
      </c>
      <c r="B2722" s="62" t="s">
        <v>1306</v>
      </c>
      <c r="C2722" s="62" t="s">
        <v>102</v>
      </c>
      <c r="D2722" s="62" t="s">
        <v>1688</v>
      </c>
      <c r="E2722" s="76">
        <v>44070.0</v>
      </c>
      <c r="F2722" s="77">
        <v>0.08333333333333333</v>
      </c>
      <c r="G2722" s="62" t="b">
        <v>0</v>
      </c>
      <c r="H2722" s="78" t="b">
        <f>IF(VLOOKUP(C2722,Projetos!A:L,12,false)=TRUE,TRUE,FALSE)</f>
        <v>0</v>
      </c>
      <c r="I2722" s="68">
        <v>37.66052106481481</v>
      </c>
      <c r="J2722" s="68">
        <f t="shared" si="1"/>
        <v>0</v>
      </c>
      <c r="K2722" s="68" t="b">
        <v>0</v>
      </c>
    </row>
    <row r="2723">
      <c r="A2723" s="75">
        <v>2717.0</v>
      </c>
      <c r="B2723" s="62" t="s">
        <v>1306</v>
      </c>
      <c r="C2723" s="62" t="s">
        <v>104</v>
      </c>
      <c r="D2723" s="62" t="s">
        <v>1689</v>
      </c>
      <c r="E2723" s="76">
        <v>44049.0</v>
      </c>
      <c r="F2723" s="77">
        <v>0.11458333333333333</v>
      </c>
      <c r="G2723" s="62" t="b">
        <v>1</v>
      </c>
      <c r="H2723" s="78" t="b">
        <f>IF(VLOOKUP(C2723,Projetos!A:L,12,false)=TRUE,TRUE,FALSE)</f>
        <v>1</v>
      </c>
      <c r="I2723" s="68">
        <v>37.66052106481481</v>
      </c>
      <c r="J2723" s="68">
        <f t="shared" si="1"/>
        <v>103.5664329</v>
      </c>
      <c r="K2723" s="68" t="b">
        <v>1</v>
      </c>
    </row>
    <row r="2724">
      <c r="A2724" s="75">
        <v>2718.0</v>
      </c>
      <c r="B2724" s="62" t="s">
        <v>1306</v>
      </c>
      <c r="C2724" s="62" t="s">
        <v>104</v>
      </c>
      <c r="D2724" s="62" t="s">
        <v>1690</v>
      </c>
      <c r="E2724" s="76">
        <v>44053.0</v>
      </c>
      <c r="F2724" s="77">
        <v>0.0625</v>
      </c>
      <c r="G2724" s="62" t="b">
        <v>1</v>
      </c>
      <c r="H2724" s="78" t="b">
        <f>IF(VLOOKUP(C2724,Projetos!A:L,12,false)=TRUE,TRUE,FALSE)</f>
        <v>1</v>
      </c>
      <c r="I2724" s="68">
        <v>37.66052106481481</v>
      </c>
      <c r="J2724" s="68">
        <f t="shared" si="1"/>
        <v>56.4907816</v>
      </c>
      <c r="K2724" s="68" t="b">
        <v>1</v>
      </c>
    </row>
    <row r="2725">
      <c r="A2725" s="75">
        <v>2719.0</v>
      </c>
      <c r="B2725" s="62" t="s">
        <v>1306</v>
      </c>
      <c r="C2725" s="62" t="s">
        <v>104</v>
      </c>
      <c r="D2725" s="62" t="s">
        <v>1691</v>
      </c>
      <c r="E2725" s="76">
        <v>44055.0</v>
      </c>
      <c r="F2725" s="77">
        <v>0.08333333333333333</v>
      </c>
      <c r="G2725" s="62" t="b">
        <v>1</v>
      </c>
      <c r="H2725" s="78" t="b">
        <f>IF(VLOOKUP(C2725,Projetos!A:L,12,false)=TRUE,TRUE,FALSE)</f>
        <v>1</v>
      </c>
      <c r="I2725" s="68">
        <v>37.66052106481481</v>
      </c>
      <c r="J2725" s="68">
        <f t="shared" si="1"/>
        <v>75.32104213</v>
      </c>
      <c r="K2725" s="68" t="b">
        <v>1</v>
      </c>
    </row>
    <row r="2726">
      <c r="A2726" s="75">
        <v>2720.0</v>
      </c>
      <c r="B2726" s="62" t="s">
        <v>1306</v>
      </c>
      <c r="C2726" s="62" t="s">
        <v>104</v>
      </c>
      <c r="D2726" s="62" t="s">
        <v>1692</v>
      </c>
      <c r="E2726" s="76">
        <v>44060.0</v>
      </c>
      <c r="F2726" s="77">
        <v>0.0625</v>
      </c>
      <c r="G2726" s="62" t="b">
        <v>1</v>
      </c>
      <c r="H2726" s="78" t="b">
        <f>IF(VLOOKUP(C2726,Projetos!A:L,12,false)=TRUE,TRUE,FALSE)</f>
        <v>1</v>
      </c>
      <c r="I2726" s="68">
        <v>37.66052106481481</v>
      </c>
      <c r="J2726" s="68">
        <f t="shared" si="1"/>
        <v>56.4907816</v>
      </c>
      <c r="K2726" s="68" t="b">
        <v>1</v>
      </c>
    </row>
    <row r="2727">
      <c r="A2727" s="75">
        <v>2721.0</v>
      </c>
      <c r="B2727" s="62" t="s">
        <v>1306</v>
      </c>
      <c r="C2727" s="62" t="s">
        <v>104</v>
      </c>
      <c r="D2727" s="62" t="s">
        <v>1693</v>
      </c>
      <c r="E2727" s="76">
        <v>44061.0</v>
      </c>
      <c r="F2727" s="77">
        <v>0.041666666666666664</v>
      </c>
      <c r="G2727" s="62" t="b">
        <v>1</v>
      </c>
      <c r="H2727" s="78" t="b">
        <f>IF(VLOOKUP(C2727,Projetos!A:L,12,false)=TRUE,TRUE,FALSE)</f>
        <v>1</v>
      </c>
      <c r="I2727" s="68">
        <v>37.66052106481481</v>
      </c>
      <c r="J2727" s="68">
        <f t="shared" si="1"/>
        <v>37.66052106</v>
      </c>
      <c r="K2727" s="68" t="b">
        <v>1</v>
      </c>
    </row>
    <row r="2728">
      <c r="A2728" s="75">
        <v>2722.0</v>
      </c>
      <c r="B2728" s="62" t="s">
        <v>1306</v>
      </c>
      <c r="C2728" s="62" t="s">
        <v>104</v>
      </c>
      <c r="D2728" s="62" t="s">
        <v>1689</v>
      </c>
      <c r="E2728" s="76">
        <v>44063.0</v>
      </c>
      <c r="F2728" s="77">
        <v>0.03125</v>
      </c>
      <c r="G2728" s="62" t="b">
        <v>1</v>
      </c>
      <c r="H2728" s="78" t="b">
        <f>IF(VLOOKUP(C2728,Projetos!A:L,12,false)=TRUE,TRUE,FALSE)</f>
        <v>1</v>
      </c>
      <c r="I2728" s="68">
        <v>37.66052106481481</v>
      </c>
      <c r="J2728" s="68">
        <f t="shared" si="1"/>
        <v>28.2453908</v>
      </c>
      <c r="K2728" s="68" t="b">
        <v>1</v>
      </c>
    </row>
    <row r="2729">
      <c r="A2729" s="75">
        <v>2723.0</v>
      </c>
      <c r="B2729" s="62" t="s">
        <v>1306</v>
      </c>
      <c r="C2729" s="62" t="s">
        <v>104</v>
      </c>
      <c r="D2729" s="62" t="s">
        <v>1694</v>
      </c>
      <c r="E2729" s="76">
        <v>44063.0</v>
      </c>
      <c r="F2729" s="77">
        <v>0.041666666666666664</v>
      </c>
      <c r="G2729" s="62" t="b">
        <v>1</v>
      </c>
      <c r="H2729" s="78" t="b">
        <f>IF(VLOOKUP(C2729,Projetos!A:L,12,false)=TRUE,TRUE,FALSE)</f>
        <v>1</v>
      </c>
      <c r="I2729" s="68">
        <v>37.66052106481481</v>
      </c>
      <c r="J2729" s="68">
        <f t="shared" si="1"/>
        <v>37.66052106</v>
      </c>
      <c r="K2729" s="68" t="b">
        <v>1</v>
      </c>
    </row>
    <row r="2730" hidden="1">
      <c r="A2730" s="75">
        <v>2724.0</v>
      </c>
      <c r="B2730" s="62" t="s">
        <v>1306</v>
      </c>
      <c r="C2730" s="62" t="s">
        <v>105</v>
      </c>
      <c r="D2730" s="62" t="s">
        <v>1695</v>
      </c>
      <c r="E2730" s="76">
        <v>44054.0</v>
      </c>
      <c r="F2730" s="77">
        <v>0.041666666666666664</v>
      </c>
      <c r="G2730" s="62" t="b">
        <v>0</v>
      </c>
      <c r="H2730" s="78" t="b">
        <f>IF(VLOOKUP(C2730,Projetos!A:L,12,false)=TRUE,TRUE,FALSE)</f>
        <v>1</v>
      </c>
      <c r="I2730" s="68">
        <v>37.66052106481481</v>
      </c>
      <c r="J2730" s="68">
        <f t="shared" si="1"/>
        <v>0</v>
      </c>
      <c r="K2730" s="68" t="b">
        <v>1</v>
      </c>
    </row>
    <row r="2731" hidden="1">
      <c r="A2731" s="75">
        <v>2725.0</v>
      </c>
      <c r="B2731" s="62" t="s">
        <v>1306</v>
      </c>
      <c r="C2731" s="62" t="s">
        <v>105</v>
      </c>
      <c r="D2731" s="62" t="s">
        <v>1695</v>
      </c>
      <c r="E2731" s="76">
        <v>44055.0</v>
      </c>
      <c r="F2731" s="77">
        <v>0.03125</v>
      </c>
      <c r="G2731" s="62" t="b">
        <v>0</v>
      </c>
      <c r="H2731" s="78" t="b">
        <f>IF(VLOOKUP(C2731,Projetos!A:L,12,false)=TRUE,TRUE,FALSE)</f>
        <v>1</v>
      </c>
      <c r="I2731" s="68">
        <v>37.66052106481481</v>
      </c>
      <c r="J2731" s="68">
        <f t="shared" si="1"/>
        <v>0</v>
      </c>
      <c r="K2731" s="68" t="b">
        <v>1</v>
      </c>
    </row>
    <row r="2732">
      <c r="A2732" s="75">
        <v>2726.0</v>
      </c>
      <c r="B2732" s="62" t="s">
        <v>1306</v>
      </c>
      <c r="C2732" s="62" t="s">
        <v>105</v>
      </c>
      <c r="D2732" s="62" t="s">
        <v>1696</v>
      </c>
      <c r="E2732" s="76">
        <v>44063.0</v>
      </c>
      <c r="F2732" s="77">
        <v>0.041666666666666664</v>
      </c>
      <c r="G2732" s="62" t="b">
        <v>1</v>
      </c>
      <c r="H2732" s="78" t="b">
        <f>IF(VLOOKUP(C2732,Projetos!A:L,12,false)=TRUE,TRUE,FALSE)</f>
        <v>1</v>
      </c>
      <c r="I2732" s="68">
        <v>37.66052106481481</v>
      </c>
      <c r="J2732" s="68">
        <f t="shared" si="1"/>
        <v>37.66052106</v>
      </c>
      <c r="K2732" s="68" t="b">
        <v>1</v>
      </c>
    </row>
    <row r="2733">
      <c r="A2733" s="75">
        <v>2727.0</v>
      </c>
      <c r="B2733" s="62" t="s">
        <v>1306</v>
      </c>
      <c r="C2733" s="62" t="s">
        <v>105</v>
      </c>
      <c r="D2733" s="62" t="s">
        <v>1697</v>
      </c>
      <c r="E2733" s="76">
        <v>44067.0</v>
      </c>
      <c r="F2733" s="77">
        <v>0.0625</v>
      </c>
      <c r="G2733" s="62" t="b">
        <v>1</v>
      </c>
      <c r="H2733" s="78" t="b">
        <f>IF(VLOOKUP(C2733,Projetos!A:L,12,false)=TRUE,TRUE,FALSE)</f>
        <v>1</v>
      </c>
      <c r="I2733" s="68">
        <v>37.66052106481481</v>
      </c>
      <c r="J2733" s="68">
        <f t="shared" si="1"/>
        <v>56.4907816</v>
      </c>
      <c r="K2733" s="68" t="b">
        <v>1</v>
      </c>
    </row>
    <row r="2734" hidden="1">
      <c r="A2734" s="75">
        <v>2728.0</v>
      </c>
      <c r="B2734" s="62" t="s">
        <v>1306</v>
      </c>
      <c r="C2734" s="62" t="s">
        <v>108</v>
      </c>
      <c r="D2734" s="62" t="s">
        <v>1698</v>
      </c>
      <c r="E2734" s="76">
        <v>44046.0</v>
      </c>
      <c r="F2734" s="77">
        <v>0.08333333333333333</v>
      </c>
      <c r="G2734" s="62" t="b">
        <v>0</v>
      </c>
      <c r="H2734" s="78" t="b">
        <f>IF(VLOOKUP(C2734,Projetos!A:L,12,false)=TRUE,TRUE,FALSE)</f>
        <v>1</v>
      </c>
      <c r="I2734" s="68">
        <v>37.66052106481481</v>
      </c>
      <c r="J2734" s="68">
        <f t="shared" si="1"/>
        <v>0</v>
      </c>
      <c r="K2734" s="68" t="b">
        <v>1</v>
      </c>
    </row>
    <row r="2735" hidden="1">
      <c r="A2735" s="75">
        <v>2729.0</v>
      </c>
      <c r="B2735" s="62" t="s">
        <v>1306</v>
      </c>
      <c r="C2735" s="62" t="s">
        <v>108</v>
      </c>
      <c r="D2735" s="62" t="s">
        <v>1699</v>
      </c>
      <c r="E2735" s="76">
        <v>44046.0</v>
      </c>
      <c r="F2735" s="77">
        <v>0.0625</v>
      </c>
      <c r="G2735" s="62" t="b">
        <v>0</v>
      </c>
      <c r="H2735" s="78" t="b">
        <f>IF(VLOOKUP(C2735,Projetos!A:L,12,false)=TRUE,TRUE,FALSE)</f>
        <v>1</v>
      </c>
      <c r="I2735" s="68">
        <v>37.66052106481481</v>
      </c>
      <c r="J2735" s="68">
        <f t="shared" si="1"/>
        <v>0</v>
      </c>
      <c r="K2735" s="68" t="b">
        <v>1</v>
      </c>
    </row>
    <row r="2736" hidden="1">
      <c r="A2736" s="75">
        <v>2730.0</v>
      </c>
      <c r="B2736" s="62" t="s">
        <v>1306</v>
      </c>
      <c r="C2736" s="62" t="s">
        <v>108</v>
      </c>
      <c r="D2736" s="62" t="s">
        <v>1700</v>
      </c>
      <c r="E2736" s="76">
        <v>44047.0</v>
      </c>
      <c r="F2736" s="77">
        <v>0.15625</v>
      </c>
      <c r="G2736" s="62" t="b">
        <v>0</v>
      </c>
      <c r="H2736" s="78" t="b">
        <f>IF(VLOOKUP(C2736,Projetos!A:L,12,false)=TRUE,TRUE,FALSE)</f>
        <v>1</v>
      </c>
      <c r="I2736" s="68">
        <v>37.66052106481481</v>
      </c>
      <c r="J2736" s="68">
        <f t="shared" si="1"/>
        <v>0</v>
      </c>
      <c r="K2736" s="68" t="b">
        <v>1</v>
      </c>
    </row>
    <row r="2737" hidden="1">
      <c r="A2737" s="75">
        <v>2731.0</v>
      </c>
      <c r="B2737" s="62" t="s">
        <v>1306</v>
      </c>
      <c r="C2737" s="62" t="s">
        <v>108</v>
      </c>
      <c r="D2737" s="62" t="s">
        <v>1699</v>
      </c>
      <c r="E2737" s="76">
        <v>44048.0</v>
      </c>
      <c r="F2737" s="77">
        <v>0.09375</v>
      </c>
      <c r="G2737" s="62" t="b">
        <v>0</v>
      </c>
      <c r="H2737" s="78" t="b">
        <f>IF(VLOOKUP(C2737,Projetos!A:L,12,false)=TRUE,TRUE,FALSE)</f>
        <v>1</v>
      </c>
      <c r="I2737" s="68">
        <v>37.66052106481481</v>
      </c>
      <c r="J2737" s="68">
        <f t="shared" si="1"/>
        <v>0</v>
      </c>
      <c r="K2737" s="68" t="b">
        <v>1</v>
      </c>
    </row>
    <row r="2738" hidden="1">
      <c r="A2738" s="75">
        <v>2732.0</v>
      </c>
      <c r="B2738" s="62" t="s">
        <v>1306</v>
      </c>
      <c r="C2738" s="62" t="s">
        <v>108</v>
      </c>
      <c r="D2738" s="62" t="s">
        <v>1701</v>
      </c>
      <c r="E2738" s="76">
        <v>44049.0</v>
      </c>
      <c r="F2738" s="77">
        <v>0.14583333333333334</v>
      </c>
      <c r="G2738" s="62" t="b">
        <v>0</v>
      </c>
      <c r="H2738" s="78" t="b">
        <f>IF(VLOOKUP(C2738,Projetos!A:L,12,false)=TRUE,TRUE,FALSE)</f>
        <v>1</v>
      </c>
      <c r="I2738" s="68">
        <v>37.66052106481481</v>
      </c>
      <c r="J2738" s="68">
        <f t="shared" si="1"/>
        <v>0</v>
      </c>
      <c r="K2738" s="68" t="b">
        <v>1</v>
      </c>
    </row>
    <row r="2739" hidden="1">
      <c r="A2739" s="75">
        <v>2733.0</v>
      </c>
      <c r="B2739" s="62" t="s">
        <v>1306</v>
      </c>
      <c r="C2739" s="62" t="s">
        <v>108</v>
      </c>
      <c r="D2739" s="62" t="s">
        <v>1702</v>
      </c>
      <c r="E2739" s="76">
        <v>44049.0</v>
      </c>
      <c r="F2739" s="77">
        <v>0.020833333333333332</v>
      </c>
      <c r="G2739" s="62" t="b">
        <v>0</v>
      </c>
      <c r="H2739" s="78" t="b">
        <f>IF(VLOOKUP(C2739,Projetos!A:L,12,false)=TRUE,TRUE,FALSE)</f>
        <v>1</v>
      </c>
      <c r="I2739" s="68">
        <v>37.66052106481481</v>
      </c>
      <c r="J2739" s="68">
        <f t="shared" si="1"/>
        <v>0</v>
      </c>
      <c r="K2739" s="68" t="b">
        <v>1</v>
      </c>
    </row>
    <row r="2740" hidden="1">
      <c r="A2740" s="75">
        <v>2734.0</v>
      </c>
      <c r="B2740" s="62" t="s">
        <v>1306</v>
      </c>
      <c r="C2740" s="62" t="s">
        <v>108</v>
      </c>
      <c r="D2740" s="62" t="s">
        <v>1701</v>
      </c>
      <c r="E2740" s="76">
        <v>44050.0</v>
      </c>
      <c r="F2740" s="77">
        <v>0.08333333333333333</v>
      </c>
      <c r="G2740" s="62" t="b">
        <v>0</v>
      </c>
      <c r="H2740" s="78" t="b">
        <f>IF(VLOOKUP(C2740,Projetos!A:L,12,false)=TRUE,TRUE,FALSE)</f>
        <v>1</v>
      </c>
      <c r="I2740" s="68">
        <v>37.66052106481481</v>
      </c>
      <c r="J2740" s="68">
        <f t="shared" si="1"/>
        <v>0</v>
      </c>
      <c r="K2740" s="68" t="b">
        <v>1</v>
      </c>
    </row>
    <row r="2741" hidden="1">
      <c r="A2741" s="75">
        <v>2735.0</v>
      </c>
      <c r="B2741" s="62" t="s">
        <v>1306</v>
      </c>
      <c r="C2741" s="62" t="s">
        <v>108</v>
      </c>
      <c r="D2741" s="62" t="s">
        <v>1703</v>
      </c>
      <c r="E2741" s="76">
        <v>44050.0</v>
      </c>
      <c r="F2741" s="77">
        <v>0.20833333333333334</v>
      </c>
      <c r="G2741" s="62" t="b">
        <v>0</v>
      </c>
      <c r="H2741" s="78" t="b">
        <f>IF(VLOOKUP(C2741,Projetos!A:L,12,false)=TRUE,TRUE,FALSE)</f>
        <v>1</v>
      </c>
      <c r="I2741" s="68">
        <v>37.66052106481481</v>
      </c>
      <c r="J2741" s="68">
        <f t="shared" si="1"/>
        <v>0</v>
      </c>
      <c r="K2741" s="68" t="b">
        <v>1</v>
      </c>
    </row>
    <row r="2742" hidden="1">
      <c r="A2742" s="75">
        <v>2736.0</v>
      </c>
      <c r="B2742" s="62" t="s">
        <v>1306</v>
      </c>
      <c r="C2742" s="62" t="s">
        <v>108</v>
      </c>
      <c r="D2742" s="62" t="s">
        <v>1704</v>
      </c>
      <c r="E2742" s="76">
        <v>44054.0</v>
      </c>
      <c r="F2742" s="77">
        <v>0.041666666666666664</v>
      </c>
      <c r="G2742" s="62" t="b">
        <v>0</v>
      </c>
      <c r="H2742" s="78" t="b">
        <f>IF(VLOOKUP(C2742,Projetos!A:L,12,false)=TRUE,TRUE,FALSE)</f>
        <v>1</v>
      </c>
      <c r="I2742" s="68">
        <v>37.66052106481481</v>
      </c>
      <c r="J2742" s="68">
        <f t="shared" si="1"/>
        <v>0</v>
      </c>
      <c r="K2742" s="68" t="b">
        <v>1</v>
      </c>
    </row>
    <row r="2743" hidden="1">
      <c r="A2743" s="75">
        <v>2737.0</v>
      </c>
      <c r="B2743" s="62" t="s">
        <v>1306</v>
      </c>
      <c r="C2743" s="62" t="s">
        <v>108</v>
      </c>
      <c r="D2743" s="62" t="s">
        <v>1705</v>
      </c>
      <c r="E2743" s="76">
        <v>44056.0</v>
      </c>
      <c r="F2743" s="77">
        <v>0.11458333333333333</v>
      </c>
      <c r="G2743" s="62" t="b">
        <v>0</v>
      </c>
      <c r="H2743" s="78" t="b">
        <f>IF(VLOOKUP(C2743,Projetos!A:L,12,false)=TRUE,TRUE,FALSE)</f>
        <v>1</v>
      </c>
      <c r="I2743" s="68">
        <v>37.66052106481481</v>
      </c>
      <c r="J2743" s="68">
        <f t="shared" si="1"/>
        <v>0</v>
      </c>
      <c r="K2743" s="68" t="b">
        <v>1</v>
      </c>
    </row>
    <row r="2744" hidden="1">
      <c r="A2744" s="75">
        <v>2738.0</v>
      </c>
      <c r="B2744" s="62" t="s">
        <v>1306</v>
      </c>
      <c r="C2744" s="62" t="s">
        <v>108</v>
      </c>
      <c r="D2744" s="62" t="s">
        <v>1706</v>
      </c>
      <c r="E2744" s="76">
        <v>44062.0</v>
      </c>
      <c r="F2744" s="77">
        <v>0.07291666666666667</v>
      </c>
      <c r="G2744" s="62" t="b">
        <v>0</v>
      </c>
      <c r="H2744" s="78" t="b">
        <f>IF(VLOOKUP(C2744,Projetos!A:L,12,false)=TRUE,TRUE,FALSE)</f>
        <v>1</v>
      </c>
      <c r="I2744" s="68">
        <v>37.66052106481481</v>
      </c>
      <c r="J2744" s="68">
        <f t="shared" si="1"/>
        <v>0</v>
      </c>
      <c r="K2744" s="68" t="b">
        <v>1</v>
      </c>
    </row>
    <row r="2745" hidden="1">
      <c r="A2745" s="75">
        <v>2739.0</v>
      </c>
      <c r="B2745" s="62" t="s">
        <v>1306</v>
      </c>
      <c r="C2745" s="62" t="s">
        <v>108</v>
      </c>
      <c r="D2745" s="62" t="s">
        <v>1707</v>
      </c>
      <c r="E2745" s="76">
        <v>44062.0</v>
      </c>
      <c r="F2745" s="77">
        <v>0.10416666666666667</v>
      </c>
      <c r="G2745" s="62" t="b">
        <v>0</v>
      </c>
      <c r="H2745" s="78" t="b">
        <f>IF(VLOOKUP(C2745,Projetos!A:L,12,false)=TRUE,TRUE,FALSE)</f>
        <v>1</v>
      </c>
      <c r="I2745" s="68">
        <v>37.66052106481481</v>
      </c>
      <c r="J2745" s="68">
        <f t="shared" si="1"/>
        <v>0</v>
      </c>
      <c r="K2745" s="68" t="b">
        <v>1</v>
      </c>
    </row>
    <row r="2746" hidden="1">
      <c r="A2746" s="75">
        <v>2740.0</v>
      </c>
      <c r="B2746" s="62" t="s">
        <v>1306</v>
      </c>
      <c r="C2746" s="62" t="s">
        <v>108</v>
      </c>
      <c r="D2746" s="62" t="s">
        <v>1708</v>
      </c>
      <c r="E2746" s="76">
        <v>44063.0</v>
      </c>
      <c r="F2746" s="77">
        <v>0.10416666666666667</v>
      </c>
      <c r="G2746" s="62" t="b">
        <v>0</v>
      </c>
      <c r="H2746" s="78" t="b">
        <f>IF(VLOOKUP(C2746,Projetos!A:L,12,false)=TRUE,TRUE,FALSE)</f>
        <v>1</v>
      </c>
      <c r="I2746" s="68">
        <v>37.66052106481481</v>
      </c>
      <c r="J2746" s="68">
        <f t="shared" si="1"/>
        <v>0</v>
      </c>
      <c r="K2746" s="68" t="b">
        <v>1</v>
      </c>
    </row>
    <row r="2747" hidden="1">
      <c r="A2747" s="75">
        <v>2741.0</v>
      </c>
      <c r="B2747" s="62" t="s">
        <v>1306</v>
      </c>
      <c r="C2747" s="62" t="s">
        <v>108</v>
      </c>
      <c r="D2747" s="62" t="s">
        <v>1709</v>
      </c>
      <c r="E2747" s="76">
        <v>44063.0</v>
      </c>
      <c r="F2747" s="77">
        <v>0.041666666666666664</v>
      </c>
      <c r="G2747" s="62" t="b">
        <v>0</v>
      </c>
      <c r="H2747" s="78" t="b">
        <f>IF(VLOOKUP(C2747,Projetos!A:L,12,false)=TRUE,TRUE,FALSE)</f>
        <v>1</v>
      </c>
      <c r="I2747" s="68">
        <v>37.66052106481481</v>
      </c>
      <c r="J2747" s="68">
        <f t="shared" si="1"/>
        <v>0</v>
      </c>
      <c r="K2747" s="68" t="b">
        <v>1</v>
      </c>
    </row>
    <row r="2748" hidden="1">
      <c r="A2748" s="75">
        <v>2742.0</v>
      </c>
      <c r="B2748" s="62" t="s">
        <v>1306</v>
      </c>
      <c r="C2748" s="62" t="s">
        <v>108</v>
      </c>
      <c r="D2748" s="62" t="s">
        <v>1707</v>
      </c>
      <c r="E2748" s="76">
        <v>44064.0</v>
      </c>
      <c r="F2748" s="77">
        <v>0.041666666666666664</v>
      </c>
      <c r="G2748" s="62" t="b">
        <v>0</v>
      </c>
      <c r="H2748" s="78" t="b">
        <f>IF(VLOOKUP(C2748,Projetos!A:L,12,false)=TRUE,TRUE,FALSE)</f>
        <v>1</v>
      </c>
      <c r="I2748" s="68">
        <v>37.66052106481481</v>
      </c>
      <c r="J2748" s="68">
        <f t="shared" si="1"/>
        <v>0</v>
      </c>
      <c r="K2748" s="68" t="b">
        <v>1</v>
      </c>
    </row>
    <row r="2749" hidden="1">
      <c r="A2749" s="75">
        <v>2743.0</v>
      </c>
      <c r="B2749" s="62" t="s">
        <v>1306</v>
      </c>
      <c r="C2749" s="62" t="s">
        <v>108</v>
      </c>
      <c r="D2749" s="62" t="s">
        <v>1710</v>
      </c>
      <c r="E2749" s="76">
        <v>44064.0</v>
      </c>
      <c r="F2749" s="77">
        <v>0.10416666666666667</v>
      </c>
      <c r="G2749" s="62" t="b">
        <v>0</v>
      </c>
      <c r="H2749" s="78" t="b">
        <f>IF(VLOOKUP(C2749,Projetos!A:L,12,false)=TRUE,TRUE,FALSE)</f>
        <v>1</v>
      </c>
      <c r="I2749" s="68">
        <v>37.66052106481481</v>
      </c>
      <c r="J2749" s="68">
        <f t="shared" si="1"/>
        <v>0</v>
      </c>
      <c r="K2749" s="68" t="b">
        <v>1</v>
      </c>
    </row>
    <row r="2750" hidden="1">
      <c r="A2750" s="75">
        <v>2744.0</v>
      </c>
      <c r="B2750" s="62" t="s">
        <v>1306</v>
      </c>
      <c r="C2750" s="62" t="s">
        <v>108</v>
      </c>
      <c r="D2750" s="62" t="s">
        <v>1711</v>
      </c>
      <c r="E2750" s="76">
        <v>44068.0</v>
      </c>
      <c r="F2750" s="77">
        <v>0.020833333333333332</v>
      </c>
      <c r="G2750" s="62" t="b">
        <v>0</v>
      </c>
      <c r="H2750" s="78" t="b">
        <f>IF(VLOOKUP(C2750,Projetos!A:L,12,false)=TRUE,TRUE,FALSE)</f>
        <v>1</v>
      </c>
      <c r="I2750" s="68">
        <v>37.66052106481481</v>
      </c>
      <c r="J2750" s="68">
        <f t="shared" si="1"/>
        <v>0</v>
      </c>
      <c r="K2750" s="68" t="b">
        <v>1</v>
      </c>
    </row>
    <row r="2751" hidden="1">
      <c r="A2751" s="75">
        <v>2745.0</v>
      </c>
      <c r="B2751" s="62" t="s">
        <v>1306</v>
      </c>
      <c r="C2751" s="62" t="s">
        <v>108</v>
      </c>
      <c r="D2751" s="62" t="s">
        <v>1712</v>
      </c>
      <c r="E2751" s="76">
        <v>44068.0</v>
      </c>
      <c r="F2751" s="77">
        <v>0.041666666666666664</v>
      </c>
      <c r="G2751" s="62" t="b">
        <v>0</v>
      </c>
      <c r="H2751" s="78" t="b">
        <f>IF(VLOOKUP(C2751,Projetos!A:L,12,false)=TRUE,TRUE,FALSE)</f>
        <v>1</v>
      </c>
      <c r="I2751" s="68">
        <v>37.66052106481481</v>
      </c>
      <c r="J2751" s="68">
        <f t="shared" si="1"/>
        <v>0</v>
      </c>
      <c r="K2751" s="68" t="b">
        <v>1</v>
      </c>
    </row>
    <row r="2752" hidden="1">
      <c r="A2752" s="75">
        <v>2746.0</v>
      </c>
      <c r="B2752" s="62" t="s">
        <v>1306</v>
      </c>
      <c r="C2752" s="62" t="s">
        <v>108</v>
      </c>
      <c r="D2752" s="62" t="s">
        <v>1713</v>
      </c>
      <c r="E2752" s="76">
        <v>44070.0</v>
      </c>
      <c r="F2752" s="77">
        <v>0.03125</v>
      </c>
      <c r="G2752" s="62" t="b">
        <v>0</v>
      </c>
      <c r="H2752" s="78" t="b">
        <f>IF(VLOOKUP(C2752,Projetos!A:L,12,false)=TRUE,TRUE,FALSE)</f>
        <v>1</v>
      </c>
      <c r="I2752" s="68">
        <v>37.66052106481481</v>
      </c>
      <c r="J2752" s="68">
        <f t="shared" si="1"/>
        <v>0</v>
      </c>
      <c r="K2752" s="68" t="b">
        <v>1</v>
      </c>
    </row>
    <row r="2753" hidden="1">
      <c r="A2753" s="75">
        <v>2747.0</v>
      </c>
      <c r="B2753" s="62" t="s">
        <v>1306</v>
      </c>
      <c r="C2753" s="62" t="s">
        <v>108</v>
      </c>
      <c r="D2753" s="62" t="s">
        <v>1714</v>
      </c>
      <c r="E2753" s="76">
        <v>44070.0</v>
      </c>
      <c r="F2753" s="77">
        <v>0.020833333333333332</v>
      </c>
      <c r="G2753" s="62" t="b">
        <v>0</v>
      </c>
      <c r="H2753" s="78" t="b">
        <f>IF(VLOOKUP(C2753,Projetos!A:L,12,false)=TRUE,TRUE,FALSE)</f>
        <v>1</v>
      </c>
      <c r="I2753" s="68">
        <v>37.66052106481481</v>
      </c>
      <c r="J2753" s="68">
        <f t="shared" si="1"/>
        <v>0</v>
      </c>
      <c r="K2753" s="68" t="b">
        <v>1</v>
      </c>
    </row>
    <row r="2754" hidden="1">
      <c r="A2754" s="75">
        <v>2748.0</v>
      </c>
      <c r="B2754" s="62" t="s">
        <v>1306</v>
      </c>
      <c r="C2754" s="62" t="s">
        <v>108</v>
      </c>
      <c r="D2754" s="62" t="s">
        <v>1715</v>
      </c>
      <c r="E2754" s="76">
        <v>44071.0</v>
      </c>
      <c r="F2754" s="77">
        <v>0.125</v>
      </c>
      <c r="G2754" s="62" t="b">
        <v>0</v>
      </c>
      <c r="H2754" s="78" t="b">
        <f>IF(VLOOKUP(C2754,Projetos!A:L,12,false)=TRUE,TRUE,FALSE)</f>
        <v>1</v>
      </c>
      <c r="I2754" s="68">
        <v>37.66052106481481</v>
      </c>
      <c r="J2754" s="68">
        <f t="shared" si="1"/>
        <v>0</v>
      </c>
      <c r="K2754" s="68" t="b">
        <v>1</v>
      </c>
    </row>
    <row r="2755" hidden="1">
      <c r="A2755" s="75">
        <v>2749.0</v>
      </c>
      <c r="B2755" s="62" t="s">
        <v>1306</v>
      </c>
      <c r="C2755" s="62" t="s">
        <v>108</v>
      </c>
      <c r="D2755" s="62" t="s">
        <v>1716</v>
      </c>
      <c r="E2755" s="76">
        <v>44074.0</v>
      </c>
      <c r="F2755" s="77">
        <v>0.07291666666666667</v>
      </c>
      <c r="G2755" s="62" t="b">
        <v>0</v>
      </c>
      <c r="H2755" s="78" t="b">
        <f>IF(VLOOKUP(C2755,Projetos!A:L,12,false)=TRUE,TRUE,FALSE)</f>
        <v>1</v>
      </c>
      <c r="I2755" s="68">
        <v>37.66052106481481</v>
      </c>
      <c r="J2755" s="68">
        <f t="shared" si="1"/>
        <v>0</v>
      </c>
      <c r="K2755" s="68" t="b">
        <v>1</v>
      </c>
    </row>
    <row r="2756" hidden="1">
      <c r="A2756" s="75">
        <v>2750.0</v>
      </c>
      <c r="B2756" s="62" t="s">
        <v>1306</v>
      </c>
      <c r="C2756" s="62" t="s">
        <v>108</v>
      </c>
      <c r="D2756" s="62" t="s">
        <v>1717</v>
      </c>
      <c r="E2756" s="76">
        <v>44074.0</v>
      </c>
      <c r="F2756" s="77">
        <v>0.0625</v>
      </c>
      <c r="G2756" s="62" t="b">
        <v>0</v>
      </c>
      <c r="H2756" s="78" t="b">
        <f>IF(VLOOKUP(C2756,Projetos!A:L,12,false)=TRUE,TRUE,FALSE)</f>
        <v>1</v>
      </c>
      <c r="I2756" s="68">
        <v>37.66052106481481</v>
      </c>
      <c r="J2756" s="68">
        <f t="shared" si="1"/>
        <v>0</v>
      </c>
      <c r="K2756" s="68" t="b">
        <v>1</v>
      </c>
    </row>
    <row r="2757" hidden="1">
      <c r="A2757" s="75">
        <v>2751.0</v>
      </c>
      <c r="B2757" s="62" t="s">
        <v>1306</v>
      </c>
      <c r="C2757" s="62" t="s">
        <v>108</v>
      </c>
      <c r="D2757" s="62" t="s">
        <v>1718</v>
      </c>
      <c r="E2757" s="76">
        <v>44074.0</v>
      </c>
      <c r="F2757" s="77">
        <v>0.041666666666666664</v>
      </c>
      <c r="G2757" s="62" t="b">
        <v>0</v>
      </c>
      <c r="H2757" s="78" t="b">
        <f>IF(VLOOKUP(C2757,Projetos!A:L,12,false)=TRUE,TRUE,FALSE)</f>
        <v>1</v>
      </c>
      <c r="I2757" s="68">
        <v>37.66052106481481</v>
      </c>
      <c r="J2757" s="68">
        <f t="shared" si="1"/>
        <v>0</v>
      </c>
      <c r="K2757" s="68" t="b">
        <v>1</v>
      </c>
    </row>
    <row r="2758" hidden="1">
      <c r="A2758" s="75">
        <v>2752.0</v>
      </c>
      <c r="B2758" s="62" t="s">
        <v>1306</v>
      </c>
      <c r="C2758" s="62" t="s">
        <v>109</v>
      </c>
      <c r="D2758" s="62" t="s">
        <v>1719</v>
      </c>
      <c r="E2758" s="76">
        <v>44067.0</v>
      </c>
      <c r="F2758" s="77">
        <v>0.052083333333333336</v>
      </c>
      <c r="G2758" s="62" t="b">
        <v>0</v>
      </c>
      <c r="H2758" s="78" t="b">
        <f>IF(VLOOKUP(C2758,Projetos!A:L,12,false)=TRUE,TRUE,FALSE)</f>
        <v>0</v>
      </c>
      <c r="I2758" s="68">
        <v>37.66052106481481</v>
      </c>
      <c r="J2758" s="68">
        <f t="shared" si="1"/>
        <v>0</v>
      </c>
      <c r="K2758" s="68" t="b">
        <v>0</v>
      </c>
    </row>
    <row r="2759" hidden="1">
      <c r="A2759" s="75">
        <v>2753.0</v>
      </c>
      <c r="B2759" s="62" t="s">
        <v>1306</v>
      </c>
      <c r="C2759" s="62" t="s">
        <v>109</v>
      </c>
      <c r="D2759" s="62" t="s">
        <v>1719</v>
      </c>
      <c r="E2759" s="76">
        <v>44067.0</v>
      </c>
      <c r="F2759" s="77">
        <v>0.041666666666666664</v>
      </c>
      <c r="G2759" s="62" t="b">
        <v>0</v>
      </c>
      <c r="H2759" s="78" t="b">
        <f>IF(VLOOKUP(C2759,Projetos!A:L,12,false)=TRUE,TRUE,FALSE)</f>
        <v>0</v>
      </c>
      <c r="I2759" s="68">
        <v>37.66052106481481</v>
      </c>
      <c r="J2759" s="68">
        <f t="shared" si="1"/>
        <v>0</v>
      </c>
      <c r="K2759" s="68" t="b">
        <v>0</v>
      </c>
    </row>
    <row r="2760" hidden="1">
      <c r="A2760" s="75">
        <v>2754.0</v>
      </c>
      <c r="B2760" s="62" t="s">
        <v>1306</v>
      </c>
      <c r="C2760" s="62" t="s">
        <v>109</v>
      </c>
      <c r="D2760" s="62" t="s">
        <v>1720</v>
      </c>
      <c r="E2760" s="76">
        <v>44069.0</v>
      </c>
      <c r="F2760" s="77">
        <v>0.041666666666666664</v>
      </c>
      <c r="G2760" s="62" t="b">
        <v>0</v>
      </c>
      <c r="H2760" s="78" t="b">
        <f>IF(VLOOKUP(C2760,Projetos!A:L,12,false)=TRUE,TRUE,FALSE)</f>
        <v>0</v>
      </c>
      <c r="I2760" s="68">
        <v>37.66052106481481</v>
      </c>
      <c r="J2760" s="68">
        <f t="shared" si="1"/>
        <v>0</v>
      </c>
      <c r="K2760" s="68" t="b">
        <v>0</v>
      </c>
    </row>
    <row r="2761" hidden="1">
      <c r="A2761" s="75">
        <v>2755.0</v>
      </c>
      <c r="B2761" s="62" t="s">
        <v>1306</v>
      </c>
      <c r="C2761" s="62" t="s">
        <v>109</v>
      </c>
      <c r="D2761" s="62" t="s">
        <v>1721</v>
      </c>
      <c r="E2761" s="76">
        <v>44070.0</v>
      </c>
      <c r="F2761" s="77">
        <v>0.020833333333333332</v>
      </c>
      <c r="G2761" s="62" t="b">
        <v>0</v>
      </c>
      <c r="H2761" s="78" t="b">
        <f>IF(VLOOKUP(C2761,Projetos!A:L,12,false)=TRUE,TRUE,FALSE)</f>
        <v>0</v>
      </c>
      <c r="I2761" s="68">
        <v>37.66052106481481</v>
      </c>
      <c r="J2761" s="68">
        <f t="shared" si="1"/>
        <v>0</v>
      </c>
      <c r="K2761" s="68" t="b">
        <v>0</v>
      </c>
    </row>
    <row r="2762" hidden="1">
      <c r="A2762" s="75">
        <v>2756.0</v>
      </c>
      <c r="B2762" s="62" t="s">
        <v>1306</v>
      </c>
      <c r="C2762" s="62" t="s">
        <v>109</v>
      </c>
      <c r="D2762" s="62" t="s">
        <v>1722</v>
      </c>
      <c r="E2762" s="76">
        <v>44071.0</v>
      </c>
      <c r="F2762" s="77">
        <v>0.10416666666666667</v>
      </c>
      <c r="G2762" s="62" t="b">
        <v>0</v>
      </c>
      <c r="H2762" s="78" t="b">
        <f>IF(VLOOKUP(C2762,Projetos!A:L,12,false)=TRUE,TRUE,FALSE)</f>
        <v>0</v>
      </c>
      <c r="I2762" s="68">
        <v>37.66052106481481</v>
      </c>
      <c r="J2762" s="68">
        <f t="shared" si="1"/>
        <v>0</v>
      </c>
      <c r="K2762" s="68" t="b">
        <v>0</v>
      </c>
    </row>
    <row r="2763">
      <c r="A2763" s="75">
        <v>2757.0</v>
      </c>
      <c r="B2763" s="62" t="s">
        <v>1306</v>
      </c>
      <c r="C2763" s="62" t="s">
        <v>110</v>
      </c>
      <c r="D2763" s="62" t="s">
        <v>1723</v>
      </c>
      <c r="E2763" s="76">
        <v>44047.0</v>
      </c>
      <c r="F2763" s="77">
        <v>0.010416666666666666</v>
      </c>
      <c r="G2763" s="62" t="b">
        <v>1</v>
      </c>
      <c r="H2763" s="78" t="b">
        <f>IF(VLOOKUP(C2763,Projetos!A:L,12,false)=TRUE,TRUE,FALSE)</f>
        <v>1</v>
      </c>
      <c r="I2763" s="68">
        <v>37.66052106481481</v>
      </c>
      <c r="J2763" s="68">
        <f t="shared" si="1"/>
        <v>9.415130266</v>
      </c>
      <c r="K2763" s="68" t="b">
        <v>1</v>
      </c>
    </row>
    <row r="2764">
      <c r="A2764" s="75">
        <v>2758.0</v>
      </c>
      <c r="B2764" s="62" t="s">
        <v>1306</v>
      </c>
      <c r="C2764" s="62" t="s">
        <v>110</v>
      </c>
      <c r="D2764" s="62" t="s">
        <v>1723</v>
      </c>
      <c r="E2764" s="76">
        <v>44047.0</v>
      </c>
      <c r="F2764" s="77">
        <v>0.041666666666666664</v>
      </c>
      <c r="G2764" s="62" t="b">
        <v>1</v>
      </c>
      <c r="H2764" s="78" t="b">
        <f>IF(VLOOKUP(C2764,Projetos!A:L,12,false)=TRUE,TRUE,FALSE)</f>
        <v>1</v>
      </c>
      <c r="I2764" s="68">
        <v>37.66052106481481</v>
      </c>
      <c r="J2764" s="68">
        <f t="shared" si="1"/>
        <v>37.66052106</v>
      </c>
      <c r="K2764" s="68" t="b">
        <v>1</v>
      </c>
    </row>
    <row r="2765">
      <c r="A2765" s="75">
        <v>2759.0</v>
      </c>
      <c r="B2765" s="62" t="s">
        <v>1306</v>
      </c>
      <c r="C2765" s="62" t="s">
        <v>110</v>
      </c>
      <c r="D2765" s="62" t="s">
        <v>1724</v>
      </c>
      <c r="E2765" s="76">
        <v>44048.0</v>
      </c>
      <c r="F2765" s="77">
        <v>0.041666666666666664</v>
      </c>
      <c r="G2765" s="62" t="b">
        <v>1</v>
      </c>
      <c r="H2765" s="78" t="b">
        <f>IF(VLOOKUP(C2765,Projetos!A:L,12,false)=TRUE,TRUE,FALSE)</f>
        <v>1</v>
      </c>
      <c r="I2765" s="68">
        <v>37.66052106481481</v>
      </c>
      <c r="J2765" s="68">
        <f t="shared" si="1"/>
        <v>37.66052106</v>
      </c>
      <c r="K2765" s="68" t="b">
        <v>1</v>
      </c>
    </row>
    <row r="2766">
      <c r="A2766" s="75">
        <v>2760.0</v>
      </c>
      <c r="B2766" s="62" t="s">
        <v>1306</v>
      </c>
      <c r="C2766" s="62" t="s">
        <v>110</v>
      </c>
      <c r="D2766" s="62" t="s">
        <v>243</v>
      </c>
      <c r="E2766" s="76">
        <v>44053.0</v>
      </c>
      <c r="F2766" s="77">
        <v>0.08333333333333333</v>
      </c>
      <c r="G2766" s="62" t="b">
        <v>1</v>
      </c>
      <c r="H2766" s="78" t="b">
        <f>IF(VLOOKUP(C2766,Projetos!A:L,12,false)=TRUE,TRUE,FALSE)</f>
        <v>1</v>
      </c>
      <c r="I2766" s="68">
        <v>37.66052106481481</v>
      </c>
      <c r="J2766" s="68">
        <f t="shared" si="1"/>
        <v>75.32104213</v>
      </c>
      <c r="K2766" s="68" t="b">
        <v>1</v>
      </c>
    </row>
    <row r="2767" hidden="1">
      <c r="A2767" s="75">
        <v>2761.0</v>
      </c>
      <c r="B2767" s="62" t="s">
        <v>1306</v>
      </c>
      <c r="C2767" s="62" t="s">
        <v>110</v>
      </c>
      <c r="D2767" s="62" t="s">
        <v>1695</v>
      </c>
      <c r="E2767" s="76">
        <v>44054.0</v>
      </c>
      <c r="F2767" s="77">
        <v>0.041666666666666664</v>
      </c>
      <c r="G2767" s="62" t="b">
        <v>0</v>
      </c>
      <c r="H2767" s="78" t="b">
        <f>IF(VLOOKUP(C2767,Projetos!A:L,12,false)=TRUE,TRUE,FALSE)</f>
        <v>1</v>
      </c>
      <c r="I2767" s="68">
        <v>37.66052106481481</v>
      </c>
      <c r="J2767" s="68">
        <f t="shared" si="1"/>
        <v>0</v>
      </c>
      <c r="K2767" s="68" t="b">
        <v>1</v>
      </c>
    </row>
    <row r="2768">
      <c r="A2768" s="75">
        <v>2762.0</v>
      </c>
      <c r="B2768" s="62" t="s">
        <v>1306</v>
      </c>
      <c r="C2768" s="62" t="s">
        <v>110</v>
      </c>
      <c r="D2768" s="62" t="s">
        <v>1725</v>
      </c>
      <c r="E2768" s="76">
        <v>44055.0</v>
      </c>
      <c r="F2768" s="77">
        <v>0.125</v>
      </c>
      <c r="G2768" s="62" t="b">
        <v>1</v>
      </c>
      <c r="H2768" s="78" t="b">
        <f>IF(VLOOKUP(C2768,Projetos!A:L,12,false)=TRUE,TRUE,FALSE)</f>
        <v>1</v>
      </c>
      <c r="I2768" s="68">
        <v>37.66052106481481</v>
      </c>
      <c r="J2768" s="68">
        <f t="shared" si="1"/>
        <v>112.9815632</v>
      </c>
      <c r="K2768" s="68" t="b">
        <v>1</v>
      </c>
    </row>
    <row r="2769">
      <c r="A2769" s="75">
        <v>2763.0</v>
      </c>
      <c r="B2769" s="62" t="s">
        <v>1306</v>
      </c>
      <c r="C2769" s="62" t="s">
        <v>110</v>
      </c>
      <c r="D2769" s="62" t="s">
        <v>1723</v>
      </c>
      <c r="E2769" s="76">
        <v>44060.0</v>
      </c>
      <c r="F2769" s="77">
        <v>0.041666666666666664</v>
      </c>
      <c r="G2769" s="62" t="b">
        <v>1</v>
      </c>
      <c r="H2769" s="78" t="b">
        <f>IF(VLOOKUP(C2769,Projetos!A:L,12,false)=TRUE,TRUE,FALSE)</f>
        <v>1</v>
      </c>
      <c r="I2769" s="68">
        <v>37.66052106481481</v>
      </c>
      <c r="J2769" s="68">
        <f t="shared" si="1"/>
        <v>37.66052106</v>
      </c>
      <c r="K2769" s="68" t="b">
        <v>1</v>
      </c>
    </row>
    <row r="2770">
      <c r="A2770" s="75">
        <v>2764.0</v>
      </c>
      <c r="B2770" s="62" t="s">
        <v>1306</v>
      </c>
      <c r="C2770" s="62" t="s">
        <v>110</v>
      </c>
      <c r="D2770" s="62" t="s">
        <v>1726</v>
      </c>
      <c r="E2770" s="76">
        <v>44063.0</v>
      </c>
      <c r="F2770" s="77">
        <v>0.08333333333333333</v>
      </c>
      <c r="G2770" s="62" t="b">
        <v>1</v>
      </c>
      <c r="H2770" s="78" t="b">
        <f>IF(VLOOKUP(C2770,Projetos!A:L,12,false)=TRUE,TRUE,FALSE)</f>
        <v>1</v>
      </c>
      <c r="I2770" s="68">
        <v>37.66052106481481</v>
      </c>
      <c r="J2770" s="68">
        <f t="shared" si="1"/>
        <v>75.32104213</v>
      </c>
      <c r="K2770" s="68" t="b">
        <v>1</v>
      </c>
    </row>
    <row r="2771">
      <c r="A2771" s="75">
        <v>2765.0</v>
      </c>
      <c r="B2771" s="62" t="s">
        <v>1306</v>
      </c>
      <c r="C2771" s="62" t="s">
        <v>110</v>
      </c>
      <c r="D2771" s="62" t="s">
        <v>1727</v>
      </c>
      <c r="E2771" s="76">
        <v>44069.0</v>
      </c>
      <c r="F2771" s="77">
        <v>0.10416666666666667</v>
      </c>
      <c r="G2771" s="62" t="b">
        <v>1</v>
      </c>
      <c r="H2771" s="78" t="b">
        <f>IF(VLOOKUP(C2771,Projetos!A:L,12,false)=TRUE,TRUE,FALSE)</f>
        <v>1</v>
      </c>
      <c r="I2771" s="68">
        <v>37.66052106481481</v>
      </c>
      <c r="J2771" s="68">
        <f t="shared" si="1"/>
        <v>94.15130266</v>
      </c>
      <c r="K2771" s="68" t="b">
        <v>1</v>
      </c>
    </row>
    <row r="2772">
      <c r="A2772" s="75">
        <v>2766.0</v>
      </c>
      <c r="B2772" s="62" t="s">
        <v>1306</v>
      </c>
      <c r="C2772" s="62" t="s">
        <v>110</v>
      </c>
      <c r="D2772" s="62" t="s">
        <v>1728</v>
      </c>
      <c r="E2772" s="76">
        <v>44069.0</v>
      </c>
      <c r="F2772" s="77">
        <v>0.125</v>
      </c>
      <c r="G2772" s="62" t="b">
        <v>1</v>
      </c>
      <c r="H2772" s="78" t="b">
        <f>IF(VLOOKUP(C2772,Projetos!A:L,12,false)=TRUE,TRUE,FALSE)</f>
        <v>1</v>
      </c>
      <c r="I2772" s="68">
        <v>37.66052106481481</v>
      </c>
      <c r="J2772" s="68">
        <f t="shared" si="1"/>
        <v>112.9815632</v>
      </c>
      <c r="K2772" s="68" t="b">
        <v>1</v>
      </c>
    </row>
    <row r="2773">
      <c r="A2773" s="75">
        <v>2767.0</v>
      </c>
      <c r="B2773" s="62" t="s">
        <v>1306</v>
      </c>
      <c r="C2773" s="62" t="s">
        <v>110</v>
      </c>
      <c r="D2773" s="62" t="s">
        <v>1729</v>
      </c>
      <c r="E2773" s="76">
        <v>44074.0</v>
      </c>
      <c r="F2773" s="77">
        <v>0.041666666666666664</v>
      </c>
      <c r="G2773" s="62" t="b">
        <v>1</v>
      </c>
      <c r="H2773" s="78" t="b">
        <f>IF(VLOOKUP(C2773,Projetos!A:L,12,false)=TRUE,TRUE,FALSE)</f>
        <v>1</v>
      </c>
      <c r="I2773" s="68">
        <v>37.66052106481481</v>
      </c>
      <c r="J2773" s="68">
        <f t="shared" si="1"/>
        <v>37.66052106</v>
      </c>
      <c r="K2773" s="68" t="b">
        <v>1</v>
      </c>
    </row>
    <row r="2774" hidden="1">
      <c r="A2774" s="75">
        <v>2768.0</v>
      </c>
      <c r="B2774" s="62" t="s">
        <v>1306</v>
      </c>
      <c r="C2774" s="62" t="s">
        <v>111</v>
      </c>
      <c r="D2774" s="62" t="s">
        <v>1730</v>
      </c>
      <c r="E2774" s="76">
        <v>44046.0</v>
      </c>
      <c r="F2774" s="77">
        <v>0.10416666666666667</v>
      </c>
      <c r="G2774" s="62" t="b">
        <v>0</v>
      </c>
      <c r="H2774" s="78" t="b">
        <f>IF(VLOOKUP(C2774,Projetos!A:L,12,false)=TRUE,TRUE,FALSE)</f>
        <v>0</v>
      </c>
      <c r="I2774" s="68">
        <v>37.66052106481481</v>
      </c>
      <c r="J2774" s="68">
        <f t="shared" si="1"/>
        <v>0</v>
      </c>
      <c r="K2774" s="68" t="b">
        <v>0</v>
      </c>
    </row>
    <row r="2775" hidden="1">
      <c r="A2775" s="75">
        <v>2769.0</v>
      </c>
      <c r="B2775" s="62" t="s">
        <v>1306</v>
      </c>
      <c r="C2775" s="62" t="s">
        <v>111</v>
      </c>
      <c r="D2775" s="62" t="s">
        <v>1731</v>
      </c>
      <c r="E2775" s="76">
        <v>44047.0</v>
      </c>
      <c r="F2775" s="77">
        <v>0.08333333333333333</v>
      </c>
      <c r="G2775" s="62" t="b">
        <v>0</v>
      </c>
      <c r="H2775" s="78" t="b">
        <f>IF(VLOOKUP(C2775,Projetos!A:L,12,false)=TRUE,TRUE,FALSE)</f>
        <v>0</v>
      </c>
      <c r="I2775" s="68">
        <v>37.66052106481481</v>
      </c>
      <c r="J2775" s="68">
        <f t="shared" si="1"/>
        <v>0</v>
      </c>
      <c r="K2775" s="68" t="b">
        <v>0</v>
      </c>
    </row>
    <row r="2776" hidden="1">
      <c r="A2776" s="75">
        <v>2770.0</v>
      </c>
      <c r="B2776" s="62" t="s">
        <v>1306</v>
      </c>
      <c r="C2776" s="62" t="s">
        <v>111</v>
      </c>
      <c r="D2776" s="62" t="s">
        <v>1732</v>
      </c>
      <c r="E2776" s="76">
        <v>44067.0</v>
      </c>
      <c r="F2776" s="77">
        <v>0.041666666666666664</v>
      </c>
      <c r="G2776" s="62" t="b">
        <v>0</v>
      </c>
      <c r="H2776" s="78" t="b">
        <f>IF(VLOOKUP(C2776,Projetos!A:L,12,false)=TRUE,TRUE,FALSE)</f>
        <v>0</v>
      </c>
      <c r="I2776" s="68">
        <v>37.66052106481481</v>
      </c>
      <c r="J2776" s="68">
        <f t="shared" si="1"/>
        <v>0</v>
      </c>
      <c r="K2776" s="68" t="b">
        <v>0</v>
      </c>
    </row>
    <row r="2777" hidden="1">
      <c r="A2777" s="75">
        <v>2771.0</v>
      </c>
      <c r="B2777" s="62" t="s">
        <v>1306</v>
      </c>
      <c r="C2777" s="62" t="s">
        <v>111</v>
      </c>
      <c r="D2777" s="62" t="s">
        <v>1733</v>
      </c>
      <c r="E2777" s="76">
        <v>44068.0</v>
      </c>
      <c r="F2777" s="77">
        <v>0.041666666666666664</v>
      </c>
      <c r="G2777" s="62" t="b">
        <v>0</v>
      </c>
      <c r="H2777" s="78" t="b">
        <f>IF(VLOOKUP(C2777,Projetos!A:L,12,false)=TRUE,TRUE,FALSE)</f>
        <v>0</v>
      </c>
      <c r="I2777" s="68">
        <v>37.66052106481481</v>
      </c>
      <c r="J2777" s="68">
        <f t="shared" si="1"/>
        <v>0</v>
      </c>
      <c r="K2777" s="68" t="b">
        <v>0</v>
      </c>
    </row>
    <row r="2778" hidden="1">
      <c r="A2778" s="75">
        <v>2772.0</v>
      </c>
      <c r="B2778" s="62" t="s">
        <v>1306</v>
      </c>
      <c r="C2778" s="62" t="s">
        <v>111</v>
      </c>
      <c r="D2778" s="62" t="s">
        <v>1734</v>
      </c>
      <c r="E2778" s="76">
        <v>44069.0</v>
      </c>
      <c r="F2778" s="77">
        <v>0.052083333333333336</v>
      </c>
      <c r="G2778" s="62" t="b">
        <v>0</v>
      </c>
      <c r="H2778" s="78" t="b">
        <f>IF(VLOOKUP(C2778,Projetos!A:L,12,false)=TRUE,TRUE,FALSE)</f>
        <v>0</v>
      </c>
      <c r="I2778" s="68">
        <v>37.66052106481481</v>
      </c>
      <c r="J2778" s="68">
        <f t="shared" si="1"/>
        <v>0</v>
      </c>
      <c r="K2778" s="68" t="b">
        <v>0</v>
      </c>
    </row>
    <row r="2779">
      <c r="A2779" s="75">
        <v>2773.0</v>
      </c>
      <c r="B2779" s="62" t="s">
        <v>1306</v>
      </c>
      <c r="C2779" s="62" t="s">
        <v>115</v>
      </c>
      <c r="D2779" s="62" t="s">
        <v>1735</v>
      </c>
      <c r="E2779" s="76">
        <v>44068.0</v>
      </c>
      <c r="F2779" s="77">
        <v>0.041666666666666664</v>
      </c>
      <c r="G2779" s="62" t="b">
        <v>1</v>
      </c>
      <c r="H2779" s="78" t="b">
        <f>IF(VLOOKUP(C2779,Projetos!A:L,12,false)=TRUE,TRUE,FALSE)</f>
        <v>1</v>
      </c>
      <c r="I2779" s="68">
        <v>37.66052106481481</v>
      </c>
      <c r="J2779" s="68">
        <f t="shared" si="1"/>
        <v>37.66052106</v>
      </c>
      <c r="K2779" s="68" t="b">
        <v>1</v>
      </c>
    </row>
    <row r="2780">
      <c r="A2780" s="75">
        <v>2774.0</v>
      </c>
      <c r="B2780" s="62" t="s">
        <v>1306</v>
      </c>
      <c r="C2780" s="62" t="s">
        <v>116</v>
      </c>
      <c r="D2780" s="62" t="s">
        <v>1736</v>
      </c>
      <c r="E2780" s="76">
        <v>44047.0</v>
      </c>
      <c r="F2780" s="77">
        <v>0.041666666666666664</v>
      </c>
      <c r="G2780" s="62" t="b">
        <v>1</v>
      </c>
      <c r="H2780" s="78" t="b">
        <f>IF(VLOOKUP(C2780,Projetos!A:L,12,false)=TRUE,TRUE,FALSE)</f>
        <v>1</v>
      </c>
      <c r="I2780" s="68">
        <v>37.66052106481481</v>
      </c>
      <c r="J2780" s="68">
        <f t="shared" si="1"/>
        <v>37.66052106</v>
      </c>
      <c r="K2780" s="68" t="b">
        <v>1</v>
      </c>
    </row>
    <row r="2781">
      <c r="A2781" s="75">
        <v>2775.0</v>
      </c>
      <c r="B2781" s="62" t="s">
        <v>1306</v>
      </c>
      <c r="C2781" s="62" t="s">
        <v>116</v>
      </c>
      <c r="D2781" s="62" t="s">
        <v>1737</v>
      </c>
      <c r="E2781" s="76">
        <v>44074.0</v>
      </c>
      <c r="F2781" s="77">
        <v>0.041666666666666664</v>
      </c>
      <c r="G2781" s="62" t="b">
        <v>1</v>
      </c>
      <c r="H2781" s="78" t="b">
        <f>IF(VLOOKUP(C2781,Projetos!A:L,12,false)=TRUE,TRUE,FALSE)</f>
        <v>1</v>
      </c>
      <c r="I2781" s="68">
        <v>37.66052106481481</v>
      </c>
      <c r="J2781" s="68">
        <f t="shared" si="1"/>
        <v>37.66052106</v>
      </c>
      <c r="K2781" s="68" t="b">
        <v>1</v>
      </c>
    </row>
    <row r="2782">
      <c r="A2782" s="75">
        <v>2776.0</v>
      </c>
      <c r="B2782" s="62" t="s">
        <v>1306</v>
      </c>
      <c r="C2782" s="62" t="s">
        <v>138</v>
      </c>
      <c r="D2782" s="62" t="s">
        <v>1738</v>
      </c>
      <c r="E2782" s="76">
        <v>44076.0</v>
      </c>
      <c r="F2782" s="77">
        <v>0.0625</v>
      </c>
      <c r="G2782" s="62" t="b">
        <v>1</v>
      </c>
      <c r="H2782" s="78" t="b">
        <f>IF(VLOOKUP(C2782,Projetos!A:L,12,false)=TRUE,TRUE,FALSE)</f>
        <v>1</v>
      </c>
      <c r="I2782" s="68">
        <v>40.77871333218548</v>
      </c>
      <c r="J2782" s="68">
        <f t="shared" si="1"/>
        <v>61.16807</v>
      </c>
      <c r="K2782" s="68" t="b">
        <v>1</v>
      </c>
    </row>
    <row r="2783">
      <c r="A2783" s="75">
        <v>2777.0</v>
      </c>
      <c r="B2783" s="62" t="s">
        <v>1306</v>
      </c>
      <c r="C2783" s="62" t="s">
        <v>138</v>
      </c>
      <c r="D2783" s="62" t="s">
        <v>1739</v>
      </c>
      <c r="E2783" s="76">
        <v>44078.0</v>
      </c>
      <c r="F2783" s="77">
        <v>0.041666666666666664</v>
      </c>
      <c r="G2783" s="62" t="b">
        <v>1</v>
      </c>
      <c r="H2783" s="78" t="b">
        <f>IF(VLOOKUP(C2783,Projetos!A:L,12,false)=TRUE,TRUE,FALSE)</f>
        <v>1</v>
      </c>
      <c r="I2783" s="68">
        <v>40.77871333218548</v>
      </c>
      <c r="J2783" s="68">
        <f t="shared" si="1"/>
        <v>40.77871333</v>
      </c>
      <c r="K2783" s="68" t="b">
        <v>1</v>
      </c>
    </row>
    <row r="2784">
      <c r="A2784" s="75">
        <v>2778.0</v>
      </c>
      <c r="B2784" s="62" t="s">
        <v>1306</v>
      </c>
      <c r="C2784" s="62" t="s">
        <v>138</v>
      </c>
      <c r="D2784" s="62" t="s">
        <v>1740</v>
      </c>
      <c r="E2784" s="76">
        <v>44083.0</v>
      </c>
      <c r="F2784" s="77">
        <v>0.052083333333333336</v>
      </c>
      <c r="G2784" s="62" t="b">
        <v>1</v>
      </c>
      <c r="H2784" s="78" t="b">
        <f>IF(VLOOKUP(C2784,Projetos!A:L,12,false)=TRUE,TRUE,FALSE)</f>
        <v>1</v>
      </c>
      <c r="I2784" s="68">
        <v>40.77871333218548</v>
      </c>
      <c r="J2784" s="68">
        <f t="shared" si="1"/>
        <v>50.97339167</v>
      </c>
      <c r="K2784" s="68" t="b">
        <v>1</v>
      </c>
    </row>
    <row r="2785">
      <c r="A2785" s="75">
        <v>2779.0</v>
      </c>
      <c r="B2785" s="62" t="s">
        <v>1306</v>
      </c>
      <c r="C2785" s="62" t="s">
        <v>138</v>
      </c>
      <c r="D2785" s="62" t="s">
        <v>1559</v>
      </c>
      <c r="E2785" s="76">
        <v>44085.0</v>
      </c>
      <c r="F2785" s="77">
        <v>0.041666666666666664</v>
      </c>
      <c r="G2785" s="62" t="b">
        <v>1</v>
      </c>
      <c r="H2785" s="78" t="b">
        <f>IF(VLOOKUP(C2785,Projetos!A:L,12,false)=TRUE,TRUE,FALSE)</f>
        <v>1</v>
      </c>
      <c r="I2785" s="68">
        <v>40.77871333218548</v>
      </c>
      <c r="J2785" s="68">
        <f t="shared" si="1"/>
        <v>40.77871333</v>
      </c>
      <c r="K2785" s="68" t="b">
        <v>1</v>
      </c>
    </row>
    <row r="2786">
      <c r="A2786" s="75">
        <v>2780.0</v>
      </c>
      <c r="B2786" s="62" t="s">
        <v>1306</v>
      </c>
      <c r="C2786" s="62" t="s">
        <v>138</v>
      </c>
      <c r="D2786" s="62" t="s">
        <v>1739</v>
      </c>
      <c r="E2786" s="76">
        <v>44088.0</v>
      </c>
      <c r="F2786" s="77">
        <v>0.0625</v>
      </c>
      <c r="G2786" s="62" t="b">
        <v>1</v>
      </c>
      <c r="H2786" s="78" t="b">
        <f>IF(VLOOKUP(C2786,Projetos!A:L,12,false)=TRUE,TRUE,FALSE)</f>
        <v>1</v>
      </c>
      <c r="I2786" s="68">
        <v>40.77871333218548</v>
      </c>
      <c r="J2786" s="68">
        <f t="shared" si="1"/>
        <v>61.16807</v>
      </c>
      <c r="K2786" s="68" t="b">
        <v>1</v>
      </c>
    </row>
    <row r="2787">
      <c r="A2787" s="75">
        <v>2781.0</v>
      </c>
      <c r="B2787" s="62" t="s">
        <v>1306</v>
      </c>
      <c r="C2787" s="62" t="s">
        <v>138</v>
      </c>
      <c r="D2787" s="62" t="s">
        <v>1559</v>
      </c>
      <c r="E2787" s="76">
        <v>44090.0</v>
      </c>
      <c r="F2787" s="77">
        <v>0.041666666666666664</v>
      </c>
      <c r="G2787" s="62" t="b">
        <v>1</v>
      </c>
      <c r="H2787" s="78" t="b">
        <f>IF(VLOOKUP(C2787,Projetos!A:L,12,false)=TRUE,TRUE,FALSE)</f>
        <v>1</v>
      </c>
      <c r="I2787" s="68">
        <v>40.77871333218548</v>
      </c>
      <c r="J2787" s="68">
        <f t="shared" si="1"/>
        <v>40.77871333</v>
      </c>
      <c r="K2787" s="68" t="b">
        <v>1</v>
      </c>
    </row>
    <row r="2788">
      <c r="A2788" s="75">
        <v>2782.0</v>
      </c>
      <c r="B2788" s="62" t="s">
        <v>1306</v>
      </c>
      <c r="C2788" s="62" t="s">
        <v>138</v>
      </c>
      <c r="D2788" s="62" t="s">
        <v>1741</v>
      </c>
      <c r="E2788" s="76">
        <v>44091.0</v>
      </c>
      <c r="F2788" s="77">
        <v>0.041666666666666664</v>
      </c>
      <c r="G2788" s="62" t="b">
        <v>1</v>
      </c>
      <c r="H2788" s="78" t="b">
        <f>IF(VLOOKUP(C2788,Projetos!A:L,12,false)=TRUE,TRUE,FALSE)</f>
        <v>1</v>
      </c>
      <c r="I2788" s="68">
        <v>40.77871333218548</v>
      </c>
      <c r="J2788" s="68">
        <f t="shared" si="1"/>
        <v>40.77871333</v>
      </c>
      <c r="K2788" s="68" t="b">
        <v>1</v>
      </c>
    </row>
    <row r="2789">
      <c r="A2789" s="75">
        <v>2783.0</v>
      </c>
      <c r="B2789" s="62" t="s">
        <v>1306</v>
      </c>
      <c r="C2789" s="62" t="s">
        <v>88</v>
      </c>
      <c r="D2789" s="62" t="s">
        <v>1742</v>
      </c>
      <c r="E2789" s="76">
        <v>44084.0</v>
      </c>
      <c r="F2789" s="77">
        <v>0.08333333333333333</v>
      </c>
      <c r="G2789" s="62" t="b">
        <v>1</v>
      </c>
      <c r="H2789" s="78" t="b">
        <f>IF(VLOOKUP(C2789,Projetos!A:L,12,false)=TRUE,TRUE,FALSE)</f>
        <v>1</v>
      </c>
      <c r="I2789" s="68">
        <v>40.77871333218548</v>
      </c>
      <c r="J2789" s="68">
        <f t="shared" si="1"/>
        <v>81.55742666</v>
      </c>
      <c r="K2789" s="68" t="b">
        <v>1</v>
      </c>
    </row>
    <row r="2790">
      <c r="A2790" s="75">
        <v>2784.0</v>
      </c>
      <c r="B2790" s="62" t="s">
        <v>1306</v>
      </c>
      <c r="C2790" s="62" t="s">
        <v>88</v>
      </c>
      <c r="D2790" s="62" t="s">
        <v>1742</v>
      </c>
      <c r="E2790" s="76">
        <v>44085.0</v>
      </c>
      <c r="F2790" s="77">
        <v>0.052083333333333336</v>
      </c>
      <c r="G2790" s="62" t="b">
        <v>1</v>
      </c>
      <c r="H2790" s="78" t="b">
        <f>IF(VLOOKUP(C2790,Projetos!A:L,12,false)=TRUE,TRUE,FALSE)</f>
        <v>1</v>
      </c>
      <c r="I2790" s="68">
        <v>40.77871333218548</v>
      </c>
      <c r="J2790" s="68">
        <f t="shared" si="1"/>
        <v>50.97339167</v>
      </c>
      <c r="K2790" s="68" t="b">
        <v>1</v>
      </c>
    </row>
    <row r="2791">
      <c r="A2791" s="75">
        <v>2785.0</v>
      </c>
      <c r="B2791" s="62" t="s">
        <v>1306</v>
      </c>
      <c r="C2791" s="62" t="s">
        <v>88</v>
      </c>
      <c r="D2791" s="62" t="s">
        <v>1743</v>
      </c>
      <c r="E2791" s="76">
        <v>44085.0</v>
      </c>
      <c r="F2791" s="77">
        <v>0.125</v>
      </c>
      <c r="G2791" s="62" t="b">
        <v>1</v>
      </c>
      <c r="H2791" s="78" t="b">
        <f>IF(VLOOKUP(C2791,Projetos!A:L,12,false)=TRUE,TRUE,FALSE)</f>
        <v>1</v>
      </c>
      <c r="I2791" s="68">
        <v>40.77871333218548</v>
      </c>
      <c r="J2791" s="68">
        <f t="shared" si="1"/>
        <v>122.33614</v>
      </c>
      <c r="K2791" s="68" t="b">
        <v>1</v>
      </c>
    </row>
    <row r="2792">
      <c r="A2792" s="75">
        <v>2786.0</v>
      </c>
      <c r="B2792" s="62" t="s">
        <v>1306</v>
      </c>
      <c r="C2792" s="62" t="s">
        <v>88</v>
      </c>
      <c r="D2792" s="62" t="s">
        <v>1744</v>
      </c>
      <c r="E2792" s="76">
        <v>44090.0</v>
      </c>
      <c r="F2792" s="77">
        <v>0.16666666666666666</v>
      </c>
      <c r="G2792" s="62" t="b">
        <v>1</v>
      </c>
      <c r="H2792" s="78" t="b">
        <f>IF(VLOOKUP(C2792,Projetos!A:L,12,false)=TRUE,TRUE,FALSE)</f>
        <v>1</v>
      </c>
      <c r="I2792" s="68">
        <v>40.77871333218548</v>
      </c>
      <c r="J2792" s="68">
        <f t="shared" si="1"/>
        <v>163.1148533</v>
      </c>
      <c r="K2792" s="68" t="b">
        <v>1</v>
      </c>
    </row>
    <row r="2793">
      <c r="A2793" s="75">
        <v>2787.0</v>
      </c>
      <c r="B2793" s="62" t="s">
        <v>1306</v>
      </c>
      <c r="C2793" s="62" t="s">
        <v>88</v>
      </c>
      <c r="D2793" s="62" t="s">
        <v>1745</v>
      </c>
      <c r="E2793" s="76">
        <v>44092.0</v>
      </c>
      <c r="F2793" s="77">
        <v>0.041666666666666664</v>
      </c>
      <c r="G2793" s="62" t="b">
        <v>1</v>
      </c>
      <c r="H2793" s="78" t="b">
        <f>IF(VLOOKUP(C2793,Projetos!A:L,12,false)=TRUE,TRUE,FALSE)</f>
        <v>1</v>
      </c>
      <c r="I2793" s="68">
        <v>40.77871333218548</v>
      </c>
      <c r="J2793" s="68">
        <f t="shared" si="1"/>
        <v>40.77871333</v>
      </c>
      <c r="K2793" s="68" t="b">
        <v>1</v>
      </c>
    </row>
    <row r="2794">
      <c r="A2794" s="75">
        <v>2788.0</v>
      </c>
      <c r="B2794" s="62" t="s">
        <v>1306</v>
      </c>
      <c r="C2794" s="62" t="s">
        <v>88</v>
      </c>
      <c r="D2794" s="62" t="s">
        <v>1746</v>
      </c>
      <c r="E2794" s="76">
        <v>44096.0</v>
      </c>
      <c r="F2794" s="77">
        <v>0.041666666666666664</v>
      </c>
      <c r="G2794" s="62" t="b">
        <v>1</v>
      </c>
      <c r="H2794" s="78" t="b">
        <f>IF(VLOOKUP(C2794,Projetos!A:L,12,false)=TRUE,TRUE,FALSE)</f>
        <v>1</v>
      </c>
      <c r="I2794" s="68">
        <v>40.77871333218548</v>
      </c>
      <c r="J2794" s="68">
        <f t="shared" si="1"/>
        <v>40.77871333</v>
      </c>
      <c r="K2794" s="68" t="b">
        <v>1</v>
      </c>
    </row>
    <row r="2795" hidden="1">
      <c r="A2795" s="75">
        <v>2789.0</v>
      </c>
      <c r="B2795" s="62" t="s">
        <v>1306</v>
      </c>
      <c r="C2795" s="62" t="s">
        <v>88</v>
      </c>
      <c r="D2795" s="62" t="s">
        <v>1747</v>
      </c>
      <c r="E2795" s="76">
        <v>44102.0</v>
      </c>
      <c r="F2795" s="77">
        <v>0.020833333333333332</v>
      </c>
      <c r="G2795" s="62" t="b">
        <v>0</v>
      </c>
      <c r="H2795" s="78" t="b">
        <f>IF(VLOOKUP(C2795,Projetos!A:L,12,false)=TRUE,TRUE,FALSE)</f>
        <v>1</v>
      </c>
      <c r="I2795" s="68">
        <v>40.77871333218548</v>
      </c>
      <c r="J2795" s="68">
        <f t="shared" si="1"/>
        <v>0</v>
      </c>
      <c r="K2795" s="68" t="b">
        <v>1</v>
      </c>
    </row>
    <row r="2796">
      <c r="A2796" s="75">
        <v>2790.0</v>
      </c>
      <c r="B2796" s="62" t="s">
        <v>1306</v>
      </c>
      <c r="C2796" s="62" t="s">
        <v>88</v>
      </c>
      <c r="D2796" s="62" t="s">
        <v>1748</v>
      </c>
      <c r="E2796" s="76">
        <v>44103.0</v>
      </c>
      <c r="F2796" s="77">
        <v>0.09375</v>
      </c>
      <c r="G2796" s="62" t="b">
        <v>1</v>
      </c>
      <c r="H2796" s="78" t="b">
        <f>IF(VLOOKUP(C2796,Projetos!A:L,12,false)=TRUE,TRUE,FALSE)</f>
        <v>1</v>
      </c>
      <c r="I2796" s="68">
        <v>40.77871333218548</v>
      </c>
      <c r="J2796" s="68">
        <f t="shared" si="1"/>
        <v>91.752105</v>
      </c>
      <c r="K2796" s="68" t="b">
        <v>1</v>
      </c>
    </row>
    <row r="2797">
      <c r="A2797" s="75">
        <v>2791.0</v>
      </c>
      <c r="B2797" s="62" t="s">
        <v>1306</v>
      </c>
      <c r="C2797" s="62" t="s">
        <v>90</v>
      </c>
      <c r="D2797" s="62" t="s">
        <v>1749</v>
      </c>
      <c r="E2797" s="76">
        <v>44075.0</v>
      </c>
      <c r="F2797" s="77">
        <v>0.041666666666666664</v>
      </c>
      <c r="G2797" s="62" t="b">
        <v>1</v>
      </c>
      <c r="H2797" s="78" t="b">
        <f>IF(VLOOKUP(C2797,Projetos!A:L,12,false)=TRUE,TRUE,FALSE)</f>
        <v>1</v>
      </c>
      <c r="I2797" s="68">
        <v>40.77871333218548</v>
      </c>
      <c r="J2797" s="68">
        <f t="shared" si="1"/>
        <v>40.77871333</v>
      </c>
      <c r="K2797" s="68" t="b">
        <v>1</v>
      </c>
    </row>
    <row r="2798">
      <c r="A2798" s="75">
        <v>2792.0</v>
      </c>
      <c r="B2798" s="62" t="s">
        <v>1306</v>
      </c>
      <c r="C2798" s="62" t="s">
        <v>90</v>
      </c>
      <c r="D2798" s="62" t="s">
        <v>1750</v>
      </c>
      <c r="E2798" s="76">
        <v>44078.0</v>
      </c>
      <c r="F2798" s="77">
        <v>0.020833333333333332</v>
      </c>
      <c r="G2798" s="62" t="b">
        <v>1</v>
      </c>
      <c r="H2798" s="78" t="b">
        <f>IF(VLOOKUP(C2798,Projetos!A:L,12,false)=TRUE,TRUE,FALSE)</f>
        <v>1</v>
      </c>
      <c r="I2798" s="68">
        <v>40.77871333218548</v>
      </c>
      <c r="J2798" s="68">
        <f t="shared" si="1"/>
        <v>20.38935667</v>
      </c>
      <c r="K2798" s="68" t="b">
        <v>1</v>
      </c>
    </row>
    <row r="2799">
      <c r="A2799" s="75">
        <v>2793.0</v>
      </c>
      <c r="B2799" s="62" t="s">
        <v>1306</v>
      </c>
      <c r="C2799" s="62" t="s">
        <v>90</v>
      </c>
      <c r="D2799" s="62" t="s">
        <v>1751</v>
      </c>
      <c r="E2799" s="76">
        <v>44078.0</v>
      </c>
      <c r="F2799" s="77">
        <v>0.041666666666666664</v>
      </c>
      <c r="G2799" s="62" t="b">
        <v>1</v>
      </c>
      <c r="H2799" s="78" t="b">
        <f>IF(VLOOKUP(C2799,Projetos!A:L,12,false)=TRUE,TRUE,FALSE)</f>
        <v>1</v>
      </c>
      <c r="I2799" s="68">
        <v>40.77871333218548</v>
      </c>
      <c r="J2799" s="68">
        <f t="shared" si="1"/>
        <v>40.77871333</v>
      </c>
      <c r="K2799" s="68" t="b">
        <v>1</v>
      </c>
    </row>
    <row r="2800">
      <c r="A2800" s="75">
        <v>2794.0</v>
      </c>
      <c r="B2800" s="62" t="s">
        <v>1306</v>
      </c>
      <c r="C2800" s="62" t="s">
        <v>90</v>
      </c>
      <c r="D2800" s="62" t="s">
        <v>1752</v>
      </c>
      <c r="E2800" s="76">
        <v>44078.0</v>
      </c>
      <c r="F2800" s="77">
        <v>0.041666666666666664</v>
      </c>
      <c r="G2800" s="62" t="b">
        <v>1</v>
      </c>
      <c r="H2800" s="78" t="b">
        <f>IF(VLOOKUP(C2800,Projetos!A:L,12,false)=TRUE,TRUE,FALSE)</f>
        <v>1</v>
      </c>
      <c r="I2800" s="68">
        <v>40.77871333218548</v>
      </c>
      <c r="J2800" s="68">
        <f t="shared" si="1"/>
        <v>40.77871333</v>
      </c>
      <c r="K2800" s="68" t="b">
        <v>1</v>
      </c>
    </row>
    <row r="2801">
      <c r="A2801" s="75">
        <v>2795.0</v>
      </c>
      <c r="B2801" s="62" t="s">
        <v>1306</v>
      </c>
      <c r="C2801" s="62" t="s">
        <v>90</v>
      </c>
      <c r="D2801" s="62" t="s">
        <v>243</v>
      </c>
      <c r="E2801" s="76">
        <v>44088.0</v>
      </c>
      <c r="F2801" s="77">
        <v>0.10416666666666667</v>
      </c>
      <c r="G2801" s="62" t="b">
        <v>1</v>
      </c>
      <c r="H2801" s="78" t="b">
        <f>IF(VLOOKUP(C2801,Projetos!A:L,12,false)=TRUE,TRUE,FALSE)</f>
        <v>1</v>
      </c>
      <c r="I2801" s="68">
        <v>40.77871333218548</v>
      </c>
      <c r="J2801" s="68">
        <f t="shared" si="1"/>
        <v>101.9467833</v>
      </c>
      <c r="K2801" s="68" t="b">
        <v>1</v>
      </c>
    </row>
    <row r="2802">
      <c r="A2802" s="75">
        <v>2796.0</v>
      </c>
      <c r="B2802" s="62" t="s">
        <v>1306</v>
      </c>
      <c r="C2802" s="62" t="s">
        <v>90</v>
      </c>
      <c r="D2802" s="62" t="s">
        <v>1753</v>
      </c>
      <c r="E2802" s="76">
        <v>44089.0</v>
      </c>
      <c r="F2802" s="77">
        <v>0.041666666666666664</v>
      </c>
      <c r="G2802" s="62" t="b">
        <v>1</v>
      </c>
      <c r="H2802" s="78" t="b">
        <f>IF(VLOOKUP(C2802,Projetos!A:L,12,false)=TRUE,TRUE,FALSE)</f>
        <v>1</v>
      </c>
      <c r="I2802" s="68">
        <v>40.77871333218548</v>
      </c>
      <c r="J2802" s="68">
        <f t="shared" si="1"/>
        <v>40.77871333</v>
      </c>
      <c r="K2802" s="68" t="b">
        <v>1</v>
      </c>
    </row>
    <row r="2803">
      <c r="A2803" s="75">
        <v>2797.0</v>
      </c>
      <c r="B2803" s="62" t="s">
        <v>1306</v>
      </c>
      <c r="C2803" s="62" t="s">
        <v>90</v>
      </c>
      <c r="D2803" s="62" t="s">
        <v>1754</v>
      </c>
      <c r="E2803" s="76">
        <v>44089.0</v>
      </c>
      <c r="F2803" s="77">
        <v>0.041666666666666664</v>
      </c>
      <c r="G2803" s="62" t="b">
        <v>1</v>
      </c>
      <c r="H2803" s="78" t="b">
        <f>IF(VLOOKUP(C2803,Projetos!A:L,12,false)=TRUE,TRUE,FALSE)</f>
        <v>1</v>
      </c>
      <c r="I2803" s="68">
        <v>40.77871333218548</v>
      </c>
      <c r="J2803" s="68">
        <f t="shared" si="1"/>
        <v>40.77871333</v>
      </c>
      <c r="K2803" s="68" t="b">
        <v>1</v>
      </c>
    </row>
    <row r="2804">
      <c r="A2804" s="75">
        <v>2798.0</v>
      </c>
      <c r="B2804" s="62" t="s">
        <v>1306</v>
      </c>
      <c r="C2804" s="62" t="s">
        <v>90</v>
      </c>
      <c r="D2804" s="62" t="s">
        <v>1755</v>
      </c>
      <c r="E2804" s="76">
        <v>44089.0</v>
      </c>
      <c r="F2804" s="77">
        <v>0.041666666666666664</v>
      </c>
      <c r="G2804" s="62" t="b">
        <v>1</v>
      </c>
      <c r="H2804" s="78" t="b">
        <f>IF(VLOOKUP(C2804,Projetos!A:L,12,false)=TRUE,TRUE,FALSE)</f>
        <v>1</v>
      </c>
      <c r="I2804" s="68">
        <v>40.77871333218548</v>
      </c>
      <c r="J2804" s="68">
        <f t="shared" si="1"/>
        <v>40.77871333</v>
      </c>
      <c r="K2804" s="68" t="b">
        <v>1</v>
      </c>
    </row>
    <row r="2805">
      <c r="A2805" s="75">
        <v>2799.0</v>
      </c>
      <c r="B2805" s="62" t="s">
        <v>1306</v>
      </c>
      <c r="C2805" s="62" t="s">
        <v>90</v>
      </c>
      <c r="D2805" s="62" t="s">
        <v>1756</v>
      </c>
      <c r="E2805" s="76">
        <v>44090.0</v>
      </c>
      <c r="F2805" s="77">
        <v>0.041666666666666664</v>
      </c>
      <c r="G2805" s="62" t="b">
        <v>1</v>
      </c>
      <c r="H2805" s="78" t="b">
        <f>IF(VLOOKUP(C2805,Projetos!A:L,12,false)=TRUE,TRUE,FALSE)</f>
        <v>1</v>
      </c>
      <c r="I2805" s="68">
        <v>40.77871333218548</v>
      </c>
      <c r="J2805" s="68">
        <f t="shared" si="1"/>
        <v>40.77871333</v>
      </c>
      <c r="K2805" s="68" t="b">
        <v>1</v>
      </c>
    </row>
    <row r="2806">
      <c r="A2806" s="75">
        <v>2800.0</v>
      </c>
      <c r="B2806" s="62" t="s">
        <v>1306</v>
      </c>
      <c r="C2806" s="62" t="s">
        <v>90</v>
      </c>
      <c r="D2806" s="62" t="s">
        <v>1757</v>
      </c>
      <c r="E2806" s="76">
        <v>44091.0</v>
      </c>
      <c r="F2806" s="77">
        <v>0.0625</v>
      </c>
      <c r="G2806" s="62" t="b">
        <v>1</v>
      </c>
      <c r="H2806" s="78" t="b">
        <f>IF(VLOOKUP(C2806,Projetos!A:L,12,false)=TRUE,TRUE,FALSE)</f>
        <v>1</v>
      </c>
      <c r="I2806" s="68">
        <v>40.77871333218548</v>
      </c>
      <c r="J2806" s="68">
        <f t="shared" si="1"/>
        <v>61.16807</v>
      </c>
      <c r="K2806" s="68" t="b">
        <v>1</v>
      </c>
    </row>
    <row r="2807">
      <c r="A2807" s="75">
        <v>2801.0</v>
      </c>
      <c r="B2807" s="62" t="s">
        <v>1306</v>
      </c>
      <c r="C2807" s="62" t="s">
        <v>90</v>
      </c>
      <c r="D2807" s="62" t="s">
        <v>1758</v>
      </c>
      <c r="E2807" s="76">
        <v>44091.0</v>
      </c>
      <c r="F2807" s="77">
        <v>0.0625</v>
      </c>
      <c r="G2807" s="62" t="b">
        <v>1</v>
      </c>
      <c r="H2807" s="78" t="b">
        <f>IF(VLOOKUP(C2807,Projetos!A:L,12,false)=TRUE,TRUE,FALSE)</f>
        <v>1</v>
      </c>
      <c r="I2807" s="68">
        <v>40.77871333218548</v>
      </c>
      <c r="J2807" s="68">
        <f t="shared" si="1"/>
        <v>61.16807</v>
      </c>
      <c r="K2807" s="68" t="b">
        <v>1</v>
      </c>
    </row>
    <row r="2808">
      <c r="A2808" s="75">
        <v>2802.0</v>
      </c>
      <c r="B2808" s="62" t="s">
        <v>1306</v>
      </c>
      <c r="C2808" s="62" t="s">
        <v>90</v>
      </c>
      <c r="D2808" s="62" t="s">
        <v>971</v>
      </c>
      <c r="E2808" s="76">
        <v>44092.0</v>
      </c>
      <c r="F2808" s="77">
        <v>0.020833333333333332</v>
      </c>
      <c r="G2808" s="62" t="b">
        <v>1</v>
      </c>
      <c r="H2808" s="78" t="b">
        <f>IF(VLOOKUP(C2808,Projetos!A:L,12,false)=TRUE,TRUE,FALSE)</f>
        <v>1</v>
      </c>
      <c r="I2808" s="68">
        <v>40.77871333218548</v>
      </c>
      <c r="J2808" s="68">
        <f t="shared" si="1"/>
        <v>20.38935667</v>
      </c>
      <c r="K2808" s="68" t="b">
        <v>1</v>
      </c>
    </row>
    <row r="2809">
      <c r="A2809" s="75">
        <v>2803.0</v>
      </c>
      <c r="B2809" s="62" t="s">
        <v>1306</v>
      </c>
      <c r="C2809" s="62" t="s">
        <v>90</v>
      </c>
      <c r="D2809" s="62" t="s">
        <v>1759</v>
      </c>
      <c r="E2809" s="76">
        <v>44095.0</v>
      </c>
      <c r="F2809" s="77">
        <v>0.21875</v>
      </c>
      <c r="G2809" s="62" t="b">
        <v>1</v>
      </c>
      <c r="H2809" s="78" t="b">
        <f>IF(VLOOKUP(C2809,Projetos!A:L,12,false)=TRUE,TRUE,FALSE)</f>
        <v>1</v>
      </c>
      <c r="I2809" s="68">
        <v>40.77871333218548</v>
      </c>
      <c r="J2809" s="68">
        <f t="shared" si="1"/>
        <v>214.088245</v>
      </c>
      <c r="K2809" s="68" t="b">
        <v>1</v>
      </c>
    </row>
    <row r="2810">
      <c r="A2810" s="75">
        <v>2804.0</v>
      </c>
      <c r="B2810" s="62" t="s">
        <v>1306</v>
      </c>
      <c r="C2810" s="62" t="s">
        <v>90</v>
      </c>
      <c r="D2810" s="62" t="s">
        <v>1760</v>
      </c>
      <c r="E2810" s="76">
        <v>44097.0</v>
      </c>
      <c r="F2810" s="77">
        <v>0.041666666666666664</v>
      </c>
      <c r="G2810" s="62" t="b">
        <v>1</v>
      </c>
      <c r="H2810" s="78" t="b">
        <f>IF(VLOOKUP(C2810,Projetos!A:L,12,false)=TRUE,TRUE,FALSE)</f>
        <v>1</v>
      </c>
      <c r="I2810" s="68">
        <v>40.77871333218548</v>
      </c>
      <c r="J2810" s="68">
        <f t="shared" si="1"/>
        <v>40.77871333</v>
      </c>
      <c r="K2810" s="68" t="b">
        <v>1</v>
      </c>
    </row>
    <row r="2811">
      <c r="A2811" s="75">
        <v>2805.0</v>
      </c>
      <c r="B2811" s="62" t="s">
        <v>1306</v>
      </c>
      <c r="C2811" s="62" t="s">
        <v>90</v>
      </c>
      <c r="D2811" s="62" t="s">
        <v>1761</v>
      </c>
      <c r="E2811" s="76">
        <v>44097.0</v>
      </c>
      <c r="F2811" s="77">
        <v>0.0625</v>
      </c>
      <c r="G2811" s="62" t="b">
        <v>1</v>
      </c>
      <c r="H2811" s="78" t="b">
        <f>IF(VLOOKUP(C2811,Projetos!A:L,12,false)=TRUE,TRUE,FALSE)</f>
        <v>1</v>
      </c>
      <c r="I2811" s="68">
        <v>40.77871333218548</v>
      </c>
      <c r="J2811" s="68">
        <f t="shared" si="1"/>
        <v>61.16807</v>
      </c>
      <c r="K2811" s="68" t="b">
        <v>1</v>
      </c>
    </row>
    <row r="2812">
      <c r="A2812" s="75">
        <v>2806.0</v>
      </c>
      <c r="B2812" s="62" t="s">
        <v>1306</v>
      </c>
      <c r="C2812" s="62" t="s">
        <v>90</v>
      </c>
      <c r="D2812" s="62" t="s">
        <v>1762</v>
      </c>
      <c r="E2812" s="76">
        <v>44098.0</v>
      </c>
      <c r="F2812" s="77">
        <v>0.09375</v>
      </c>
      <c r="G2812" s="62" t="b">
        <v>1</v>
      </c>
      <c r="H2812" s="78" t="b">
        <f>IF(VLOOKUP(C2812,Projetos!A:L,12,false)=TRUE,TRUE,FALSE)</f>
        <v>1</v>
      </c>
      <c r="I2812" s="68">
        <v>40.77871333218548</v>
      </c>
      <c r="J2812" s="68">
        <f t="shared" si="1"/>
        <v>91.752105</v>
      </c>
      <c r="K2812" s="68" t="b">
        <v>1</v>
      </c>
    </row>
    <row r="2813">
      <c r="A2813" s="75">
        <v>2807.0</v>
      </c>
      <c r="B2813" s="62" t="s">
        <v>1306</v>
      </c>
      <c r="C2813" s="62" t="s">
        <v>90</v>
      </c>
      <c r="D2813" s="62" t="s">
        <v>1763</v>
      </c>
      <c r="E2813" s="76">
        <v>44098.0</v>
      </c>
      <c r="F2813" s="77">
        <v>0.020833333333333332</v>
      </c>
      <c r="G2813" s="62" t="b">
        <v>1</v>
      </c>
      <c r="H2813" s="78" t="b">
        <f>IF(VLOOKUP(C2813,Projetos!A:L,12,false)=TRUE,TRUE,FALSE)</f>
        <v>1</v>
      </c>
      <c r="I2813" s="68">
        <v>40.77871333218548</v>
      </c>
      <c r="J2813" s="68">
        <f t="shared" si="1"/>
        <v>20.38935667</v>
      </c>
      <c r="K2813" s="68" t="b">
        <v>1</v>
      </c>
    </row>
    <row r="2814">
      <c r="A2814" s="75">
        <v>2808.0</v>
      </c>
      <c r="B2814" s="62" t="s">
        <v>1306</v>
      </c>
      <c r="C2814" s="62" t="s">
        <v>90</v>
      </c>
      <c r="D2814" s="62" t="s">
        <v>1764</v>
      </c>
      <c r="E2814" s="76">
        <v>44099.0</v>
      </c>
      <c r="F2814" s="77">
        <v>0.10416666666666667</v>
      </c>
      <c r="G2814" s="62" t="b">
        <v>1</v>
      </c>
      <c r="H2814" s="78" t="b">
        <f>IF(VLOOKUP(C2814,Projetos!A:L,12,false)=TRUE,TRUE,FALSE)</f>
        <v>1</v>
      </c>
      <c r="I2814" s="68">
        <v>40.77871333218548</v>
      </c>
      <c r="J2814" s="68">
        <f t="shared" si="1"/>
        <v>101.9467833</v>
      </c>
      <c r="K2814" s="68" t="b">
        <v>1</v>
      </c>
    </row>
    <row r="2815">
      <c r="A2815" s="75">
        <v>2809.0</v>
      </c>
      <c r="B2815" s="62" t="s">
        <v>1306</v>
      </c>
      <c r="C2815" s="62" t="s">
        <v>90</v>
      </c>
      <c r="D2815" s="62" t="s">
        <v>1765</v>
      </c>
      <c r="E2815" s="76">
        <v>44102.0</v>
      </c>
      <c r="F2815" s="77">
        <v>0.052083333333333336</v>
      </c>
      <c r="G2815" s="62" t="b">
        <v>1</v>
      </c>
      <c r="H2815" s="78" t="b">
        <f>IF(VLOOKUP(C2815,Projetos!A:L,12,false)=TRUE,TRUE,FALSE)</f>
        <v>1</v>
      </c>
      <c r="I2815" s="68">
        <v>40.77871333218548</v>
      </c>
      <c r="J2815" s="68">
        <f t="shared" si="1"/>
        <v>50.97339167</v>
      </c>
      <c r="K2815" s="68" t="b">
        <v>1</v>
      </c>
    </row>
    <row r="2816">
      <c r="A2816" s="75">
        <v>2810.0</v>
      </c>
      <c r="B2816" s="62" t="s">
        <v>1306</v>
      </c>
      <c r="C2816" s="62" t="s">
        <v>90</v>
      </c>
      <c r="D2816" s="62" t="s">
        <v>1766</v>
      </c>
      <c r="E2816" s="76">
        <v>44104.0</v>
      </c>
      <c r="F2816" s="77">
        <v>0.09375</v>
      </c>
      <c r="G2816" s="62" t="b">
        <v>1</v>
      </c>
      <c r="H2816" s="78" t="b">
        <f>IF(VLOOKUP(C2816,Projetos!A:L,12,false)=TRUE,TRUE,FALSE)</f>
        <v>1</v>
      </c>
      <c r="I2816" s="68">
        <v>40.77871333218548</v>
      </c>
      <c r="J2816" s="68">
        <f t="shared" si="1"/>
        <v>91.752105</v>
      </c>
      <c r="K2816" s="68" t="b">
        <v>1</v>
      </c>
    </row>
    <row r="2817">
      <c r="A2817" s="75">
        <v>2811.0</v>
      </c>
      <c r="B2817" s="62" t="s">
        <v>1306</v>
      </c>
      <c r="C2817" s="62" t="s">
        <v>90</v>
      </c>
      <c r="D2817" s="62" t="s">
        <v>1767</v>
      </c>
      <c r="E2817" s="76">
        <v>44104.0</v>
      </c>
      <c r="F2817" s="77">
        <v>0.08333333333333333</v>
      </c>
      <c r="G2817" s="62" t="b">
        <v>1</v>
      </c>
      <c r="H2817" s="78" t="b">
        <f>IF(VLOOKUP(C2817,Projetos!A:L,12,false)=TRUE,TRUE,FALSE)</f>
        <v>1</v>
      </c>
      <c r="I2817" s="68">
        <v>40.77871333218548</v>
      </c>
      <c r="J2817" s="68">
        <f t="shared" si="1"/>
        <v>81.55742666</v>
      </c>
      <c r="K2817" s="68" t="b">
        <v>1</v>
      </c>
    </row>
    <row r="2818">
      <c r="A2818" s="75">
        <v>2812.0</v>
      </c>
      <c r="B2818" s="62" t="s">
        <v>1306</v>
      </c>
      <c r="C2818" s="62" t="s">
        <v>90</v>
      </c>
      <c r="D2818" s="62" t="s">
        <v>1446</v>
      </c>
      <c r="E2818" s="76">
        <v>44104.0</v>
      </c>
      <c r="F2818" s="77">
        <v>0.041666666666666664</v>
      </c>
      <c r="G2818" s="62" t="b">
        <v>1</v>
      </c>
      <c r="H2818" s="78" t="b">
        <f>IF(VLOOKUP(C2818,Projetos!A:L,12,false)=TRUE,TRUE,FALSE)</f>
        <v>1</v>
      </c>
      <c r="I2818" s="68">
        <v>40.77871333218548</v>
      </c>
      <c r="J2818" s="68">
        <f t="shared" si="1"/>
        <v>40.77871333</v>
      </c>
      <c r="K2818" s="68" t="b">
        <v>1</v>
      </c>
    </row>
    <row r="2819">
      <c r="A2819" s="75">
        <v>2813.0</v>
      </c>
      <c r="B2819" s="62" t="s">
        <v>1306</v>
      </c>
      <c r="C2819" s="62" t="s">
        <v>97</v>
      </c>
      <c r="D2819" s="62" t="s">
        <v>1746</v>
      </c>
      <c r="E2819" s="76">
        <v>44096.0</v>
      </c>
      <c r="F2819" s="77">
        <v>0.020833333333333332</v>
      </c>
      <c r="G2819" s="62" t="b">
        <v>1</v>
      </c>
      <c r="H2819" s="78" t="b">
        <f>IF(VLOOKUP(C2819,Projetos!A:L,12,false)=TRUE,TRUE,FALSE)</f>
        <v>1</v>
      </c>
      <c r="I2819" s="68">
        <v>40.77871333218548</v>
      </c>
      <c r="J2819" s="68">
        <f t="shared" si="1"/>
        <v>20.38935667</v>
      </c>
      <c r="K2819" s="68" t="b">
        <v>1</v>
      </c>
    </row>
    <row r="2820" hidden="1">
      <c r="A2820" s="75">
        <v>2814.0</v>
      </c>
      <c r="B2820" s="62" t="s">
        <v>1306</v>
      </c>
      <c r="C2820" s="62" t="s">
        <v>97</v>
      </c>
      <c r="D2820" s="62" t="s">
        <v>1768</v>
      </c>
      <c r="E2820" s="76">
        <v>44097.0</v>
      </c>
      <c r="F2820" s="77">
        <v>0.0625</v>
      </c>
      <c r="G2820" s="62" t="b">
        <v>0</v>
      </c>
      <c r="H2820" s="78" t="b">
        <f>IF(VLOOKUP(C2820,Projetos!A:L,12,false)=TRUE,TRUE,FALSE)</f>
        <v>1</v>
      </c>
      <c r="I2820" s="68">
        <v>40.77871333218548</v>
      </c>
      <c r="J2820" s="68">
        <f t="shared" si="1"/>
        <v>0</v>
      </c>
      <c r="K2820" s="68" t="b">
        <v>1</v>
      </c>
    </row>
    <row r="2821">
      <c r="A2821" s="75">
        <v>2815.0</v>
      </c>
      <c r="B2821" s="62" t="s">
        <v>1306</v>
      </c>
      <c r="C2821" s="62" t="s">
        <v>98</v>
      </c>
      <c r="D2821" s="62" t="s">
        <v>1346</v>
      </c>
      <c r="E2821" s="76">
        <v>44075.0</v>
      </c>
      <c r="F2821" s="77">
        <v>0.041666666666666664</v>
      </c>
      <c r="G2821" s="62" t="b">
        <v>1</v>
      </c>
      <c r="H2821" s="78" t="b">
        <f>IF(VLOOKUP(C2821,Projetos!A:L,12,false)=TRUE,TRUE,FALSE)</f>
        <v>1</v>
      </c>
      <c r="I2821" s="68">
        <v>40.77871333218548</v>
      </c>
      <c r="J2821" s="68">
        <f t="shared" si="1"/>
        <v>40.77871333</v>
      </c>
      <c r="K2821" s="68" t="b">
        <v>1</v>
      </c>
    </row>
    <row r="2822">
      <c r="A2822" s="75">
        <v>2816.0</v>
      </c>
      <c r="B2822" s="62" t="s">
        <v>1306</v>
      </c>
      <c r="C2822" s="62" t="s">
        <v>98</v>
      </c>
      <c r="D2822" s="62" t="s">
        <v>1769</v>
      </c>
      <c r="E2822" s="76">
        <v>44084.0</v>
      </c>
      <c r="F2822" s="77">
        <v>0.020833333333333332</v>
      </c>
      <c r="G2822" s="62" t="b">
        <v>1</v>
      </c>
      <c r="H2822" s="78" t="b">
        <f>IF(VLOOKUP(C2822,Projetos!A:L,12,false)=TRUE,TRUE,FALSE)</f>
        <v>1</v>
      </c>
      <c r="I2822" s="68">
        <v>40.77871333218548</v>
      </c>
      <c r="J2822" s="68">
        <f t="shared" si="1"/>
        <v>20.38935667</v>
      </c>
      <c r="K2822" s="68" t="b">
        <v>1</v>
      </c>
    </row>
    <row r="2823">
      <c r="A2823" s="75">
        <v>2817.0</v>
      </c>
      <c r="B2823" s="62" t="s">
        <v>1306</v>
      </c>
      <c r="C2823" s="62" t="s">
        <v>100</v>
      </c>
      <c r="D2823" s="62" t="s">
        <v>1770</v>
      </c>
      <c r="E2823" s="76">
        <v>44092.0</v>
      </c>
      <c r="F2823" s="77">
        <v>0.0625</v>
      </c>
      <c r="G2823" s="62" t="b">
        <v>1</v>
      </c>
      <c r="H2823" s="78" t="b">
        <f>IF(VLOOKUP(C2823,Projetos!A:L,12,false)=TRUE,TRUE,FALSE)</f>
        <v>1</v>
      </c>
      <c r="I2823" s="68">
        <v>40.77871333218548</v>
      </c>
      <c r="J2823" s="68">
        <f t="shared" si="1"/>
        <v>61.16807</v>
      </c>
      <c r="K2823" s="68" t="b">
        <v>1</v>
      </c>
    </row>
    <row r="2824">
      <c r="A2824" s="75">
        <v>2818.0</v>
      </c>
      <c r="B2824" s="62" t="s">
        <v>1306</v>
      </c>
      <c r="C2824" s="62" t="s">
        <v>100</v>
      </c>
      <c r="D2824" s="62" t="s">
        <v>1746</v>
      </c>
      <c r="E2824" s="76">
        <v>44096.0</v>
      </c>
      <c r="F2824" s="77">
        <v>0.041666666666666664</v>
      </c>
      <c r="G2824" s="62" t="b">
        <v>1</v>
      </c>
      <c r="H2824" s="78" t="b">
        <f>IF(VLOOKUP(C2824,Projetos!A:L,12,false)=TRUE,TRUE,FALSE)</f>
        <v>1</v>
      </c>
      <c r="I2824" s="68">
        <v>40.77871333218548</v>
      </c>
      <c r="J2824" s="68">
        <f t="shared" si="1"/>
        <v>40.77871333</v>
      </c>
      <c r="K2824" s="68" t="b">
        <v>1</v>
      </c>
    </row>
    <row r="2825">
      <c r="A2825" s="75">
        <v>2819.0</v>
      </c>
      <c r="B2825" s="62" t="s">
        <v>1306</v>
      </c>
      <c r="C2825" s="62" t="s">
        <v>100</v>
      </c>
      <c r="D2825" s="62" t="s">
        <v>1771</v>
      </c>
      <c r="E2825" s="76">
        <v>44096.0</v>
      </c>
      <c r="F2825" s="77">
        <v>0.020833333333333332</v>
      </c>
      <c r="G2825" s="62" t="b">
        <v>1</v>
      </c>
      <c r="H2825" s="78" t="b">
        <f>IF(VLOOKUP(C2825,Projetos!A:L,12,false)=TRUE,TRUE,FALSE)</f>
        <v>1</v>
      </c>
      <c r="I2825" s="68">
        <v>40.77871333218548</v>
      </c>
      <c r="J2825" s="68">
        <f t="shared" si="1"/>
        <v>20.38935667</v>
      </c>
      <c r="K2825" s="68" t="b">
        <v>1</v>
      </c>
    </row>
    <row r="2826">
      <c r="A2826" s="75">
        <v>2820.0</v>
      </c>
      <c r="B2826" s="62" t="s">
        <v>1306</v>
      </c>
      <c r="C2826" s="62" t="s">
        <v>100</v>
      </c>
      <c r="D2826" s="62" t="s">
        <v>1772</v>
      </c>
      <c r="E2826" s="76">
        <v>44099.0</v>
      </c>
      <c r="F2826" s="77">
        <v>0.07291666666666667</v>
      </c>
      <c r="G2826" s="62" t="b">
        <v>1</v>
      </c>
      <c r="H2826" s="78" t="b">
        <f>IF(VLOOKUP(C2826,Projetos!A:L,12,false)=TRUE,TRUE,FALSE)</f>
        <v>1</v>
      </c>
      <c r="I2826" s="68">
        <v>40.77871333218548</v>
      </c>
      <c r="J2826" s="68">
        <f t="shared" si="1"/>
        <v>71.36274833</v>
      </c>
      <c r="K2826" s="68" t="b">
        <v>1</v>
      </c>
    </row>
    <row r="2827" hidden="1">
      <c r="A2827" s="75">
        <v>2821.0</v>
      </c>
      <c r="B2827" s="62" t="s">
        <v>1306</v>
      </c>
      <c r="C2827" s="62" t="s">
        <v>102</v>
      </c>
      <c r="D2827" s="62" t="s">
        <v>1773</v>
      </c>
      <c r="E2827" s="76">
        <v>44091.0</v>
      </c>
      <c r="F2827" s="77">
        <v>0.041666666666666664</v>
      </c>
      <c r="G2827" s="62" t="b">
        <v>0</v>
      </c>
      <c r="H2827" s="78" t="b">
        <f>IF(VLOOKUP(C2827,Projetos!A:L,12,false)=TRUE,TRUE,FALSE)</f>
        <v>0</v>
      </c>
      <c r="I2827" s="68">
        <v>40.77871333218548</v>
      </c>
      <c r="J2827" s="68">
        <f t="shared" si="1"/>
        <v>0</v>
      </c>
      <c r="K2827" s="68" t="b">
        <v>0</v>
      </c>
    </row>
    <row r="2828" hidden="1">
      <c r="A2828" s="75">
        <v>2822.0</v>
      </c>
      <c r="B2828" s="62" t="s">
        <v>1306</v>
      </c>
      <c r="C2828" s="62" t="s">
        <v>102</v>
      </c>
      <c r="D2828" s="62" t="s">
        <v>1774</v>
      </c>
      <c r="E2828" s="76">
        <v>44104.0</v>
      </c>
      <c r="F2828" s="77">
        <v>0.020833333333333332</v>
      </c>
      <c r="G2828" s="62" t="b">
        <v>0</v>
      </c>
      <c r="H2828" s="78" t="b">
        <f>IF(VLOOKUP(C2828,Projetos!A:L,12,false)=TRUE,TRUE,FALSE)</f>
        <v>0</v>
      </c>
      <c r="I2828" s="68">
        <v>40.77871333218548</v>
      </c>
      <c r="J2828" s="68">
        <f t="shared" si="1"/>
        <v>0</v>
      </c>
      <c r="K2828" s="68" t="b">
        <v>0</v>
      </c>
    </row>
    <row r="2829">
      <c r="A2829" s="75">
        <v>2823.0</v>
      </c>
      <c r="B2829" s="62" t="s">
        <v>1306</v>
      </c>
      <c r="C2829" s="62" t="s">
        <v>103</v>
      </c>
      <c r="D2829" s="62" t="s">
        <v>1775</v>
      </c>
      <c r="E2829" s="76">
        <v>44090.0</v>
      </c>
      <c r="F2829" s="77">
        <v>0.010416666666666666</v>
      </c>
      <c r="G2829" s="62" t="b">
        <v>1</v>
      </c>
      <c r="H2829" s="78" t="b">
        <f>IF(VLOOKUP(C2829,Projetos!A:L,12,false)=TRUE,TRUE,FALSE)</f>
        <v>1</v>
      </c>
      <c r="I2829" s="68">
        <v>40.77871333218548</v>
      </c>
      <c r="J2829" s="68">
        <f t="shared" si="1"/>
        <v>10.19467833</v>
      </c>
      <c r="K2829" s="68" t="b">
        <v>1</v>
      </c>
    </row>
    <row r="2830">
      <c r="A2830" s="75">
        <v>2824.0</v>
      </c>
      <c r="B2830" s="62" t="s">
        <v>1306</v>
      </c>
      <c r="C2830" s="62" t="s">
        <v>104</v>
      </c>
      <c r="D2830" s="62" t="s">
        <v>1750</v>
      </c>
      <c r="E2830" s="76">
        <v>44077.0</v>
      </c>
      <c r="F2830" s="77">
        <v>0.041666666666666664</v>
      </c>
      <c r="G2830" s="62" t="b">
        <v>1</v>
      </c>
      <c r="H2830" s="78" t="b">
        <f>IF(VLOOKUP(C2830,Projetos!A:L,12,false)=TRUE,TRUE,FALSE)</f>
        <v>1</v>
      </c>
      <c r="I2830" s="68">
        <v>40.77871333218548</v>
      </c>
      <c r="J2830" s="68">
        <f t="shared" si="1"/>
        <v>40.77871333</v>
      </c>
      <c r="K2830" s="68" t="b">
        <v>1</v>
      </c>
    </row>
    <row r="2831">
      <c r="A2831" s="75">
        <v>2825.0</v>
      </c>
      <c r="B2831" s="62" t="s">
        <v>1306</v>
      </c>
      <c r="C2831" s="62" t="s">
        <v>104</v>
      </c>
      <c r="D2831" s="62" t="s">
        <v>1776</v>
      </c>
      <c r="E2831" s="76">
        <v>44089.0</v>
      </c>
      <c r="F2831" s="77">
        <v>0.0625</v>
      </c>
      <c r="G2831" s="62" t="b">
        <v>1</v>
      </c>
      <c r="H2831" s="78" t="b">
        <f>IF(VLOOKUP(C2831,Projetos!A:L,12,false)=TRUE,TRUE,FALSE)</f>
        <v>1</v>
      </c>
      <c r="I2831" s="68">
        <v>40.77871333218548</v>
      </c>
      <c r="J2831" s="68">
        <f t="shared" si="1"/>
        <v>61.16807</v>
      </c>
      <c r="K2831" s="68" t="b">
        <v>1</v>
      </c>
    </row>
    <row r="2832" hidden="1">
      <c r="A2832" s="75">
        <v>2826.0</v>
      </c>
      <c r="B2832" s="62" t="s">
        <v>1306</v>
      </c>
      <c r="C2832" s="62" t="s">
        <v>104</v>
      </c>
      <c r="D2832" s="62" t="s">
        <v>1747</v>
      </c>
      <c r="E2832" s="76">
        <v>44102.0</v>
      </c>
      <c r="F2832" s="77">
        <v>0.020833333333333332</v>
      </c>
      <c r="G2832" s="62" t="b">
        <v>0</v>
      </c>
      <c r="H2832" s="78" t="b">
        <f>IF(VLOOKUP(C2832,Projetos!A:L,12,false)=TRUE,TRUE,FALSE)</f>
        <v>1</v>
      </c>
      <c r="I2832" s="68">
        <v>40.77871333218548</v>
      </c>
      <c r="J2832" s="68">
        <f t="shared" si="1"/>
        <v>0</v>
      </c>
      <c r="K2832" s="68" t="b">
        <v>1</v>
      </c>
    </row>
    <row r="2833">
      <c r="A2833" s="75">
        <v>2827.0</v>
      </c>
      <c r="B2833" s="62" t="s">
        <v>1306</v>
      </c>
      <c r="C2833" s="62" t="s">
        <v>105</v>
      </c>
      <c r="D2833" s="62" t="s">
        <v>1777</v>
      </c>
      <c r="E2833" s="76">
        <v>44084.0</v>
      </c>
      <c r="F2833" s="77">
        <v>0.03125</v>
      </c>
      <c r="G2833" s="62" t="b">
        <v>1</v>
      </c>
      <c r="H2833" s="78" t="b">
        <f>IF(VLOOKUP(C2833,Projetos!A:L,12,false)=TRUE,TRUE,FALSE)</f>
        <v>1</v>
      </c>
      <c r="I2833" s="68">
        <v>40.77871333218548</v>
      </c>
      <c r="J2833" s="68">
        <f t="shared" si="1"/>
        <v>30.584035</v>
      </c>
      <c r="K2833" s="68" t="b">
        <v>1</v>
      </c>
    </row>
    <row r="2834">
      <c r="A2834" s="75">
        <v>2828.0</v>
      </c>
      <c r="B2834" s="62" t="s">
        <v>1306</v>
      </c>
      <c r="C2834" s="62" t="s">
        <v>105</v>
      </c>
      <c r="D2834" s="62" t="s">
        <v>1778</v>
      </c>
      <c r="E2834" s="76">
        <v>44084.0</v>
      </c>
      <c r="F2834" s="77">
        <v>0.020833333333333332</v>
      </c>
      <c r="G2834" s="62" t="b">
        <v>1</v>
      </c>
      <c r="H2834" s="78" t="b">
        <f>IF(VLOOKUP(C2834,Projetos!A:L,12,false)=TRUE,TRUE,FALSE)</f>
        <v>1</v>
      </c>
      <c r="I2834" s="68">
        <v>40.77871333218548</v>
      </c>
      <c r="J2834" s="68">
        <f t="shared" si="1"/>
        <v>20.38935667</v>
      </c>
      <c r="K2834" s="68" t="b">
        <v>1</v>
      </c>
    </row>
    <row r="2835">
      <c r="A2835" s="75">
        <v>2829.0</v>
      </c>
      <c r="B2835" s="62" t="s">
        <v>1306</v>
      </c>
      <c r="C2835" s="62" t="s">
        <v>105</v>
      </c>
      <c r="D2835" s="62" t="s">
        <v>1779</v>
      </c>
      <c r="E2835" s="76">
        <v>44104.0</v>
      </c>
      <c r="F2835" s="77">
        <v>0.0625</v>
      </c>
      <c r="G2835" s="62" t="b">
        <v>1</v>
      </c>
      <c r="H2835" s="78" t="b">
        <f>IF(VLOOKUP(C2835,Projetos!A:L,12,false)=TRUE,TRUE,FALSE)</f>
        <v>1</v>
      </c>
      <c r="I2835" s="68">
        <v>40.77871333218548</v>
      </c>
      <c r="J2835" s="68">
        <f t="shared" si="1"/>
        <v>61.16807</v>
      </c>
      <c r="K2835" s="68" t="b">
        <v>1</v>
      </c>
    </row>
    <row r="2836" hidden="1">
      <c r="A2836" s="75">
        <v>2830.0</v>
      </c>
      <c r="B2836" s="62" t="s">
        <v>1306</v>
      </c>
      <c r="C2836" s="62" t="s">
        <v>108</v>
      </c>
      <c r="D2836" s="62" t="s">
        <v>1780</v>
      </c>
      <c r="E2836" s="76">
        <v>44075.0</v>
      </c>
      <c r="F2836" s="77">
        <v>0.07291666666666667</v>
      </c>
      <c r="G2836" s="62" t="b">
        <v>0</v>
      </c>
      <c r="H2836" s="78" t="b">
        <f>IF(VLOOKUP(C2836,Projetos!A:L,12,false)=TRUE,TRUE,FALSE)</f>
        <v>1</v>
      </c>
      <c r="I2836" s="68">
        <v>40.77871333218548</v>
      </c>
      <c r="J2836" s="68">
        <f t="shared" si="1"/>
        <v>0</v>
      </c>
      <c r="K2836" s="68" t="b">
        <v>1</v>
      </c>
    </row>
    <row r="2837" hidden="1">
      <c r="A2837" s="75">
        <v>2831.0</v>
      </c>
      <c r="B2837" s="62" t="s">
        <v>1306</v>
      </c>
      <c r="C2837" s="62" t="s">
        <v>108</v>
      </c>
      <c r="D2837" s="62" t="s">
        <v>1781</v>
      </c>
      <c r="E2837" s="76">
        <v>44075.0</v>
      </c>
      <c r="F2837" s="77">
        <v>0.0625</v>
      </c>
      <c r="G2837" s="62" t="b">
        <v>0</v>
      </c>
      <c r="H2837" s="78" t="b">
        <f>IF(VLOOKUP(C2837,Projetos!A:L,12,false)=TRUE,TRUE,FALSE)</f>
        <v>1</v>
      </c>
      <c r="I2837" s="68">
        <v>40.77871333218548</v>
      </c>
      <c r="J2837" s="68">
        <f t="shared" si="1"/>
        <v>0</v>
      </c>
      <c r="K2837" s="68" t="b">
        <v>1</v>
      </c>
    </row>
    <row r="2838" hidden="1">
      <c r="A2838" s="75">
        <v>2832.0</v>
      </c>
      <c r="B2838" s="62" t="s">
        <v>1306</v>
      </c>
      <c r="C2838" s="62" t="s">
        <v>108</v>
      </c>
      <c r="D2838" s="62" t="s">
        <v>1782</v>
      </c>
      <c r="E2838" s="76">
        <v>44075.0</v>
      </c>
      <c r="F2838" s="77">
        <v>0.08333333333333333</v>
      </c>
      <c r="G2838" s="62" t="b">
        <v>0</v>
      </c>
      <c r="H2838" s="78" t="b">
        <f>IF(VLOOKUP(C2838,Projetos!A:L,12,false)=TRUE,TRUE,FALSE)</f>
        <v>1</v>
      </c>
      <c r="I2838" s="68">
        <v>40.77871333218548</v>
      </c>
      <c r="J2838" s="68">
        <f t="shared" si="1"/>
        <v>0</v>
      </c>
      <c r="K2838" s="68" t="b">
        <v>1</v>
      </c>
    </row>
    <row r="2839" hidden="1">
      <c r="A2839" s="75">
        <v>2833.0</v>
      </c>
      <c r="B2839" s="62" t="s">
        <v>1306</v>
      </c>
      <c r="C2839" s="62" t="s">
        <v>108</v>
      </c>
      <c r="D2839" s="62" t="s">
        <v>1781</v>
      </c>
      <c r="E2839" s="76">
        <v>44076.0</v>
      </c>
      <c r="F2839" s="77">
        <v>0.0625</v>
      </c>
      <c r="G2839" s="62" t="b">
        <v>0</v>
      </c>
      <c r="H2839" s="78" t="b">
        <f>IF(VLOOKUP(C2839,Projetos!A:L,12,false)=TRUE,TRUE,FALSE)</f>
        <v>1</v>
      </c>
      <c r="I2839" s="68">
        <v>40.77871333218548</v>
      </c>
      <c r="J2839" s="68">
        <f t="shared" si="1"/>
        <v>0</v>
      </c>
      <c r="K2839" s="68" t="b">
        <v>1</v>
      </c>
    </row>
    <row r="2840" hidden="1">
      <c r="A2840" s="75">
        <v>2834.0</v>
      </c>
      <c r="B2840" s="62" t="s">
        <v>1306</v>
      </c>
      <c r="C2840" s="62" t="s">
        <v>108</v>
      </c>
      <c r="D2840" s="62" t="s">
        <v>1783</v>
      </c>
      <c r="E2840" s="76">
        <v>44076.0</v>
      </c>
      <c r="F2840" s="77">
        <v>0.08333333333333333</v>
      </c>
      <c r="G2840" s="62" t="b">
        <v>0</v>
      </c>
      <c r="H2840" s="78" t="b">
        <f>IF(VLOOKUP(C2840,Projetos!A:L,12,false)=TRUE,TRUE,FALSE)</f>
        <v>1</v>
      </c>
      <c r="I2840" s="68">
        <v>40.77871333218548</v>
      </c>
      <c r="J2840" s="68">
        <f t="shared" si="1"/>
        <v>0</v>
      </c>
      <c r="K2840" s="68" t="b">
        <v>1</v>
      </c>
    </row>
    <row r="2841" hidden="1">
      <c r="A2841" s="75">
        <v>2835.0</v>
      </c>
      <c r="B2841" s="62" t="s">
        <v>1306</v>
      </c>
      <c r="C2841" s="62" t="s">
        <v>108</v>
      </c>
      <c r="D2841" s="62" t="s">
        <v>1784</v>
      </c>
      <c r="E2841" s="76">
        <v>44077.0</v>
      </c>
      <c r="F2841" s="77">
        <v>0.052083333333333336</v>
      </c>
      <c r="G2841" s="62" t="b">
        <v>0</v>
      </c>
      <c r="H2841" s="78" t="b">
        <f>IF(VLOOKUP(C2841,Projetos!A:L,12,false)=TRUE,TRUE,FALSE)</f>
        <v>1</v>
      </c>
      <c r="I2841" s="68">
        <v>40.77871333218548</v>
      </c>
      <c r="J2841" s="68">
        <f t="shared" si="1"/>
        <v>0</v>
      </c>
      <c r="K2841" s="68" t="b">
        <v>1</v>
      </c>
    </row>
    <row r="2842" hidden="1">
      <c r="A2842" s="75">
        <v>2836.0</v>
      </c>
      <c r="B2842" s="62" t="s">
        <v>1306</v>
      </c>
      <c r="C2842" s="62" t="s">
        <v>108</v>
      </c>
      <c r="D2842" s="62" t="s">
        <v>1446</v>
      </c>
      <c r="E2842" s="76">
        <v>44078.0</v>
      </c>
      <c r="F2842" s="77">
        <v>0.041666666666666664</v>
      </c>
      <c r="G2842" s="62" t="b">
        <v>0</v>
      </c>
      <c r="H2842" s="78" t="b">
        <f>IF(VLOOKUP(C2842,Projetos!A:L,12,false)=TRUE,TRUE,FALSE)</f>
        <v>1</v>
      </c>
      <c r="I2842" s="68">
        <v>40.77871333218548</v>
      </c>
      <c r="J2842" s="68">
        <f t="shared" si="1"/>
        <v>0</v>
      </c>
      <c r="K2842" s="68" t="b">
        <v>1</v>
      </c>
    </row>
    <row r="2843" hidden="1">
      <c r="A2843" s="75">
        <v>2837.0</v>
      </c>
      <c r="B2843" s="62" t="s">
        <v>1306</v>
      </c>
      <c r="C2843" s="62" t="s">
        <v>108</v>
      </c>
      <c r="D2843" s="62" t="s">
        <v>1785</v>
      </c>
      <c r="E2843" s="76">
        <v>44078.0</v>
      </c>
      <c r="F2843" s="77">
        <v>0.08333333333333333</v>
      </c>
      <c r="G2843" s="62" t="b">
        <v>0</v>
      </c>
      <c r="H2843" s="78" t="b">
        <f>IF(VLOOKUP(C2843,Projetos!A:L,12,false)=TRUE,TRUE,FALSE)</f>
        <v>1</v>
      </c>
      <c r="I2843" s="68">
        <v>40.77871333218548</v>
      </c>
      <c r="J2843" s="68">
        <f t="shared" si="1"/>
        <v>0</v>
      </c>
      <c r="K2843" s="68" t="b">
        <v>1</v>
      </c>
    </row>
    <row r="2844" hidden="1">
      <c r="A2844" s="75">
        <v>2838.0</v>
      </c>
      <c r="B2844" s="62" t="s">
        <v>1306</v>
      </c>
      <c r="C2844" s="62" t="s">
        <v>108</v>
      </c>
      <c r="D2844" s="62" t="s">
        <v>1786</v>
      </c>
      <c r="E2844" s="76">
        <v>44083.0</v>
      </c>
      <c r="F2844" s="77">
        <v>0.10416666666666667</v>
      </c>
      <c r="G2844" s="62" t="b">
        <v>0</v>
      </c>
      <c r="H2844" s="78" t="b">
        <f>IF(VLOOKUP(C2844,Projetos!A:L,12,false)=TRUE,TRUE,FALSE)</f>
        <v>1</v>
      </c>
      <c r="I2844" s="68">
        <v>40.77871333218548</v>
      </c>
      <c r="J2844" s="68">
        <f t="shared" si="1"/>
        <v>0</v>
      </c>
      <c r="K2844" s="68" t="b">
        <v>1</v>
      </c>
    </row>
    <row r="2845" hidden="1">
      <c r="A2845" s="75">
        <v>2839.0</v>
      </c>
      <c r="B2845" s="62" t="s">
        <v>1306</v>
      </c>
      <c r="C2845" s="62" t="s">
        <v>108</v>
      </c>
      <c r="D2845" s="62" t="s">
        <v>1787</v>
      </c>
      <c r="E2845" s="76">
        <v>44083.0</v>
      </c>
      <c r="F2845" s="77">
        <v>0.20833333333333334</v>
      </c>
      <c r="G2845" s="62" t="b">
        <v>0</v>
      </c>
      <c r="H2845" s="78" t="b">
        <f>IF(VLOOKUP(C2845,Projetos!A:L,12,false)=TRUE,TRUE,FALSE)</f>
        <v>1</v>
      </c>
      <c r="I2845" s="68">
        <v>40.77871333218548</v>
      </c>
      <c r="J2845" s="68">
        <f t="shared" si="1"/>
        <v>0</v>
      </c>
      <c r="K2845" s="68" t="b">
        <v>1</v>
      </c>
    </row>
    <row r="2846" hidden="1">
      <c r="A2846" s="75">
        <v>2840.0</v>
      </c>
      <c r="B2846" s="62" t="s">
        <v>1306</v>
      </c>
      <c r="C2846" s="62" t="s">
        <v>108</v>
      </c>
      <c r="D2846" s="62" t="s">
        <v>1787</v>
      </c>
      <c r="E2846" s="76">
        <v>44084.0</v>
      </c>
      <c r="F2846" s="77">
        <v>0.08333333333333333</v>
      </c>
      <c r="G2846" s="62" t="b">
        <v>0</v>
      </c>
      <c r="H2846" s="78" t="b">
        <f>IF(VLOOKUP(C2846,Projetos!A:L,12,false)=TRUE,TRUE,FALSE)</f>
        <v>1</v>
      </c>
      <c r="I2846" s="68">
        <v>40.77871333218548</v>
      </c>
      <c r="J2846" s="68">
        <f t="shared" si="1"/>
        <v>0</v>
      </c>
      <c r="K2846" s="68" t="b">
        <v>1</v>
      </c>
    </row>
    <row r="2847" hidden="1">
      <c r="A2847" s="75">
        <v>2841.0</v>
      </c>
      <c r="B2847" s="62" t="s">
        <v>1306</v>
      </c>
      <c r="C2847" s="62" t="s">
        <v>108</v>
      </c>
      <c r="D2847" s="62" t="s">
        <v>1788</v>
      </c>
      <c r="E2847" s="76">
        <v>44084.0</v>
      </c>
      <c r="F2847" s="77">
        <v>0.041666666666666664</v>
      </c>
      <c r="G2847" s="62" t="b">
        <v>0</v>
      </c>
      <c r="H2847" s="78" t="b">
        <f>IF(VLOOKUP(C2847,Projetos!A:L,12,false)=TRUE,TRUE,FALSE)</f>
        <v>1</v>
      </c>
      <c r="I2847" s="68">
        <v>40.77871333218548</v>
      </c>
      <c r="J2847" s="68">
        <f t="shared" si="1"/>
        <v>0</v>
      </c>
      <c r="K2847" s="68" t="b">
        <v>1</v>
      </c>
    </row>
    <row r="2848" hidden="1">
      <c r="A2848" s="75">
        <v>2842.0</v>
      </c>
      <c r="B2848" s="62" t="s">
        <v>1306</v>
      </c>
      <c r="C2848" s="62" t="s">
        <v>108</v>
      </c>
      <c r="D2848" s="62" t="s">
        <v>1787</v>
      </c>
      <c r="E2848" s="76">
        <v>44085.0</v>
      </c>
      <c r="F2848" s="77">
        <v>0.0625</v>
      </c>
      <c r="G2848" s="62" t="b">
        <v>0</v>
      </c>
      <c r="H2848" s="78" t="b">
        <f>IF(VLOOKUP(C2848,Projetos!A:L,12,false)=TRUE,TRUE,FALSE)</f>
        <v>1</v>
      </c>
      <c r="I2848" s="68">
        <v>40.77871333218548</v>
      </c>
      <c r="J2848" s="68">
        <f t="shared" si="1"/>
        <v>0</v>
      </c>
      <c r="K2848" s="68" t="b">
        <v>1</v>
      </c>
    </row>
    <row r="2849" hidden="1">
      <c r="A2849" s="75">
        <v>2843.0</v>
      </c>
      <c r="B2849" s="62" t="s">
        <v>1306</v>
      </c>
      <c r="C2849" s="62" t="s">
        <v>108</v>
      </c>
      <c r="D2849" s="62" t="s">
        <v>1540</v>
      </c>
      <c r="E2849" s="76">
        <v>44085.0</v>
      </c>
      <c r="F2849" s="77">
        <v>0.08333333333333333</v>
      </c>
      <c r="G2849" s="62" t="b">
        <v>0</v>
      </c>
      <c r="H2849" s="78" t="b">
        <f>IF(VLOOKUP(C2849,Projetos!A:L,12,false)=TRUE,TRUE,FALSE)</f>
        <v>1</v>
      </c>
      <c r="I2849" s="68">
        <v>40.77871333218548</v>
      </c>
      <c r="J2849" s="68">
        <f t="shared" si="1"/>
        <v>0</v>
      </c>
      <c r="K2849" s="68" t="b">
        <v>1</v>
      </c>
    </row>
    <row r="2850" hidden="1">
      <c r="A2850" s="75">
        <v>2844.0</v>
      </c>
      <c r="B2850" s="62" t="s">
        <v>1306</v>
      </c>
      <c r="C2850" s="62" t="s">
        <v>108</v>
      </c>
      <c r="D2850" s="62" t="s">
        <v>1789</v>
      </c>
      <c r="E2850" s="76">
        <v>44088.0</v>
      </c>
      <c r="F2850" s="77">
        <v>0.010416666666666666</v>
      </c>
      <c r="G2850" s="62" t="b">
        <v>0</v>
      </c>
      <c r="H2850" s="78" t="b">
        <f>IF(VLOOKUP(C2850,Projetos!A:L,12,false)=TRUE,TRUE,FALSE)</f>
        <v>1</v>
      </c>
      <c r="I2850" s="68">
        <v>40.77871333218548</v>
      </c>
      <c r="J2850" s="68">
        <f t="shared" si="1"/>
        <v>0</v>
      </c>
      <c r="K2850" s="68" t="b">
        <v>1</v>
      </c>
    </row>
    <row r="2851" hidden="1">
      <c r="A2851" s="75">
        <v>2845.0</v>
      </c>
      <c r="B2851" s="62" t="s">
        <v>1306</v>
      </c>
      <c r="C2851" s="62" t="s">
        <v>108</v>
      </c>
      <c r="D2851" s="62" t="s">
        <v>1790</v>
      </c>
      <c r="E2851" s="76">
        <v>44088.0</v>
      </c>
      <c r="F2851" s="77">
        <v>0.041666666666666664</v>
      </c>
      <c r="G2851" s="62" t="b">
        <v>0</v>
      </c>
      <c r="H2851" s="78" t="b">
        <f>IF(VLOOKUP(C2851,Projetos!A:L,12,false)=TRUE,TRUE,FALSE)</f>
        <v>1</v>
      </c>
      <c r="I2851" s="68">
        <v>40.77871333218548</v>
      </c>
      <c r="J2851" s="68">
        <f t="shared" si="1"/>
        <v>0</v>
      </c>
      <c r="K2851" s="68" t="b">
        <v>1</v>
      </c>
    </row>
    <row r="2852" hidden="1">
      <c r="A2852" s="75">
        <v>2846.0</v>
      </c>
      <c r="B2852" s="62" t="s">
        <v>1306</v>
      </c>
      <c r="C2852" s="62" t="s">
        <v>108</v>
      </c>
      <c r="D2852" s="62" t="s">
        <v>1618</v>
      </c>
      <c r="E2852" s="76">
        <v>44088.0</v>
      </c>
      <c r="F2852" s="77">
        <v>0.0625</v>
      </c>
      <c r="G2852" s="62" t="b">
        <v>0</v>
      </c>
      <c r="H2852" s="78" t="b">
        <f>IF(VLOOKUP(C2852,Projetos!A:L,12,false)=TRUE,TRUE,FALSE)</f>
        <v>1</v>
      </c>
      <c r="I2852" s="68">
        <v>40.77871333218548</v>
      </c>
      <c r="J2852" s="68">
        <f t="shared" si="1"/>
        <v>0</v>
      </c>
      <c r="K2852" s="68" t="b">
        <v>1</v>
      </c>
    </row>
    <row r="2853" hidden="1">
      <c r="A2853" s="75">
        <v>2847.0</v>
      </c>
      <c r="B2853" s="62" t="s">
        <v>1306</v>
      </c>
      <c r="C2853" s="62" t="s">
        <v>108</v>
      </c>
      <c r="D2853" s="62" t="s">
        <v>1791</v>
      </c>
      <c r="E2853" s="76">
        <v>44089.0</v>
      </c>
      <c r="F2853" s="77">
        <v>0.041666666666666664</v>
      </c>
      <c r="G2853" s="62" t="b">
        <v>0</v>
      </c>
      <c r="H2853" s="78" t="b">
        <f>IF(VLOOKUP(C2853,Projetos!A:L,12,false)=TRUE,TRUE,FALSE)</f>
        <v>1</v>
      </c>
      <c r="I2853" s="68">
        <v>40.77871333218548</v>
      </c>
      <c r="J2853" s="68">
        <f t="shared" si="1"/>
        <v>0</v>
      </c>
      <c r="K2853" s="68" t="b">
        <v>1</v>
      </c>
    </row>
    <row r="2854" hidden="1">
      <c r="A2854" s="75">
        <v>2848.0</v>
      </c>
      <c r="B2854" s="62" t="s">
        <v>1306</v>
      </c>
      <c r="C2854" s="62" t="s">
        <v>108</v>
      </c>
      <c r="D2854" s="62" t="s">
        <v>1792</v>
      </c>
      <c r="E2854" s="76">
        <v>44089.0</v>
      </c>
      <c r="F2854" s="77">
        <v>0.020833333333333332</v>
      </c>
      <c r="G2854" s="62" t="b">
        <v>0</v>
      </c>
      <c r="H2854" s="78" t="b">
        <f>IF(VLOOKUP(C2854,Projetos!A:L,12,false)=TRUE,TRUE,FALSE)</f>
        <v>1</v>
      </c>
      <c r="I2854" s="68">
        <v>40.77871333218548</v>
      </c>
      <c r="J2854" s="68">
        <f t="shared" si="1"/>
        <v>0</v>
      </c>
      <c r="K2854" s="68" t="b">
        <v>1</v>
      </c>
    </row>
    <row r="2855" hidden="1">
      <c r="A2855" s="75">
        <v>2849.0</v>
      </c>
      <c r="B2855" s="62" t="s">
        <v>1306</v>
      </c>
      <c r="C2855" s="62" t="s">
        <v>108</v>
      </c>
      <c r="D2855" s="62" t="s">
        <v>1793</v>
      </c>
      <c r="E2855" s="76">
        <v>44089.0</v>
      </c>
      <c r="F2855" s="77">
        <v>0.0625</v>
      </c>
      <c r="G2855" s="62" t="b">
        <v>0</v>
      </c>
      <c r="H2855" s="78" t="b">
        <f>IF(VLOOKUP(C2855,Projetos!A:L,12,false)=TRUE,TRUE,FALSE)</f>
        <v>1</v>
      </c>
      <c r="I2855" s="68">
        <v>40.77871333218548</v>
      </c>
      <c r="J2855" s="68">
        <f t="shared" si="1"/>
        <v>0</v>
      </c>
      <c r="K2855" s="68" t="b">
        <v>1</v>
      </c>
    </row>
    <row r="2856" hidden="1">
      <c r="A2856" s="75">
        <v>2850.0</v>
      </c>
      <c r="B2856" s="62" t="s">
        <v>1306</v>
      </c>
      <c r="C2856" s="62" t="s">
        <v>108</v>
      </c>
      <c r="D2856" s="62" t="s">
        <v>1446</v>
      </c>
      <c r="E2856" s="76">
        <v>44090.0</v>
      </c>
      <c r="F2856" s="77">
        <v>0.0625</v>
      </c>
      <c r="G2856" s="62" t="b">
        <v>0</v>
      </c>
      <c r="H2856" s="78" t="b">
        <f>IF(VLOOKUP(C2856,Projetos!A:L,12,false)=TRUE,TRUE,FALSE)</f>
        <v>1</v>
      </c>
      <c r="I2856" s="68">
        <v>40.77871333218548</v>
      </c>
      <c r="J2856" s="68">
        <f t="shared" si="1"/>
        <v>0</v>
      </c>
      <c r="K2856" s="68" t="b">
        <v>1</v>
      </c>
    </row>
    <row r="2857" hidden="1">
      <c r="A2857" s="75">
        <v>2851.0</v>
      </c>
      <c r="B2857" s="62" t="s">
        <v>1306</v>
      </c>
      <c r="C2857" s="62" t="s">
        <v>108</v>
      </c>
      <c r="D2857" s="62" t="s">
        <v>1794</v>
      </c>
      <c r="E2857" s="76">
        <v>44091.0</v>
      </c>
      <c r="F2857" s="77">
        <v>0.11458333333333333</v>
      </c>
      <c r="G2857" s="62" t="b">
        <v>0</v>
      </c>
      <c r="H2857" s="78" t="b">
        <f>IF(VLOOKUP(C2857,Projetos!A:L,12,false)=TRUE,TRUE,FALSE)</f>
        <v>1</v>
      </c>
      <c r="I2857" s="68">
        <v>40.77871333218548</v>
      </c>
      <c r="J2857" s="68">
        <f t="shared" si="1"/>
        <v>0</v>
      </c>
      <c r="K2857" s="68" t="b">
        <v>1</v>
      </c>
    </row>
    <row r="2858" hidden="1">
      <c r="A2858" s="75">
        <v>2852.0</v>
      </c>
      <c r="B2858" s="62" t="s">
        <v>1306</v>
      </c>
      <c r="C2858" s="62" t="s">
        <v>108</v>
      </c>
      <c r="D2858" s="62" t="s">
        <v>1781</v>
      </c>
      <c r="E2858" s="76">
        <v>44091.0</v>
      </c>
      <c r="F2858" s="77">
        <v>0.041666666666666664</v>
      </c>
      <c r="G2858" s="62" t="b">
        <v>1</v>
      </c>
      <c r="H2858" s="78" t="b">
        <f>IF(VLOOKUP(C2858,Projetos!A:L,12,false)=TRUE,TRUE,FALSE)</f>
        <v>1</v>
      </c>
      <c r="I2858" s="68">
        <v>40.77871333218548</v>
      </c>
      <c r="J2858" s="68">
        <f t="shared" si="1"/>
        <v>40.77871333</v>
      </c>
      <c r="K2858" s="68" t="b">
        <v>1</v>
      </c>
    </row>
    <row r="2859" hidden="1">
      <c r="A2859" s="75">
        <v>2853.0</v>
      </c>
      <c r="B2859" s="62" t="s">
        <v>1306</v>
      </c>
      <c r="C2859" s="62" t="s">
        <v>108</v>
      </c>
      <c r="D2859" s="62" t="s">
        <v>1795</v>
      </c>
      <c r="E2859" s="76">
        <v>44092.0</v>
      </c>
      <c r="F2859" s="77">
        <v>0.041666666666666664</v>
      </c>
      <c r="G2859" s="62" t="b">
        <v>1</v>
      </c>
      <c r="H2859" s="78" t="b">
        <f>IF(VLOOKUP(C2859,Projetos!A:L,12,false)=TRUE,TRUE,FALSE)</f>
        <v>1</v>
      </c>
      <c r="I2859" s="68">
        <v>40.77871333218548</v>
      </c>
      <c r="J2859" s="68">
        <f t="shared" si="1"/>
        <v>40.77871333</v>
      </c>
      <c r="K2859" s="68" t="b">
        <v>1</v>
      </c>
    </row>
    <row r="2860" hidden="1">
      <c r="A2860" s="75">
        <v>2854.0</v>
      </c>
      <c r="B2860" s="62" t="s">
        <v>1306</v>
      </c>
      <c r="C2860" s="62" t="s">
        <v>108</v>
      </c>
      <c r="D2860" s="62" t="s">
        <v>1796</v>
      </c>
      <c r="E2860" s="76">
        <v>44092.0</v>
      </c>
      <c r="F2860" s="77">
        <v>0.1875</v>
      </c>
      <c r="G2860" s="62" t="b">
        <v>1</v>
      </c>
      <c r="H2860" s="78" t="b">
        <f>IF(VLOOKUP(C2860,Projetos!A:L,12,false)=TRUE,TRUE,FALSE)</f>
        <v>1</v>
      </c>
      <c r="I2860" s="68">
        <v>40.77871333218548</v>
      </c>
      <c r="J2860" s="68">
        <f t="shared" si="1"/>
        <v>183.50421</v>
      </c>
      <c r="K2860" s="68" t="b">
        <v>1</v>
      </c>
    </row>
    <row r="2861" hidden="1">
      <c r="A2861" s="75">
        <v>2855.0</v>
      </c>
      <c r="B2861" s="62" t="s">
        <v>1306</v>
      </c>
      <c r="C2861" s="62" t="s">
        <v>108</v>
      </c>
      <c r="D2861" s="62" t="s">
        <v>1781</v>
      </c>
      <c r="E2861" s="76">
        <v>44095.0</v>
      </c>
      <c r="F2861" s="77">
        <v>0.041666666666666664</v>
      </c>
      <c r="G2861" s="62" t="b">
        <v>0</v>
      </c>
      <c r="H2861" s="78" t="b">
        <f>IF(VLOOKUP(C2861,Projetos!A:L,12,false)=TRUE,TRUE,FALSE)</f>
        <v>1</v>
      </c>
      <c r="I2861" s="68">
        <v>40.77871333218548</v>
      </c>
      <c r="J2861" s="68">
        <f t="shared" si="1"/>
        <v>0</v>
      </c>
      <c r="K2861" s="68" t="b">
        <v>1</v>
      </c>
    </row>
    <row r="2862" hidden="1">
      <c r="A2862" s="75">
        <v>2856.0</v>
      </c>
      <c r="B2862" s="62" t="s">
        <v>1306</v>
      </c>
      <c r="C2862" s="62" t="s">
        <v>108</v>
      </c>
      <c r="D2862" s="62" t="s">
        <v>1308</v>
      </c>
      <c r="E2862" s="76">
        <v>44096.0</v>
      </c>
      <c r="F2862" s="77">
        <v>0.041666666666666664</v>
      </c>
      <c r="G2862" s="62" t="b">
        <v>0</v>
      </c>
      <c r="H2862" s="78" t="b">
        <f>IF(VLOOKUP(C2862,Projetos!A:L,12,false)=TRUE,TRUE,FALSE)</f>
        <v>1</v>
      </c>
      <c r="I2862" s="68">
        <v>40.77871333218548</v>
      </c>
      <c r="J2862" s="68">
        <f t="shared" si="1"/>
        <v>0</v>
      </c>
      <c r="K2862" s="68" t="b">
        <v>1</v>
      </c>
    </row>
    <row r="2863" hidden="1">
      <c r="A2863" s="75">
        <v>2857.0</v>
      </c>
      <c r="B2863" s="62" t="s">
        <v>1306</v>
      </c>
      <c r="C2863" s="62" t="s">
        <v>108</v>
      </c>
      <c r="D2863" s="62" t="s">
        <v>1797</v>
      </c>
      <c r="E2863" s="76">
        <v>44096.0</v>
      </c>
      <c r="F2863" s="77">
        <v>0.10416666666666667</v>
      </c>
      <c r="G2863" s="62" t="b">
        <v>0</v>
      </c>
      <c r="H2863" s="78" t="b">
        <f>IF(VLOOKUP(C2863,Projetos!A:L,12,false)=TRUE,TRUE,FALSE)</f>
        <v>1</v>
      </c>
      <c r="I2863" s="68">
        <v>40.77871333218548</v>
      </c>
      <c r="J2863" s="68">
        <f t="shared" si="1"/>
        <v>0</v>
      </c>
      <c r="K2863" s="68" t="b">
        <v>1</v>
      </c>
    </row>
    <row r="2864" hidden="1">
      <c r="A2864" s="75">
        <v>2858.0</v>
      </c>
      <c r="B2864" s="62" t="s">
        <v>1306</v>
      </c>
      <c r="C2864" s="62" t="s">
        <v>108</v>
      </c>
      <c r="D2864" s="62" t="s">
        <v>1485</v>
      </c>
      <c r="E2864" s="76">
        <v>44097.0</v>
      </c>
      <c r="F2864" s="77">
        <v>0.0625</v>
      </c>
      <c r="G2864" s="62" t="b">
        <v>0</v>
      </c>
      <c r="H2864" s="78" t="b">
        <f>IF(VLOOKUP(C2864,Projetos!A:L,12,false)=TRUE,TRUE,FALSE)</f>
        <v>1</v>
      </c>
      <c r="I2864" s="68">
        <v>40.77871333218548</v>
      </c>
      <c r="J2864" s="68">
        <f t="shared" si="1"/>
        <v>0</v>
      </c>
      <c r="K2864" s="68" t="b">
        <v>1</v>
      </c>
    </row>
    <row r="2865" hidden="1">
      <c r="A2865" s="75">
        <v>2859.0</v>
      </c>
      <c r="B2865" s="62" t="s">
        <v>1306</v>
      </c>
      <c r="C2865" s="62" t="s">
        <v>108</v>
      </c>
      <c r="D2865" s="62" t="s">
        <v>1798</v>
      </c>
      <c r="E2865" s="76">
        <v>44097.0</v>
      </c>
      <c r="F2865" s="77">
        <v>0.10416666666666667</v>
      </c>
      <c r="G2865" s="62" t="b">
        <v>0</v>
      </c>
      <c r="H2865" s="78" t="b">
        <f>IF(VLOOKUP(C2865,Projetos!A:L,12,false)=TRUE,TRUE,FALSE)</f>
        <v>1</v>
      </c>
      <c r="I2865" s="68">
        <v>40.77871333218548</v>
      </c>
      <c r="J2865" s="68">
        <f t="shared" si="1"/>
        <v>0</v>
      </c>
      <c r="K2865" s="68" t="b">
        <v>1</v>
      </c>
    </row>
    <row r="2866" hidden="1">
      <c r="A2866" s="75">
        <v>2860.0</v>
      </c>
      <c r="B2866" s="62" t="s">
        <v>1306</v>
      </c>
      <c r="C2866" s="62" t="s">
        <v>108</v>
      </c>
      <c r="D2866" s="62" t="s">
        <v>1799</v>
      </c>
      <c r="E2866" s="76">
        <v>44098.0</v>
      </c>
      <c r="F2866" s="77">
        <v>0.125</v>
      </c>
      <c r="G2866" s="62" t="b">
        <v>1</v>
      </c>
      <c r="H2866" s="78" t="b">
        <f>IF(VLOOKUP(C2866,Projetos!A:L,12,false)=TRUE,TRUE,FALSE)</f>
        <v>1</v>
      </c>
      <c r="I2866" s="68">
        <v>40.77871333218548</v>
      </c>
      <c r="J2866" s="68">
        <f t="shared" si="1"/>
        <v>122.33614</v>
      </c>
      <c r="K2866" s="68" t="b">
        <v>1</v>
      </c>
    </row>
    <row r="2867" hidden="1">
      <c r="A2867" s="75">
        <v>2861.0</v>
      </c>
      <c r="B2867" s="62" t="s">
        <v>1306</v>
      </c>
      <c r="C2867" s="62" t="s">
        <v>108</v>
      </c>
      <c r="D2867" s="62" t="s">
        <v>1800</v>
      </c>
      <c r="E2867" s="76">
        <v>44099.0</v>
      </c>
      <c r="F2867" s="77">
        <v>0.125</v>
      </c>
      <c r="G2867" s="62" t="b">
        <v>0</v>
      </c>
      <c r="H2867" s="78" t="b">
        <f>IF(VLOOKUP(C2867,Projetos!A:L,12,false)=TRUE,TRUE,FALSE)</f>
        <v>1</v>
      </c>
      <c r="I2867" s="68">
        <v>40.77871333218548</v>
      </c>
      <c r="J2867" s="68">
        <f t="shared" si="1"/>
        <v>0</v>
      </c>
      <c r="K2867" s="68" t="b">
        <v>1</v>
      </c>
    </row>
    <row r="2868" hidden="1">
      <c r="A2868" s="75">
        <v>2862.0</v>
      </c>
      <c r="B2868" s="62" t="s">
        <v>1306</v>
      </c>
      <c r="C2868" s="62" t="s">
        <v>108</v>
      </c>
      <c r="D2868" s="62" t="s">
        <v>1801</v>
      </c>
      <c r="E2868" s="76">
        <v>44102.0</v>
      </c>
      <c r="F2868" s="77">
        <v>0.041666666666666664</v>
      </c>
      <c r="G2868" s="62" t="b">
        <v>0</v>
      </c>
      <c r="H2868" s="78" t="b">
        <f>IF(VLOOKUP(C2868,Projetos!A:L,12,false)=TRUE,TRUE,FALSE)</f>
        <v>1</v>
      </c>
      <c r="I2868" s="68">
        <v>40.77871333218548</v>
      </c>
      <c r="J2868" s="68">
        <f t="shared" si="1"/>
        <v>0</v>
      </c>
      <c r="K2868" s="68" t="b">
        <v>1</v>
      </c>
    </row>
    <row r="2869" hidden="1">
      <c r="A2869" s="75">
        <v>2863.0</v>
      </c>
      <c r="B2869" s="62" t="s">
        <v>1306</v>
      </c>
      <c r="C2869" s="62" t="s">
        <v>108</v>
      </c>
      <c r="D2869" s="62" t="s">
        <v>1802</v>
      </c>
      <c r="E2869" s="76">
        <v>44102.0</v>
      </c>
      <c r="F2869" s="77">
        <v>0.041666666666666664</v>
      </c>
      <c r="G2869" s="62" t="b">
        <v>0</v>
      </c>
      <c r="H2869" s="78" t="b">
        <f>IF(VLOOKUP(C2869,Projetos!A:L,12,false)=TRUE,TRUE,FALSE)</f>
        <v>1</v>
      </c>
      <c r="I2869" s="68">
        <v>40.77871333218548</v>
      </c>
      <c r="J2869" s="68">
        <f t="shared" si="1"/>
        <v>0</v>
      </c>
      <c r="K2869" s="68" t="b">
        <v>1</v>
      </c>
    </row>
    <row r="2870" hidden="1">
      <c r="A2870" s="75">
        <v>2864.0</v>
      </c>
      <c r="B2870" s="62" t="s">
        <v>1306</v>
      </c>
      <c r="C2870" s="62" t="s">
        <v>108</v>
      </c>
      <c r="D2870" s="62" t="s">
        <v>1803</v>
      </c>
      <c r="E2870" s="76">
        <v>44103.0</v>
      </c>
      <c r="F2870" s="77">
        <v>0.10416666666666667</v>
      </c>
      <c r="G2870" s="62" t="b">
        <v>0</v>
      </c>
      <c r="H2870" s="78" t="b">
        <f>IF(VLOOKUP(C2870,Projetos!A:L,12,false)=TRUE,TRUE,FALSE)</f>
        <v>1</v>
      </c>
      <c r="I2870" s="68">
        <v>40.77871333218548</v>
      </c>
      <c r="J2870" s="68">
        <f t="shared" si="1"/>
        <v>0</v>
      </c>
      <c r="K2870" s="68" t="b">
        <v>1</v>
      </c>
    </row>
    <row r="2871" hidden="1">
      <c r="A2871" s="75">
        <v>2865.0</v>
      </c>
      <c r="B2871" s="62" t="s">
        <v>1306</v>
      </c>
      <c r="C2871" s="62" t="s">
        <v>108</v>
      </c>
      <c r="D2871" s="62" t="s">
        <v>1346</v>
      </c>
      <c r="E2871" s="76">
        <v>44104.0</v>
      </c>
      <c r="F2871" s="77">
        <v>0.041666666666666664</v>
      </c>
      <c r="G2871" s="62" t="b">
        <v>0</v>
      </c>
      <c r="H2871" s="78" t="b">
        <f>IF(VLOOKUP(C2871,Projetos!A:L,12,false)=TRUE,TRUE,FALSE)</f>
        <v>1</v>
      </c>
      <c r="I2871" s="68">
        <v>40.77871333218548</v>
      </c>
      <c r="J2871" s="68">
        <f t="shared" si="1"/>
        <v>0</v>
      </c>
      <c r="K2871" s="68" t="b">
        <v>1</v>
      </c>
    </row>
    <row r="2872" hidden="1">
      <c r="A2872" s="75">
        <v>2866.0</v>
      </c>
      <c r="B2872" s="62" t="s">
        <v>1306</v>
      </c>
      <c r="C2872" s="62" t="s">
        <v>109</v>
      </c>
      <c r="D2872" s="62" t="s">
        <v>1485</v>
      </c>
      <c r="E2872" s="76">
        <v>44089.0</v>
      </c>
      <c r="F2872" s="77">
        <v>0.041666666666666664</v>
      </c>
      <c r="G2872" s="62" t="b">
        <v>0</v>
      </c>
      <c r="H2872" s="78" t="b">
        <f>IF(VLOOKUP(C2872,Projetos!A:L,12,false)=TRUE,TRUE,FALSE)</f>
        <v>0</v>
      </c>
      <c r="I2872" s="68">
        <v>40.77871333218548</v>
      </c>
      <c r="J2872" s="68">
        <f t="shared" si="1"/>
        <v>0</v>
      </c>
      <c r="K2872" s="68" t="b">
        <v>0</v>
      </c>
    </row>
    <row r="2873" hidden="1">
      <c r="A2873" s="75">
        <v>2867.0</v>
      </c>
      <c r="B2873" s="62" t="s">
        <v>1306</v>
      </c>
      <c r="C2873" s="62" t="s">
        <v>109</v>
      </c>
      <c r="D2873" s="62" t="s">
        <v>1804</v>
      </c>
      <c r="E2873" s="76">
        <v>44102.0</v>
      </c>
      <c r="F2873" s="77">
        <v>0.041666666666666664</v>
      </c>
      <c r="G2873" s="62" t="b">
        <v>0</v>
      </c>
      <c r="H2873" s="78" t="b">
        <f>IF(VLOOKUP(C2873,Projetos!A:L,12,false)=TRUE,TRUE,FALSE)</f>
        <v>0</v>
      </c>
      <c r="I2873" s="68">
        <v>40.77871333218548</v>
      </c>
      <c r="J2873" s="68">
        <f t="shared" si="1"/>
        <v>0</v>
      </c>
      <c r="K2873" s="68" t="b">
        <v>0</v>
      </c>
    </row>
    <row r="2874" hidden="1">
      <c r="A2874" s="75">
        <v>2868.0</v>
      </c>
      <c r="B2874" s="62" t="s">
        <v>1306</v>
      </c>
      <c r="C2874" s="62" t="s">
        <v>109</v>
      </c>
      <c r="D2874" s="62" t="s">
        <v>1747</v>
      </c>
      <c r="E2874" s="76">
        <v>44102.0</v>
      </c>
      <c r="F2874" s="77">
        <v>0.020833333333333332</v>
      </c>
      <c r="G2874" s="62" t="b">
        <v>0</v>
      </c>
      <c r="H2874" s="78" t="b">
        <f>IF(VLOOKUP(C2874,Projetos!A:L,12,false)=TRUE,TRUE,FALSE)</f>
        <v>0</v>
      </c>
      <c r="I2874" s="68">
        <v>40.77871333218548</v>
      </c>
      <c r="J2874" s="68">
        <f t="shared" si="1"/>
        <v>0</v>
      </c>
      <c r="K2874" s="68" t="b">
        <v>0</v>
      </c>
    </row>
    <row r="2875" hidden="1">
      <c r="A2875" s="75">
        <v>2869.0</v>
      </c>
      <c r="B2875" s="62" t="s">
        <v>1306</v>
      </c>
      <c r="C2875" s="62" t="s">
        <v>109</v>
      </c>
      <c r="D2875" s="62" t="s">
        <v>1805</v>
      </c>
      <c r="E2875" s="76">
        <v>44103.0</v>
      </c>
      <c r="F2875" s="77">
        <v>0.10416666666666667</v>
      </c>
      <c r="G2875" s="62" t="b">
        <v>0</v>
      </c>
      <c r="H2875" s="78" t="b">
        <f>IF(VLOOKUP(C2875,Projetos!A:L,12,false)=TRUE,TRUE,FALSE)</f>
        <v>0</v>
      </c>
      <c r="I2875" s="68">
        <v>40.77871333218548</v>
      </c>
      <c r="J2875" s="68">
        <f t="shared" si="1"/>
        <v>0</v>
      </c>
      <c r="K2875" s="68" t="b">
        <v>0</v>
      </c>
    </row>
    <row r="2876">
      <c r="A2876" s="75">
        <v>2870.0</v>
      </c>
      <c r="B2876" s="62" t="s">
        <v>1306</v>
      </c>
      <c r="C2876" s="62" t="s">
        <v>110</v>
      </c>
      <c r="D2876" s="62" t="s">
        <v>1446</v>
      </c>
      <c r="E2876" s="76">
        <v>44075.0</v>
      </c>
      <c r="F2876" s="77">
        <v>0.0625</v>
      </c>
      <c r="G2876" s="62" t="b">
        <v>1</v>
      </c>
      <c r="H2876" s="78" t="b">
        <f>IF(VLOOKUP(C2876,Projetos!A:L,12,false)=TRUE,TRUE,FALSE)</f>
        <v>1</v>
      </c>
      <c r="I2876" s="68">
        <v>40.77871333218548</v>
      </c>
      <c r="J2876" s="68">
        <f t="shared" si="1"/>
        <v>61.16807</v>
      </c>
      <c r="K2876" s="68" t="b">
        <v>1</v>
      </c>
    </row>
    <row r="2877">
      <c r="A2877" s="75">
        <v>2871.0</v>
      </c>
      <c r="B2877" s="62" t="s">
        <v>1306</v>
      </c>
      <c r="C2877" s="62" t="s">
        <v>110</v>
      </c>
      <c r="D2877" s="62" t="s">
        <v>1423</v>
      </c>
      <c r="E2877" s="76">
        <v>44076.0</v>
      </c>
      <c r="F2877" s="77">
        <v>0.07291666666666667</v>
      </c>
      <c r="G2877" s="62" t="b">
        <v>1</v>
      </c>
      <c r="H2877" s="78" t="b">
        <f>IF(VLOOKUP(C2877,Projetos!A:L,12,false)=TRUE,TRUE,FALSE)</f>
        <v>1</v>
      </c>
      <c r="I2877" s="68">
        <v>40.77871333218548</v>
      </c>
      <c r="J2877" s="68">
        <f t="shared" si="1"/>
        <v>71.36274833</v>
      </c>
      <c r="K2877" s="68" t="b">
        <v>1</v>
      </c>
    </row>
    <row r="2878">
      <c r="A2878" s="75">
        <v>2872.0</v>
      </c>
      <c r="B2878" s="62" t="s">
        <v>1306</v>
      </c>
      <c r="C2878" s="62" t="s">
        <v>110</v>
      </c>
      <c r="D2878" s="62" t="s">
        <v>1446</v>
      </c>
      <c r="E2878" s="76">
        <v>44076.0</v>
      </c>
      <c r="F2878" s="77">
        <v>0.041666666666666664</v>
      </c>
      <c r="G2878" s="62" t="b">
        <v>1</v>
      </c>
      <c r="H2878" s="78" t="b">
        <f>IF(VLOOKUP(C2878,Projetos!A:L,12,false)=TRUE,TRUE,FALSE)</f>
        <v>1</v>
      </c>
      <c r="I2878" s="68">
        <v>40.77871333218548</v>
      </c>
      <c r="J2878" s="68">
        <f t="shared" si="1"/>
        <v>40.77871333</v>
      </c>
      <c r="K2878" s="68" t="b">
        <v>1</v>
      </c>
    </row>
    <row r="2879">
      <c r="A2879" s="75">
        <v>2873.0</v>
      </c>
      <c r="B2879" s="62" t="s">
        <v>1306</v>
      </c>
      <c r="C2879" s="62" t="s">
        <v>110</v>
      </c>
      <c r="D2879" s="62" t="s">
        <v>1806</v>
      </c>
      <c r="E2879" s="76">
        <v>44076.0</v>
      </c>
      <c r="F2879" s="77">
        <v>0.041666666666666664</v>
      </c>
      <c r="G2879" s="62" t="b">
        <v>1</v>
      </c>
      <c r="H2879" s="78" t="b">
        <f>IF(VLOOKUP(C2879,Projetos!A:L,12,false)=TRUE,TRUE,FALSE)</f>
        <v>1</v>
      </c>
      <c r="I2879" s="68">
        <v>40.77871333218548</v>
      </c>
      <c r="J2879" s="68">
        <f t="shared" si="1"/>
        <v>40.77871333</v>
      </c>
      <c r="K2879" s="68" t="b">
        <v>1</v>
      </c>
    </row>
    <row r="2880">
      <c r="A2880" s="75">
        <v>2874.0</v>
      </c>
      <c r="B2880" s="62" t="s">
        <v>1306</v>
      </c>
      <c r="C2880" s="62" t="s">
        <v>110</v>
      </c>
      <c r="D2880" s="62" t="s">
        <v>1807</v>
      </c>
      <c r="E2880" s="76">
        <v>44078.0</v>
      </c>
      <c r="F2880" s="77">
        <v>0.08333333333333333</v>
      </c>
      <c r="G2880" s="62" t="b">
        <v>1</v>
      </c>
      <c r="H2880" s="78" t="b">
        <f>IF(VLOOKUP(C2880,Projetos!A:L,12,false)=TRUE,TRUE,FALSE)</f>
        <v>1</v>
      </c>
      <c r="I2880" s="68">
        <v>40.77871333218548</v>
      </c>
      <c r="J2880" s="68">
        <f t="shared" si="1"/>
        <v>81.55742666</v>
      </c>
      <c r="K2880" s="68" t="b">
        <v>1</v>
      </c>
    </row>
    <row r="2881">
      <c r="A2881" s="75">
        <v>2875.0</v>
      </c>
      <c r="B2881" s="62" t="s">
        <v>1306</v>
      </c>
      <c r="C2881" s="62" t="s">
        <v>110</v>
      </c>
      <c r="D2881" s="62" t="s">
        <v>1808</v>
      </c>
      <c r="E2881" s="76">
        <v>44084.0</v>
      </c>
      <c r="F2881" s="77">
        <v>0.041666666666666664</v>
      </c>
      <c r="G2881" s="62" t="b">
        <v>1</v>
      </c>
      <c r="H2881" s="78" t="b">
        <f>IF(VLOOKUP(C2881,Projetos!A:L,12,false)=TRUE,TRUE,FALSE)</f>
        <v>1</v>
      </c>
      <c r="I2881" s="68">
        <v>40.77871333218548</v>
      </c>
      <c r="J2881" s="68">
        <f t="shared" si="1"/>
        <v>40.77871333</v>
      </c>
      <c r="K2881" s="68" t="b">
        <v>1</v>
      </c>
    </row>
    <row r="2882">
      <c r="A2882" s="75">
        <v>2876.0</v>
      </c>
      <c r="B2882" s="62" t="s">
        <v>1306</v>
      </c>
      <c r="C2882" s="62" t="s">
        <v>110</v>
      </c>
      <c r="D2882" s="62" t="s">
        <v>1751</v>
      </c>
      <c r="E2882" s="76">
        <v>44084.0</v>
      </c>
      <c r="F2882" s="77">
        <v>0.041666666666666664</v>
      </c>
      <c r="G2882" s="62" t="b">
        <v>1</v>
      </c>
      <c r="H2882" s="78" t="b">
        <f>IF(VLOOKUP(C2882,Projetos!A:L,12,false)=TRUE,TRUE,FALSE)</f>
        <v>1</v>
      </c>
      <c r="I2882" s="68">
        <v>40.77871333218548</v>
      </c>
      <c r="J2882" s="68">
        <f t="shared" si="1"/>
        <v>40.77871333</v>
      </c>
      <c r="K2882" s="68" t="b">
        <v>1</v>
      </c>
    </row>
    <row r="2883">
      <c r="A2883" s="75">
        <v>2877.0</v>
      </c>
      <c r="B2883" s="62" t="s">
        <v>1306</v>
      </c>
      <c r="C2883" s="62" t="s">
        <v>110</v>
      </c>
      <c r="D2883" s="62" t="s">
        <v>1809</v>
      </c>
      <c r="E2883" s="76">
        <v>44088.0</v>
      </c>
      <c r="F2883" s="77">
        <v>0.041666666666666664</v>
      </c>
      <c r="G2883" s="62" t="b">
        <v>1</v>
      </c>
      <c r="H2883" s="78" t="b">
        <f>IF(VLOOKUP(C2883,Projetos!A:L,12,false)=TRUE,TRUE,FALSE)</f>
        <v>1</v>
      </c>
      <c r="I2883" s="68">
        <v>40.77871333218548</v>
      </c>
      <c r="J2883" s="68">
        <f t="shared" si="1"/>
        <v>40.77871333</v>
      </c>
      <c r="K2883" s="68" t="b">
        <v>1</v>
      </c>
    </row>
    <row r="2884">
      <c r="A2884" s="75">
        <v>2878.0</v>
      </c>
      <c r="B2884" s="62" t="s">
        <v>1306</v>
      </c>
      <c r="C2884" s="62" t="s">
        <v>110</v>
      </c>
      <c r="D2884" s="62" t="s">
        <v>1495</v>
      </c>
      <c r="E2884" s="76">
        <v>44090.0</v>
      </c>
      <c r="F2884" s="77">
        <v>0.041666666666666664</v>
      </c>
      <c r="G2884" s="62" t="b">
        <v>1</v>
      </c>
      <c r="H2884" s="78" t="b">
        <f>IF(VLOOKUP(C2884,Projetos!A:L,12,false)=TRUE,TRUE,FALSE)</f>
        <v>1</v>
      </c>
      <c r="I2884" s="68">
        <v>40.77871333218548</v>
      </c>
      <c r="J2884" s="68">
        <f t="shared" si="1"/>
        <v>40.77871333</v>
      </c>
      <c r="K2884" s="68" t="b">
        <v>1</v>
      </c>
    </row>
    <row r="2885">
      <c r="A2885" s="75">
        <v>2879.0</v>
      </c>
      <c r="B2885" s="62" t="s">
        <v>1306</v>
      </c>
      <c r="C2885" s="62" t="s">
        <v>110</v>
      </c>
      <c r="D2885" s="62" t="s">
        <v>1746</v>
      </c>
      <c r="E2885" s="76">
        <v>44096.0</v>
      </c>
      <c r="F2885" s="77">
        <v>0.041666666666666664</v>
      </c>
      <c r="G2885" s="62" t="b">
        <v>1</v>
      </c>
      <c r="H2885" s="78" t="b">
        <f>IF(VLOOKUP(C2885,Projetos!A:L,12,false)=TRUE,TRUE,FALSE)</f>
        <v>1</v>
      </c>
      <c r="I2885" s="68">
        <v>40.77871333218548</v>
      </c>
      <c r="J2885" s="68">
        <f t="shared" si="1"/>
        <v>40.77871333</v>
      </c>
      <c r="K2885" s="68" t="b">
        <v>1</v>
      </c>
    </row>
    <row r="2886">
      <c r="A2886" s="75">
        <v>2880.0</v>
      </c>
      <c r="B2886" s="62" t="s">
        <v>1306</v>
      </c>
      <c r="C2886" s="62" t="s">
        <v>110</v>
      </c>
      <c r="D2886" s="62" t="s">
        <v>1810</v>
      </c>
      <c r="E2886" s="76">
        <v>44097.0</v>
      </c>
      <c r="F2886" s="77">
        <v>0.03125</v>
      </c>
      <c r="G2886" s="62" t="b">
        <v>1</v>
      </c>
      <c r="H2886" s="78" t="b">
        <f>IF(VLOOKUP(C2886,Projetos!A:L,12,false)=TRUE,TRUE,FALSE)</f>
        <v>1</v>
      </c>
      <c r="I2886" s="68">
        <v>40.77871333218548</v>
      </c>
      <c r="J2886" s="68">
        <f t="shared" si="1"/>
        <v>30.584035</v>
      </c>
      <c r="K2886" s="68" t="b">
        <v>1</v>
      </c>
    </row>
    <row r="2887">
      <c r="A2887" s="75">
        <v>2881.0</v>
      </c>
      <c r="B2887" s="62" t="s">
        <v>1306</v>
      </c>
      <c r="C2887" s="62" t="s">
        <v>110</v>
      </c>
      <c r="D2887" s="62" t="s">
        <v>1810</v>
      </c>
      <c r="E2887" s="76">
        <v>44098.0</v>
      </c>
      <c r="F2887" s="77">
        <v>0.041666666666666664</v>
      </c>
      <c r="G2887" s="62" t="b">
        <v>1</v>
      </c>
      <c r="H2887" s="78" t="b">
        <f>IF(VLOOKUP(C2887,Projetos!A:L,12,false)=TRUE,TRUE,FALSE)</f>
        <v>1</v>
      </c>
      <c r="I2887" s="68">
        <v>40.77871333218548</v>
      </c>
      <c r="J2887" s="68">
        <f t="shared" si="1"/>
        <v>40.77871333</v>
      </c>
      <c r="K2887" s="68" t="b">
        <v>1</v>
      </c>
    </row>
    <row r="2888" hidden="1">
      <c r="A2888" s="75">
        <v>2882.0</v>
      </c>
      <c r="B2888" s="62" t="s">
        <v>1306</v>
      </c>
      <c r="C2888" s="62" t="s">
        <v>110</v>
      </c>
      <c r="D2888" s="62" t="s">
        <v>1747</v>
      </c>
      <c r="E2888" s="76">
        <v>44102.0</v>
      </c>
      <c r="F2888" s="77">
        <v>0.041666666666666664</v>
      </c>
      <c r="G2888" s="62" t="b">
        <v>0</v>
      </c>
      <c r="H2888" s="78" t="b">
        <f>IF(VLOOKUP(C2888,Projetos!A:L,12,false)=TRUE,TRUE,FALSE)</f>
        <v>1</v>
      </c>
      <c r="I2888" s="68">
        <v>40.77871333218548</v>
      </c>
      <c r="J2888" s="68">
        <f t="shared" si="1"/>
        <v>0</v>
      </c>
      <c r="K2888" s="68" t="b">
        <v>1</v>
      </c>
    </row>
    <row r="2889">
      <c r="A2889" s="75">
        <v>2883.0</v>
      </c>
      <c r="B2889" s="62" t="s">
        <v>1306</v>
      </c>
      <c r="C2889" s="62" t="s">
        <v>116</v>
      </c>
      <c r="D2889" s="62" t="s">
        <v>1756</v>
      </c>
      <c r="E2889" s="76">
        <v>44088.0</v>
      </c>
      <c r="F2889" s="77">
        <v>0.041666666666666664</v>
      </c>
      <c r="G2889" s="62" t="b">
        <v>1</v>
      </c>
      <c r="H2889" s="78" t="b">
        <f>IF(VLOOKUP(C2889,Projetos!A:L,12,false)=TRUE,TRUE,FALSE)</f>
        <v>1</v>
      </c>
      <c r="I2889" s="68">
        <v>40.77871333218548</v>
      </c>
      <c r="J2889" s="68">
        <f t="shared" si="1"/>
        <v>40.77871333</v>
      </c>
      <c r="K2889" s="68" t="b">
        <v>1</v>
      </c>
    </row>
    <row r="2890">
      <c r="A2890" s="75">
        <v>2884.0</v>
      </c>
      <c r="B2890" s="62" t="s">
        <v>1306</v>
      </c>
      <c r="C2890" s="62" t="s">
        <v>116</v>
      </c>
      <c r="D2890" s="62" t="s">
        <v>1811</v>
      </c>
      <c r="E2890" s="76">
        <v>44095.0</v>
      </c>
      <c r="F2890" s="77">
        <v>0.10416666666666667</v>
      </c>
      <c r="G2890" s="62" t="b">
        <v>1</v>
      </c>
      <c r="H2890" s="78" t="b">
        <f>IF(VLOOKUP(C2890,Projetos!A:L,12,false)=TRUE,TRUE,FALSE)</f>
        <v>1</v>
      </c>
      <c r="I2890" s="68">
        <v>40.77871333218548</v>
      </c>
      <c r="J2890" s="68">
        <f t="shared" si="1"/>
        <v>101.9467833</v>
      </c>
      <c r="K2890" s="68" t="b">
        <v>1</v>
      </c>
    </row>
    <row r="2891">
      <c r="A2891" s="75">
        <v>2885.0</v>
      </c>
      <c r="B2891" s="62" t="s">
        <v>1306</v>
      </c>
      <c r="C2891" s="62" t="s">
        <v>116</v>
      </c>
      <c r="D2891" s="62" t="s">
        <v>1308</v>
      </c>
      <c r="E2891" s="76">
        <v>44096.0</v>
      </c>
      <c r="F2891" s="77">
        <v>0.052083333333333336</v>
      </c>
      <c r="G2891" s="62" t="b">
        <v>1</v>
      </c>
      <c r="H2891" s="78" t="b">
        <f>IF(VLOOKUP(C2891,Projetos!A:L,12,false)=TRUE,TRUE,FALSE)</f>
        <v>1</v>
      </c>
      <c r="I2891" s="68">
        <v>40.77871333218548</v>
      </c>
      <c r="J2891" s="68">
        <f t="shared" si="1"/>
        <v>50.97339167</v>
      </c>
      <c r="K2891" s="68" t="b">
        <v>1</v>
      </c>
    </row>
    <row r="2892">
      <c r="A2892" s="75">
        <v>2886.0</v>
      </c>
      <c r="B2892" s="62" t="s">
        <v>1306</v>
      </c>
      <c r="C2892" s="62" t="s">
        <v>116</v>
      </c>
      <c r="D2892" s="62" t="s">
        <v>1812</v>
      </c>
      <c r="E2892" s="76">
        <v>44098.0</v>
      </c>
      <c r="F2892" s="77">
        <v>0.08333333333333333</v>
      </c>
      <c r="G2892" s="62" t="b">
        <v>1</v>
      </c>
      <c r="H2892" s="78" t="b">
        <f>IF(VLOOKUP(C2892,Projetos!A:L,12,false)=TRUE,TRUE,FALSE)</f>
        <v>1</v>
      </c>
      <c r="I2892" s="68">
        <v>40.77871333218548</v>
      </c>
      <c r="J2892" s="68">
        <f t="shared" si="1"/>
        <v>81.55742666</v>
      </c>
      <c r="K2892" s="68" t="b">
        <v>1</v>
      </c>
    </row>
    <row r="2893">
      <c r="A2893" s="75">
        <v>2887.0</v>
      </c>
      <c r="B2893" s="62" t="s">
        <v>1306</v>
      </c>
      <c r="C2893" s="62" t="s">
        <v>116</v>
      </c>
      <c r="D2893" s="62" t="s">
        <v>1813</v>
      </c>
      <c r="E2893" s="76">
        <v>44099.0</v>
      </c>
      <c r="F2893" s="77">
        <v>0.0625</v>
      </c>
      <c r="G2893" s="62" t="b">
        <v>1</v>
      </c>
      <c r="H2893" s="78" t="b">
        <f>IF(VLOOKUP(C2893,Projetos!A:L,12,false)=TRUE,TRUE,FALSE)</f>
        <v>1</v>
      </c>
      <c r="I2893" s="68">
        <v>40.77871333218548</v>
      </c>
      <c r="J2893" s="68">
        <f t="shared" si="1"/>
        <v>61.16807</v>
      </c>
      <c r="K2893" s="68" t="b">
        <v>1</v>
      </c>
    </row>
    <row r="2894">
      <c r="A2894" s="75">
        <v>2888.0</v>
      </c>
      <c r="B2894" s="62" t="s">
        <v>1306</v>
      </c>
      <c r="C2894" s="62" t="s">
        <v>116</v>
      </c>
      <c r="D2894" s="62" t="s">
        <v>1814</v>
      </c>
      <c r="E2894" s="76">
        <v>44102.0</v>
      </c>
      <c r="F2894" s="77">
        <v>0.08333333333333333</v>
      </c>
      <c r="G2894" s="62" t="b">
        <v>1</v>
      </c>
      <c r="H2894" s="78" t="b">
        <f>IF(VLOOKUP(C2894,Projetos!A:L,12,false)=TRUE,TRUE,FALSE)</f>
        <v>1</v>
      </c>
      <c r="I2894" s="68">
        <v>40.77871333218548</v>
      </c>
      <c r="J2894" s="68">
        <f t="shared" si="1"/>
        <v>81.55742666</v>
      </c>
      <c r="K2894" s="68" t="b">
        <v>1</v>
      </c>
    </row>
    <row r="2895">
      <c r="A2895" s="75">
        <v>2889.0</v>
      </c>
      <c r="B2895" s="62" t="s">
        <v>1306</v>
      </c>
      <c r="C2895" s="62" t="s">
        <v>116</v>
      </c>
      <c r="D2895" s="62" t="s">
        <v>1815</v>
      </c>
      <c r="E2895" s="76">
        <v>44103.0</v>
      </c>
      <c r="F2895" s="77">
        <v>0.0625</v>
      </c>
      <c r="G2895" s="62" t="b">
        <v>1</v>
      </c>
      <c r="H2895" s="78" t="b">
        <f>IF(VLOOKUP(C2895,Projetos!A:L,12,false)=TRUE,TRUE,FALSE)</f>
        <v>1</v>
      </c>
      <c r="I2895" s="68">
        <v>40.77871333218548</v>
      </c>
      <c r="J2895" s="68">
        <f t="shared" si="1"/>
        <v>61.16807</v>
      </c>
      <c r="K2895" s="68" t="b">
        <v>1</v>
      </c>
    </row>
    <row r="2896">
      <c r="A2896" s="75">
        <v>2890.0</v>
      </c>
      <c r="B2896" s="62" t="s">
        <v>1306</v>
      </c>
      <c r="C2896" s="62" t="s">
        <v>116</v>
      </c>
      <c r="D2896" s="62" t="s">
        <v>1816</v>
      </c>
      <c r="E2896" s="76">
        <v>44104.0</v>
      </c>
      <c r="F2896" s="77">
        <v>0.020833333333333332</v>
      </c>
      <c r="G2896" s="62" t="b">
        <v>1</v>
      </c>
      <c r="H2896" s="78" t="b">
        <f>IF(VLOOKUP(C2896,Projetos!A:L,12,false)=TRUE,TRUE,FALSE)</f>
        <v>1</v>
      </c>
      <c r="I2896" s="68">
        <v>40.77871333218548</v>
      </c>
      <c r="J2896" s="68">
        <f t="shared" si="1"/>
        <v>20.38935667</v>
      </c>
      <c r="K2896" s="68" t="b">
        <v>1</v>
      </c>
    </row>
    <row r="2897">
      <c r="A2897" s="75">
        <v>2891.0</v>
      </c>
      <c r="B2897" s="62" t="s">
        <v>1306</v>
      </c>
      <c r="C2897" s="62" t="s">
        <v>138</v>
      </c>
      <c r="D2897" s="62" t="s">
        <v>1485</v>
      </c>
      <c r="E2897" s="76">
        <v>44111.0</v>
      </c>
      <c r="F2897" s="77">
        <v>0.08333333333333333</v>
      </c>
      <c r="G2897" s="62" t="b">
        <v>1</v>
      </c>
      <c r="H2897" s="78" t="b">
        <f>IF(VLOOKUP(C2897,Projetos!A:L,12,false)=TRUE,TRUE,FALSE)</f>
        <v>1</v>
      </c>
      <c r="I2897" s="68">
        <v>42.72055682419432</v>
      </c>
      <c r="J2897" s="68">
        <f t="shared" si="1"/>
        <v>85.44111365</v>
      </c>
      <c r="K2897" s="68" t="b">
        <v>1</v>
      </c>
    </row>
    <row r="2898">
      <c r="A2898" s="75">
        <v>2892.0</v>
      </c>
      <c r="B2898" s="62" t="s">
        <v>1306</v>
      </c>
      <c r="C2898" s="62" t="s">
        <v>138</v>
      </c>
      <c r="D2898" s="62" t="s">
        <v>1652</v>
      </c>
      <c r="E2898" s="76">
        <v>44111.0</v>
      </c>
      <c r="F2898" s="77">
        <v>0.041666666666666664</v>
      </c>
      <c r="G2898" s="62" t="b">
        <v>1</v>
      </c>
      <c r="H2898" s="78" t="b">
        <f>IF(VLOOKUP(C2898,Projetos!A:L,12,false)=TRUE,TRUE,FALSE)</f>
        <v>1</v>
      </c>
      <c r="I2898" s="68">
        <v>42.72055682419432</v>
      </c>
      <c r="J2898" s="68">
        <f t="shared" si="1"/>
        <v>42.72055682</v>
      </c>
      <c r="K2898" s="68" t="b">
        <v>1</v>
      </c>
    </row>
    <row r="2899">
      <c r="A2899" s="75">
        <v>2893.0</v>
      </c>
      <c r="B2899" s="62" t="s">
        <v>1306</v>
      </c>
      <c r="C2899" s="62" t="s">
        <v>138</v>
      </c>
      <c r="D2899" s="62" t="s">
        <v>1817</v>
      </c>
      <c r="E2899" s="76">
        <v>44112.0</v>
      </c>
      <c r="F2899" s="77">
        <v>0.09375</v>
      </c>
      <c r="G2899" s="62" t="b">
        <v>1</v>
      </c>
      <c r="H2899" s="78" t="b">
        <f>IF(VLOOKUP(C2899,Projetos!A:L,12,false)=TRUE,TRUE,FALSE)</f>
        <v>1</v>
      </c>
      <c r="I2899" s="68">
        <v>42.72055682419432</v>
      </c>
      <c r="J2899" s="68">
        <f t="shared" si="1"/>
        <v>96.12125285</v>
      </c>
      <c r="K2899" s="68" t="b">
        <v>1</v>
      </c>
    </row>
    <row r="2900">
      <c r="A2900" s="75">
        <v>2894.0</v>
      </c>
      <c r="B2900" s="62" t="s">
        <v>1306</v>
      </c>
      <c r="C2900" s="62" t="s">
        <v>138</v>
      </c>
      <c r="D2900" s="62" t="s">
        <v>1818</v>
      </c>
      <c r="E2900" s="76">
        <v>44130.0</v>
      </c>
      <c r="F2900" s="77">
        <v>0.041666666666666664</v>
      </c>
      <c r="G2900" s="62" t="b">
        <v>1</v>
      </c>
      <c r="H2900" s="78" t="b">
        <f>IF(VLOOKUP(C2900,Projetos!A:L,12,false)=TRUE,TRUE,FALSE)</f>
        <v>1</v>
      </c>
      <c r="I2900" s="68">
        <v>42.72055682419432</v>
      </c>
      <c r="J2900" s="68">
        <f t="shared" si="1"/>
        <v>42.72055682</v>
      </c>
      <c r="K2900" s="68" t="b">
        <v>1</v>
      </c>
    </row>
    <row r="2901">
      <c r="A2901" s="75">
        <v>2895.0</v>
      </c>
      <c r="B2901" s="62" t="s">
        <v>1306</v>
      </c>
      <c r="C2901" s="62" t="s">
        <v>88</v>
      </c>
      <c r="D2901" s="62" t="s">
        <v>1816</v>
      </c>
      <c r="E2901" s="76">
        <v>44105.0</v>
      </c>
      <c r="F2901" s="77">
        <v>0.041666666666666664</v>
      </c>
      <c r="G2901" s="62" t="b">
        <v>1</v>
      </c>
      <c r="H2901" s="78" t="b">
        <f>IF(VLOOKUP(C2901,Projetos!A:L,12,false)=TRUE,TRUE,FALSE)</f>
        <v>1</v>
      </c>
      <c r="I2901" s="68">
        <v>42.72055682419432</v>
      </c>
      <c r="J2901" s="68">
        <f t="shared" si="1"/>
        <v>42.72055682</v>
      </c>
      <c r="K2901" s="68" t="b">
        <v>1</v>
      </c>
    </row>
    <row r="2902">
      <c r="A2902" s="75">
        <v>2896.0</v>
      </c>
      <c r="B2902" s="62" t="s">
        <v>1306</v>
      </c>
      <c r="C2902" s="62" t="s">
        <v>88</v>
      </c>
      <c r="D2902" s="62" t="s">
        <v>1819</v>
      </c>
      <c r="E2902" s="76">
        <v>44106.0</v>
      </c>
      <c r="F2902" s="77">
        <v>0.041666666666666664</v>
      </c>
      <c r="G2902" s="62" t="b">
        <v>1</v>
      </c>
      <c r="H2902" s="78" t="b">
        <f>IF(VLOOKUP(C2902,Projetos!A:L,12,false)=TRUE,TRUE,FALSE)</f>
        <v>1</v>
      </c>
      <c r="I2902" s="68">
        <v>42.72055682419432</v>
      </c>
      <c r="J2902" s="68">
        <f t="shared" si="1"/>
        <v>42.72055682</v>
      </c>
      <c r="K2902" s="68" t="b">
        <v>1</v>
      </c>
    </row>
    <row r="2903">
      <c r="A2903" s="75">
        <v>2897.0</v>
      </c>
      <c r="B2903" s="62" t="s">
        <v>1306</v>
      </c>
      <c r="C2903" s="62" t="s">
        <v>88</v>
      </c>
      <c r="D2903" s="62" t="s">
        <v>1816</v>
      </c>
      <c r="E2903" s="76">
        <v>44113.0</v>
      </c>
      <c r="F2903" s="77">
        <v>0.020833333333333332</v>
      </c>
      <c r="G2903" s="62" t="b">
        <v>1</v>
      </c>
      <c r="H2903" s="78" t="b">
        <f>IF(VLOOKUP(C2903,Projetos!A:L,12,false)=TRUE,TRUE,FALSE)</f>
        <v>1</v>
      </c>
      <c r="I2903" s="68">
        <v>42.72055682419432</v>
      </c>
      <c r="J2903" s="68">
        <f t="shared" si="1"/>
        <v>21.36027841</v>
      </c>
      <c r="K2903" s="68" t="b">
        <v>1</v>
      </c>
    </row>
    <row r="2904">
      <c r="A2904" s="75">
        <v>2898.0</v>
      </c>
      <c r="B2904" s="62" t="s">
        <v>1306</v>
      </c>
      <c r="C2904" s="62" t="s">
        <v>88</v>
      </c>
      <c r="D2904" s="62" t="s">
        <v>1819</v>
      </c>
      <c r="E2904" s="76">
        <v>44120.0</v>
      </c>
      <c r="F2904" s="77">
        <v>0.041666666666666664</v>
      </c>
      <c r="G2904" s="62" t="b">
        <v>1</v>
      </c>
      <c r="H2904" s="78" t="b">
        <f>IF(VLOOKUP(C2904,Projetos!A:L,12,false)=TRUE,TRUE,FALSE)</f>
        <v>1</v>
      </c>
      <c r="I2904" s="68">
        <v>42.72055682419432</v>
      </c>
      <c r="J2904" s="68">
        <f t="shared" si="1"/>
        <v>42.72055682</v>
      </c>
      <c r="K2904" s="68" t="b">
        <v>1</v>
      </c>
    </row>
    <row r="2905">
      <c r="A2905" s="75">
        <v>2899.0</v>
      </c>
      <c r="B2905" s="62" t="s">
        <v>1306</v>
      </c>
      <c r="C2905" s="62" t="s">
        <v>88</v>
      </c>
      <c r="D2905" s="62" t="s">
        <v>1813</v>
      </c>
      <c r="E2905" s="76">
        <v>44127.0</v>
      </c>
      <c r="F2905" s="77">
        <v>0.041666666666666664</v>
      </c>
      <c r="G2905" s="62" t="b">
        <v>1</v>
      </c>
      <c r="H2905" s="78" t="b">
        <f>IF(VLOOKUP(C2905,Projetos!A:L,12,false)=TRUE,TRUE,FALSE)</f>
        <v>1</v>
      </c>
      <c r="I2905" s="68">
        <v>42.72055682419432</v>
      </c>
      <c r="J2905" s="68">
        <f t="shared" si="1"/>
        <v>42.72055682</v>
      </c>
      <c r="K2905" s="68" t="b">
        <v>1</v>
      </c>
    </row>
    <row r="2906">
      <c r="A2906" s="75">
        <v>2900.0</v>
      </c>
      <c r="B2906" s="62" t="s">
        <v>1306</v>
      </c>
      <c r="C2906" s="62" t="s">
        <v>88</v>
      </c>
      <c r="D2906" s="62" t="s">
        <v>1813</v>
      </c>
      <c r="E2906" s="76">
        <v>44130.0</v>
      </c>
      <c r="F2906" s="77">
        <v>0.0625</v>
      </c>
      <c r="G2906" s="62" t="b">
        <v>1</v>
      </c>
      <c r="H2906" s="78" t="b">
        <f>IF(VLOOKUP(C2906,Projetos!A:L,12,false)=TRUE,TRUE,FALSE)</f>
        <v>1</v>
      </c>
      <c r="I2906" s="68">
        <v>42.72055682419432</v>
      </c>
      <c r="J2906" s="68">
        <f t="shared" si="1"/>
        <v>64.08083524</v>
      </c>
      <c r="K2906" s="68" t="b">
        <v>1</v>
      </c>
    </row>
    <row r="2907">
      <c r="A2907" s="75">
        <v>2901.0</v>
      </c>
      <c r="B2907" s="62" t="s">
        <v>1306</v>
      </c>
      <c r="C2907" s="62" t="s">
        <v>88</v>
      </c>
      <c r="D2907" s="62" t="s">
        <v>1820</v>
      </c>
      <c r="E2907" s="76">
        <v>44133.0</v>
      </c>
      <c r="F2907" s="77">
        <v>0.16666666666666666</v>
      </c>
      <c r="G2907" s="62" t="b">
        <v>1</v>
      </c>
      <c r="H2907" s="78" t="b">
        <f>IF(VLOOKUP(C2907,Projetos!A:L,12,false)=TRUE,TRUE,FALSE)</f>
        <v>1</v>
      </c>
      <c r="I2907" s="68">
        <v>42.72055682419432</v>
      </c>
      <c r="J2907" s="68">
        <f t="shared" si="1"/>
        <v>170.8822273</v>
      </c>
      <c r="K2907" s="68" t="b">
        <v>1</v>
      </c>
    </row>
    <row r="2908">
      <c r="A2908" s="75">
        <v>2902.0</v>
      </c>
      <c r="B2908" s="62" t="s">
        <v>1306</v>
      </c>
      <c r="C2908" s="62" t="s">
        <v>88</v>
      </c>
      <c r="D2908" s="62" t="s">
        <v>1821</v>
      </c>
      <c r="E2908" s="76">
        <v>44134.0</v>
      </c>
      <c r="F2908" s="77">
        <v>0.11458333333333333</v>
      </c>
      <c r="G2908" s="62" t="b">
        <v>1</v>
      </c>
      <c r="H2908" s="78" t="b">
        <f>IF(VLOOKUP(C2908,Projetos!A:L,12,false)=TRUE,TRUE,FALSE)</f>
        <v>1</v>
      </c>
      <c r="I2908" s="68">
        <v>42.72055682419432</v>
      </c>
      <c r="J2908" s="68">
        <f t="shared" si="1"/>
        <v>117.4815313</v>
      </c>
      <c r="K2908" s="68" t="b">
        <v>1</v>
      </c>
    </row>
    <row r="2909">
      <c r="A2909" s="75">
        <v>2903.0</v>
      </c>
      <c r="B2909" s="62" t="s">
        <v>1306</v>
      </c>
      <c r="C2909" s="62" t="s">
        <v>90</v>
      </c>
      <c r="D2909" s="62" t="s">
        <v>1822</v>
      </c>
      <c r="E2909" s="76">
        <v>44105.0</v>
      </c>
      <c r="F2909" s="77">
        <v>0.125</v>
      </c>
      <c r="G2909" s="62" t="b">
        <v>1</v>
      </c>
      <c r="H2909" s="78" t="b">
        <f>IF(VLOOKUP(C2909,Projetos!A:L,12,false)=TRUE,TRUE,FALSE)</f>
        <v>1</v>
      </c>
      <c r="I2909" s="68">
        <v>42.72055682419432</v>
      </c>
      <c r="J2909" s="68">
        <f t="shared" si="1"/>
        <v>128.1616705</v>
      </c>
      <c r="K2909" s="68" t="b">
        <v>1</v>
      </c>
    </row>
    <row r="2910">
      <c r="A2910" s="75">
        <v>2904.0</v>
      </c>
      <c r="B2910" s="62" t="s">
        <v>1306</v>
      </c>
      <c r="C2910" s="62" t="s">
        <v>90</v>
      </c>
      <c r="D2910" s="62" t="s">
        <v>781</v>
      </c>
      <c r="E2910" s="76">
        <v>44106.0</v>
      </c>
      <c r="F2910" s="77">
        <v>0.020833333333333332</v>
      </c>
      <c r="G2910" s="62" t="b">
        <v>1</v>
      </c>
      <c r="H2910" s="78" t="b">
        <f>IF(VLOOKUP(C2910,Projetos!A:L,12,false)=TRUE,TRUE,FALSE)</f>
        <v>1</v>
      </c>
      <c r="I2910" s="68">
        <v>42.72055682419432</v>
      </c>
      <c r="J2910" s="68">
        <f t="shared" si="1"/>
        <v>21.36027841</v>
      </c>
      <c r="K2910" s="68" t="b">
        <v>1</v>
      </c>
    </row>
    <row r="2911">
      <c r="A2911" s="75">
        <v>2905.0</v>
      </c>
      <c r="B2911" s="62" t="s">
        <v>1306</v>
      </c>
      <c r="C2911" s="62" t="s">
        <v>90</v>
      </c>
      <c r="D2911" s="62" t="s">
        <v>1823</v>
      </c>
      <c r="E2911" s="76">
        <v>44106.0</v>
      </c>
      <c r="F2911" s="77">
        <v>0.041666666666666664</v>
      </c>
      <c r="G2911" s="62" t="b">
        <v>1</v>
      </c>
      <c r="H2911" s="78" t="b">
        <f>IF(VLOOKUP(C2911,Projetos!A:L,12,false)=TRUE,TRUE,FALSE)</f>
        <v>1</v>
      </c>
      <c r="I2911" s="68">
        <v>42.72055682419432</v>
      </c>
      <c r="J2911" s="68">
        <f t="shared" si="1"/>
        <v>42.72055682</v>
      </c>
      <c r="K2911" s="68" t="b">
        <v>1</v>
      </c>
    </row>
    <row r="2912">
      <c r="A2912" s="75">
        <v>2906.0</v>
      </c>
      <c r="B2912" s="62" t="s">
        <v>1306</v>
      </c>
      <c r="C2912" s="62" t="s">
        <v>90</v>
      </c>
      <c r="D2912" s="62" t="s">
        <v>1824</v>
      </c>
      <c r="E2912" s="76">
        <v>44109.0</v>
      </c>
      <c r="F2912" s="77">
        <v>0.041666666666666664</v>
      </c>
      <c r="G2912" s="62" t="b">
        <v>1</v>
      </c>
      <c r="H2912" s="78" t="b">
        <f>IF(VLOOKUP(C2912,Projetos!A:L,12,false)=TRUE,TRUE,FALSE)</f>
        <v>1</v>
      </c>
      <c r="I2912" s="68">
        <v>42.72055682419432</v>
      </c>
      <c r="J2912" s="68">
        <f t="shared" si="1"/>
        <v>42.72055682</v>
      </c>
      <c r="K2912" s="68" t="b">
        <v>1</v>
      </c>
    </row>
    <row r="2913">
      <c r="A2913" s="75">
        <v>2907.0</v>
      </c>
      <c r="B2913" s="62" t="s">
        <v>1306</v>
      </c>
      <c r="C2913" s="62" t="s">
        <v>90</v>
      </c>
      <c r="D2913" s="62" t="s">
        <v>1825</v>
      </c>
      <c r="E2913" s="76">
        <v>44110.0</v>
      </c>
      <c r="F2913" s="77">
        <v>0.041666666666666664</v>
      </c>
      <c r="G2913" s="62" t="b">
        <v>1</v>
      </c>
      <c r="H2913" s="78" t="b">
        <f>IF(VLOOKUP(C2913,Projetos!A:L,12,false)=TRUE,TRUE,FALSE)</f>
        <v>1</v>
      </c>
      <c r="I2913" s="68">
        <v>42.72055682419432</v>
      </c>
      <c r="J2913" s="68">
        <f t="shared" si="1"/>
        <v>42.72055682</v>
      </c>
      <c r="K2913" s="68" t="b">
        <v>1</v>
      </c>
    </row>
    <row r="2914">
      <c r="A2914" s="75">
        <v>2908.0</v>
      </c>
      <c r="B2914" s="62" t="s">
        <v>1306</v>
      </c>
      <c r="C2914" s="62" t="s">
        <v>90</v>
      </c>
      <c r="D2914" s="62" t="s">
        <v>1826</v>
      </c>
      <c r="E2914" s="76">
        <v>44110.0</v>
      </c>
      <c r="F2914" s="77">
        <v>0.10416666666666667</v>
      </c>
      <c r="G2914" s="62" t="b">
        <v>1</v>
      </c>
      <c r="H2914" s="78" t="b">
        <f>IF(VLOOKUP(C2914,Projetos!A:L,12,false)=TRUE,TRUE,FALSE)</f>
        <v>1</v>
      </c>
      <c r="I2914" s="68">
        <v>42.72055682419432</v>
      </c>
      <c r="J2914" s="68">
        <f t="shared" si="1"/>
        <v>106.8013921</v>
      </c>
      <c r="K2914" s="68" t="b">
        <v>1</v>
      </c>
    </row>
    <row r="2915">
      <c r="A2915" s="75">
        <v>2909.0</v>
      </c>
      <c r="B2915" s="62" t="s">
        <v>1306</v>
      </c>
      <c r="C2915" s="62" t="s">
        <v>90</v>
      </c>
      <c r="D2915" s="62" t="s">
        <v>1827</v>
      </c>
      <c r="E2915" s="76">
        <v>44111.0</v>
      </c>
      <c r="F2915" s="77">
        <v>0.03125</v>
      </c>
      <c r="G2915" s="62" t="b">
        <v>1</v>
      </c>
      <c r="H2915" s="78" t="b">
        <f>IF(VLOOKUP(C2915,Projetos!A:L,12,false)=TRUE,TRUE,FALSE)</f>
        <v>1</v>
      </c>
      <c r="I2915" s="68">
        <v>42.72055682419432</v>
      </c>
      <c r="J2915" s="68">
        <f t="shared" si="1"/>
        <v>32.04041762</v>
      </c>
      <c r="K2915" s="68" t="b">
        <v>1</v>
      </c>
    </row>
    <row r="2916">
      <c r="A2916" s="75">
        <v>2910.0</v>
      </c>
      <c r="B2916" s="62" t="s">
        <v>1306</v>
      </c>
      <c r="C2916" s="62" t="s">
        <v>90</v>
      </c>
      <c r="D2916" s="62" t="s">
        <v>1828</v>
      </c>
      <c r="E2916" s="76">
        <v>44112.0</v>
      </c>
      <c r="F2916" s="77">
        <v>0.041666666666666664</v>
      </c>
      <c r="G2916" s="62" t="b">
        <v>1</v>
      </c>
      <c r="H2916" s="78" t="b">
        <f>IF(VLOOKUP(C2916,Projetos!A:L,12,false)=TRUE,TRUE,FALSE)</f>
        <v>1</v>
      </c>
      <c r="I2916" s="68">
        <v>42.72055682419432</v>
      </c>
      <c r="J2916" s="68">
        <f t="shared" si="1"/>
        <v>42.72055682</v>
      </c>
      <c r="K2916" s="68" t="b">
        <v>1</v>
      </c>
    </row>
    <row r="2917">
      <c r="A2917" s="75">
        <v>2911.0</v>
      </c>
      <c r="B2917" s="62" t="s">
        <v>1306</v>
      </c>
      <c r="C2917" s="62" t="s">
        <v>90</v>
      </c>
      <c r="D2917" s="62" t="s">
        <v>1829</v>
      </c>
      <c r="E2917" s="76">
        <v>44112.0</v>
      </c>
      <c r="F2917" s="77">
        <v>0.08333333333333333</v>
      </c>
      <c r="G2917" s="62" t="b">
        <v>1</v>
      </c>
      <c r="H2917" s="78" t="b">
        <f>IF(VLOOKUP(C2917,Projetos!A:L,12,false)=TRUE,TRUE,FALSE)</f>
        <v>1</v>
      </c>
      <c r="I2917" s="68">
        <v>42.72055682419432</v>
      </c>
      <c r="J2917" s="68">
        <f t="shared" si="1"/>
        <v>85.44111365</v>
      </c>
      <c r="K2917" s="68" t="b">
        <v>1</v>
      </c>
    </row>
    <row r="2918">
      <c r="A2918" s="75">
        <v>2912.0</v>
      </c>
      <c r="B2918" s="62" t="s">
        <v>1306</v>
      </c>
      <c r="C2918" s="62" t="s">
        <v>90</v>
      </c>
      <c r="D2918" s="62" t="s">
        <v>1830</v>
      </c>
      <c r="E2918" s="76">
        <v>44117.0</v>
      </c>
      <c r="F2918" s="77">
        <v>0.08333333333333333</v>
      </c>
      <c r="G2918" s="62" t="b">
        <v>1</v>
      </c>
      <c r="H2918" s="78" t="b">
        <f>IF(VLOOKUP(C2918,Projetos!A:L,12,false)=TRUE,TRUE,FALSE)</f>
        <v>1</v>
      </c>
      <c r="I2918" s="68">
        <v>42.72055682419432</v>
      </c>
      <c r="J2918" s="68">
        <f t="shared" si="1"/>
        <v>85.44111365</v>
      </c>
      <c r="K2918" s="68" t="b">
        <v>1</v>
      </c>
    </row>
    <row r="2919" hidden="1">
      <c r="A2919" s="75">
        <v>2913.0</v>
      </c>
      <c r="B2919" s="62" t="s">
        <v>1306</v>
      </c>
      <c r="C2919" s="62" t="s">
        <v>90</v>
      </c>
      <c r="D2919" s="62" t="s">
        <v>1831</v>
      </c>
      <c r="E2919" s="76">
        <v>44118.0</v>
      </c>
      <c r="F2919" s="77">
        <v>0.10416666666666667</v>
      </c>
      <c r="G2919" s="62" t="b">
        <v>0</v>
      </c>
      <c r="H2919" s="78" t="b">
        <f>IF(VLOOKUP(C2919,Projetos!A:L,12,false)=TRUE,TRUE,FALSE)</f>
        <v>1</v>
      </c>
      <c r="I2919" s="68">
        <v>42.72055682419432</v>
      </c>
      <c r="J2919" s="68">
        <f t="shared" si="1"/>
        <v>0</v>
      </c>
      <c r="K2919" s="68" t="b">
        <v>1</v>
      </c>
    </row>
    <row r="2920">
      <c r="A2920" s="75">
        <v>2914.0</v>
      </c>
      <c r="B2920" s="62" t="s">
        <v>1306</v>
      </c>
      <c r="C2920" s="62" t="s">
        <v>90</v>
      </c>
      <c r="D2920" s="62" t="s">
        <v>1832</v>
      </c>
      <c r="E2920" s="76">
        <v>44118.0</v>
      </c>
      <c r="F2920" s="77">
        <v>0.041666666666666664</v>
      </c>
      <c r="G2920" s="62" t="b">
        <v>1</v>
      </c>
      <c r="H2920" s="78" t="b">
        <f>IF(VLOOKUP(C2920,Projetos!A:L,12,false)=TRUE,TRUE,FALSE)</f>
        <v>1</v>
      </c>
      <c r="I2920" s="68">
        <v>42.72055682419432</v>
      </c>
      <c r="J2920" s="68">
        <f t="shared" si="1"/>
        <v>42.72055682</v>
      </c>
      <c r="K2920" s="68" t="b">
        <v>1</v>
      </c>
    </row>
    <row r="2921">
      <c r="A2921" s="75">
        <v>2915.0</v>
      </c>
      <c r="B2921" s="62" t="s">
        <v>1306</v>
      </c>
      <c r="C2921" s="62" t="s">
        <v>90</v>
      </c>
      <c r="D2921" s="62" t="s">
        <v>1833</v>
      </c>
      <c r="E2921" s="76">
        <v>44119.0</v>
      </c>
      <c r="F2921" s="77">
        <v>0.16666666666666666</v>
      </c>
      <c r="G2921" s="62" t="b">
        <v>1</v>
      </c>
      <c r="H2921" s="78" t="b">
        <f>IF(VLOOKUP(C2921,Projetos!A:L,12,false)=TRUE,TRUE,FALSE)</f>
        <v>1</v>
      </c>
      <c r="I2921" s="68">
        <v>42.72055682419432</v>
      </c>
      <c r="J2921" s="68">
        <f t="shared" si="1"/>
        <v>170.8822273</v>
      </c>
      <c r="K2921" s="68" t="b">
        <v>1</v>
      </c>
    </row>
    <row r="2922">
      <c r="A2922" s="75">
        <v>2916.0</v>
      </c>
      <c r="B2922" s="62" t="s">
        <v>1306</v>
      </c>
      <c r="C2922" s="62" t="s">
        <v>90</v>
      </c>
      <c r="D2922" s="62" t="s">
        <v>1834</v>
      </c>
      <c r="E2922" s="76">
        <v>44120.0</v>
      </c>
      <c r="F2922" s="77">
        <v>0.03125</v>
      </c>
      <c r="G2922" s="62" t="b">
        <v>1</v>
      </c>
      <c r="H2922" s="78" t="b">
        <f>IF(VLOOKUP(C2922,Projetos!A:L,12,false)=TRUE,TRUE,FALSE)</f>
        <v>1</v>
      </c>
      <c r="I2922" s="68">
        <v>42.72055682419432</v>
      </c>
      <c r="J2922" s="68">
        <f t="shared" si="1"/>
        <v>32.04041762</v>
      </c>
      <c r="K2922" s="68" t="b">
        <v>1</v>
      </c>
    </row>
    <row r="2923" hidden="1">
      <c r="A2923" s="75">
        <v>2917.0</v>
      </c>
      <c r="B2923" s="62" t="s">
        <v>1306</v>
      </c>
      <c r="C2923" s="62" t="s">
        <v>90</v>
      </c>
      <c r="D2923" s="62" t="s">
        <v>1835</v>
      </c>
      <c r="E2923" s="76">
        <v>44120.0</v>
      </c>
      <c r="F2923" s="77">
        <v>0.041666666666666664</v>
      </c>
      <c r="G2923" s="62" t="b">
        <v>0</v>
      </c>
      <c r="H2923" s="78" t="b">
        <f>IF(VLOOKUP(C2923,Projetos!A:L,12,false)=TRUE,TRUE,FALSE)</f>
        <v>1</v>
      </c>
      <c r="I2923" s="68">
        <v>42.72055682419432</v>
      </c>
      <c r="J2923" s="68">
        <f t="shared" si="1"/>
        <v>0</v>
      </c>
      <c r="K2923" s="68" t="b">
        <v>1</v>
      </c>
    </row>
    <row r="2924">
      <c r="A2924" s="75">
        <v>2918.0</v>
      </c>
      <c r="B2924" s="62" t="s">
        <v>1306</v>
      </c>
      <c r="C2924" s="62" t="s">
        <v>90</v>
      </c>
      <c r="D2924" s="62" t="s">
        <v>1836</v>
      </c>
      <c r="E2924" s="76">
        <v>44120.0</v>
      </c>
      <c r="F2924" s="77">
        <v>0.08333333333333333</v>
      </c>
      <c r="G2924" s="62" t="b">
        <v>1</v>
      </c>
      <c r="H2924" s="78" t="b">
        <f>IF(VLOOKUP(C2924,Projetos!A:L,12,false)=TRUE,TRUE,FALSE)</f>
        <v>1</v>
      </c>
      <c r="I2924" s="68">
        <v>42.72055682419432</v>
      </c>
      <c r="J2924" s="68">
        <f t="shared" si="1"/>
        <v>85.44111365</v>
      </c>
      <c r="K2924" s="68" t="b">
        <v>1</v>
      </c>
    </row>
    <row r="2925">
      <c r="A2925" s="75">
        <v>2919.0</v>
      </c>
      <c r="B2925" s="62" t="s">
        <v>1306</v>
      </c>
      <c r="C2925" s="62" t="s">
        <v>90</v>
      </c>
      <c r="D2925" s="62" t="s">
        <v>1837</v>
      </c>
      <c r="E2925" s="76">
        <v>44123.0</v>
      </c>
      <c r="F2925" s="77">
        <v>0.041666666666666664</v>
      </c>
      <c r="G2925" s="62" t="b">
        <v>1</v>
      </c>
      <c r="H2925" s="78" t="b">
        <f>IF(VLOOKUP(C2925,Projetos!A:L,12,false)=TRUE,TRUE,FALSE)</f>
        <v>1</v>
      </c>
      <c r="I2925" s="68">
        <v>42.72055682419432</v>
      </c>
      <c r="J2925" s="68">
        <f t="shared" si="1"/>
        <v>42.72055682</v>
      </c>
      <c r="K2925" s="68" t="b">
        <v>1</v>
      </c>
    </row>
    <row r="2926">
      <c r="A2926" s="75">
        <v>2920.0</v>
      </c>
      <c r="B2926" s="62" t="s">
        <v>1306</v>
      </c>
      <c r="C2926" s="62" t="s">
        <v>90</v>
      </c>
      <c r="D2926" s="62" t="s">
        <v>1838</v>
      </c>
      <c r="E2926" s="76">
        <v>44132.0</v>
      </c>
      <c r="F2926" s="77">
        <v>0.11458333333333333</v>
      </c>
      <c r="G2926" s="62" t="b">
        <v>1</v>
      </c>
      <c r="H2926" s="78" t="b">
        <f>IF(VLOOKUP(C2926,Projetos!A:L,12,false)=TRUE,TRUE,FALSE)</f>
        <v>1</v>
      </c>
      <c r="I2926" s="68">
        <v>42.72055682419432</v>
      </c>
      <c r="J2926" s="68">
        <f t="shared" si="1"/>
        <v>117.4815313</v>
      </c>
      <c r="K2926" s="68" t="b">
        <v>1</v>
      </c>
    </row>
    <row r="2927">
      <c r="A2927" s="75">
        <v>2921.0</v>
      </c>
      <c r="B2927" s="62" t="s">
        <v>1306</v>
      </c>
      <c r="C2927" s="62" t="s">
        <v>90</v>
      </c>
      <c r="D2927" s="62" t="s">
        <v>1839</v>
      </c>
      <c r="E2927" s="76">
        <v>44133.0</v>
      </c>
      <c r="F2927" s="77">
        <v>0.10416666666666667</v>
      </c>
      <c r="G2927" s="62" t="b">
        <v>1</v>
      </c>
      <c r="H2927" s="78" t="b">
        <f>IF(VLOOKUP(C2927,Projetos!A:L,12,false)=TRUE,TRUE,FALSE)</f>
        <v>1</v>
      </c>
      <c r="I2927" s="68">
        <v>42.72055682419432</v>
      </c>
      <c r="J2927" s="68">
        <f t="shared" si="1"/>
        <v>106.8013921</v>
      </c>
      <c r="K2927" s="68" t="b">
        <v>1</v>
      </c>
    </row>
    <row r="2928">
      <c r="A2928" s="75">
        <v>2922.0</v>
      </c>
      <c r="B2928" s="62" t="s">
        <v>1306</v>
      </c>
      <c r="C2928" s="62" t="s">
        <v>90</v>
      </c>
      <c r="D2928" s="62" t="s">
        <v>1840</v>
      </c>
      <c r="E2928" s="76">
        <v>44134.0</v>
      </c>
      <c r="F2928" s="77">
        <v>0.0625</v>
      </c>
      <c r="G2928" s="62" t="b">
        <v>1</v>
      </c>
      <c r="H2928" s="78" t="b">
        <f>IF(VLOOKUP(C2928,Projetos!A:L,12,false)=TRUE,TRUE,FALSE)</f>
        <v>1</v>
      </c>
      <c r="I2928" s="68">
        <v>42.72055682419432</v>
      </c>
      <c r="J2928" s="68">
        <f t="shared" si="1"/>
        <v>64.08083524</v>
      </c>
      <c r="K2928" s="68" t="b">
        <v>1</v>
      </c>
    </row>
    <row r="2929" hidden="1">
      <c r="A2929" s="75">
        <v>2923.0</v>
      </c>
      <c r="B2929" s="62" t="s">
        <v>1306</v>
      </c>
      <c r="C2929" s="62" t="s">
        <v>97</v>
      </c>
      <c r="D2929" s="62" t="s">
        <v>1841</v>
      </c>
      <c r="E2929" s="76">
        <v>44110.0</v>
      </c>
      <c r="F2929" s="77">
        <v>0.041666666666666664</v>
      </c>
      <c r="G2929" s="62" t="b">
        <v>0</v>
      </c>
      <c r="H2929" s="78" t="b">
        <f>IF(VLOOKUP(C2929,Projetos!A:L,12,false)=TRUE,TRUE,FALSE)</f>
        <v>1</v>
      </c>
      <c r="I2929" s="68">
        <v>42.72055682419432</v>
      </c>
      <c r="J2929" s="68">
        <f t="shared" si="1"/>
        <v>0</v>
      </c>
      <c r="K2929" s="68" t="b">
        <v>1</v>
      </c>
    </row>
    <row r="2930">
      <c r="A2930" s="75">
        <v>2924.0</v>
      </c>
      <c r="B2930" s="62" t="s">
        <v>1306</v>
      </c>
      <c r="C2930" s="62" t="s">
        <v>103</v>
      </c>
      <c r="D2930" s="62" t="s">
        <v>1842</v>
      </c>
      <c r="E2930" s="76">
        <v>44117.0</v>
      </c>
      <c r="F2930" s="77">
        <v>0.08333333333333333</v>
      </c>
      <c r="G2930" s="62" t="b">
        <v>1</v>
      </c>
      <c r="H2930" s="78" t="b">
        <f>IF(VLOOKUP(C2930,Projetos!A:L,12,false)=TRUE,TRUE,FALSE)</f>
        <v>1</v>
      </c>
      <c r="I2930" s="68">
        <v>42.72055682419432</v>
      </c>
      <c r="J2930" s="68">
        <f t="shared" si="1"/>
        <v>85.44111365</v>
      </c>
      <c r="K2930" s="68" t="b">
        <v>1</v>
      </c>
    </row>
    <row r="2931" hidden="1">
      <c r="A2931" s="75">
        <v>2925.0</v>
      </c>
      <c r="B2931" s="62" t="s">
        <v>1306</v>
      </c>
      <c r="C2931" s="62" t="s">
        <v>103</v>
      </c>
      <c r="D2931" s="62" t="s">
        <v>1843</v>
      </c>
      <c r="E2931" s="76">
        <v>44123.0</v>
      </c>
      <c r="F2931" s="77">
        <v>0.0625</v>
      </c>
      <c r="G2931" s="62" t="b">
        <v>0</v>
      </c>
      <c r="H2931" s="78" t="b">
        <f>IF(VLOOKUP(C2931,Projetos!A:L,12,false)=TRUE,TRUE,FALSE)</f>
        <v>1</v>
      </c>
      <c r="I2931" s="68">
        <v>42.72055682419432</v>
      </c>
      <c r="J2931" s="68">
        <f t="shared" si="1"/>
        <v>0</v>
      </c>
      <c r="K2931" s="68" t="b">
        <v>1</v>
      </c>
    </row>
    <row r="2932" hidden="1">
      <c r="A2932" s="75">
        <v>2926.0</v>
      </c>
      <c r="B2932" s="62" t="s">
        <v>1306</v>
      </c>
      <c r="C2932" s="62" t="s">
        <v>104</v>
      </c>
      <c r="D2932" s="62" t="s">
        <v>1844</v>
      </c>
      <c r="E2932" s="76">
        <v>44117.0</v>
      </c>
      <c r="F2932" s="77">
        <v>0.041666666666666664</v>
      </c>
      <c r="G2932" s="62" t="b">
        <v>0</v>
      </c>
      <c r="H2932" s="78" t="b">
        <f>IF(VLOOKUP(C2932,Projetos!A:L,12,false)=TRUE,TRUE,FALSE)</f>
        <v>1</v>
      </c>
      <c r="I2932" s="68">
        <v>42.72055682419432</v>
      </c>
      <c r="J2932" s="68">
        <f t="shared" si="1"/>
        <v>0</v>
      </c>
      <c r="K2932" s="68" t="b">
        <v>1</v>
      </c>
    </row>
    <row r="2933">
      <c r="A2933" s="75">
        <v>2927.0</v>
      </c>
      <c r="B2933" s="62" t="s">
        <v>1306</v>
      </c>
      <c r="C2933" s="62" t="s">
        <v>104</v>
      </c>
      <c r="D2933" s="62" t="s">
        <v>1845</v>
      </c>
      <c r="E2933" s="76">
        <v>44118.0</v>
      </c>
      <c r="F2933" s="77">
        <v>0.010416666666666666</v>
      </c>
      <c r="G2933" s="62" t="b">
        <v>1</v>
      </c>
      <c r="H2933" s="78" t="b">
        <f>IF(VLOOKUP(C2933,Projetos!A:L,12,false)=TRUE,TRUE,FALSE)</f>
        <v>1</v>
      </c>
      <c r="I2933" s="68">
        <v>42.72055682419432</v>
      </c>
      <c r="J2933" s="68">
        <f t="shared" si="1"/>
        <v>10.68013921</v>
      </c>
      <c r="K2933" s="68" t="b">
        <v>1</v>
      </c>
    </row>
    <row r="2934" hidden="1">
      <c r="A2934" s="75">
        <v>2928.0</v>
      </c>
      <c r="B2934" s="62" t="s">
        <v>1306</v>
      </c>
      <c r="C2934" s="62" t="s">
        <v>105</v>
      </c>
      <c r="D2934" s="62" t="s">
        <v>1846</v>
      </c>
      <c r="E2934" s="76">
        <v>44132.0</v>
      </c>
      <c r="F2934" s="77">
        <v>0.041666666666666664</v>
      </c>
      <c r="G2934" s="62" t="b">
        <v>0</v>
      </c>
      <c r="H2934" s="78" t="b">
        <f>IF(VLOOKUP(C2934,Projetos!A:L,12,false)=TRUE,TRUE,FALSE)</f>
        <v>1</v>
      </c>
      <c r="I2934" s="68">
        <v>42.72055682419432</v>
      </c>
      <c r="J2934" s="68">
        <f t="shared" si="1"/>
        <v>0</v>
      </c>
      <c r="K2934" s="68" t="b">
        <v>1</v>
      </c>
    </row>
    <row r="2935" hidden="1">
      <c r="A2935" s="75">
        <v>2929.0</v>
      </c>
      <c r="B2935" s="62" t="s">
        <v>1306</v>
      </c>
      <c r="C2935" s="62" t="s">
        <v>108</v>
      </c>
      <c r="D2935" s="62" t="s">
        <v>1847</v>
      </c>
      <c r="E2935" s="76">
        <v>44105.0</v>
      </c>
      <c r="F2935" s="77">
        <v>0.09375</v>
      </c>
      <c r="G2935" s="62" t="b">
        <v>0</v>
      </c>
      <c r="H2935" s="78" t="b">
        <f>IF(VLOOKUP(C2935,Projetos!A:L,12,false)=TRUE,TRUE,FALSE)</f>
        <v>1</v>
      </c>
      <c r="I2935" s="68">
        <v>42.72055682419432</v>
      </c>
      <c r="J2935" s="68">
        <f t="shared" si="1"/>
        <v>0</v>
      </c>
      <c r="K2935" s="68" t="b">
        <v>1</v>
      </c>
    </row>
    <row r="2936" hidden="1">
      <c r="A2936" s="75">
        <v>2930.0</v>
      </c>
      <c r="B2936" s="62" t="s">
        <v>1306</v>
      </c>
      <c r="C2936" s="62" t="s">
        <v>108</v>
      </c>
      <c r="D2936" s="62" t="s">
        <v>1848</v>
      </c>
      <c r="E2936" s="76">
        <v>44105.0</v>
      </c>
      <c r="F2936" s="77">
        <v>0.041666666666666664</v>
      </c>
      <c r="G2936" s="62" t="b">
        <v>0</v>
      </c>
      <c r="H2936" s="78" t="b">
        <f>IF(VLOOKUP(C2936,Projetos!A:L,12,false)=TRUE,TRUE,FALSE)</f>
        <v>1</v>
      </c>
      <c r="I2936" s="68">
        <v>42.72055682419432</v>
      </c>
      <c r="J2936" s="68">
        <f t="shared" si="1"/>
        <v>0</v>
      </c>
      <c r="K2936" s="68" t="b">
        <v>1</v>
      </c>
    </row>
    <row r="2937" hidden="1">
      <c r="A2937" s="75">
        <v>2931.0</v>
      </c>
      <c r="B2937" s="62" t="s">
        <v>1306</v>
      </c>
      <c r="C2937" s="62" t="s">
        <v>108</v>
      </c>
      <c r="D2937" s="62" t="s">
        <v>1849</v>
      </c>
      <c r="E2937" s="76">
        <v>44105.0</v>
      </c>
      <c r="F2937" s="77">
        <v>0.0625</v>
      </c>
      <c r="G2937" s="62" t="b">
        <v>0</v>
      </c>
      <c r="H2937" s="78" t="b">
        <f>IF(VLOOKUP(C2937,Projetos!A:L,12,false)=TRUE,TRUE,FALSE)</f>
        <v>1</v>
      </c>
      <c r="I2937" s="68">
        <v>42.72055682419432</v>
      </c>
      <c r="J2937" s="68">
        <f t="shared" si="1"/>
        <v>0</v>
      </c>
      <c r="K2937" s="68" t="b">
        <v>1</v>
      </c>
    </row>
    <row r="2938" hidden="1">
      <c r="A2938" s="75">
        <v>2932.0</v>
      </c>
      <c r="B2938" s="62" t="s">
        <v>1306</v>
      </c>
      <c r="C2938" s="62" t="s">
        <v>108</v>
      </c>
      <c r="D2938" s="62" t="s">
        <v>1850</v>
      </c>
      <c r="E2938" s="76">
        <v>44106.0</v>
      </c>
      <c r="F2938" s="77">
        <v>0.125</v>
      </c>
      <c r="G2938" s="62" t="b">
        <v>0</v>
      </c>
      <c r="H2938" s="78" t="b">
        <f>IF(VLOOKUP(C2938,Projetos!A:L,12,false)=TRUE,TRUE,FALSE)</f>
        <v>1</v>
      </c>
      <c r="I2938" s="68">
        <v>42.72055682419432</v>
      </c>
      <c r="J2938" s="68">
        <f t="shared" si="1"/>
        <v>0</v>
      </c>
      <c r="K2938" s="68" t="b">
        <v>1</v>
      </c>
    </row>
    <row r="2939" hidden="1">
      <c r="A2939" s="75">
        <v>2933.0</v>
      </c>
      <c r="B2939" s="62" t="s">
        <v>1306</v>
      </c>
      <c r="C2939" s="62" t="s">
        <v>108</v>
      </c>
      <c r="D2939" s="62" t="s">
        <v>1851</v>
      </c>
      <c r="E2939" s="76">
        <v>44106.0</v>
      </c>
      <c r="F2939" s="77">
        <v>0.16666666666666666</v>
      </c>
      <c r="G2939" s="62" t="b">
        <v>0</v>
      </c>
      <c r="H2939" s="78" t="b">
        <f>IF(VLOOKUP(C2939,Projetos!A:L,12,false)=TRUE,TRUE,FALSE)</f>
        <v>1</v>
      </c>
      <c r="I2939" s="68">
        <v>42.72055682419432</v>
      </c>
      <c r="J2939" s="68">
        <f t="shared" si="1"/>
        <v>0</v>
      </c>
      <c r="K2939" s="68" t="b">
        <v>1</v>
      </c>
    </row>
    <row r="2940" hidden="1">
      <c r="A2940" s="75">
        <v>2934.0</v>
      </c>
      <c r="B2940" s="62" t="s">
        <v>1306</v>
      </c>
      <c r="C2940" s="62" t="s">
        <v>108</v>
      </c>
      <c r="D2940" s="62" t="s">
        <v>1852</v>
      </c>
      <c r="E2940" s="76">
        <v>44109.0</v>
      </c>
      <c r="F2940" s="77">
        <v>0.0625</v>
      </c>
      <c r="G2940" s="62" t="b">
        <v>0</v>
      </c>
      <c r="H2940" s="78" t="b">
        <f>IF(VLOOKUP(C2940,Projetos!A:L,12,false)=TRUE,TRUE,FALSE)</f>
        <v>1</v>
      </c>
      <c r="I2940" s="68">
        <v>42.72055682419432</v>
      </c>
      <c r="J2940" s="68">
        <f t="shared" si="1"/>
        <v>0</v>
      </c>
      <c r="K2940" s="68" t="b">
        <v>1</v>
      </c>
    </row>
    <row r="2941" hidden="1">
      <c r="A2941" s="75">
        <v>2935.0</v>
      </c>
      <c r="B2941" s="62" t="s">
        <v>1306</v>
      </c>
      <c r="C2941" s="62" t="s">
        <v>108</v>
      </c>
      <c r="D2941" s="62" t="s">
        <v>1346</v>
      </c>
      <c r="E2941" s="76">
        <v>44109.0</v>
      </c>
      <c r="F2941" s="77">
        <v>0.020833333333333332</v>
      </c>
      <c r="G2941" s="62" t="b">
        <v>0</v>
      </c>
      <c r="H2941" s="78" t="b">
        <f>IF(VLOOKUP(C2941,Projetos!A:L,12,false)=TRUE,TRUE,FALSE)</f>
        <v>1</v>
      </c>
      <c r="I2941" s="68">
        <v>42.72055682419432</v>
      </c>
      <c r="J2941" s="68">
        <f t="shared" si="1"/>
        <v>0</v>
      </c>
      <c r="K2941" s="68" t="b">
        <v>1</v>
      </c>
    </row>
    <row r="2942" hidden="1">
      <c r="A2942" s="75">
        <v>2936.0</v>
      </c>
      <c r="B2942" s="62" t="s">
        <v>1306</v>
      </c>
      <c r="C2942" s="62" t="s">
        <v>108</v>
      </c>
      <c r="D2942" s="62" t="s">
        <v>1853</v>
      </c>
      <c r="E2942" s="76">
        <v>44109.0</v>
      </c>
      <c r="F2942" s="77">
        <v>0.10416666666666667</v>
      </c>
      <c r="G2942" s="62" t="b">
        <v>0</v>
      </c>
      <c r="H2942" s="78" t="b">
        <f>IF(VLOOKUP(C2942,Projetos!A:L,12,false)=TRUE,TRUE,FALSE)</f>
        <v>1</v>
      </c>
      <c r="I2942" s="68">
        <v>42.72055682419432</v>
      </c>
      <c r="J2942" s="68">
        <f t="shared" si="1"/>
        <v>0</v>
      </c>
      <c r="K2942" s="68" t="b">
        <v>1</v>
      </c>
    </row>
    <row r="2943" hidden="1">
      <c r="A2943" s="75">
        <v>2937.0</v>
      </c>
      <c r="B2943" s="62" t="s">
        <v>1306</v>
      </c>
      <c r="C2943" s="62" t="s">
        <v>108</v>
      </c>
      <c r="D2943" s="62" t="s">
        <v>1849</v>
      </c>
      <c r="E2943" s="76">
        <v>44110.0</v>
      </c>
      <c r="F2943" s="77">
        <v>0.03125</v>
      </c>
      <c r="G2943" s="62" t="b">
        <v>1</v>
      </c>
      <c r="H2943" s="78" t="b">
        <f>IF(VLOOKUP(C2943,Projetos!A:L,12,false)=TRUE,TRUE,FALSE)</f>
        <v>1</v>
      </c>
      <c r="I2943" s="68">
        <v>42.72055682419432</v>
      </c>
      <c r="J2943" s="68">
        <f t="shared" si="1"/>
        <v>32.04041762</v>
      </c>
      <c r="K2943" s="68" t="b">
        <v>1</v>
      </c>
    </row>
    <row r="2944" hidden="1">
      <c r="A2944" s="75">
        <v>2938.0</v>
      </c>
      <c r="B2944" s="62" t="s">
        <v>1306</v>
      </c>
      <c r="C2944" s="62" t="s">
        <v>108</v>
      </c>
      <c r="D2944" s="62" t="s">
        <v>1849</v>
      </c>
      <c r="E2944" s="76">
        <v>44110.0</v>
      </c>
      <c r="F2944" s="77">
        <v>0.041666666666666664</v>
      </c>
      <c r="G2944" s="62" t="b">
        <v>1</v>
      </c>
      <c r="H2944" s="78" t="b">
        <f>IF(VLOOKUP(C2944,Projetos!A:L,12,false)=TRUE,TRUE,FALSE)</f>
        <v>1</v>
      </c>
      <c r="I2944" s="68">
        <v>42.72055682419432</v>
      </c>
      <c r="J2944" s="68">
        <f t="shared" si="1"/>
        <v>42.72055682</v>
      </c>
      <c r="K2944" s="68" t="b">
        <v>1</v>
      </c>
    </row>
    <row r="2945" hidden="1">
      <c r="A2945" s="75">
        <v>2939.0</v>
      </c>
      <c r="B2945" s="62" t="s">
        <v>1306</v>
      </c>
      <c r="C2945" s="62" t="s">
        <v>108</v>
      </c>
      <c r="D2945" s="62" t="s">
        <v>1854</v>
      </c>
      <c r="E2945" s="76">
        <v>44110.0</v>
      </c>
      <c r="F2945" s="77">
        <v>0.08333333333333333</v>
      </c>
      <c r="G2945" s="62" t="b">
        <v>0</v>
      </c>
      <c r="H2945" s="78" t="b">
        <f>IF(VLOOKUP(C2945,Projetos!A:L,12,false)=TRUE,TRUE,FALSE)</f>
        <v>1</v>
      </c>
      <c r="I2945" s="68">
        <v>42.72055682419432</v>
      </c>
      <c r="J2945" s="68">
        <f t="shared" si="1"/>
        <v>0</v>
      </c>
      <c r="K2945" s="68" t="b">
        <v>1</v>
      </c>
    </row>
    <row r="2946" hidden="1">
      <c r="A2946" s="75">
        <v>2940.0</v>
      </c>
      <c r="B2946" s="62" t="s">
        <v>1306</v>
      </c>
      <c r="C2946" s="62" t="s">
        <v>108</v>
      </c>
      <c r="D2946" s="62" t="s">
        <v>1855</v>
      </c>
      <c r="E2946" s="76">
        <v>44111.0</v>
      </c>
      <c r="F2946" s="77">
        <v>0.041666666666666664</v>
      </c>
      <c r="G2946" s="62" t="b">
        <v>0</v>
      </c>
      <c r="H2946" s="78" t="b">
        <f>IF(VLOOKUP(C2946,Projetos!A:L,12,false)=TRUE,TRUE,FALSE)</f>
        <v>1</v>
      </c>
      <c r="I2946" s="68">
        <v>42.72055682419432</v>
      </c>
      <c r="J2946" s="68">
        <f t="shared" si="1"/>
        <v>0</v>
      </c>
      <c r="K2946" s="68" t="b">
        <v>1</v>
      </c>
    </row>
    <row r="2947" hidden="1">
      <c r="A2947" s="75">
        <v>2941.0</v>
      </c>
      <c r="B2947" s="62" t="s">
        <v>1306</v>
      </c>
      <c r="C2947" s="62" t="s">
        <v>108</v>
      </c>
      <c r="D2947" s="62" t="s">
        <v>1856</v>
      </c>
      <c r="E2947" s="76">
        <v>44111.0</v>
      </c>
      <c r="F2947" s="77">
        <v>0.16666666666666666</v>
      </c>
      <c r="G2947" s="62" t="b">
        <v>1</v>
      </c>
      <c r="H2947" s="78" t="b">
        <f>IF(VLOOKUP(C2947,Projetos!A:L,12,false)=TRUE,TRUE,FALSE)</f>
        <v>1</v>
      </c>
      <c r="I2947" s="68">
        <v>42.72055682419432</v>
      </c>
      <c r="J2947" s="68">
        <f t="shared" si="1"/>
        <v>170.8822273</v>
      </c>
      <c r="K2947" s="68" t="b">
        <v>1</v>
      </c>
    </row>
    <row r="2948" hidden="1">
      <c r="A2948" s="75">
        <v>2942.0</v>
      </c>
      <c r="B2948" s="62" t="s">
        <v>1306</v>
      </c>
      <c r="C2948" s="62" t="s">
        <v>108</v>
      </c>
      <c r="D2948" s="62" t="s">
        <v>1857</v>
      </c>
      <c r="E2948" s="76">
        <v>44112.0</v>
      </c>
      <c r="F2948" s="77">
        <v>0.10416666666666667</v>
      </c>
      <c r="G2948" s="62" t="b">
        <v>1</v>
      </c>
      <c r="H2948" s="78" t="b">
        <f>IF(VLOOKUP(C2948,Projetos!A:L,12,false)=TRUE,TRUE,FALSE)</f>
        <v>1</v>
      </c>
      <c r="I2948" s="68">
        <v>42.72055682419432</v>
      </c>
      <c r="J2948" s="68">
        <f t="shared" si="1"/>
        <v>106.8013921</v>
      </c>
      <c r="K2948" s="68" t="b">
        <v>1</v>
      </c>
    </row>
    <row r="2949" hidden="1">
      <c r="A2949" s="75">
        <v>2943.0</v>
      </c>
      <c r="B2949" s="62" t="s">
        <v>1306</v>
      </c>
      <c r="C2949" s="62" t="s">
        <v>108</v>
      </c>
      <c r="D2949" s="62" t="s">
        <v>1849</v>
      </c>
      <c r="E2949" s="76">
        <v>44112.0</v>
      </c>
      <c r="F2949" s="77">
        <v>0.041666666666666664</v>
      </c>
      <c r="G2949" s="62" t="b">
        <v>1</v>
      </c>
      <c r="H2949" s="78" t="b">
        <f>IF(VLOOKUP(C2949,Projetos!A:L,12,false)=TRUE,TRUE,FALSE)</f>
        <v>1</v>
      </c>
      <c r="I2949" s="68">
        <v>42.72055682419432</v>
      </c>
      <c r="J2949" s="68">
        <f t="shared" si="1"/>
        <v>42.72055682</v>
      </c>
      <c r="K2949" s="68" t="b">
        <v>1</v>
      </c>
    </row>
    <row r="2950" hidden="1">
      <c r="A2950" s="75">
        <v>2944.0</v>
      </c>
      <c r="B2950" s="62" t="s">
        <v>1306</v>
      </c>
      <c r="C2950" s="62" t="s">
        <v>108</v>
      </c>
      <c r="D2950" s="62" t="s">
        <v>1849</v>
      </c>
      <c r="E2950" s="76">
        <v>44113.0</v>
      </c>
      <c r="F2950" s="77">
        <v>0.041666666666666664</v>
      </c>
      <c r="G2950" s="62" t="b">
        <v>1</v>
      </c>
      <c r="H2950" s="78" t="b">
        <f>IF(VLOOKUP(C2950,Projetos!A:L,12,false)=TRUE,TRUE,FALSE)</f>
        <v>1</v>
      </c>
      <c r="I2950" s="68">
        <v>42.72055682419432</v>
      </c>
      <c r="J2950" s="68">
        <f t="shared" si="1"/>
        <v>42.72055682</v>
      </c>
      <c r="K2950" s="68" t="b">
        <v>1</v>
      </c>
    </row>
    <row r="2951" hidden="1">
      <c r="A2951" s="75">
        <v>2945.0</v>
      </c>
      <c r="B2951" s="62" t="s">
        <v>1306</v>
      </c>
      <c r="C2951" s="62" t="s">
        <v>108</v>
      </c>
      <c r="D2951" s="62" t="s">
        <v>1858</v>
      </c>
      <c r="E2951" s="76">
        <v>44113.0</v>
      </c>
      <c r="F2951" s="77">
        <v>0.20833333333333334</v>
      </c>
      <c r="G2951" s="62" t="b">
        <v>0</v>
      </c>
      <c r="H2951" s="78" t="b">
        <f>IF(VLOOKUP(C2951,Projetos!A:L,12,false)=TRUE,TRUE,FALSE)</f>
        <v>1</v>
      </c>
      <c r="I2951" s="68">
        <v>42.72055682419432</v>
      </c>
      <c r="J2951" s="68">
        <f t="shared" si="1"/>
        <v>0</v>
      </c>
      <c r="K2951" s="68" t="b">
        <v>1</v>
      </c>
    </row>
    <row r="2952" hidden="1">
      <c r="A2952" s="75">
        <v>2946.0</v>
      </c>
      <c r="B2952" s="62" t="s">
        <v>1306</v>
      </c>
      <c r="C2952" s="62" t="s">
        <v>108</v>
      </c>
      <c r="D2952" s="62" t="s">
        <v>1859</v>
      </c>
      <c r="E2952" s="76">
        <v>44117.0</v>
      </c>
      <c r="F2952" s="77">
        <v>0.07291666666666667</v>
      </c>
      <c r="G2952" s="62" t="b">
        <v>0</v>
      </c>
      <c r="H2952" s="78" t="b">
        <f>IF(VLOOKUP(C2952,Projetos!A:L,12,false)=TRUE,TRUE,FALSE)</f>
        <v>1</v>
      </c>
      <c r="I2952" s="68">
        <v>42.72055682419432</v>
      </c>
      <c r="J2952" s="68">
        <f t="shared" si="1"/>
        <v>0</v>
      </c>
      <c r="K2952" s="68" t="b">
        <v>1</v>
      </c>
    </row>
    <row r="2953" hidden="1">
      <c r="A2953" s="75">
        <v>2947.0</v>
      </c>
      <c r="B2953" s="62" t="s">
        <v>1306</v>
      </c>
      <c r="C2953" s="62" t="s">
        <v>108</v>
      </c>
      <c r="D2953" s="62" t="s">
        <v>1849</v>
      </c>
      <c r="E2953" s="76">
        <v>44118.0</v>
      </c>
      <c r="F2953" s="77">
        <v>0.052083333333333336</v>
      </c>
      <c r="G2953" s="62" t="b">
        <v>1</v>
      </c>
      <c r="H2953" s="78" t="b">
        <f>IF(VLOOKUP(C2953,Projetos!A:L,12,false)=TRUE,TRUE,FALSE)</f>
        <v>1</v>
      </c>
      <c r="I2953" s="68">
        <v>42.72055682419432</v>
      </c>
      <c r="J2953" s="68">
        <f t="shared" si="1"/>
        <v>53.40069603</v>
      </c>
      <c r="K2953" s="68" t="b">
        <v>1</v>
      </c>
    </row>
    <row r="2954" hidden="1">
      <c r="A2954" s="75">
        <v>2948.0</v>
      </c>
      <c r="B2954" s="62" t="s">
        <v>1306</v>
      </c>
      <c r="C2954" s="62" t="s">
        <v>108</v>
      </c>
      <c r="D2954" s="62" t="s">
        <v>1849</v>
      </c>
      <c r="E2954" s="76">
        <v>44118.0</v>
      </c>
      <c r="F2954" s="77">
        <v>0.08333333333333333</v>
      </c>
      <c r="G2954" s="62" t="b">
        <v>1</v>
      </c>
      <c r="H2954" s="78" t="b">
        <f>IF(VLOOKUP(C2954,Projetos!A:L,12,false)=TRUE,TRUE,FALSE)</f>
        <v>1</v>
      </c>
      <c r="I2954" s="68">
        <v>42.72055682419432</v>
      </c>
      <c r="J2954" s="68">
        <f t="shared" si="1"/>
        <v>85.44111365</v>
      </c>
      <c r="K2954" s="68" t="b">
        <v>1</v>
      </c>
    </row>
    <row r="2955" hidden="1">
      <c r="A2955" s="75">
        <v>2949.0</v>
      </c>
      <c r="B2955" s="62" t="s">
        <v>1306</v>
      </c>
      <c r="C2955" s="62" t="s">
        <v>108</v>
      </c>
      <c r="D2955" s="62" t="s">
        <v>1849</v>
      </c>
      <c r="E2955" s="76">
        <v>44118.0</v>
      </c>
      <c r="F2955" s="77">
        <v>0.07291666666666667</v>
      </c>
      <c r="G2955" s="62" t="b">
        <v>1</v>
      </c>
      <c r="H2955" s="78" t="b">
        <f>IF(VLOOKUP(C2955,Projetos!A:L,12,false)=TRUE,TRUE,FALSE)</f>
        <v>1</v>
      </c>
      <c r="I2955" s="68">
        <v>42.72055682419432</v>
      </c>
      <c r="J2955" s="68">
        <f t="shared" si="1"/>
        <v>74.76097444</v>
      </c>
      <c r="K2955" s="68" t="b">
        <v>1</v>
      </c>
    </row>
    <row r="2956" hidden="1">
      <c r="A2956" s="75">
        <v>2950.0</v>
      </c>
      <c r="B2956" s="62" t="s">
        <v>1306</v>
      </c>
      <c r="C2956" s="62" t="s">
        <v>108</v>
      </c>
      <c r="D2956" s="62" t="s">
        <v>1860</v>
      </c>
      <c r="E2956" s="76">
        <v>44119.0</v>
      </c>
      <c r="F2956" s="77">
        <v>0.1875</v>
      </c>
      <c r="G2956" s="62" t="b">
        <v>1</v>
      </c>
      <c r="H2956" s="78" t="b">
        <f>IF(VLOOKUP(C2956,Projetos!A:L,12,false)=TRUE,TRUE,FALSE)</f>
        <v>1</v>
      </c>
      <c r="I2956" s="68">
        <v>42.72055682419432</v>
      </c>
      <c r="J2956" s="68">
        <f t="shared" si="1"/>
        <v>192.2425057</v>
      </c>
      <c r="K2956" s="68" t="b">
        <v>1</v>
      </c>
    </row>
    <row r="2957" hidden="1">
      <c r="A2957" s="75">
        <v>2951.0</v>
      </c>
      <c r="B2957" s="62" t="s">
        <v>1306</v>
      </c>
      <c r="C2957" s="62" t="s">
        <v>108</v>
      </c>
      <c r="D2957" s="62" t="s">
        <v>1849</v>
      </c>
      <c r="E2957" s="76">
        <v>44120.0</v>
      </c>
      <c r="F2957" s="77">
        <v>0.20833333333333334</v>
      </c>
      <c r="G2957" s="62" t="b">
        <v>1</v>
      </c>
      <c r="H2957" s="78" t="b">
        <f>IF(VLOOKUP(C2957,Projetos!A:L,12,false)=TRUE,TRUE,FALSE)</f>
        <v>1</v>
      </c>
      <c r="I2957" s="68">
        <v>42.72055682419432</v>
      </c>
      <c r="J2957" s="68">
        <f t="shared" si="1"/>
        <v>213.6027841</v>
      </c>
      <c r="K2957" s="68" t="b">
        <v>1</v>
      </c>
    </row>
    <row r="2958" hidden="1">
      <c r="A2958" s="75">
        <v>2952.0</v>
      </c>
      <c r="B2958" s="62" t="s">
        <v>1306</v>
      </c>
      <c r="C2958" s="62" t="s">
        <v>108</v>
      </c>
      <c r="D2958" s="62" t="s">
        <v>1861</v>
      </c>
      <c r="E2958" s="76">
        <v>44123.0</v>
      </c>
      <c r="F2958" s="77">
        <v>0.03125</v>
      </c>
      <c r="G2958" s="62" t="b">
        <v>1</v>
      </c>
      <c r="H2958" s="78" t="b">
        <f>IF(VLOOKUP(C2958,Projetos!A:L,12,false)=TRUE,TRUE,FALSE)</f>
        <v>1</v>
      </c>
      <c r="I2958" s="68">
        <v>42.72055682419432</v>
      </c>
      <c r="J2958" s="68">
        <f t="shared" si="1"/>
        <v>32.04041762</v>
      </c>
      <c r="K2958" s="68" t="b">
        <v>1</v>
      </c>
    </row>
    <row r="2959" hidden="1">
      <c r="A2959" s="75">
        <v>2953.0</v>
      </c>
      <c r="B2959" s="62" t="s">
        <v>1306</v>
      </c>
      <c r="C2959" s="62" t="s">
        <v>108</v>
      </c>
      <c r="D2959" s="62" t="s">
        <v>1861</v>
      </c>
      <c r="E2959" s="76">
        <v>44123.0</v>
      </c>
      <c r="F2959" s="77">
        <v>0.10416666666666667</v>
      </c>
      <c r="G2959" s="62" t="b">
        <v>1</v>
      </c>
      <c r="H2959" s="78" t="b">
        <f>IF(VLOOKUP(C2959,Projetos!A:L,12,false)=TRUE,TRUE,FALSE)</f>
        <v>1</v>
      </c>
      <c r="I2959" s="68">
        <v>42.72055682419432</v>
      </c>
      <c r="J2959" s="68">
        <f t="shared" si="1"/>
        <v>106.8013921</v>
      </c>
      <c r="K2959" s="68" t="b">
        <v>1</v>
      </c>
    </row>
    <row r="2960" hidden="1">
      <c r="A2960" s="75">
        <v>2954.0</v>
      </c>
      <c r="B2960" s="62" t="s">
        <v>1306</v>
      </c>
      <c r="C2960" s="62" t="s">
        <v>108</v>
      </c>
      <c r="D2960" s="62" t="s">
        <v>1862</v>
      </c>
      <c r="E2960" s="76">
        <v>44123.0</v>
      </c>
      <c r="F2960" s="77">
        <v>0.3333333333333333</v>
      </c>
      <c r="G2960" s="62" t="b">
        <v>1</v>
      </c>
      <c r="H2960" s="78" t="b">
        <f>IF(VLOOKUP(C2960,Projetos!A:L,12,false)=TRUE,TRUE,FALSE)</f>
        <v>1</v>
      </c>
      <c r="I2960" s="68">
        <v>42.72055682419432</v>
      </c>
      <c r="J2960" s="68">
        <f t="shared" si="1"/>
        <v>341.7644546</v>
      </c>
      <c r="K2960" s="68" t="b">
        <v>1</v>
      </c>
    </row>
    <row r="2961" hidden="1">
      <c r="A2961" s="75">
        <v>2955.0</v>
      </c>
      <c r="B2961" s="62" t="s">
        <v>1306</v>
      </c>
      <c r="C2961" s="62" t="s">
        <v>108</v>
      </c>
      <c r="D2961" s="62" t="s">
        <v>475</v>
      </c>
      <c r="E2961" s="76">
        <v>44124.0</v>
      </c>
      <c r="F2961" s="77">
        <v>0.4166666666666667</v>
      </c>
      <c r="G2961" s="62" t="b">
        <v>1</v>
      </c>
      <c r="H2961" s="78" t="b">
        <f>IF(VLOOKUP(C2961,Projetos!A:L,12,false)=TRUE,TRUE,FALSE)</f>
        <v>1</v>
      </c>
      <c r="I2961" s="68">
        <v>42.72055682419432</v>
      </c>
      <c r="J2961" s="68">
        <f t="shared" si="1"/>
        <v>427.2055682</v>
      </c>
      <c r="K2961" s="68" t="b">
        <v>1</v>
      </c>
    </row>
    <row r="2962" hidden="1">
      <c r="A2962" s="75">
        <v>2956.0</v>
      </c>
      <c r="B2962" s="62" t="s">
        <v>1306</v>
      </c>
      <c r="C2962" s="62" t="s">
        <v>108</v>
      </c>
      <c r="D2962" s="62" t="s">
        <v>475</v>
      </c>
      <c r="E2962" s="76">
        <v>44125.0</v>
      </c>
      <c r="F2962" s="77">
        <v>0.4166666666666667</v>
      </c>
      <c r="G2962" s="62" t="b">
        <v>1</v>
      </c>
      <c r="H2962" s="78" t="b">
        <f>IF(VLOOKUP(C2962,Projetos!A:L,12,false)=TRUE,TRUE,FALSE)</f>
        <v>1</v>
      </c>
      <c r="I2962" s="68">
        <v>42.72055682419432</v>
      </c>
      <c r="J2962" s="68">
        <f t="shared" si="1"/>
        <v>427.2055682</v>
      </c>
      <c r="K2962" s="68" t="b">
        <v>1</v>
      </c>
    </row>
    <row r="2963" hidden="1">
      <c r="A2963" s="75">
        <v>2957.0</v>
      </c>
      <c r="B2963" s="62" t="s">
        <v>1306</v>
      </c>
      <c r="C2963" s="62" t="s">
        <v>108</v>
      </c>
      <c r="D2963" s="62" t="s">
        <v>475</v>
      </c>
      <c r="E2963" s="76">
        <v>44126.0</v>
      </c>
      <c r="F2963" s="77">
        <v>0.625</v>
      </c>
      <c r="G2963" s="62" t="b">
        <v>1</v>
      </c>
      <c r="H2963" s="78" t="b">
        <f>IF(VLOOKUP(C2963,Projetos!A:L,12,false)=TRUE,TRUE,FALSE)</f>
        <v>1</v>
      </c>
      <c r="I2963" s="68">
        <v>42.72055682419432</v>
      </c>
      <c r="J2963" s="68">
        <f t="shared" si="1"/>
        <v>640.8083524</v>
      </c>
      <c r="K2963" s="68" t="b">
        <v>1</v>
      </c>
    </row>
    <row r="2964" hidden="1">
      <c r="A2964" s="75">
        <v>2958.0</v>
      </c>
      <c r="B2964" s="62" t="s">
        <v>1306</v>
      </c>
      <c r="C2964" s="62" t="s">
        <v>108</v>
      </c>
      <c r="D2964" s="62" t="s">
        <v>1863</v>
      </c>
      <c r="E2964" s="76">
        <v>44127.0</v>
      </c>
      <c r="F2964" s="77">
        <v>0.08333333333333333</v>
      </c>
      <c r="G2964" s="62" t="b">
        <v>0</v>
      </c>
      <c r="H2964" s="78" t="b">
        <f>IF(VLOOKUP(C2964,Projetos!A:L,12,false)=TRUE,TRUE,FALSE)</f>
        <v>1</v>
      </c>
      <c r="I2964" s="68">
        <v>42.72055682419432</v>
      </c>
      <c r="J2964" s="68">
        <f t="shared" si="1"/>
        <v>0</v>
      </c>
      <c r="K2964" s="68" t="b">
        <v>1</v>
      </c>
    </row>
    <row r="2965" hidden="1">
      <c r="A2965" s="75">
        <v>2959.0</v>
      </c>
      <c r="B2965" s="62" t="s">
        <v>1306</v>
      </c>
      <c r="C2965" s="62" t="s">
        <v>108</v>
      </c>
      <c r="D2965" s="62" t="s">
        <v>1864</v>
      </c>
      <c r="E2965" s="76">
        <v>44127.0</v>
      </c>
      <c r="F2965" s="77">
        <v>0.14583333333333334</v>
      </c>
      <c r="G2965" s="62" t="b">
        <v>1</v>
      </c>
      <c r="H2965" s="78" t="b">
        <f>IF(VLOOKUP(C2965,Projetos!A:L,12,false)=TRUE,TRUE,FALSE)</f>
        <v>1</v>
      </c>
      <c r="I2965" s="68">
        <v>42.72055682419432</v>
      </c>
      <c r="J2965" s="68">
        <f t="shared" si="1"/>
        <v>149.5219489</v>
      </c>
      <c r="K2965" s="68" t="b">
        <v>1</v>
      </c>
    </row>
    <row r="2966" hidden="1">
      <c r="A2966" s="75">
        <v>2960.0</v>
      </c>
      <c r="B2966" s="62" t="s">
        <v>1306</v>
      </c>
      <c r="C2966" s="62" t="s">
        <v>108</v>
      </c>
      <c r="D2966" s="62" t="s">
        <v>1865</v>
      </c>
      <c r="E2966" s="76">
        <v>44130.0</v>
      </c>
      <c r="F2966" s="77">
        <v>0.041666666666666664</v>
      </c>
      <c r="G2966" s="62" t="b">
        <v>0</v>
      </c>
      <c r="H2966" s="78" t="b">
        <f>IF(VLOOKUP(C2966,Projetos!A:L,12,false)=TRUE,TRUE,FALSE)</f>
        <v>1</v>
      </c>
      <c r="I2966" s="68">
        <v>42.72055682419432</v>
      </c>
      <c r="J2966" s="68">
        <f t="shared" si="1"/>
        <v>0</v>
      </c>
      <c r="K2966" s="68" t="b">
        <v>1</v>
      </c>
    </row>
    <row r="2967" hidden="1">
      <c r="A2967" s="75">
        <v>2961.0</v>
      </c>
      <c r="B2967" s="62" t="s">
        <v>1306</v>
      </c>
      <c r="C2967" s="62" t="s">
        <v>108</v>
      </c>
      <c r="D2967" s="62" t="s">
        <v>1866</v>
      </c>
      <c r="E2967" s="76">
        <v>44130.0</v>
      </c>
      <c r="F2967" s="77">
        <v>0.16666666666666666</v>
      </c>
      <c r="G2967" s="62" t="b">
        <v>0</v>
      </c>
      <c r="H2967" s="78" t="b">
        <f>IF(VLOOKUP(C2967,Projetos!A:L,12,false)=TRUE,TRUE,FALSE)</f>
        <v>1</v>
      </c>
      <c r="I2967" s="68">
        <v>42.72055682419432</v>
      </c>
      <c r="J2967" s="68">
        <f t="shared" si="1"/>
        <v>0</v>
      </c>
      <c r="K2967" s="68" t="b">
        <v>1</v>
      </c>
    </row>
    <row r="2968" hidden="1">
      <c r="A2968" s="75">
        <v>2962.0</v>
      </c>
      <c r="B2968" s="62" t="s">
        <v>1306</v>
      </c>
      <c r="C2968" s="62" t="s">
        <v>108</v>
      </c>
      <c r="D2968" s="62" t="s">
        <v>1867</v>
      </c>
      <c r="E2968" s="76">
        <v>44131.0</v>
      </c>
      <c r="F2968" s="77">
        <v>0.21875</v>
      </c>
      <c r="G2968" s="62" t="b">
        <v>0</v>
      </c>
      <c r="H2968" s="78" t="b">
        <f>IF(VLOOKUP(C2968,Projetos!A:L,12,false)=TRUE,TRUE,FALSE)</f>
        <v>1</v>
      </c>
      <c r="I2968" s="68">
        <v>42.72055682419432</v>
      </c>
      <c r="J2968" s="68">
        <f t="shared" si="1"/>
        <v>0</v>
      </c>
      <c r="K2968" s="68" t="b">
        <v>1</v>
      </c>
    </row>
    <row r="2969" hidden="1">
      <c r="A2969" s="75">
        <v>2963.0</v>
      </c>
      <c r="B2969" s="62" t="s">
        <v>1306</v>
      </c>
      <c r="C2969" s="62" t="s">
        <v>108</v>
      </c>
      <c r="D2969" s="62" t="s">
        <v>1866</v>
      </c>
      <c r="E2969" s="76">
        <v>44131.0</v>
      </c>
      <c r="F2969" s="77">
        <v>0.14583333333333334</v>
      </c>
      <c r="G2969" s="62" t="b">
        <v>0</v>
      </c>
      <c r="H2969" s="78" t="b">
        <f>IF(VLOOKUP(C2969,Projetos!A:L,12,false)=TRUE,TRUE,FALSE)</f>
        <v>1</v>
      </c>
      <c r="I2969" s="68">
        <v>42.72055682419432</v>
      </c>
      <c r="J2969" s="68">
        <f t="shared" si="1"/>
        <v>0</v>
      </c>
      <c r="K2969" s="68" t="b">
        <v>1</v>
      </c>
    </row>
    <row r="2970" hidden="1">
      <c r="A2970" s="75">
        <v>2964.0</v>
      </c>
      <c r="B2970" s="62" t="s">
        <v>1306</v>
      </c>
      <c r="C2970" s="62" t="s">
        <v>108</v>
      </c>
      <c r="D2970" s="62" t="s">
        <v>1868</v>
      </c>
      <c r="E2970" s="76">
        <v>44132.0</v>
      </c>
      <c r="F2970" s="77">
        <v>0.20833333333333334</v>
      </c>
      <c r="G2970" s="62" t="b">
        <v>1</v>
      </c>
      <c r="H2970" s="78" t="b">
        <f>IF(VLOOKUP(C2970,Projetos!A:L,12,false)=TRUE,TRUE,FALSE)</f>
        <v>1</v>
      </c>
      <c r="I2970" s="68">
        <v>42.72055682419432</v>
      </c>
      <c r="J2970" s="68">
        <f t="shared" si="1"/>
        <v>213.6027841</v>
      </c>
      <c r="K2970" s="68" t="b">
        <v>1</v>
      </c>
    </row>
    <row r="2971" hidden="1">
      <c r="A2971" s="75">
        <v>2965.0</v>
      </c>
      <c r="B2971" s="62" t="s">
        <v>1306</v>
      </c>
      <c r="C2971" s="62" t="s">
        <v>108</v>
      </c>
      <c r="D2971" s="62" t="s">
        <v>1869</v>
      </c>
      <c r="E2971" s="76">
        <v>44133.0</v>
      </c>
      <c r="F2971" s="77">
        <v>0.052083333333333336</v>
      </c>
      <c r="G2971" s="62" t="b">
        <v>0</v>
      </c>
      <c r="H2971" s="78" t="b">
        <f>IF(VLOOKUP(C2971,Projetos!A:L,12,false)=TRUE,TRUE,FALSE)</f>
        <v>1</v>
      </c>
      <c r="I2971" s="68">
        <v>42.72055682419432</v>
      </c>
      <c r="J2971" s="68">
        <f t="shared" si="1"/>
        <v>0</v>
      </c>
      <c r="K2971" s="68" t="b">
        <v>1</v>
      </c>
    </row>
    <row r="2972" hidden="1">
      <c r="A2972" s="75">
        <v>2966.0</v>
      </c>
      <c r="B2972" s="62" t="s">
        <v>1306</v>
      </c>
      <c r="C2972" s="62" t="s">
        <v>108</v>
      </c>
      <c r="D2972" s="62" t="s">
        <v>1870</v>
      </c>
      <c r="E2972" s="76">
        <v>44133.0</v>
      </c>
      <c r="F2972" s="77">
        <v>0.041666666666666664</v>
      </c>
      <c r="G2972" s="62" t="b">
        <v>0</v>
      </c>
      <c r="H2972" s="78" t="b">
        <f>IF(VLOOKUP(C2972,Projetos!A:L,12,false)=TRUE,TRUE,FALSE)</f>
        <v>1</v>
      </c>
      <c r="I2972" s="68">
        <v>42.72055682419432</v>
      </c>
      <c r="J2972" s="68">
        <f t="shared" si="1"/>
        <v>0</v>
      </c>
      <c r="K2972" s="68" t="b">
        <v>1</v>
      </c>
    </row>
    <row r="2973" hidden="1">
      <c r="A2973" s="75">
        <v>2967.0</v>
      </c>
      <c r="B2973" s="62" t="s">
        <v>1306</v>
      </c>
      <c r="C2973" s="62" t="s">
        <v>108</v>
      </c>
      <c r="D2973" s="62" t="s">
        <v>1871</v>
      </c>
      <c r="E2973" s="76">
        <v>44134.0</v>
      </c>
      <c r="F2973" s="77">
        <v>0.0625</v>
      </c>
      <c r="G2973" s="62" t="b">
        <v>0</v>
      </c>
      <c r="H2973" s="78" t="b">
        <f>IF(VLOOKUP(C2973,Projetos!A:L,12,false)=TRUE,TRUE,FALSE)</f>
        <v>1</v>
      </c>
      <c r="I2973" s="68">
        <v>42.72055682419432</v>
      </c>
      <c r="J2973" s="68">
        <f t="shared" si="1"/>
        <v>0</v>
      </c>
      <c r="K2973" s="68" t="b">
        <v>1</v>
      </c>
    </row>
    <row r="2974" hidden="1">
      <c r="A2974" s="75">
        <v>2968.0</v>
      </c>
      <c r="B2974" s="62" t="s">
        <v>1306</v>
      </c>
      <c r="C2974" s="62" t="s">
        <v>108</v>
      </c>
      <c r="D2974" s="62" t="s">
        <v>1868</v>
      </c>
      <c r="E2974" s="76">
        <v>44134.0</v>
      </c>
      <c r="F2974" s="77">
        <v>0.125</v>
      </c>
      <c r="G2974" s="62" t="b">
        <v>0</v>
      </c>
      <c r="H2974" s="78" t="b">
        <f>IF(VLOOKUP(C2974,Projetos!A:L,12,false)=TRUE,TRUE,FALSE)</f>
        <v>1</v>
      </c>
      <c r="I2974" s="68">
        <v>42.72055682419432</v>
      </c>
      <c r="J2974" s="68">
        <f t="shared" si="1"/>
        <v>0</v>
      </c>
      <c r="K2974" s="68" t="b">
        <v>1</v>
      </c>
    </row>
    <row r="2975" hidden="1">
      <c r="A2975" s="75">
        <v>2969.0</v>
      </c>
      <c r="B2975" s="62" t="s">
        <v>1306</v>
      </c>
      <c r="C2975" s="62" t="s">
        <v>109</v>
      </c>
      <c r="D2975" s="62" t="s">
        <v>1872</v>
      </c>
      <c r="E2975" s="76">
        <v>44109.0</v>
      </c>
      <c r="F2975" s="77">
        <v>0.020833333333333332</v>
      </c>
      <c r="G2975" s="62" t="b">
        <v>0</v>
      </c>
      <c r="H2975" s="78" t="b">
        <f>IF(VLOOKUP(C2975,Projetos!A:L,12,false)=TRUE,TRUE,FALSE)</f>
        <v>0</v>
      </c>
      <c r="I2975" s="68">
        <v>42.72055682419432</v>
      </c>
      <c r="J2975" s="68">
        <f t="shared" si="1"/>
        <v>0</v>
      </c>
      <c r="K2975" s="68" t="b">
        <v>0</v>
      </c>
    </row>
    <row r="2976" hidden="1">
      <c r="A2976" s="75">
        <v>2970.0</v>
      </c>
      <c r="B2976" s="62" t="s">
        <v>1306</v>
      </c>
      <c r="C2976" s="62" t="s">
        <v>109</v>
      </c>
      <c r="D2976" s="62" t="s">
        <v>1873</v>
      </c>
      <c r="E2976" s="76">
        <v>44109.0</v>
      </c>
      <c r="F2976" s="77">
        <v>0.020833333333333332</v>
      </c>
      <c r="G2976" s="62" t="b">
        <v>0</v>
      </c>
      <c r="H2976" s="78" t="b">
        <f>IF(VLOOKUP(C2976,Projetos!A:L,12,false)=TRUE,TRUE,FALSE)</f>
        <v>0</v>
      </c>
      <c r="I2976" s="68">
        <v>42.72055682419432</v>
      </c>
      <c r="J2976" s="68">
        <f t="shared" si="1"/>
        <v>0</v>
      </c>
      <c r="K2976" s="68" t="b">
        <v>0</v>
      </c>
    </row>
    <row r="2977" hidden="1">
      <c r="A2977" s="75">
        <v>2971.0</v>
      </c>
      <c r="B2977" s="62" t="s">
        <v>1306</v>
      </c>
      <c r="C2977" s="62" t="s">
        <v>109</v>
      </c>
      <c r="D2977" s="62" t="s">
        <v>1874</v>
      </c>
      <c r="E2977" s="76">
        <v>44117.0</v>
      </c>
      <c r="F2977" s="77">
        <v>0.041666666666666664</v>
      </c>
      <c r="G2977" s="62" t="b">
        <v>0</v>
      </c>
      <c r="H2977" s="78" t="b">
        <f>IF(VLOOKUP(C2977,Projetos!A:L,12,false)=TRUE,TRUE,FALSE)</f>
        <v>0</v>
      </c>
      <c r="I2977" s="68">
        <v>42.72055682419432</v>
      </c>
      <c r="J2977" s="68">
        <f t="shared" si="1"/>
        <v>0</v>
      </c>
      <c r="K2977" s="68" t="b">
        <v>0</v>
      </c>
    </row>
    <row r="2978">
      <c r="A2978" s="75">
        <v>2972.0</v>
      </c>
      <c r="B2978" s="62" t="s">
        <v>1306</v>
      </c>
      <c r="C2978" s="62" t="s">
        <v>110</v>
      </c>
      <c r="D2978" s="62" t="s">
        <v>1875</v>
      </c>
      <c r="E2978" s="76">
        <v>44109.0</v>
      </c>
      <c r="F2978" s="77">
        <v>0.041666666666666664</v>
      </c>
      <c r="G2978" s="62" t="b">
        <v>1</v>
      </c>
      <c r="H2978" s="78" t="b">
        <f>IF(VLOOKUP(C2978,Projetos!A:L,12,false)=TRUE,TRUE,FALSE)</f>
        <v>1</v>
      </c>
      <c r="I2978" s="68">
        <v>42.72055682419432</v>
      </c>
      <c r="J2978" s="68">
        <f t="shared" si="1"/>
        <v>42.72055682</v>
      </c>
      <c r="K2978" s="68" t="b">
        <v>1</v>
      </c>
    </row>
    <row r="2979">
      <c r="A2979" s="75">
        <v>2973.0</v>
      </c>
      <c r="B2979" s="62" t="s">
        <v>1306</v>
      </c>
      <c r="C2979" s="62" t="s">
        <v>110</v>
      </c>
      <c r="D2979" s="62" t="s">
        <v>1876</v>
      </c>
      <c r="E2979" s="76">
        <v>44113.0</v>
      </c>
      <c r="F2979" s="77">
        <v>0.09375</v>
      </c>
      <c r="G2979" s="62" t="b">
        <v>1</v>
      </c>
      <c r="H2979" s="78" t="b">
        <f>IF(VLOOKUP(C2979,Projetos!A:L,12,false)=TRUE,TRUE,FALSE)</f>
        <v>1</v>
      </c>
      <c r="I2979" s="68">
        <v>42.72055682419432</v>
      </c>
      <c r="J2979" s="68">
        <f t="shared" si="1"/>
        <v>96.12125285</v>
      </c>
      <c r="K2979" s="68" t="b">
        <v>1</v>
      </c>
    </row>
    <row r="2980" hidden="1">
      <c r="A2980" s="75">
        <v>2974.0</v>
      </c>
      <c r="B2980" s="62" t="s">
        <v>1306</v>
      </c>
      <c r="C2980" s="62" t="s">
        <v>111</v>
      </c>
      <c r="D2980" s="62" t="s">
        <v>1877</v>
      </c>
      <c r="E2980" s="76">
        <v>44110.0</v>
      </c>
      <c r="F2980" s="77">
        <v>0.020833333333333332</v>
      </c>
      <c r="G2980" s="62" t="b">
        <v>0</v>
      </c>
      <c r="H2980" s="78" t="b">
        <f>IF(VLOOKUP(C2980,Projetos!A:L,12,false)=TRUE,TRUE,FALSE)</f>
        <v>0</v>
      </c>
      <c r="I2980" s="68">
        <v>42.72055682419432</v>
      </c>
      <c r="J2980" s="68">
        <f t="shared" si="1"/>
        <v>0</v>
      </c>
      <c r="K2980" s="68" t="b">
        <v>0</v>
      </c>
    </row>
    <row r="2981">
      <c r="A2981" s="75">
        <v>2975.0</v>
      </c>
      <c r="B2981" s="62" t="s">
        <v>1306</v>
      </c>
      <c r="C2981" s="62" t="s">
        <v>113</v>
      </c>
      <c r="D2981" s="62" t="s">
        <v>1878</v>
      </c>
      <c r="E2981" s="76">
        <v>44127.0</v>
      </c>
      <c r="F2981" s="77">
        <v>0.020833333333333332</v>
      </c>
      <c r="G2981" s="62" t="b">
        <v>1</v>
      </c>
      <c r="H2981" s="78" t="b">
        <f>IF(VLOOKUP(C2981,Projetos!A:L,12,false)=TRUE,TRUE,FALSE)</f>
        <v>1</v>
      </c>
      <c r="I2981" s="68">
        <v>42.72055682419432</v>
      </c>
      <c r="J2981" s="68">
        <f t="shared" si="1"/>
        <v>21.36027841</v>
      </c>
      <c r="K2981" s="68" t="b">
        <v>1</v>
      </c>
    </row>
    <row r="2982">
      <c r="A2982" s="75">
        <v>2976.0</v>
      </c>
      <c r="B2982" s="62" t="s">
        <v>1306</v>
      </c>
      <c r="C2982" s="62" t="s">
        <v>113</v>
      </c>
      <c r="D2982" s="62" t="s">
        <v>1308</v>
      </c>
      <c r="E2982" s="76">
        <v>44130.0</v>
      </c>
      <c r="F2982" s="77">
        <v>0.041666666666666664</v>
      </c>
      <c r="G2982" s="62" t="b">
        <v>1</v>
      </c>
      <c r="H2982" s="78" t="b">
        <f>IF(VLOOKUP(C2982,Projetos!A:L,12,false)=TRUE,TRUE,FALSE)</f>
        <v>1</v>
      </c>
      <c r="I2982" s="68">
        <v>42.72055682419432</v>
      </c>
      <c r="J2982" s="68">
        <f t="shared" si="1"/>
        <v>42.72055682</v>
      </c>
      <c r="K2982" s="68" t="b">
        <v>1</v>
      </c>
    </row>
    <row r="2983" hidden="1">
      <c r="A2983" s="75">
        <v>2977.0</v>
      </c>
      <c r="B2983" s="62" t="s">
        <v>1306</v>
      </c>
      <c r="C2983" s="62" t="s">
        <v>108</v>
      </c>
      <c r="D2983" s="62" t="s">
        <v>1879</v>
      </c>
      <c r="E2983" s="76">
        <v>44138.0</v>
      </c>
      <c r="F2983" s="77">
        <v>0.03125</v>
      </c>
      <c r="G2983" s="62" t="b">
        <v>1</v>
      </c>
      <c r="H2983" s="78" t="b">
        <f>IF(VLOOKUP(C2983,Projetos!A:L,12,false)=TRUE,TRUE,FALSE)</f>
        <v>1</v>
      </c>
      <c r="I2983" s="68">
        <v>41.447525582529835</v>
      </c>
      <c r="J2983" s="68">
        <f t="shared" si="1"/>
        <v>31.08564419</v>
      </c>
      <c r="K2983" s="68" t="b">
        <v>1</v>
      </c>
    </row>
    <row r="2984" hidden="1">
      <c r="A2984" s="75">
        <v>2978.0</v>
      </c>
      <c r="B2984" s="62" t="s">
        <v>1306</v>
      </c>
      <c r="C2984" s="62" t="s">
        <v>108</v>
      </c>
      <c r="D2984" s="62" t="s">
        <v>1880</v>
      </c>
      <c r="E2984" s="76">
        <v>44138.0</v>
      </c>
      <c r="F2984" s="77">
        <v>0.041666666666666664</v>
      </c>
      <c r="G2984" s="62" t="b">
        <v>0</v>
      </c>
      <c r="H2984" s="78" t="b">
        <f>IF(VLOOKUP(C2984,Projetos!A:L,12,false)=TRUE,TRUE,FALSE)</f>
        <v>1</v>
      </c>
      <c r="I2984" s="68">
        <v>41.447525582529835</v>
      </c>
      <c r="J2984" s="68">
        <f t="shared" si="1"/>
        <v>0</v>
      </c>
      <c r="K2984" s="68" t="b">
        <v>1</v>
      </c>
    </row>
    <row r="2985">
      <c r="A2985" s="75">
        <v>2979.0</v>
      </c>
      <c r="B2985" s="62" t="s">
        <v>1306</v>
      </c>
      <c r="C2985" s="62" t="s">
        <v>110</v>
      </c>
      <c r="D2985" s="62" t="s">
        <v>1881</v>
      </c>
      <c r="E2985" s="76">
        <v>44138.0</v>
      </c>
      <c r="F2985" s="77">
        <v>0.020833333333333332</v>
      </c>
      <c r="G2985" s="62" t="b">
        <v>1</v>
      </c>
      <c r="H2985" s="78" t="b">
        <f>IF(VLOOKUP(C2985,Projetos!A:L,12,false)=TRUE,TRUE,FALSE)</f>
        <v>1</v>
      </c>
      <c r="I2985" s="68">
        <v>41.447525582529835</v>
      </c>
      <c r="J2985" s="68">
        <f t="shared" si="1"/>
        <v>20.72376279</v>
      </c>
      <c r="K2985" s="68" t="b">
        <v>1</v>
      </c>
    </row>
    <row r="2986">
      <c r="A2986" s="75">
        <v>2980.0</v>
      </c>
      <c r="B2986" s="62" t="s">
        <v>1306</v>
      </c>
      <c r="C2986" s="62" t="s">
        <v>110</v>
      </c>
      <c r="D2986" s="62" t="s">
        <v>1882</v>
      </c>
      <c r="E2986" s="76">
        <v>44138.0</v>
      </c>
      <c r="F2986" s="77">
        <v>0.041666666666666664</v>
      </c>
      <c r="G2986" s="62" t="b">
        <v>1</v>
      </c>
      <c r="H2986" s="78" t="b">
        <f>IF(VLOOKUP(C2986,Projetos!A:L,12,false)=TRUE,TRUE,FALSE)</f>
        <v>1</v>
      </c>
      <c r="I2986" s="68">
        <v>41.447525582529835</v>
      </c>
      <c r="J2986" s="68">
        <f t="shared" si="1"/>
        <v>41.44752558</v>
      </c>
      <c r="K2986" s="68" t="b">
        <v>1</v>
      </c>
    </row>
    <row r="2987" hidden="1">
      <c r="A2987" s="75">
        <v>2981.0</v>
      </c>
      <c r="B2987" s="62" t="s">
        <v>1306</v>
      </c>
      <c r="C2987" s="62" t="s">
        <v>108</v>
      </c>
      <c r="D2987" s="62" t="s">
        <v>1883</v>
      </c>
      <c r="E2987" s="76">
        <v>44138.0</v>
      </c>
      <c r="F2987" s="77">
        <v>0.10416666666666667</v>
      </c>
      <c r="G2987" s="62" t="b">
        <v>0</v>
      </c>
      <c r="H2987" s="78" t="b">
        <f>IF(VLOOKUP(C2987,Projetos!A:L,12,false)=TRUE,TRUE,FALSE)</f>
        <v>1</v>
      </c>
      <c r="I2987" s="68">
        <v>41.447525582529835</v>
      </c>
      <c r="J2987" s="68">
        <f t="shared" si="1"/>
        <v>0</v>
      </c>
      <c r="K2987" s="68" t="b">
        <v>1</v>
      </c>
    </row>
    <row r="2988">
      <c r="A2988" s="75">
        <v>2982.0</v>
      </c>
      <c r="B2988" s="62" t="s">
        <v>1306</v>
      </c>
      <c r="C2988" s="62" t="s">
        <v>88</v>
      </c>
      <c r="D2988" s="62" t="s">
        <v>1884</v>
      </c>
      <c r="E2988" s="76">
        <v>44138.0</v>
      </c>
      <c r="F2988" s="77">
        <v>0.125</v>
      </c>
      <c r="G2988" s="62" t="b">
        <v>1</v>
      </c>
      <c r="H2988" s="78" t="b">
        <f>IF(VLOOKUP(C2988,Projetos!A:L,12,false)=TRUE,TRUE,FALSE)</f>
        <v>1</v>
      </c>
      <c r="I2988" s="68">
        <v>41.447525582529835</v>
      </c>
      <c r="J2988" s="68">
        <f t="shared" si="1"/>
        <v>124.3425767</v>
      </c>
      <c r="K2988" s="68" t="b">
        <v>1</v>
      </c>
    </row>
    <row r="2989" hidden="1">
      <c r="A2989" s="75">
        <v>2983.0</v>
      </c>
      <c r="B2989" s="62" t="s">
        <v>1306</v>
      </c>
      <c r="C2989" s="62" t="s">
        <v>108</v>
      </c>
      <c r="D2989" s="62" t="s">
        <v>1885</v>
      </c>
      <c r="E2989" s="76">
        <v>44139.0</v>
      </c>
      <c r="F2989" s="77">
        <v>0.041666666666666664</v>
      </c>
      <c r="G2989" s="62" t="b">
        <v>0</v>
      </c>
      <c r="H2989" s="78" t="b">
        <f>IF(VLOOKUP(C2989,Projetos!A:L,12,false)=TRUE,TRUE,FALSE)</f>
        <v>1</v>
      </c>
      <c r="I2989" s="68">
        <v>41.447525582529835</v>
      </c>
      <c r="J2989" s="68">
        <f t="shared" si="1"/>
        <v>0</v>
      </c>
      <c r="K2989" s="68" t="b">
        <v>1</v>
      </c>
    </row>
    <row r="2990">
      <c r="A2990" s="75">
        <v>2984.0</v>
      </c>
      <c r="B2990" s="62" t="s">
        <v>1306</v>
      </c>
      <c r="C2990" s="62" t="s">
        <v>88</v>
      </c>
      <c r="D2990" s="62" t="s">
        <v>1886</v>
      </c>
      <c r="E2990" s="76">
        <v>44139.0</v>
      </c>
      <c r="F2990" s="77">
        <v>0.052083333333333336</v>
      </c>
      <c r="G2990" s="62" t="b">
        <v>1</v>
      </c>
      <c r="H2990" s="78" t="b">
        <f>IF(VLOOKUP(C2990,Projetos!A:L,12,false)=TRUE,TRUE,FALSE)</f>
        <v>1</v>
      </c>
      <c r="I2990" s="68">
        <v>41.447525582529835</v>
      </c>
      <c r="J2990" s="68">
        <f t="shared" si="1"/>
        <v>51.80940698</v>
      </c>
      <c r="K2990" s="68" t="b">
        <v>1</v>
      </c>
    </row>
    <row r="2991">
      <c r="A2991" s="75">
        <v>2985.0</v>
      </c>
      <c r="B2991" s="62" t="s">
        <v>1306</v>
      </c>
      <c r="C2991" s="62" t="s">
        <v>88</v>
      </c>
      <c r="D2991" s="62" t="s">
        <v>1887</v>
      </c>
      <c r="E2991" s="76">
        <v>44139.0</v>
      </c>
      <c r="F2991" s="77">
        <v>0.020833333333333332</v>
      </c>
      <c r="G2991" s="62" t="b">
        <v>1</v>
      </c>
      <c r="H2991" s="78" t="b">
        <f>IF(VLOOKUP(C2991,Projetos!A:L,12,false)=TRUE,TRUE,FALSE)</f>
        <v>1</v>
      </c>
      <c r="I2991" s="68">
        <v>41.447525582529835</v>
      </c>
      <c r="J2991" s="68">
        <f t="shared" si="1"/>
        <v>20.72376279</v>
      </c>
      <c r="K2991" s="68" t="b">
        <v>1</v>
      </c>
    </row>
    <row r="2992">
      <c r="A2992" s="75">
        <v>2986.0</v>
      </c>
      <c r="B2992" s="62" t="s">
        <v>1306</v>
      </c>
      <c r="C2992" s="62" t="s">
        <v>110</v>
      </c>
      <c r="D2992" s="62" t="s">
        <v>1888</v>
      </c>
      <c r="E2992" s="76">
        <v>44139.0</v>
      </c>
      <c r="F2992" s="77">
        <v>0.0625</v>
      </c>
      <c r="G2992" s="62" t="b">
        <v>1</v>
      </c>
      <c r="H2992" s="78" t="b">
        <f>IF(VLOOKUP(C2992,Projetos!A:L,12,false)=TRUE,TRUE,FALSE)</f>
        <v>1</v>
      </c>
      <c r="I2992" s="68">
        <v>41.447525582529835</v>
      </c>
      <c r="J2992" s="68">
        <f t="shared" si="1"/>
        <v>62.17128837</v>
      </c>
      <c r="K2992" s="68" t="b">
        <v>1</v>
      </c>
    </row>
    <row r="2993" hidden="1">
      <c r="A2993" s="75">
        <v>2987.0</v>
      </c>
      <c r="B2993" s="62" t="s">
        <v>1306</v>
      </c>
      <c r="C2993" s="62" t="s">
        <v>108</v>
      </c>
      <c r="D2993" s="62" t="s">
        <v>1889</v>
      </c>
      <c r="E2993" s="76">
        <v>44139.0</v>
      </c>
      <c r="F2993" s="77">
        <v>0.020833333333333332</v>
      </c>
      <c r="G2993" s="62" t="b">
        <v>0</v>
      </c>
      <c r="H2993" s="78" t="b">
        <f>IF(VLOOKUP(C2993,Projetos!A:L,12,false)=TRUE,TRUE,FALSE)</f>
        <v>1</v>
      </c>
      <c r="I2993" s="68">
        <v>41.447525582529835</v>
      </c>
      <c r="J2993" s="68">
        <f t="shared" si="1"/>
        <v>0</v>
      </c>
      <c r="K2993" s="68" t="b">
        <v>1</v>
      </c>
    </row>
    <row r="2994">
      <c r="A2994" s="75">
        <v>2988.0</v>
      </c>
      <c r="B2994" s="62" t="s">
        <v>1306</v>
      </c>
      <c r="C2994" s="62" t="s">
        <v>90</v>
      </c>
      <c r="D2994" s="62" t="s">
        <v>1890</v>
      </c>
      <c r="E2994" s="76">
        <v>44139.0</v>
      </c>
      <c r="F2994" s="77">
        <v>0.041666666666666664</v>
      </c>
      <c r="G2994" s="62" t="b">
        <v>1</v>
      </c>
      <c r="H2994" s="78" t="b">
        <f>IF(VLOOKUP(C2994,Projetos!A:L,12,false)=TRUE,TRUE,FALSE)</f>
        <v>1</v>
      </c>
      <c r="I2994" s="68">
        <v>41.447525582529835</v>
      </c>
      <c r="J2994" s="68">
        <f t="shared" si="1"/>
        <v>41.44752558</v>
      </c>
      <c r="K2994" s="68" t="b">
        <v>1</v>
      </c>
    </row>
    <row r="2995" hidden="1">
      <c r="A2995" s="75">
        <v>2989.0</v>
      </c>
      <c r="B2995" s="62" t="s">
        <v>1306</v>
      </c>
      <c r="C2995" s="62" t="s">
        <v>108</v>
      </c>
      <c r="D2995" s="62" t="s">
        <v>1891</v>
      </c>
      <c r="E2995" s="76">
        <v>44139.0</v>
      </c>
      <c r="F2995" s="77">
        <v>0.08333333333333333</v>
      </c>
      <c r="G2995" s="62" t="b">
        <v>0</v>
      </c>
      <c r="H2995" s="78" t="b">
        <f>IF(VLOOKUP(C2995,Projetos!A:L,12,false)=TRUE,TRUE,FALSE)</f>
        <v>1</v>
      </c>
      <c r="I2995" s="68">
        <v>41.447525582529835</v>
      </c>
      <c r="J2995" s="68">
        <f t="shared" si="1"/>
        <v>0</v>
      </c>
      <c r="K2995" s="68" t="b">
        <v>1</v>
      </c>
    </row>
    <row r="2996">
      <c r="A2996" s="75">
        <v>2990.0</v>
      </c>
      <c r="B2996" s="62" t="s">
        <v>1306</v>
      </c>
      <c r="C2996" s="62" t="s">
        <v>90</v>
      </c>
      <c r="D2996" s="62" t="s">
        <v>1892</v>
      </c>
      <c r="E2996" s="76">
        <v>44140.0</v>
      </c>
      <c r="F2996" s="77">
        <v>0.19791666666666666</v>
      </c>
      <c r="G2996" s="62" t="b">
        <v>1</v>
      </c>
      <c r="H2996" s="78" t="b">
        <f>IF(VLOOKUP(C2996,Projetos!A:L,12,false)=TRUE,TRUE,FALSE)</f>
        <v>1</v>
      </c>
      <c r="I2996" s="68">
        <v>41.447525582529835</v>
      </c>
      <c r="J2996" s="68">
        <f t="shared" si="1"/>
        <v>196.8757465</v>
      </c>
      <c r="K2996" s="68" t="b">
        <v>1</v>
      </c>
    </row>
    <row r="2997">
      <c r="A2997" s="75">
        <v>2991.0</v>
      </c>
      <c r="B2997" s="62" t="s">
        <v>1306</v>
      </c>
      <c r="C2997" s="62" t="s">
        <v>90</v>
      </c>
      <c r="D2997" s="62" t="s">
        <v>1893</v>
      </c>
      <c r="E2997" s="76">
        <v>44140.0</v>
      </c>
      <c r="F2997" s="77">
        <v>0.041666666666666664</v>
      </c>
      <c r="G2997" s="62" t="b">
        <v>1</v>
      </c>
      <c r="H2997" s="78" t="b">
        <f>IF(VLOOKUP(C2997,Projetos!A:L,12,false)=TRUE,TRUE,FALSE)</f>
        <v>1</v>
      </c>
      <c r="I2997" s="68">
        <v>41.447525582529835</v>
      </c>
      <c r="J2997" s="68">
        <f t="shared" si="1"/>
        <v>41.44752558</v>
      </c>
      <c r="K2997" s="68" t="b">
        <v>1</v>
      </c>
    </row>
    <row r="2998">
      <c r="A2998" s="75">
        <v>2992.0</v>
      </c>
      <c r="B2998" s="62" t="s">
        <v>1306</v>
      </c>
      <c r="C2998" s="62" t="s">
        <v>88</v>
      </c>
      <c r="D2998" s="62" t="s">
        <v>1894</v>
      </c>
      <c r="E2998" s="76">
        <v>44140.0</v>
      </c>
      <c r="F2998" s="77">
        <v>0.041666666666666664</v>
      </c>
      <c r="G2998" s="62" t="b">
        <v>1</v>
      </c>
      <c r="H2998" s="78" t="b">
        <f>IF(VLOOKUP(C2998,Projetos!A:L,12,false)=TRUE,TRUE,FALSE)</f>
        <v>1</v>
      </c>
      <c r="I2998" s="68">
        <v>41.447525582529835</v>
      </c>
      <c r="J2998" s="68">
        <f t="shared" si="1"/>
        <v>41.44752558</v>
      </c>
      <c r="K2998" s="68" t="b">
        <v>1</v>
      </c>
    </row>
    <row r="2999" hidden="1">
      <c r="A2999" s="75">
        <v>2993.0</v>
      </c>
      <c r="B2999" s="62" t="s">
        <v>1306</v>
      </c>
      <c r="C2999" s="62" t="s">
        <v>108</v>
      </c>
      <c r="D2999" s="62" t="s">
        <v>1879</v>
      </c>
      <c r="E2999" s="76">
        <v>44140.0</v>
      </c>
      <c r="F2999" s="77">
        <v>0.020833333333333332</v>
      </c>
      <c r="G2999" s="62" t="b">
        <v>0</v>
      </c>
      <c r="H2999" s="78" t="b">
        <f>IF(VLOOKUP(C2999,Projetos!A:L,12,false)=TRUE,TRUE,FALSE)</f>
        <v>1</v>
      </c>
      <c r="I2999" s="68">
        <v>41.447525582529835</v>
      </c>
      <c r="J2999" s="68">
        <f t="shared" si="1"/>
        <v>0</v>
      </c>
      <c r="K2999" s="68" t="b">
        <v>1</v>
      </c>
    </row>
    <row r="3000">
      <c r="A3000" s="75">
        <v>2994.0</v>
      </c>
      <c r="B3000" s="62" t="s">
        <v>1306</v>
      </c>
      <c r="C3000" s="62" t="s">
        <v>90</v>
      </c>
      <c r="D3000" s="62" t="s">
        <v>1895</v>
      </c>
      <c r="E3000" s="76">
        <v>44140.0</v>
      </c>
      <c r="F3000" s="77">
        <v>0.0625</v>
      </c>
      <c r="G3000" s="62" t="b">
        <v>1</v>
      </c>
      <c r="H3000" s="78" t="b">
        <f>IF(VLOOKUP(C3000,Projetos!A:L,12,false)=TRUE,TRUE,FALSE)</f>
        <v>1</v>
      </c>
      <c r="I3000" s="68">
        <v>41.447525582529835</v>
      </c>
      <c r="J3000" s="68">
        <f t="shared" si="1"/>
        <v>62.17128837</v>
      </c>
      <c r="K3000" s="68" t="b">
        <v>1</v>
      </c>
    </row>
    <row r="3001" hidden="1">
      <c r="A3001" s="75">
        <v>2995.0</v>
      </c>
      <c r="B3001" s="62" t="s">
        <v>1306</v>
      </c>
      <c r="C3001" s="62" t="s">
        <v>108</v>
      </c>
      <c r="D3001" s="62" t="s">
        <v>1896</v>
      </c>
      <c r="E3001" s="76">
        <v>44141.0</v>
      </c>
      <c r="F3001" s="77">
        <v>0.15625</v>
      </c>
      <c r="G3001" s="62" t="b">
        <v>0</v>
      </c>
      <c r="H3001" s="78" t="b">
        <f>IF(VLOOKUP(C3001,Projetos!A:L,12,false)=TRUE,TRUE,FALSE)</f>
        <v>1</v>
      </c>
      <c r="I3001" s="68">
        <v>41.447525582529835</v>
      </c>
      <c r="J3001" s="68">
        <f t="shared" si="1"/>
        <v>0</v>
      </c>
      <c r="K3001" s="68" t="b">
        <v>1</v>
      </c>
    </row>
    <row r="3002">
      <c r="A3002" s="75">
        <v>2996.0</v>
      </c>
      <c r="B3002" s="62" t="s">
        <v>1306</v>
      </c>
      <c r="C3002" s="62" t="s">
        <v>100</v>
      </c>
      <c r="D3002" s="62" t="s">
        <v>1897</v>
      </c>
      <c r="E3002" s="76">
        <v>44141.0</v>
      </c>
      <c r="F3002" s="77">
        <v>0.20833333333333334</v>
      </c>
      <c r="G3002" s="62" t="b">
        <v>1</v>
      </c>
      <c r="H3002" s="78" t="b">
        <f>IF(VLOOKUP(C3002,Projetos!A:L,12,false)=TRUE,TRUE,FALSE)</f>
        <v>1</v>
      </c>
      <c r="I3002" s="68">
        <v>41.447525582529835</v>
      </c>
      <c r="J3002" s="68">
        <f t="shared" si="1"/>
        <v>207.2376279</v>
      </c>
      <c r="K3002" s="68" t="b">
        <v>1</v>
      </c>
    </row>
    <row r="3003">
      <c r="A3003" s="75">
        <v>2997.0</v>
      </c>
      <c r="B3003" s="62" t="s">
        <v>1306</v>
      </c>
      <c r="C3003" s="62" t="s">
        <v>100</v>
      </c>
      <c r="D3003" s="62" t="s">
        <v>1898</v>
      </c>
      <c r="E3003" s="76">
        <v>44144.0</v>
      </c>
      <c r="F3003" s="77">
        <v>0.09375</v>
      </c>
      <c r="G3003" s="62" t="b">
        <v>1</v>
      </c>
      <c r="H3003" s="78" t="b">
        <f>IF(VLOOKUP(C3003,Projetos!A:L,12,false)=TRUE,TRUE,FALSE)</f>
        <v>1</v>
      </c>
      <c r="I3003" s="68">
        <v>41.447525582529835</v>
      </c>
      <c r="J3003" s="68">
        <f t="shared" si="1"/>
        <v>93.25693256</v>
      </c>
      <c r="K3003" s="68" t="b">
        <v>1</v>
      </c>
    </row>
    <row r="3004">
      <c r="A3004" s="75">
        <v>2998.0</v>
      </c>
      <c r="B3004" s="62" t="s">
        <v>1306</v>
      </c>
      <c r="C3004" s="62" t="s">
        <v>138</v>
      </c>
      <c r="D3004" s="62" t="s">
        <v>1899</v>
      </c>
      <c r="E3004" s="76">
        <v>44144.0</v>
      </c>
      <c r="F3004" s="77">
        <v>0.041666666666666664</v>
      </c>
      <c r="G3004" s="62" t="b">
        <v>1</v>
      </c>
      <c r="H3004" s="78" t="b">
        <f>IF(VLOOKUP(C3004,Projetos!A:L,12,false)=TRUE,TRUE,FALSE)</f>
        <v>1</v>
      </c>
      <c r="I3004" s="68">
        <v>41.447525582529835</v>
      </c>
      <c r="J3004" s="68">
        <f t="shared" si="1"/>
        <v>41.44752558</v>
      </c>
      <c r="K3004" s="68" t="b">
        <v>1</v>
      </c>
    </row>
    <row r="3005">
      <c r="A3005" s="75">
        <v>2999.0</v>
      </c>
      <c r="B3005" s="62" t="s">
        <v>1306</v>
      </c>
      <c r="C3005" s="62" t="s">
        <v>88</v>
      </c>
      <c r="D3005" s="62" t="s">
        <v>1900</v>
      </c>
      <c r="E3005" s="76">
        <v>44144.0</v>
      </c>
      <c r="F3005" s="77">
        <v>0.020833333333333332</v>
      </c>
      <c r="G3005" s="62" t="b">
        <v>1</v>
      </c>
      <c r="H3005" s="78" t="b">
        <f>IF(VLOOKUP(C3005,Projetos!A:L,12,false)=TRUE,TRUE,FALSE)</f>
        <v>1</v>
      </c>
      <c r="I3005" s="68">
        <v>41.447525582529835</v>
      </c>
      <c r="J3005" s="68">
        <f t="shared" si="1"/>
        <v>20.72376279</v>
      </c>
      <c r="K3005" s="68" t="b">
        <v>1</v>
      </c>
    </row>
    <row r="3006">
      <c r="A3006" s="75">
        <v>3000.0</v>
      </c>
      <c r="B3006" s="62" t="s">
        <v>1306</v>
      </c>
      <c r="C3006" s="62" t="s">
        <v>90</v>
      </c>
      <c r="D3006" s="62" t="s">
        <v>1901</v>
      </c>
      <c r="E3006" s="76">
        <v>44144.0</v>
      </c>
      <c r="F3006" s="77">
        <v>0.08333333333333333</v>
      </c>
      <c r="G3006" s="62" t="b">
        <v>1</v>
      </c>
      <c r="H3006" s="78" t="b">
        <f>IF(VLOOKUP(C3006,Projetos!A:L,12,false)=TRUE,TRUE,FALSE)</f>
        <v>1</v>
      </c>
      <c r="I3006" s="68">
        <v>41.447525582529835</v>
      </c>
      <c r="J3006" s="68">
        <f t="shared" si="1"/>
        <v>82.89505117</v>
      </c>
      <c r="K3006" s="68" t="b">
        <v>1</v>
      </c>
    </row>
    <row r="3007" hidden="1">
      <c r="A3007" s="75">
        <v>3001.0</v>
      </c>
      <c r="B3007" s="62" t="s">
        <v>1306</v>
      </c>
      <c r="C3007" s="62" t="s">
        <v>109</v>
      </c>
      <c r="D3007" s="62" t="s">
        <v>1902</v>
      </c>
      <c r="E3007" s="76">
        <v>44144.0</v>
      </c>
      <c r="F3007" s="77">
        <v>0.041666666666666664</v>
      </c>
      <c r="G3007" s="62" t="b">
        <v>0</v>
      </c>
      <c r="H3007" s="78" t="b">
        <f>IF(VLOOKUP(C3007,Projetos!A:L,12,false)=TRUE,TRUE,FALSE)</f>
        <v>0</v>
      </c>
      <c r="I3007" s="68">
        <v>41.447525582529835</v>
      </c>
      <c r="J3007" s="68">
        <f t="shared" si="1"/>
        <v>0</v>
      </c>
      <c r="K3007" s="68" t="b">
        <v>0</v>
      </c>
    </row>
    <row r="3008">
      <c r="A3008" s="75">
        <v>3002.0</v>
      </c>
      <c r="B3008" s="62" t="s">
        <v>1306</v>
      </c>
      <c r="C3008" s="62" t="s">
        <v>110</v>
      </c>
      <c r="D3008" s="62" t="s">
        <v>1903</v>
      </c>
      <c r="E3008" s="76">
        <v>44144.0</v>
      </c>
      <c r="F3008" s="77">
        <v>0.041666666666666664</v>
      </c>
      <c r="G3008" s="62" t="b">
        <v>1</v>
      </c>
      <c r="H3008" s="78" t="b">
        <f>IF(VLOOKUP(C3008,Projetos!A:L,12,false)=TRUE,TRUE,FALSE)</f>
        <v>1</v>
      </c>
      <c r="I3008" s="68">
        <v>41.447525582529835</v>
      </c>
      <c r="J3008" s="68">
        <f t="shared" si="1"/>
        <v>41.44752558</v>
      </c>
      <c r="K3008" s="68" t="b">
        <v>1</v>
      </c>
    </row>
    <row r="3009" hidden="1">
      <c r="A3009" s="75">
        <v>3003.0</v>
      </c>
      <c r="B3009" s="62" t="s">
        <v>1306</v>
      </c>
      <c r="C3009" s="62" t="s">
        <v>108</v>
      </c>
      <c r="D3009" s="62" t="s">
        <v>1904</v>
      </c>
      <c r="E3009" s="76">
        <v>44145.0</v>
      </c>
      <c r="F3009" s="77">
        <v>0.07291666666666667</v>
      </c>
      <c r="G3009" s="62" t="b">
        <v>0</v>
      </c>
      <c r="H3009" s="78" t="b">
        <f>IF(VLOOKUP(C3009,Projetos!A:L,12,false)=TRUE,TRUE,FALSE)</f>
        <v>1</v>
      </c>
      <c r="I3009" s="68">
        <v>41.447525582529835</v>
      </c>
      <c r="J3009" s="68">
        <f t="shared" si="1"/>
        <v>0</v>
      </c>
      <c r="K3009" s="68" t="b">
        <v>1</v>
      </c>
    </row>
    <row r="3010">
      <c r="A3010" s="75">
        <v>3004.0</v>
      </c>
      <c r="B3010" s="62" t="s">
        <v>1306</v>
      </c>
      <c r="C3010" s="62" t="s">
        <v>110</v>
      </c>
      <c r="D3010" s="62" t="s">
        <v>1905</v>
      </c>
      <c r="E3010" s="76">
        <v>44145.0</v>
      </c>
      <c r="F3010" s="77">
        <v>0.0625</v>
      </c>
      <c r="G3010" s="62" t="b">
        <v>1</v>
      </c>
      <c r="H3010" s="78" t="b">
        <f>IF(VLOOKUP(C3010,Projetos!A:L,12,false)=TRUE,TRUE,FALSE)</f>
        <v>1</v>
      </c>
      <c r="I3010" s="68">
        <v>41.447525582529835</v>
      </c>
      <c r="J3010" s="68">
        <f t="shared" si="1"/>
        <v>62.17128837</v>
      </c>
      <c r="K3010" s="68" t="b">
        <v>1</v>
      </c>
    </row>
    <row r="3011" hidden="1">
      <c r="A3011" s="75">
        <v>3005.0</v>
      </c>
      <c r="B3011" s="62" t="s">
        <v>1306</v>
      </c>
      <c r="C3011" s="62" t="s">
        <v>108</v>
      </c>
      <c r="D3011" s="62" t="s">
        <v>1446</v>
      </c>
      <c r="E3011" s="76">
        <v>44145.0</v>
      </c>
      <c r="F3011" s="77">
        <v>0.0625</v>
      </c>
      <c r="G3011" s="62" t="b">
        <v>0</v>
      </c>
      <c r="H3011" s="78" t="b">
        <f>IF(VLOOKUP(C3011,Projetos!A:L,12,false)=TRUE,TRUE,FALSE)</f>
        <v>1</v>
      </c>
      <c r="I3011" s="68">
        <v>41.447525582529835</v>
      </c>
      <c r="J3011" s="68">
        <f t="shared" si="1"/>
        <v>0</v>
      </c>
      <c r="K3011" s="68" t="b">
        <v>1</v>
      </c>
    </row>
    <row r="3012">
      <c r="A3012" s="75">
        <v>3006.0</v>
      </c>
      <c r="B3012" s="62" t="s">
        <v>1306</v>
      </c>
      <c r="C3012" s="62" t="s">
        <v>90</v>
      </c>
      <c r="D3012" s="62" t="s">
        <v>1906</v>
      </c>
      <c r="E3012" s="76">
        <v>44145.0</v>
      </c>
      <c r="F3012" s="77">
        <v>0.16666666666666666</v>
      </c>
      <c r="G3012" s="62" t="b">
        <v>1</v>
      </c>
      <c r="H3012" s="78" t="b">
        <f>IF(VLOOKUP(C3012,Projetos!A:L,12,false)=TRUE,TRUE,FALSE)</f>
        <v>1</v>
      </c>
      <c r="I3012" s="68">
        <v>41.447525582529835</v>
      </c>
      <c r="J3012" s="68">
        <f t="shared" si="1"/>
        <v>165.7901023</v>
      </c>
      <c r="K3012" s="68" t="b">
        <v>1</v>
      </c>
    </row>
    <row r="3013">
      <c r="A3013" s="75">
        <v>3007.0</v>
      </c>
      <c r="B3013" s="62" t="s">
        <v>1306</v>
      </c>
      <c r="C3013" s="62" t="s">
        <v>100</v>
      </c>
      <c r="D3013" s="62" t="s">
        <v>1907</v>
      </c>
      <c r="E3013" s="76">
        <v>44146.0</v>
      </c>
      <c r="F3013" s="77">
        <v>0.03125</v>
      </c>
      <c r="G3013" s="62" t="b">
        <v>1</v>
      </c>
      <c r="H3013" s="78" t="b">
        <f>IF(VLOOKUP(C3013,Projetos!A:L,12,false)=TRUE,TRUE,FALSE)</f>
        <v>1</v>
      </c>
      <c r="I3013" s="68">
        <v>41.447525582529835</v>
      </c>
      <c r="J3013" s="68">
        <f t="shared" si="1"/>
        <v>31.08564419</v>
      </c>
      <c r="K3013" s="68" t="b">
        <v>1</v>
      </c>
    </row>
    <row r="3014">
      <c r="A3014" s="75">
        <v>3008.0</v>
      </c>
      <c r="B3014" s="62" t="s">
        <v>1306</v>
      </c>
      <c r="C3014" s="62" t="s">
        <v>90</v>
      </c>
      <c r="D3014" s="62" t="s">
        <v>1908</v>
      </c>
      <c r="E3014" s="76">
        <v>44146.0</v>
      </c>
      <c r="F3014" s="77">
        <v>0.08333333333333333</v>
      </c>
      <c r="G3014" s="62" t="b">
        <v>1</v>
      </c>
      <c r="H3014" s="78" t="b">
        <f>IF(VLOOKUP(C3014,Projetos!A:L,12,false)=TRUE,TRUE,FALSE)</f>
        <v>1</v>
      </c>
      <c r="I3014" s="68">
        <v>41.447525582529835</v>
      </c>
      <c r="J3014" s="68">
        <f t="shared" si="1"/>
        <v>82.89505117</v>
      </c>
      <c r="K3014" s="68" t="b">
        <v>1</v>
      </c>
    </row>
    <row r="3015">
      <c r="A3015" s="75">
        <v>3009.0</v>
      </c>
      <c r="B3015" s="62" t="s">
        <v>1306</v>
      </c>
      <c r="C3015" s="62" t="s">
        <v>90</v>
      </c>
      <c r="D3015" s="62" t="s">
        <v>1485</v>
      </c>
      <c r="E3015" s="76">
        <v>44146.0</v>
      </c>
      <c r="F3015" s="77">
        <v>0.020833333333333332</v>
      </c>
      <c r="G3015" s="62" t="b">
        <v>1</v>
      </c>
      <c r="H3015" s="78" t="b">
        <f>IF(VLOOKUP(C3015,Projetos!A:L,12,false)=TRUE,TRUE,FALSE)</f>
        <v>1</v>
      </c>
      <c r="I3015" s="68">
        <v>41.447525582529835</v>
      </c>
      <c r="J3015" s="68">
        <f t="shared" si="1"/>
        <v>20.72376279</v>
      </c>
      <c r="K3015" s="68" t="b">
        <v>1</v>
      </c>
    </row>
    <row r="3016">
      <c r="A3016" s="75">
        <v>3010.0</v>
      </c>
      <c r="B3016" s="62" t="s">
        <v>1306</v>
      </c>
      <c r="C3016" s="62" t="s">
        <v>138</v>
      </c>
      <c r="D3016" s="62" t="s">
        <v>1909</v>
      </c>
      <c r="E3016" s="76">
        <v>44146.0</v>
      </c>
      <c r="F3016" s="77">
        <v>0.0625</v>
      </c>
      <c r="G3016" s="62" t="b">
        <v>1</v>
      </c>
      <c r="H3016" s="78" t="b">
        <f>IF(VLOOKUP(C3016,Projetos!A:L,12,false)=TRUE,TRUE,FALSE)</f>
        <v>1</v>
      </c>
      <c r="I3016" s="68">
        <v>41.447525582529835</v>
      </c>
      <c r="J3016" s="68">
        <f t="shared" si="1"/>
        <v>62.17128837</v>
      </c>
      <c r="K3016" s="68" t="b">
        <v>1</v>
      </c>
    </row>
    <row r="3017">
      <c r="A3017" s="75">
        <v>3011.0</v>
      </c>
      <c r="B3017" s="62" t="s">
        <v>1306</v>
      </c>
      <c r="C3017" s="62" t="s">
        <v>90</v>
      </c>
      <c r="D3017" s="62" t="s">
        <v>1910</v>
      </c>
      <c r="E3017" s="76">
        <v>44146.0</v>
      </c>
      <c r="F3017" s="77">
        <v>0.041666666666666664</v>
      </c>
      <c r="G3017" s="62" t="b">
        <v>1</v>
      </c>
      <c r="H3017" s="78" t="b">
        <f>IF(VLOOKUP(C3017,Projetos!A:L,12,false)=TRUE,TRUE,FALSE)</f>
        <v>1</v>
      </c>
      <c r="I3017" s="68">
        <v>41.447525582529835</v>
      </c>
      <c r="J3017" s="68">
        <f t="shared" si="1"/>
        <v>41.44752558</v>
      </c>
      <c r="K3017" s="68" t="b">
        <v>1</v>
      </c>
    </row>
    <row r="3018">
      <c r="A3018" s="75">
        <v>3012.0</v>
      </c>
      <c r="B3018" s="62" t="s">
        <v>1306</v>
      </c>
      <c r="C3018" s="62" t="s">
        <v>100</v>
      </c>
      <c r="D3018" s="62" t="s">
        <v>1911</v>
      </c>
      <c r="E3018" s="76">
        <v>44146.0</v>
      </c>
      <c r="F3018" s="77">
        <v>0.0625</v>
      </c>
      <c r="G3018" s="62" t="b">
        <v>1</v>
      </c>
      <c r="H3018" s="78" t="b">
        <f>IF(VLOOKUP(C3018,Projetos!A:L,12,false)=TRUE,TRUE,FALSE)</f>
        <v>1</v>
      </c>
      <c r="I3018" s="68">
        <v>41.447525582529835</v>
      </c>
      <c r="J3018" s="68">
        <f t="shared" si="1"/>
        <v>62.17128837</v>
      </c>
      <c r="K3018" s="68" t="b">
        <v>1</v>
      </c>
    </row>
    <row r="3019">
      <c r="A3019" s="75">
        <v>3013.0</v>
      </c>
      <c r="B3019" s="62" t="s">
        <v>1306</v>
      </c>
      <c r="C3019" s="62" t="s">
        <v>90</v>
      </c>
      <c r="D3019" s="62" t="s">
        <v>1912</v>
      </c>
      <c r="E3019" s="76">
        <v>44146.0</v>
      </c>
      <c r="F3019" s="77">
        <v>0.0625</v>
      </c>
      <c r="G3019" s="62" t="b">
        <v>1</v>
      </c>
      <c r="H3019" s="78" t="b">
        <f>IF(VLOOKUP(C3019,Projetos!A:L,12,false)=TRUE,TRUE,FALSE)</f>
        <v>1</v>
      </c>
      <c r="I3019" s="68">
        <v>41.447525582529835</v>
      </c>
      <c r="J3019" s="68">
        <f t="shared" si="1"/>
        <v>62.17128837</v>
      </c>
      <c r="K3019" s="68" t="b">
        <v>1</v>
      </c>
    </row>
    <row r="3020">
      <c r="A3020" s="75">
        <v>3014.0</v>
      </c>
      <c r="B3020" s="62" t="s">
        <v>1306</v>
      </c>
      <c r="C3020" s="62" t="s">
        <v>104</v>
      </c>
      <c r="D3020" s="62" t="s">
        <v>1913</v>
      </c>
      <c r="E3020" s="76">
        <v>44147.0</v>
      </c>
      <c r="F3020" s="77">
        <v>0.07291666666666667</v>
      </c>
      <c r="G3020" s="62" t="b">
        <v>1</v>
      </c>
      <c r="H3020" s="78" t="b">
        <f>IF(VLOOKUP(C3020,Projetos!A:L,12,false)=TRUE,TRUE,FALSE)</f>
        <v>1</v>
      </c>
      <c r="I3020" s="68">
        <v>41.447525582529835</v>
      </c>
      <c r="J3020" s="68">
        <f t="shared" si="1"/>
        <v>72.53316977</v>
      </c>
      <c r="K3020" s="68" t="b">
        <v>1</v>
      </c>
    </row>
    <row r="3021">
      <c r="A3021" s="75">
        <v>3015.0</v>
      </c>
      <c r="B3021" s="62" t="s">
        <v>1306</v>
      </c>
      <c r="C3021" s="62" t="s">
        <v>138</v>
      </c>
      <c r="D3021" s="62" t="s">
        <v>1914</v>
      </c>
      <c r="E3021" s="76">
        <v>44147.0</v>
      </c>
      <c r="F3021" s="77">
        <v>0.041666666666666664</v>
      </c>
      <c r="G3021" s="62" t="b">
        <v>1</v>
      </c>
      <c r="H3021" s="78" t="b">
        <f>IF(VLOOKUP(C3021,Projetos!A:L,12,false)=TRUE,TRUE,FALSE)</f>
        <v>1</v>
      </c>
      <c r="I3021" s="68">
        <v>41.447525582529835</v>
      </c>
      <c r="J3021" s="68">
        <f t="shared" si="1"/>
        <v>41.44752558</v>
      </c>
      <c r="K3021" s="68" t="b">
        <v>1</v>
      </c>
    </row>
    <row r="3022">
      <c r="A3022" s="75">
        <v>3016.0</v>
      </c>
      <c r="B3022" s="62" t="s">
        <v>1306</v>
      </c>
      <c r="C3022" s="62" t="s">
        <v>100</v>
      </c>
      <c r="D3022" s="62" t="s">
        <v>1915</v>
      </c>
      <c r="E3022" s="76">
        <v>44147.0</v>
      </c>
      <c r="F3022" s="77">
        <v>0.041666666666666664</v>
      </c>
      <c r="G3022" s="62" t="b">
        <v>1</v>
      </c>
      <c r="H3022" s="78" t="b">
        <f>IF(VLOOKUP(C3022,Projetos!A:L,12,false)=TRUE,TRUE,FALSE)</f>
        <v>1</v>
      </c>
      <c r="I3022" s="68">
        <v>41.447525582529835</v>
      </c>
      <c r="J3022" s="68">
        <f t="shared" si="1"/>
        <v>41.44752558</v>
      </c>
      <c r="K3022" s="68" t="b">
        <v>1</v>
      </c>
    </row>
    <row r="3023">
      <c r="A3023" s="75">
        <v>3017.0</v>
      </c>
      <c r="B3023" s="62" t="s">
        <v>1306</v>
      </c>
      <c r="C3023" s="62" t="s">
        <v>90</v>
      </c>
      <c r="D3023" s="62" t="s">
        <v>1916</v>
      </c>
      <c r="E3023" s="76">
        <v>44147.0</v>
      </c>
      <c r="F3023" s="77">
        <v>0.041666666666666664</v>
      </c>
      <c r="G3023" s="62" t="b">
        <v>1</v>
      </c>
      <c r="H3023" s="78" t="b">
        <f>IF(VLOOKUP(C3023,Projetos!A:L,12,false)=TRUE,TRUE,FALSE)</f>
        <v>1</v>
      </c>
      <c r="I3023" s="68">
        <v>41.447525582529835</v>
      </c>
      <c r="J3023" s="68">
        <f t="shared" si="1"/>
        <v>41.44752558</v>
      </c>
      <c r="K3023" s="68" t="b">
        <v>1</v>
      </c>
    </row>
    <row r="3024">
      <c r="A3024" s="75">
        <v>3018.0</v>
      </c>
      <c r="B3024" s="62" t="s">
        <v>1306</v>
      </c>
      <c r="C3024" s="62" t="s">
        <v>138</v>
      </c>
      <c r="D3024" s="62" t="s">
        <v>1917</v>
      </c>
      <c r="E3024" s="76">
        <v>44147.0</v>
      </c>
      <c r="F3024" s="77">
        <v>0.0625</v>
      </c>
      <c r="G3024" s="62" t="b">
        <v>1</v>
      </c>
      <c r="H3024" s="78" t="b">
        <f>IF(VLOOKUP(C3024,Projetos!A:L,12,false)=TRUE,TRUE,FALSE)</f>
        <v>1</v>
      </c>
      <c r="I3024" s="68">
        <v>41.447525582529835</v>
      </c>
      <c r="J3024" s="68">
        <f t="shared" si="1"/>
        <v>62.17128837</v>
      </c>
      <c r="K3024" s="68" t="b">
        <v>1</v>
      </c>
    </row>
    <row r="3025">
      <c r="A3025" s="75">
        <v>3019.0</v>
      </c>
      <c r="B3025" s="62" t="s">
        <v>1306</v>
      </c>
      <c r="C3025" s="62" t="s">
        <v>100</v>
      </c>
      <c r="D3025" s="62" t="s">
        <v>1308</v>
      </c>
      <c r="E3025" s="76">
        <v>44147.0</v>
      </c>
      <c r="F3025" s="77">
        <v>0.0625</v>
      </c>
      <c r="G3025" s="62" t="b">
        <v>1</v>
      </c>
      <c r="H3025" s="78" t="b">
        <f>IF(VLOOKUP(C3025,Projetos!A:L,12,false)=TRUE,TRUE,FALSE)</f>
        <v>1</v>
      </c>
      <c r="I3025" s="68">
        <v>41.447525582529835</v>
      </c>
      <c r="J3025" s="68">
        <f t="shared" si="1"/>
        <v>62.17128837</v>
      </c>
      <c r="K3025" s="68" t="b">
        <v>1</v>
      </c>
    </row>
    <row r="3026">
      <c r="A3026" s="75">
        <v>3020.0</v>
      </c>
      <c r="B3026" s="62" t="s">
        <v>1306</v>
      </c>
      <c r="C3026" s="62" t="s">
        <v>100</v>
      </c>
      <c r="D3026" s="62" t="s">
        <v>1308</v>
      </c>
      <c r="E3026" s="76">
        <v>44148.0</v>
      </c>
      <c r="F3026" s="77">
        <v>0.03125</v>
      </c>
      <c r="G3026" s="62" t="b">
        <v>1</v>
      </c>
      <c r="H3026" s="78" t="b">
        <f>IF(VLOOKUP(C3026,Projetos!A:L,12,false)=TRUE,TRUE,FALSE)</f>
        <v>1</v>
      </c>
      <c r="I3026" s="68">
        <v>41.447525582529835</v>
      </c>
      <c r="J3026" s="68">
        <f t="shared" si="1"/>
        <v>31.08564419</v>
      </c>
      <c r="K3026" s="68" t="b">
        <v>1</v>
      </c>
    </row>
    <row r="3027" hidden="1">
      <c r="A3027" s="75">
        <v>3021.0</v>
      </c>
      <c r="B3027" s="62" t="s">
        <v>1306</v>
      </c>
      <c r="C3027" s="62" t="s">
        <v>111</v>
      </c>
      <c r="D3027" s="62" t="s">
        <v>1918</v>
      </c>
      <c r="E3027" s="76">
        <v>44148.0</v>
      </c>
      <c r="F3027" s="77">
        <v>0.020833333333333332</v>
      </c>
      <c r="G3027" s="62" t="b">
        <v>0</v>
      </c>
      <c r="H3027" s="78" t="b">
        <f>IF(VLOOKUP(C3027,Projetos!A:L,12,false)=TRUE,TRUE,FALSE)</f>
        <v>0</v>
      </c>
      <c r="I3027" s="68">
        <v>41.447525582529835</v>
      </c>
      <c r="J3027" s="68">
        <f t="shared" si="1"/>
        <v>0</v>
      </c>
      <c r="K3027" s="68" t="b">
        <v>0</v>
      </c>
    </row>
    <row r="3028" hidden="1">
      <c r="A3028" s="75">
        <v>3022.0</v>
      </c>
      <c r="B3028" s="62" t="s">
        <v>1306</v>
      </c>
      <c r="C3028" s="62" t="s">
        <v>108</v>
      </c>
      <c r="D3028" s="62" t="s">
        <v>1919</v>
      </c>
      <c r="E3028" s="76">
        <v>44148.0</v>
      </c>
      <c r="F3028" s="77">
        <v>0.020833333333333332</v>
      </c>
      <c r="G3028" s="62" t="b">
        <v>0</v>
      </c>
      <c r="H3028" s="78" t="b">
        <f>IF(VLOOKUP(C3028,Projetos!A:L,12,false)=TRUE,TRUE,FALSE)</f>
        <v>1</v>
      </c>
      <c r="I3028" s="68">
        <v>41.447525582529835</v>
      </c>
      <c r="J3028" s="68">
        <f t="shared" si="1"/>
        <v>0</v>
      </c>
      <c r="K3028" s="68" t="b">
        <v>1</v>
      </c>
    </row>
    <row r="3029">
      <c r="A3029" s="75">
        <v>3023.0</v>
      </c>
      <c r="B3029" s="62" t="s">
        <v>1306</v>
      </c>
      <c r="C3029" s="62" t="s">
        <v>105</v>
      </c>
      <c r="D3029" s="62" t="s">
        <v>1920</v>
      </c>
      <c r="E3029" s="76">
        <v>44148.0</v>
      </c>
      <c r="F3029" s="77">
        <v>0.0625</v>
      </c>
      <c r="G3029" s="62" t="b">
        <v>1</v>
      </c>
      <c r="H3029" s="78" t="b">
        <f>IF(VLOOKUP(C3029,Projetos!A:L,12,false)=TRUE,TRUE,FALSE)</f>
        <v>1</v>
      </c>
      <c r="I3029" s="68">
        <v>41.447525582529835</v>
      </c>
      <c r="J3029" s="68">
        <f t="shared" si="1"/>
        <v>62.17128837</v>
      </c>
      <c r="K3029" s="68" t="b">
        <v>1</v>
      </c>
    </row>
    <row r="3030">
      <c r="A3030" s="75">
        <v>3024.0</v>
      </c>
      <c r="B3030" s="62" t="s">
        <v>1306</v>
      </c>
      <c r="C3030" s="62" t="s">
        <v>116</v>
      </c>
      <c r="D3030" s="62" t="s">
        <v>1900</v>
      </c>
      <c r="E3030" s="76">
        <v>44148.0</v>
      </c>
      <c r="F3030" s="77">
        <v>0.020833333333333332</v>
      </c>
      <c r="G3030" s="62" t="b">
        <v>1</v>
      </c>
      <c r="H3030" s="78" t="b">
        <f>IF(VLOOKUP(C3030,Projetos!A:L,12,false)=TRUE,TRUE,FALSE)</f>
        <v>1</v>
      </c>
      <c r="I3030" s="68">
        <v>41.447525582529835</v>
      </c>
      <c r="J3030" s="68">
        <f t="shared" si="1"/>
        <v>20.72376279</v>
      </c>
      <c r="K3030" s="68" t="b">
        <v>1</v>
      </c>
    </row>
    <row r="3031" hidden="1">
      <c r="A3031" s="75">
        <v>3025.0</v>
      </c>
      <c r="B3031" s="62" t="s">
        <v>1306</v>
      </c>
      <c r="C3031" s="62" t="s">
        <v>108</v>
      </c>
      <c r="D3031" s="62" t="s">
        <v>1921</v>
      </c>
      <c r="E3031" s="76">
        <v>44148.0</v>
      </c>
      <c r="F3031" s="77">
        <v>0.08333333333333333</v>
      </c>
      <c r="G3031" s="62" t="b">
        <v>0</v>
      </c>
      <c r="H3031" s="78" t="b">
        <f>IF(VLOOKUP(C3031,Projetos!A:L,12,false)=TRUE,TRUE,FALSE)</f>
        <v>1</v>
      </c>
      <c r="I3031" s="68">
        <v>41.447525582529835</v>
      </c>
      <c r="J3031" s="68">
        <f t="shared" si="1"/>
        <v>0</v>
      </c>
      <c r="K3031" s="68" t="b">
        <v>1</v>
      </c>
    </row>
    <row r="3032">
      <c r="A3032" s="75">
        <v>3026.0</v>
      </c>
      <c r="B3032" s="62" t="s">
        <v>1306</v>
      </c>
      <c r="C3032" s="62" t="s">
        <v>100</v>
      </c>
      <c r="D3032" s="62" t="s">
        <v>1922</v>
      </c>
      <c r="E3032" s="76">
        <v>44148.0</v>
      </c>
      <c r="F3032" s="77">
        <v>0.020833333333333332</v>
      </c>
      <c r="G3032" s="62" t="b">
        <v>1</v>
      </c>
      <c r="H3032" s="78" t="b">
        <f>IF(VLOOKUP(C3032,Projetos!A:L,12,false)=TRUE,TRUE,FALSE)</f>
        <v>1</v>
      </c>
      <c r="I3032" s="68">
        <v>41.447525582529835</v>
      </c>
      <c r="J3032" s="68">
        <f t="shared" si="1"/>
        <v>20.72376279</v>
      </c>
      <c r="K3032" s="68" t="b">
        <v>1</v>
      </c>
    </row>
    <row r="3033">
      <c r="A3033" s="75">
        <v>3027.0</v>
      </c>
      <c r="B3033" s="62" t="s">
        <v>1306</v>
      </c>
      <c r="C3033" s="62" t="s">
        <v>90</v>
      </c>
      <c r="D3033" s="62" t="s">
        <v>1923</v>
      </c>
      <c r="E3033" s="76">
        <v>44148.0</v>
      </c>
      <c r="F3033" s="77">
        <v>0.10416666666666667</v>
      </c>
      <c r="G3033" s="62" t="b">
        <v>1</v>
      </c>
      <c r="H3033" s="78" t="b">
        <f>IF(VLOOKUP(C3033,Projetos!A:L,12,false)=TRUE,TRUE,FALSE)</f>
        <v>1</v>
      </c>
      <c r="I3033" s="68">
        <v>41.447525582529835</v>
      </c>
      <c r="J3033" s="68">
        <f t="shared" si="1"/>
        <v>103.618814</v>
      </c>
      <c r="K3033" s="68" t="b">
        <v>1</v>
      </c>
    </row>
    <row r="3034">
      <c r="A3034" s="75">
        <v>3028.0</v>
      </c>
      <c r="B3034" s="62" t="s">
        <v>1306</v>
      </c>
      <c r="C3034" s="62" t="s">
        <v>90</v>
      </c>
      <c r="D3034" s="62" t="s">
        <v>1924</v>
      </c>
      <c r="E3034" s="76">
        <v>44151.0</v>
      </c>
      <c r="F3034" s="77">
        <v>0.016666666666666666</v>
      </c>
      <c r="G3034" s="62" t="b">
        <v>1</v>
      </c>
      <c r="H3034" s="78" t="b">
        <f>IF(VLOOKUP(C3034,Projetos!A:L,12,false)=TRUE,TRUE,FALSE)</f>
        <v>1</v>
      </c>
      <c r="I3034" s="68">
        <v>41.447525582529835</v>
      </c>
      <c r="J3034" s="68">
        <f t="shared" si="1"/>
        <v>16.57901023</v>
      </c>
      <c r="K3034" s="68" t="b">
        <v>1</v>
      </c>
    </row>
    <row r="3035" hidden="1">
      <c r="A3035" s="75">
        <v>3029.0</v>
      </c>
      <c r="B3035" s="62" t="s">
        <v>1306</v>
      </c>
      <c r="C3035" s="62" t="s">
        <v>108</v>
      </c>
      <c r="D3035" s="62" t="s">
        <v>1925</v>
      </c>
      <c r="E3035" s="76">
        <v>44151.0</v>
      </c>
      <c r="F3035" s="77">
        <v>0.041666666666666664</v>
      </c>
      <c r="G3035" s="62" t="b">
        <v>0</v>
      </c>
      <c r="H3035" s="78" t="b">
        <f>IF(VLOOKUP(C3035,Projetos!A:L,12,false)=TRUE,TRUE,FALSE)</f>
        <v>1</v>
      </c>
      <c r="I3035" s="68">
        <v>41.447525582529835</v>
      </c>
      <c r="J3035" s="68">
        <f t="shared" si="1"/>
        <v>0</v>
      </c>
      <c r="K3035" s="68" t="b">
        <v>1</v>
      </c>
    </row>
    <row r="3036">
      <c r="A3036" s="75">
        <v>3030.0</v>
      </c>
      <c r="B3036" s="62" t="s">
        <v>1306</v>
      </c>
      <c r="C3036" s="62" t="s">
        <v>90</v>
      </c>
      <c r="D3036" s="62" t="s">
        <v>1926</v>
      </c>
      <c r="E3036" s="76">
        <v>44151.0</v>
      </c>
      <c r="F3036" s="77">
        <v>0.041666666666666664</v>
      </c>
      <c r="G3036" s="62" t="b">
        <v>1</v>
      </c>
      <c r="H3036" s="78" t="b">
        <f>IF(VLOOKUP(C3036,Projetos!A:L,12,false)=TRUE,TRUE,FALSE)</f>
        <v>1</v>
      </c>
      <c r="I3036" s="68">
        <v>41.447525582529835</v>
      </c>
      <c r="J3036" s="68">
        <f t="shared" si="1"/>
        <v>41.44752558</v>
      </c>
      <c r="K3036" s="68" t="b">
        <v>1</v>
      </c>
    </row>
    <row r="3037" hidden="1">
      <c r="A3037" s="75">
        <v>3031.0</v>
      </c>
      <c r="B3037" s="62" t="s">
        <v>1306</v>
      </c>
      <c r="C3037" s="62" t="s">
        <v>108</v>
      </c>
      <c r="D3037" s="62" t="s">
        <v>1927</v>
      </c>
      <c r="E3037" s="76">
        <v>44151.0</v>
      </c>
      <c r="F3037" s="77">
        <v>0.13125</v>
      </c>
      <c r="G3037" s="62" t="b">
        <v>0</v>
      </c>
      <c r="H3037" s="78" t="b">
        <f>IF(VLOOKUP(C3037,Projetos!A:L,12,false)=TRUE,TRUE,FALSE)</f>
        <v>1</v>
      </c>
      <c r="I3037" s="68">
        <v>41.447525582529835</v>
      </c>
      <c r="J3037" s="68">
        <f t="shared" si="1"/>
        <v>0</v>
      </c>
      <c r="K3037" s="68" t="b">
        <v>1</v>
      </c>
    </row>
    <row r="3038">
      <c r="A3038" s="75">
        <v>3032.0</v>
      </c>
      <c r="B3038" s="62" t="s">
        <v>1306</v>
      </c>
      <c r="C3038" s="62" t="s">
        <v>90</v>
      </c>
      <c r="D3038" s="62" t="s">
        <v>1928</v>
      </c>
      <c r="E3038" s="76">
        <v>44151.0</v>
      </c>
      <c r="F3038" s="77">
        <v>0.1625</v>
      </c>
      <c r="G3038" s="62" t="b">
        <v>1</v>
      </c>
      <c r="H3038" s="78" t="b">
        <f>IF(VLOOKUP(C3038,Projetos!A:L,12,false)=TRUE,TRUE,FALSE)</f>
        <v>1</v>
      </c>
      <c r="I3038" s="68">
        <v>41.447525582529835</v>
      </c>
      <c r="J3038" s="68">
        <f t="shared" si="1"/>
        <v>161.6453498</v>
      </c>
      <c r="K3038" s="68" t="b">
        <v>1</v>
      </c>
    </row>
    <row r="3039" hidden="1">
      <c r="A3039" s="75">
        <v>3033.0</v>
      </c>
      <c r="B3039" s="62" t="s">
        <v>1306</v>
      </c>
      <c r="C3039" s="62" t="s">
        <v>109</v>
      </c>
      <c r="D3039" s="62" t="s">
        <v>1929</v>
      </c>
      <c r="E3039" s="76">
        <v>44152.0</v>
      </c>
      <c r="F3039" s="77">
        <v>0.008333333333333333</v>
      </c>
      <c r="G3039" s="62" t="b">
        <v>0</v>
      </c>
      <c r="H3039" s="78" t="b">
        <f>IF(VLOOKUP(C3039,Projetos!A:L,12,false)=TRUE,TRUE,FALSE)</f>
        <v>0</v>
      </c>
      <c r="I3039" s="68">
        <v>41.447525582529835</v>
      </c>
      <c r="J3039" s="68">
        <f t="shared" si="1"/>
        <v>0</v>
      </c>
      <c r="K3039" s="68" t="b">
        <v>0</v>
      </c>
    </row>
    <row r="3040">
      <c r="A3040" s="75">
        <v>3034.0</v>
      </c>
      <c r="B3040" s="62" t="s">
        <v>1306</v>
      </c>
      <c r="C3040" s="62" t="s">
        <v>90</v>
      </c>
      <c r="D3040" s="62" t="s">
        <v>1930</v>
      </c>
      <c r="E3040" s="76">
        <v>44152.0</v>
      </c>
      <c r="F3040" s="77">
        <v>0.1111111111111111</v>
      </c>
      <c r="G3040" s="62" t="b">
        <v>1</v>
      </c>
      <c r="H3040" s="78" t="b">
        <f>IF(VLOOKUP(C3040,Projetos!A:L,12,false)=TRUE,TRUE,FALSE)</f>
        <v>1</v>
      </c>
      <c r="I3040" s="68">
        <v>41.447525582529835</v>
      </c>
      <c r="J3040" s="68">
        <f t="shared" si="1"/>
        <v>110.5267349</v>
      </c>
      <c r="K3040" s="68" t="b">
        <v>1</v>
      </c>
    </row>
    <row r="3041">
      <c r="A3041" s="75">
        <v>3035.0</v>
      </c>
      <c r="B3041" s="62" t="s">
        <v>1306</v>
      </c>
      <c r="C3041" s="62" t="s">
        <v>98</v>
      </c>
      <c r="D3041" s="62" t="s">
        <v>1931</v>
      </c>
      <c r="E3041" s="76">
        <v>44152.0</v>
      </c>
      <c r="F3041" s="77">
        <v>0.041666666666666664</v>
      </c>
      <c r="G3041" s="62" t="b">
        <v>1</v>
      </c>
      <c r="H3041" s="78" t="b">
        <f>IF(VLOOKUP(C3041,Projetos!A:L,12,false)=TRUE,TRUE,FALSE)</f>
        <v>1</v>
      </c>
      <c r="I3041" s="68">
        <v>41.447525582529835</v>
      </c>
      <c r="J3041" s="68">
        <f t="shared" si="1"/>
        <v>41.44752558</v>
      </c>
      <c r="K3041" s="68" t="b">
        <v>1</v>
      </c>
    </row>
    <row r="3042">
      <c r="A3042" s="75">
        <v>3036.0</v>
      </c>
      <c r="B3042" s="62" t="s">
        <v>1306</v>
      </c>
      <c r="C3042" s="62" t="s">
        <v>100</v>
      </c>
      <c r="D3042" s="62" t="s">
        <v>1387</v>
      </c>
      <c r="E3042" s="76">
        <v>44152.0</v>
      </c>
      <c r="F3042" s="77">
        <v>0.020833333333333332</v>
      </c>
      <c r="G3042" s="62" t="b">
        <v>1</v>
      </c>
      <c r="H3042" s="78" t="b">
        <f>IF(VLOOKUP(C3042,Projetos!A:L,12,false)=TRUE,TRUE,FALSE)</f>
        <v>1</v>
      </c>
      <c r="I3042" s="68">
        <v>41.447525582529835</v>
      </c>
      <c r="J3042" s="68">
        <f t="shared" si="1"/>
        <v>20.72376279</v>
      </c>
      <c r="K3042" s="68" t="b">
        <v>1</v>
      </c>
    </row>
    <row r="3043">
      <c r="A3043" s="75">
        <v>3037.0</v>
      </c>
      <c r="B3043" s="62" t="s">
        <v>1306</v>
      </c>
      <c r="C3043" s="62" t="s">
        <v>105</v>
      </c>
      <c r="D3043" s="62" t="s">
        <v>1932</v>
      </c>
      <c r="E3043" s="76">
        <v>44152.0</v>
      </c>
      <c r="F3043" s="77">
        <v>0.0763888888888889</v>
      </c>
      <c r="G3043" s="62" t="b">
        <v>1</v>
      </c>
      <c r="H3043" s="78" t="b">
        <f>IF(VLOOKUP(C3043,Projetos!A:L,12,false)=TRUE,TRUE,FALSE)</f>
        <v>1</v>
      </c>
      <c r="I3043" s="68">
        <v>41.447525582529835</v>
      </c>
      <c r="J3043" s="68">
        <f t="shared" si="1"/>
        <v>75.98713023</v>
      </c>
      <c r="K3043" s="68" t="b">
        <v>1</v>
      </c>
    </row>
    <row r="3044">
      <c r="A3044" s="75">
        <v>3038.0</v>
      </c>
      <c r="B3044" s="62" t="s">
        <v>1306</v>
      </c>
      <c r="C3044" s="62" t="s">
        <v>105</v>
      </c>
      <c r="D3044" s="62" t="s">
        <v>1933</v>
      </c>
      <c r="E3044" s="76">
        <v>44152.0</v>
      </c>
      <c r="F3044" s="77">
        <v>0.04513888888888889</v>
      </c>
      <c r="G3044" s="62" t="b">
        <v>1</v>
      </c>
      <c r="H3044" s="78" t="b">
        <f>IF(VLOOKUP(C3044,Projetos!A:L,12,false)=TRUE,TRUE,FALSE)</f>
        <v>1</v>
      </c>
      <c r="I3044" s="68">
        <v>41.447525582529835</v>
      </c>
      <c r="J3044" s="68">
        <f t="shared" si="1"/>
        <v>44.90148605</v>
      </c>
      <c r="K3044" s="68" t="b">
        <v>1</v>
      </c>
    </row>
    <row r="3045">
      <c r="A3045" s="75">
        <v>3039.0</v>
      </c>
      <c r="B3045" s="62" t="s">
        <v>1306</v>
      </c>
      <c r="C3045" s="62" t="s">
        <v>90</v>
      </c>
      <c r="D3045" s="62" t="s">
        <v>1934</v>
      </c>
      <c r="E3045" s="76">
        <v>44152.0</v>
      </c>
      <c r="F3045" s="77">
        <v>0.09652777777777778</v>
      </c>
      <c r="G3045" s="62" t="b">
        <v>1</v>
      </c>
      <c r="H3045" s="78" t="b">
        <f>IF(VLOOKUP(C3045,Projetos!A:L,12,false)=TRUE,TRUE,FALSE)</f>
        <v>1</v>
      </c>
      <c r="I3045" s="68">
        <v>41.447525582529835</v>
      </c>
      <c r="J3045" s="68">
        <f t="shared" si="1"/>
        <v>96.02010093</v>
      </c>
      <c r="K3045" s="68" t="b">
        <v>1</v>
      </c>
    </row>
    <row r="3046" hidden="1">
      <c r="A3046" s="75">
        <v>3040.0</v>
      </c>
      <c r="B3046" s="62" t="s">
        <v>1306</v>
      </c>
      <c r="C3046" s="62" t="s">
        <v>108</v>
      </c>
      <c r="D3046" s="62" t="s">
        <v>1935</v>
      </c>
      <c r="E3046" s="76">
        <v>44153.0</v>
      </c>
      <c r="F3046" s="77">
        <v>0.07847222222222222</v>
      </c>
      <c r="G3046" s="62" t="b">
        <v>0</v>
      </c>
      <c r="H3046" s="78" t="b">
        <f>IF(VLOOKUP(C3046,Projetos!A:L,12,false)=TRUE,TRUE,FALSE)</f>
        <v>1</v>
      </c>
      <c r="I3046" s="68">
        <v>41.447525582529835</v>
      </c>
      <c r="J3046" s="68">
        <f t="shared" si="1"/>
        <v>0</v>
      </c>
      <c r="K3046" s="68" t="b">
        <v>1</v>
      </c>
    </row>
    <row r="3047">
      <c r="A3047" s="75">
        <v>3041.0</v>
      </c>
      <c r="B3047" s="62" t="s">
        <v>1306</v>
      </c>
      <c r="C3047" s="62" t="s">
        <v>90</v>
      </c>
      <c r="D3047" s="62" t="s">
        <v>1936</v>
      </c>
      <c r="E3047" s="76">
        <v>44153.0</v>
      </c>
      <c r="F3047" s="77">
        <v>0.020833333333333332</v>
      </c>
      <c r="G3047" s="62" t="b">
        <v>1</v>
      </c>
      <c r="H3047" s="78" t="b">
        <f>IF(VLOOKUP(C3047,Projetos!A:L,12,false)=TRUE,TRUE,FALSE)</f>
        <v>1</v>
      </c>
      <c r="I3047" s="68">
        <v>41.447525582529835</v>
      </c>
      <c r="J3047" s="68">
        <f t="shared" si="1"/>
        <v>20.72376279</v>
      </c>
      <c r="K3047" s="68" t="b">
        <v>1</v>
      </c>
    </row>
    <row r="3048" hidden="1">
      <c r="A3048" s="75">
        <v>3042.0</v>
      </c>
      <c r="B3048" s="62" t="s">
        <v>1306</v>
      </c>
      <c r="C3048" s="62" t="s">
        <v>83</v>
      </c>
      <c r="D3048" s="62" t="s">
        <v>1937</v>
      </c>
      <c r="E3048" s="76">
        <v>44153.0</v>
      </c>
      <c r="F3048" s="77">
        <v>0.0625</v>
      </c>
      <c r="G3048" s="62" t="b">
        <v>0</v>
      </c>
      <c r="H3048" s="78" t="b">
        <f>IF(VLOOKUP(C3048,Projetos!A:L,12,false)=TRUE,TRUE,FALSE)</f>
        <v>0</v>
      </c>
      <c r="I3048" s="68">
        <v>41.447525582529835</v>
      </c>
      <c r="J3048" s="68">
        <f t="shared" si="1"/>
        <v>0</v>
      </c>
      <c r="K3048" s="68" t="b">
        <v>0</v>
      </c>
    </row>
    <row r="3049" hidden="1">
      <c r="A3049" s="75">
        <v>3043.0</v>
      </c>
      <c r="B3049" s="62" t="s">
        <v>1306</v>
      </c>
      <c r="C3049" s="62" t="s">
        <v>108</v>
      </c>
      <c r="D3049" s="62" t="s">
        <v>1938</v>
      </c>
      <c r="E3049" s="76">
        <v>44153.0</v>
      </c>
      <c r="F3049" s="77">
        <v>0.020833333333333332</v>
      </c>
      <c r="G3049" s="62" t="b">
        <v>0</v>
      </c>
      <c r="H3049" s="78" t="b">
        <f>IF(VLOOKUP(C3049,Projetos!A:L,12,false)=TRUE,TRUE,FALSE)</f>
        <v>1</v>
      </c>
      <c r="I3049" s="68">
        <v>41.447525582529835</v>
      </c>
      <c r="J3049" s="68">
        <f t="shared" si="1"/>
        <v>0</v>
      </c>
      <c r="K3049" s="68" t="b">
        <v>1</v>
      </c>
    </row>
    <row r="3050">
      <c r="A3050" s="75">
        <v>3044.0</v>
      </c>
      <c r="B3050" s="62" t="s">
        <v>1306</v>
      </c>
      <c r="C3050" s="62" t="s">
        <v>88</v>
      </c>
      <c r="D3050" s="62" t="s">
        <v>1939</v>
      </c>
      <c r="E3050" s="76">
        <v>44153.0</v>
      </c>
      <c r="F3050" s="77">
        <v>0.08333333333333333</v>
      </c>
      <c r="G3050" s="62" t="b">
        <v>1</v>
      </c>
      <c r="H3050" s="78" t="b">
        <f>IF(VLOOKUP(C3050,Projetos!A:L,12,false)=TRUE,TRUE,FALSE)</f>
        <v>1</v>
      </c>
      <c r="I3050" s="68">
        <v>41.447525582529835</v>
      </c>
      <c r="J3050" s="68">
        <f t="shared" si="1"/>
        <v>82.89505117</v>
      </c>
      <c r="K3050" s="68" t="b">
        <v>1</v>
      </c>
    </row>
    <row r="3051" hidden="1">
      <c r="A3051" s="75">
        <v>3045.0</v>
      </c>
      <c r="B3051" s="62" t="s">
        <v>1306</v>
      </c>
      <c r="C3051" s="62" t="s">
        <v>108</v>
      </c>
      <c r="D3051" s="62" t="s">
        <v>1940</v>
      </c>
      <c r="E3051" s="76">
        <v>44153.0</v>
      </c>
      <c r="F3051" s="77">
        <v>0.03263888888888889</v>
      </c>
      <c r="G3051" s="62" t="b">
        <v>0</v>
      </c>
      <c r="H3051" s="78" t="b">
        <f>IF(VLOOKUP(C3051,Projetos!A:L,12,false)=TRUE,TRUE,FALSE)</f>
        <v>1</v>
      </c>
      <c r="I3051" s="68">
        <v>41.447525582529835</v>
      </c>
      <c r="J3051" s="68">
        <f t="shared" si="1"/>
        <v>0</v>
      </c>
      <c r="K3051" s="68" t="b">
        <v>1</v>
      </c>
    </row>
    <row r="3052">
      <c r="A3052" s="75">
        <v>3046.0</v>
      </c>
      <c r="B3052" s="62" t="s">
        <v>1306</v>
      </c>
      <c r="C3052" s="62" t="s">
        <v>90</v>
      </c>
      <c r="D3052" s="62" t="s">
        <v>1941</v>
      </c>
      <c r="E3052" s="76">
        <v>44153.0</v>
      </c>
      <c r="F3052" s="77">
        <v>0.07361111111111111</v>
      </c>
      <c r="G3052" s="62" t="b">
        <v>1</v>
      </c>
      <c r="H3052" s="78" t="b">
        <f>IF(VLOOKUP(C3052,Projetos!A:L,12,false)=TRUE,TRUE,FALSE)</f>
        <v>1</v>
      </c>
      <c r="I3052" s="68">
        <v>41.447525582529835</v>
      </c>
      <c r="J3052" s="68">
        <f t="shared" si="1"/>
        <v>73.22396186</v>
      </c>
      <c r="K3052" s="68" t="b">
        <v>1</v>
      </c>
    </row>
    <row r="3053">
      <c r="A3053" s="75">
        <v>3047.0</v>
      </c>
      <c r="B3053" s="62" t="s">
        <v>1306</v>
      </c>
      <c r="C3053" s="62" t="s">
        <v>90</v>
      </c>
      <c r="D3053" s="62" t="s">
        <v>1942</v>
      </c>
      <c r="E3053" s="76">
        <v>44153.0</v>
      </c>
      <c r="F3053" s="77">
        <v>0.041666666666666664</v>
      </c>
      <c r="G3053" s="62" t="b">
        <v>1</v>
      </c>
      <c r="H3053" s="78" t="b">
        <f>IF(VLOOKUP(C3053,Projetos!A:L,12,false)=TRUE,TRUE,FALSE)</f>
        <v>1</v>
      </c>
      <c r="I3053" s="68">
        <v>41.447525582529835</v>
      </c>
      <c r="J3053" s="68">
        <f t="shared" si="1"/>
        <v>41.44752558</v>
      </c>
      <c r="K3053" s="68" t="b">
        <v>1</v>
      </c>
    </row>
    <row r="3054" hidden="1">
      <c r="A3054" s="75">
        <v>3048.0</v>
      </c>
      <c r="B3054" s="62" t="s">
        <v>1306</v>
      </c>
      <c r="C3054" s="62" t="s">
        <v>109</v>
      </c>
      <c r="D3054" s="62" t="s">
        <v>1943</v>
      </c>
      <c r="E3054" s="76">
        <v>44153.0</v>
      </c>
      <c r="F3054" s="77">
        <v>0.03333333333333333</v>
      </c>
      <c r="G3054" s="62" t="b">
        <v>0</v>
      </c>
      <c r="H3054" s="78" t="b">
        <f>IF(VLOOKUP(C3054,Projetos!A:L,12,false)=TRUE,TRUE,FALSE)</f>
        <v>0</v>
      </c>
      <c r="I3054" s="68">
        <v>41.447525582529835</v>
      </c>
      <c r="J3054" s="68">
        <f t="shared" si="1"/>
        <v>0</v>
      </c>
      <c r="K3054" s="68" t="b">
        <v>0</v>
      </c>
    </row>
    <row r="3055" hidden="1">
      <c r="A3055" s="75">
        <v>3049.0</v>
      </c>
      <c r="B3055" s="62" t="s">
        <v>1306</v>
      </c>
      <c r="C3055" s="62" t="s">
        <v>108</v>
      </c>
      <c r="D3055" s="62" t="s">
        <v>1944</v>
      </c>
      <c r="E3055" s="76">
        <v>44154.0</v>
      </c>
      <c r="F3055" s="77">
        <v>0.10138888888888889</v>
      </c>
      <c r="G3055" s="62" t="b">
        <v>1</v>
      </c>
      <c r="H3055" s="78" t="b">
        <f>IF(VLOOKUP(C3055,Projetos!A:L,12,false)=TRUE,TRUE,FALSE)</f>
        <v>1</v>
      </c>
      <c r="I3055" s="68">
        <v>41.447525582529835</v>
      </c>
      <c r="J3055" s="68">
        <f t="shared" si="1"/>
        <v>100.8556456</v>
      </c>
      <c r="K3055" s="68" t="b">
        <v>1</v>
      </c>
    </row>
    <row r="3056" hidden="1">
      <c r="A3056" s="75">
        <v>3050.0</v>
      </c>
      <c r="B3056" s="62" t="s">
        <v>1306</v>
      </c>
      <c r="C3056" s="62" t="s">
        <v>90</v>
      </c>
      <c r="D3056" s="62" t="s">
        <v>1945</v>
      </c>
      <c r="E3056" s="76">
        <v>44154.0</v>
      </c>
      <c r="F3056" s="77">
        <v>0.020833333333333332</v>
      </c>
      <c r="G3056" s="62" t="b">
        <v>0</v>
      </c>
      <c r="H3056" s="78" t="b">
        <f>IF(VLOOKUP(C3056,Projetos!A:L,12,false)=TRUE,TRUE,FALSE)</f>
        <v>1</v>
      </c>
      <c r="I3056" s="68">
        <v>41.447525582529835</v>
      </c>
      <c r="J3056" s="68">
        <f t="shared" si="1"/>
        <v>0</v>
      </c>
      <c r="K3056" s="68" t="b">
        <v>1</v>
      </c>
    </row>
    <row r="3057" hidden="1">
      <c r="A3057" s="75">
        <v>3051.0</v>
      </c>
      <c r="B3057" s="62" t="s">
        <v>1306</v>
      </c>
      <c r="C3057" s="62" t="s">
        <v>108</v>
      </c>
      <c r="D3057" s="62" t="s">
        <v>1946</v>
      </c>
      <c r="E3057" s="76">
        <v>44154.0</v>
      </c>
      <c r="F3057" s="77">
        <v>0.058333333333333334</v>
      </c>
      <c r="G3057" s="62" t="b">
        <v>0</v>
      </c>
      <c r="H3057" s="78" t="b">
        <f>IF(VLOOKUP(C3057,Projetos!A:L,12,false)=TRUE,TRUE,FALSE)</f>
        <v>1</v>
      </c>
      <c r="I3057" s="68">
        <v>41.447525582529835</v>
      </c>
      <c r="J3057" s="68">
        <f t="shared" si="1"/>
        <v>0</v>
      </c>
      <c r="K3057" s="68" t="b">
        <v>1</v>
      </c>
    </row>
    <row r="3058">
      <c r="A3058" s="75">
        <v>3052.0</v>
      </c>
      <c r="B3058" s="62" t="s">
        <v>1306</v>
      </c>
      <c r="C3058" s="62" t="s">
        <v>112</v>
      </c>
      <c r="D3058" s="62" t="s">
        <v>1947</v>
      </c>
      <c r="E3058" s="76">
        <v>44154.0</v>
      </c>
      <c r="F3058" s="77">
        <v>0.025694444444444443</v>
      </c>
      <c r="G3058" s="62" t="b">
        <v>1</v>
      </c>
      <c r="H3058" s="78" t="b">
        <f>IF(VLOOKUP(C3058,Projetos!A:L,12,false)=TRUE,TRUE,FALSE)</f>
        <v>1</v>
      </c>
      <c r="I3058" s="68">
        <v>41.447525582529835</v>
      </c>
      <c r="J3058" s="68">
        <f t="shared" si="1"/>
        <v>25.55930744</v>
      </c>
      <c r="K3058" s="68" t="b">
        <v>1</v>
      </c>
    </row>
    <row r="3059" hidden="1">
      <c r="A3059" s="75">
        <v>3053.0</v>
      </c>
      <c r="B3059" s="62" t="s">
        <v>1306</v>
      </c>
      <c r="C3059" s="62" t="s">
        <v>108</v>
      </c>
      <c r="D3059" s="62" t="s">
        <v>1485</v>
      </c>
      <c r="E3059" s="76">
        <v>44154.0</v>
      </c>
      <c r="F3059" s="77">
        <v>0.020833333333333332</v>
      </c>
      <c r="G3059" s="62" t="b">
        <v>0</v>
      </c>
      <c r="H3059" s="78" t="b">
        <f>IF(VLOOKUP(C3059,Projetos!A:L,12,false)=TRUE,TRUE,FALSE)</f>
        <v>1</v>
      </c>
      <c r="I3059" s="68">
        <v>41.447525582529835</v>
      </c>
      <c r="J3059" s="68">
        <f t="shared" si="1"/>
        <v>0</v>
      </c>
      <c r="K3059" s="68" t="b">
        <v>1</v>
      </c>
    </row>
    <row r="3060" hidden="1">
      <c r="A3060" s="75">
        <v>3054.0</v>
      </c>
      <c r="B3060" s="62" t="s">
        <v>1306</v>
      </c>
      <c r="C3060" s="62" t="s">
        <v>109</v>
      </c>
      <c r="D3060" s="62" t="s">
        <v>1948</v>
      </c>
      <c r="E3060" s="76">
        <v>44154.0</v>
      </c>
      <c r="F3060" s="77">
        <v>0.041666666666666664</v>
      </c>
      <c r="G3060" s="62" t="b">
        <v>0</v>
      </c>
      <c r="H3060" s="78" t="b">
        <f>IF(VLOOKUP(C3060,Projetos!A:L,12,false)=TRUE,TRUE,FALSE)</f>
        <v>0</v>
      </c>
      <c r="I3060" s="68">
        <v>41.447525582529835</v>
      </c>
      <c r="J3060" s="68">
        <f t="shared" si="1"/>
        <v>0</v>
      </c>
      <c r="K3060" s="68" t="b">
        <v>0</v>
      </c>
    </row>
    <row r="3061" hidden="1">
      <c r="A3061" s="75">
        <v>3055.0</v>
      </c>
      <c r="B3061" s="62" t="s">
        <v>1306</v>
      </c>
      <c r="C3061" s="62" t="s">
        <v>108</v>
      </c>
      <c r="D3061" s="62" t="s">
        <v>1949</v>
      </c>
      <c r="E3061" s="76">
        <v>44154.0</v>
      </c>
      <c r="F3061" s="77">
        <v>0.11805555555555555</v>
      </c>
      <c r="G3061" s="62" t="b">
        <v>1</v>
      </c>
      <c r="H3061" s="78" t="b">
        <f>IF(VLOOKUP(C3061,Projetos!A:L,12,false)=TRUE,TRUE,FALSE)</f>
        <v>1</v>
      </c>
      <c r="I3061" s="68">
        <v>41.447525582529835</v>
      </c>
      <c r="J3061" s="68">
        <f t="shared" si="1"/>
        <v>117.4346558</v>
      </c>
      <c r="K3061" s="68" t="b">
        <v>1</v>
      </c>
    </row>
    <row r="3062" hidden="1">
      <c r="A3062" s="75">
        <v>3056.0</v>
      </c>
      <c r="B3062" s="62" t="s">
        <v>1306</v>
      </c>
      <c r="C3062" s="62" t="s">
        <v>83</v>
      </c>
      <c r="D3062" s="62" t="s">
        <v>1950</v>
      </c>
      <c r="E3062" s="76">
        <v>44154.0</v>
      </c>
      <c r="F3062" s="77">
        <v>0.016666666666666666</v>
      </c>
      <c r="G3062" s="62" t="b">
        <v>0</v>
      </c>
      <c r="H3062" s="78" t="b">
        <f>IF(VLOOKUP(C3062,Projetos!A:L,12,false)=TRUE,TRUE,FALSE)</f>
        <v>0</v>
      </c>
      <c r="I3062" s="68">
        <v>41.447525582529835</v>
      </c>
      <c r="J3062" s="68">
        <f t="shared" si="1"/>
        <v>0</v>
      </c>
      <c r="K3062" s="68" t="b">
        <v>0</v>
      </c>
    </row>
    <row r="3063" hidden="1">
      <c r="A3063" s="75">
        <v>3057.0</v>
      </c>
      <c r="B3063" s="62" t="s">
        <v>1306</v>
      </c>
      <c r="C3063" s="62" t="s">
        <v>108</v>
      </c>
      <c r="D3063" s="62" t="s">
        <v>1951</v>
      </c>
      <c r="E3063" s="76">
        <v>44155.0</v>
      </c>
      <c r="F3063" s="77">
        <v>0.034722222222222224</v>
      </c>
      <c r="G3063" s="62" t="b">
        <v>0</v>
      </c>
      <c r="H3063" s="78" t="b">
        <f>IF(VLOOKUP(C3063,Projetos!A:L,12,false)=TRUE,TRUE,FALSE)</f>
        <v>1</v>
      </c>
      <c r="I3063" s="68">
        <v>41.447525582529835</v>
      </c>
      <c r="J3063" s="68">
        <f t="shared" si="1"/>
        <v>0</v>
      </c>
      <c r="K3063" s="68" t="b">
        <v>1</v>
      </c>
    </row>
    <row r="3064">
      <c r="A3064" s="75">
        <v>3058.0</v>
      </c>
      <c r="B3064" s="62" t="s">
        <v>1306</v>
      </c>
      <c r="C3064" s="62" t="s">
        <v>105</v>
      </c>
      <c r="D3064" s="62" t="s">
        <v>1952</v>
      </c>
      <c r="E3064" s="76">
        <v>44155.0</v>
      </c>
      <c r="F3064" s="77">
        <v>0.041666666666666664</v>
      </c>
      <c r="G3064" s="62" t="b">
        <v>1</v>
      </c>
      <c r="H3064" s="78" t="b">
        <f>IF(VLOOKUP(C3064,Projetos!A:L,12,false)=TRUE,TRUE,FALSE)</f>
        <v>1</v>
      </c>
      <c r="I3064" s="68">
        <v>41.447525582529835</v>
      </c>
      <c r="J3064" s="68">
        <f t="shared" si="1"/>
        <v>41.44752558</v>
      </c>
      <c r="K3064" s="68" t="b">
        <v>1</v>
      </c>
    </row>
    <row r="3065">
      <c r="A3065" s="75">
        <v>3059.0</v>
      </c>
      <c r="B3065" s="62" t="s">
        <v>1306</v>
      </c>
      <c r="C3065" s="62" t="s">
        <v>113</v>
      </c>
      <c r="D3065" s="62" t="s">
        <v>1953</v>
      </c>
      <c r="E3065" s="76">
        <v>44155.0</v>
      </c>
      <c r="F3065" s="77">
        <v>0.020833333333333332</v>
      </c>
      <c r="G3065" s="62" t="b">
        <v>1</v>
      </c>
      <c r="H3065" s="78" t="b">
        <f>IF(VLOOKUP(C3065,Projetos!A:L,12,false)=TRUE,TRUE,FALSE)</f>
        <v>1</v>
      </c>
      <c r="I3065" s="68">
        <v>41.447525582529835</v>
      </c>
      <c r="J3065" s="68">
        <f t="shared" si="1"/>
        <v>20.72376279</v>
      </c>
      <c r="K3065" s="68" t="b">
        <v>1</v>
      </c>
    </row>
    <row r="3066">
      <c r="A3066" s="75">
        <v>3060.0</v>
      </c>
      <c r="B3066" s="62" t="s">
        <v>1306</v>
      </c>
      <c r="C3066" s="62" t="s">
        <v>90</v>
      </c>
      <c r="D3066" s="62" t="s">
        <v>1954</v>
      </c>
      <c r="E3066" s="76">
        <v>44155.0</v>
      </c>
      <c r="F3066" s="77">
        <v>0.020833333333333332</v>
      </c>
      <c r="G3066" s="62" t="b">
        <v>1</v>
      </c>
      <c r="H3066" s="78" t="b">
        <f>IF(VLOOKUP(C3066,Projetos!A:L,12,false)=TRUE,TRUE,FALSE)</f>
        <v>1</v>
      </c>
      <c r="I3066" s="68">
        <v>41.447525582529835</v>
      </c>
      <c r="J3066" s="68">
        <f t="shared" si="1"/>
        <v>20.72376279</v>
      </c>
      <c r="K3066" s="68" t="b">
        <v>1</v>
      </c>
    </row>
    <row r="3067" hidden="1">
      <c r="A3067" s="75">
        <v>3061.0</v>
      </c>
      <c r="B3067" s="62" t="s">
        <v>1306</v>
      </c>
      <c r="C3067" s="62" t="s">
        <v>108</v>
      </c>
      <c r="D3067" s="62" t="s">
        <v>1955</v>
      </c>
      <c r="E3067" s="76">
        <v>44155.0</v>
      </c>
      <c r="F3067" s="77">
        <v>0.05555555555555555</v>
      </c>
      <c r="G3067" s="62" t="b">
        <v>0</v>
      </c>
      <c r="H3067" s="78" t="b">
        <f>IF(VLOOKUP(C3067,Projetos!A:L,12,false)=TRUE,TRUE,FALSE)</f>
        <v>1</v>
      </c>
      <c r="I3067" s="68">
        <v>41.447525582529835</v>
      </c>
      <c r="J3067" s="68">
        <f t="shared" si="1"/>
        <v>0</v>
      </c>
      <c r="K3067" s="68" t="b">
        <v>1</v>
      </c>
    </row>
    <row r="3068">
      <c r="A3068" s="75">
        <v>3062.0</v>
      </c>
      <c r="B3068" s="62" t="s">
        <v>1306</v>
      </c>
      <c r="C3068" s="62" t="s">
        <v>90</v>
      </c>
      <c r="D3068" s="62" t="s">
        <v>1956</v>
      </c>
      <c r="E3068" s="76">
        <v>44155.0</v>
      </c>
      <c r="F3068" s="77">
        <v>0.07708333333333334</v>
      </c>
      <c r="G3068" s="62" t="b">
        <v>1</v>
      </c>
      <c r="H3068" s="78" t="b">
        <f>IF(VLOOKUP(C3068,Projetos!A:L,12,false)=TRUE,TRUE,FALSE)</f>
        <v>1</v>
      </c>
      <c r="I3068" s="68">
        <v>41.447525582529835</v>
      </c>
      <c r="J3068" s="68">
        <f t="shared" si="1"/>
        <v>76.67792233</v>
      </c>
      <c r="K3068" s="68" t="b">
        <v>1</v>
      </c>
    </row>
    <row r="3069" hidden="1">
      <c r="A3069" s="75">
        <v>3063.0</v>
      </c>
      <c r="B3069" s="62" t="s">
        <v>1306</v>
      </c>
      <c r="C3069" s="62" t="s">
        <v>102</v>
      </c>
      <c r="D3069" s="62" t="s">
        <v>1957</v>
      </c>
      <c r="E3069" s="76">
        <v>44155.0</v>
      </c>
      <c r="F3069" s="77">
        <v>0.12291666666666666</v>
      </c>
      <c r="G3069" s="62" t="b">
        <v>0</v>
      </c>
      <c r="H3069" s="78" t="b">
        <f>IF(VLOOKUP(C3069,Projetos!A:L,12,false)=TRUE,TRUE,FALSE)</f>
        <v>0</v>
      </c>
      <c r="I3069" s="68">
        <v>41.447525582529835</v>
      </c>
      <c r="J3069" s="68">
        <f t="shared" si="1"/>
        <v>0</v>
      </c>
      <c r="K3069" s="68" t="b">
        <v>0</v>
      </c>
    </row>
    <row r="3070" hidden="1">
      <c r="A3070" s="75">
        <v>3064.0</v>
      </c>
      <c r="B3070" s="62" t="s">
        <v>1306</v>
      </c>
      <c r="C3070" s="62" t="s">
        <v>108</v>
      </c>
      <c r="D3070" s="62" t="s">
        <v>1958</v>
      </c>
      <c r="E3070" s="76">
        <v>44158.0</v>
      </c>
      <c r="F3070" s="77">
        <v>0.03611111111111111</v>
      </c>
      <c r="G3070" s="62" t="b">
        <v>0</v>
      </c>
      <c r="H3070" s="78" t="b">
        <f>IF(VLOOKUP(C3070,Projetos!A:L,12,false)=TRUE,TRUE,FALSE)</f>
        <v>1</v>
      </c>
      <c r="I3070" s="68">
        <v>41.447525582529835</v>
      </c>
      <c r="J3070" s="68">
        <f t="shared" si="1"/>
        <v>0</v>
      </c>
      <c r="K3070" s="68" t="b">
        <v>1</v>
      </c>
    </row>
    <row r="3071">
      <c r="A3071" s="75">
        <v>3065.0</v>
      </c>
      <c r="B3071" s="62" t="s">
        <v>1306</v>
      </c>
      <c r="C3071" s="62" t="s">
        <v>88</v>
      </c>
      <c r="D3071" s="62" t="s">
        <v>1959</v>
      </c>
      <c r="E3071" s="76">
        <v>44158.0</v>
      </c>
      <c r="F3071" s="77">
        <v>0.03125</v>
      </c>
      <c r="G3071" s="62" t="b">
        <v>1</v>
      </c>
      <c r="H3071" s="78" t="b">
        <f>IF(VLOOKUP(C3071,Projetos!A:L,12,false)=TRUE,TRUE,FALSE)</f>
        <v>1</v>
      </c>
      <c r="I3071" s="68">
        <v>41.447525582529835</v>
      </c>
      <c r="J3071" s="68">
        <f t="shared" si="1"/>
        <v>31.08564419</v>
      </c>
      <c r="K3071" s="68" t="b">
        <v>1</v>
      </c>
    </row>
    <row r="3072" hidden="1">
      <c r="A3072" s="75">
        <v>3066.0</v>
      </c>
      <c r="B3072" s="62" t="s">
        <v>1306</v>
      </c>
      <c r="C3072" s="62" t="s">
        <v>108</v>
      </c>
      <c r="D3072" s="62" t="s">
        <v>1960</v>
      </c>
      <c r="E3072" s="76">
        <v>44158.0</v>
      </c>
      <c r="F3072" s="77">
        <v>0.14722222222222223</v>
      </c>
      <c r="G3072" s="62" t="b">
        <v>0</v>
      </c>
      <c r="H3072" s="78" t="b">
        <f>IF(VLOOKUP(C3072,Projetos!A:L,12,false)=TRUE,TRUE,FALSE)</f>
        <v>1</v>
      </c>
      <c r="I3072" s="68">
        <v>41.447525582529835</v>
      </c>
      <c r="J3072" s="68">
        <f t="shared" si="1"/>
        <v>0</v>
      </c>
      <c r="K3072" s="68" t="b">
        <v>1</v>
      </c>
    </row>
    <row r="3073" hidden="1">
      <c r="A3073" s="75">
        <v>3067.0</v>
      </c>
      <c r="B3073" s="62" t="s">
        <v>1306</v>
      </c>
      <c r="C3073" s="62" t="s">
        <v>108</v>
      </c>
      <c r="D3073" s="62" t="s">
        <v>1958</v>
      </c>
      <c r="E3073" s="76">
        <v>44158.0</v>
      </c>
      <c r="F3073" s="77">
        <v>0.010416666666666666</v>
      </c>
      <c r="G3073" s="62" t="b">
        <v>0</v>
      </c>
      <c r="H3073" s="78" t="b">
        <f>IF(VLOOKUP(C3073,Projetos!A:L,12,false)=TRUE,TRUE,FALSE)</f>
        <v>1</v>
      </c>
      <c r="I3073" s="68">
        <v>41.447525582529835</v>
      </c>
      <c r="J3073" s="68">
        <f t="shared" si="1"/>
        <v>0</v>
      </c>
      <c r="K3073" s="68" t="b">
        <v>1</v>
      </c>
    </row>
    <row r="3074" hidden="1">
      <c r="A3074" s="75">
        <v>3068.0</v>
      </c>
      <c r="B3074" s="62" t="s">
        <v>1306</v>
      </c>
      <c r="C3074" s="62" t="s">
        <v>83</v>
      </c>
      <c r="D3074" s="62" t="s">
        <v>1961</v>
      </c>
      <c r="E3074" s="76">
        <v>44158.0</v>
      </c>
      <c r="F3074" s="77">
        <v>0.041666666666666664</v>
      </c>
      <c r="G3074" s="62" t="b">
        <v>0</v>
      </c>
      <c r="H3074" s="78" t="b">
        <f>IF(VLOOKUP(C3074,Projetos!A:L,12,false)=TRUE,TRUE,FALSE)</f>
        <v>0</v>
      </c>
      <c r="I3074" s="68">
        <v>41.447525582529835</v>
      </c>
      <c r="J3074" s="68">
        <f t="shared" si="1"/>
        <v>0</v>
      </c>
      <c r="K3074" s="68" t="b">
        <v>0</v>
      </c>
    </row>
    <row r="3075" hidden="1">
      <c r="A3075" s="75">
        <v>3069.0</v>
      </c>
      <c r="B3075" s="62" t="s">
        <v>1306</v>
      </c>
      <c r="C3075" s="62" t="s">
        <v>108</v>
      </c>
      <c r="D3075" s="62" t="s">
        <v>1962</v>
      </c>
      <c r="E3075" s="76">
        <v>44158.0</v>
      </c>
      <c r="F3075" s="77">
        <v>0.10416666666666667</v>
      </c>
      <c r="G3075" s="62" t="b">
        <v>0</v>
      </c>
      <c r="H3075" s="78" t="b">
        <f>IF(VLOOKUP(C3075,Projetos!A:L,12,false)=TRUE,TRUE,FALSE)</f>
        <v>1</v>
      </c>
      <c r="I3075" s="68">
        <v>41.447525582529835</v>
      </c>
      <c r="J3075" s="68">
        <f t="shared" si="1"/>
        <v>0</v>
      </c>
      <c r="K3075" s="68" t="b">
        <v>1</v>
      </c>
    </row>
    <row r="3076">
      <c r="A3076" s="75">
        <v>3070.0</v>
      </c>
      <c r="B3076" s="62" t="s">
        <v>1306</v>
      </c>
      <c r="C3076" s="62" t="s">
        <v>90</v>
      </c>
      <c r="D3076" s="62" t="s">
        <v>1963</v>
      </c>
      <c r="E3076" s="76">
        <v>44158.0</v>
      </c>
      <c r="F3076" s="77">
        <v>0.01597222222222222</v>
      </c>
      <c r="G3076" s="62" t="b">
        <v>1</v>
      </c>
      <c r="H3076" s="78" t="b">
        <f>IF(VLOOKUP(C3076,Projetos!A:L,12,false)=TRUE,TRUE,FALSE)</f>
        <v>1</v>
      </c>
      <c r="I3076" s="68">
        <v>41.447525582529835</v>
      </c>
      <c r="J3076" s="68">
        <f t="shared" si="1"/>
        <v>15.88821814</v>
      </c>
      <c r="K3076" s="68" t="b">
        <v>1</v>
      </c>
    </row>
    <row r="3077">
      <c r="A3077" s="75">
        <v>3071.0</v>
      </c>
      <c r="B3077" s="62" t="s">
        <v>1306</v>
      </c>
      <c r="C3077" s="62" t="s">
        <v>113</v>
      </c>
      <c r="D3077" s="62" t="s">
        <v>1308</v>
      </c>
      <c r="E3077" s="76">
        <v>44159.0</v>
      </c>
      <c r="F3077" s="77">
        <v>0.09236111111111112</v>
      </c>
      <c r="G3077" s="62" t="b">
        <v>1</v>
      </c>
      <c r="H3077" s="78" t="b">
        <f>IF(VLOOKUP(C3077,Projetos!A:L,12,false)=TRUE,TRUE,FALSE)</f>
        <v>1</v>
      </c>
      <c r="I3077" s="68">
        <v>41.447525582529835</v>
      </c>
      <c r="J3077" s="68">
        <f t="shared" si="1"/>
        <v>91.87534837</v>
      </c>
      <c r="K3077" s="68" t="b">
        <v>1</v>
      </c>
    </row>
    <row r="3078" hidden="1">
      <c r="A3078" s="75">
        <v>3072.0</v>
      </c>
      <c r="B3078" s="62" t="s">
        <v>1306</v>
      </c>
      <c r="C3078" s="62" t="s">
        <v>111</v>
      </c>
      <c r="D3078" s="62" t="s">
        <v>1964</v>
      </c>
      <c r="E3078" s="76">
        <v>44159.0</v>
      </c>
      <c r="F3078" s="77">
        <v>0.020833333333333332</v>
      </c>
      <c r="G3078" s="62" t="b">
        <v>0</v>
      </c>
      <c r="H3078" s="78" t="b">
        <f>IF(VLOOKUP(C3078,Projetos!A:L,12,false)=TRUE,TRUE,FALSE)</f>
        <v>0</v>
      </c>
      <c r="I3078" s="68">
        <v>41.447525582529835</v>
      </c>
      <c r="J3078" s="68">
        <f t="shared" si="1"/>
        <v>0</v>
      </c>
      <c r="K3078" s="68" t="b">
        <v>0</v>
      </c>
    </row>
    <row r="3079">
      <c r="A3079" s="75">
        <v>3073.0</v>
      </c>
      <c r="B3079" s="62" t="s">
        <v>1306</v>
      </c>
      <c r="C3079" s="62" t="s">
        <v>113</v>
      </c>
      <c r="D3079" s="62" t="s">
        <v>1965</v>
      </c>
      <c r="E3079" s="76">
        <v>44159.0</v>
      </c>
      <c r="F3079" s="77">
        <v>0.03125</v>
      </c>
      <c r="G3079" s="62" t="b">
        <v>1</v>
      </c>
      <c r="H3079" s="78" t="b">
        <f>IF(VLOOKUP(C3079,Projetos!A:L,12,false)=TRUE,TRUE,FALSE)</f>
        <v>1</v>
      </c>
      <c r="I3079" s="68">
        <v>41.447525582529835</v>
      </c>
      <c r="J3079" s="68">
        <f t="shared" si="1"/>
        <v>31.08564419</v>
      </c>
      <c r="K3079" s="68" t="b">
        <v>1</v>
      </c>
    </row>
    <row r="3080">
      <c r="A3080" s="75">
        <v>3074.0</v>
      </c>
      <c r="B3080" s="62" t="s">
        <v>1306</v>
      </c>
      <c r="C3080" s="62" t="s">
        <v>90</v>
      </c>
      <c r="D3080" s="62" t="s">
        <v>1966</v>
      </c>
      <c r="E3080" s="76">
        <v>44159.0</v>
      </c>
      <c r="F3080" s="77">
        <v>0.018055555555555554</v>
      </c>
      <c r="G3080" s="62" t="b">
        <v>1</v>
      </c>
      <c r="H3080" s="78" t="b">
        <f>IF(VLOOKUP(C3080,Projetos!A:L,12,false)=TRUE,TRUE,FALSE)</f>
        <v>1</v>
      </c>
      <c r="I3080" s="68">
        <v>41.447525582529835</v>
      </c>
      <c r="J3080" s="68">
        <f t="shared" si="1"/>
        <v>17.96059442</v>
      </c>
      <c r="K3080" s="68" t="b">
        <v>1</v>
      </c>
    </row>
    <row r="3081">
      <c r="A3081" s="75">
        <v>3075.0</v>
      </c>
      <c r="B3081" s="62" t="s">
        <v>1306</v>
      </c>
      <c r="C3081" s="62" t="s">
        <v>90</v>
      </c>
      <c r="D3081" s="62" t="s">
        <v>1967</v>
      </c>
      <c r="E3081" s="76">
        <v>44159.0</v>
      </c>
      <c r="F3081" s="77">
        <v>0.03263888888888889</v>
      </c>
      <c r="G3081" s="62" t="b">
        <v>1</v>
      </c>
      <c r="H3081" s="78" t="b">
        <f>IF(VLOOKUP(C3081,Projetos!A:L,12,false)=TRUE,TRUE,FALSE)</f>
        <v>1</v>
      </c>
      <c r="I3081" s="68">
        <v>41.447525582529835</v>
      </c>
      <c r="J3081" s="68">
        <f t="shared" si="1"/>
        <v>32.46722837</v>
      </c>
      <c r="K3081" s="68" t="b">
        <v>1</v>
      </c>
    </row>
    <row r="3082" hidden="1">
      <c r="A3082" s="75">
        <v>3076.0</v>
      </c>
      <c r="B3082" s="62" t="s">
        <v>1306</v>
      </c>
      <c r="C3082" s="62" t="s">
        <v>108</v>
      </c>
      <c r="D3082" s="62" t="s">
        <v>1618</v>
      </c>
      <c r="E3082" s="76">
        <v>44159.0</v>
      </c>
      <c r="F3082" s="77">
        <v>0.020833333333333332</v>
      </c>
      <c r="G3082" s="62" t="b">
        <v>1</v>
      </c>
      <c r="H3082" s="78" t="b">
        <f>IF(VLOOKUP(C3082,Projetos!A:L,12,false)=TRUE,TRUE,FALSE)</f>
        <v>1</v>
      </c>
      <c r="I3082" s="68">
        <v>41.447525582529835</v>
      </c>
      <c r="J3082" s="68">
        <f t="shared" si="1"/>
        <v>20.72376279</v>
      </c>
      <c r="K3082" s="68" t="b">
        <v>1</v>
      </c>
    </row>
    <row r="3083" hidden="1">
      <c r="A3083" s="75">
        <v>3077.0</v>
      </c>
      <c r="B3083" s="62" t="s">
        <v>1306</v>
      </c>
      <c r="C3083" s="62" t="s">
        <v>108</v>
      </c>
      <c r="D3083" s="62" t="s">
        <v>1968</v>
      </c>
      <c r="E3083" s="76">
        <v>44159.0</v>
      </c>
      <c r="F3083" s="77">
        <v>0.03125</v>
      </c>
      <c r="G3083" s="62" t="b">
        <v>0</v>
      </c>
      <c r="H3083" s="78" t="b">
        <f>IF(VLOOKUP(C3083,Projetos!A:L,12,false)=TRUE,TRUE,FALSE)</f>
        <v>1</v>
      </c>
      <c r="I3083" s="68">
        <v>41.447525582529835</v>
      </c>
      <c r="J3083" s="68">
        <f t="shared" si="1"/>
        <v>0</v>
      </c>
      <c r="K3083" s="68" t="b">
        <v>1</v>
      </c>
    </row>
    <row r="3084">
      <c r="A3084" s="75">
        <v>3078.0</v>
      </c>
      <c r="B3084" s="62" t="s">
        <v>1306</v>
      </c>
      <c r="C3084" s="62" t="s">
        <v>90</v>
      </c>
      <c r="D3084" s="62" t="s">
        <v>1969</v>
      </c>
      <c r="E3084" s="76">
        <v>44159.0</v>
      </c>
      <c r="F3084" s="77">
        <v>0.041666666666666664</v>
      </c>
      <c r="G3084" s="62" t="b">
        <v>1</v>
      </c>
      <c r="H3084" s="78" t="b">
        <f>IF(VLOOKUP(C3084,Projetos!A:L,12,false)=TRUE,TRUE,FALSE)</f>
        <v>1</v>
      </c>
      <c r="I3084" s="68">
        <v>41.447525582529835</v>
      </c>
      <c r="J3084" s="68">
        <f t="shared" si="1"/>
        <v>41.44752558</v>
      </c>
      <c r="K3084" s="68" t="b">
        <v>1</v>
      </c>
    </row>
    <row r="3085" hidden="1">
      <c r="A3085" s="75">
        <v>3079.0</v>
      </c>
      <c r="B3085" s="62" t="s">
        <v>1306</v>
      </c>
      <c r="C3085" s="62" t="s">
        <v>113</v>
      </c>
      <c r="D3085" s="62" t="s">
        <v>1970</v>
      </c>
      <c r="E3085" s="76">
        <v>44159.0</v>
      </c>
      <c r="F3085" s="77">
        <v>0.04861111111111111</v>
      </c>
      <c r="G3085" s="62" t="b">
        <v>0</v>
      </c>
      <c r="H3085" s="78" t="b">
        <f>IF(VLOOKUP(C3085,Projetos!A:L,12,false)=TRUE,TRUE,FALSE)</f>
        <v>1</v>
      </c>
      <c r="I3085" s="68">
        <v>41.447525582529835</v>
      </c>
      <c r="J3085" s="68">
        <f t="shared" si="1"/>
        <v>0</v>
      </c>
      <c r="K3085" s="68" t="b">
        <v>1</v>
      </c>
    </row>
    <row r="3086" hidden="1">
      <c r="A3086" s="75">
        <v>3080.0</v>
      </c>
      <c r="B3086" s="62" t="s">
        <v>1306</v>
      </c>
      <c r="C3086" s="62" t="s">
        <v>108</v>
      </c>
      <c r="D3086" s="62" t="s">
        <v>1618</v>
      </c>
      <c r="E3086" s="76">
        <v>44159.0</v>
      </c>
      <c r="F3086" s="77">
        <v>0.02847222222222222</v>
      </c>
      <c r="G3086" s="62" t="b">
        <v>1</v>
      </c>
      <c r="H3086" s="78" t="b">
        <f>IF(VLOOKUP(C3086,Projetos!A:L,12,false)=TRUE,TRUE,FALSE)</f>
        <v>1</v>
      </c>
      <c r="I3086" s="68">
        <v>41.447525582529835</v>
      </c>
      <c r="J3086" s="68">
        <f t="shared" si="1"/>
        <v>28.32247581</v>
      </c>
      <c r="K3086" s="68" t="b">
        <v>1</v>
      </c>
    </row>
    <row r="3087" hidden="1">
      <c r="A3087" s="75">
        <v>3081.0</v>
      </c>
      <c r="B3087" s="62" t="s">
        <v>1306</v>
      </c>
      <c r="C3087" s="62" t="s">
        <v>111</v>
      </c>
      <c r="D3087" s="62" t="s">
        <v>1971</v>
      </c>
      <c r="E3087" s="76">
        <v>44160.0</v>
      </c>
      <c r="F3087" s="77">
        <v>0.09236111111111112</v>
      </c>
      <c r="G3087" s="62" t="b">
        <v>0</v>
      </c>
      <c r="H3087" s="78" t="b">
        <f>IF(VLOOKUP(C3087,Projetos!A:L,12,false)=TRUE,TRUE,FALSE)</f>
        <v>0</v>
      </c>
      <c r="I3087" s="68">
        <v>41.447525582529835</v>
      </c>
      <c r="J3087" s="68">
        <f t="shared" si="1"/>
        <v>0</v>
      </c>
      <c r="K3087" s="68" t="b">
        <v>0</v>
      </c>
    </row>
    <row r="3088">
      <c r="A3088" s="75">
        <v>3082.0</v>
      </c>
      <c r="B3088" s="62" t="s">
        <v>1306</v>
      </c>
      <c r="C3088" s="62" t="s">
        <v>90</v>
      </c>
      <c r="D3088" s="62" t="s">
        <v>1972</v>
      </c>
      <c r="E3088" s="76">
        <v>44160.0</v>
      </c>
      <c r="F3088" s="77">
        <v>0.041666666666666664</v>
      </c>
      <c r="G3088" s="62" t="b">
        <v>1</v>
      </c>
      <c r="H3088" s="78" t="b">
        <f>IF(VLOOKUP(C3088,Projetos!A:L,12,false)=TRUE,TRUE,FALSE)</f>
        <v>1</v>
      </c>
      <c r="I3088" s="68">
        <v>41.447525582529835</v>
      </c>
      <c r="J3088" s="68">
        <f t="shared" si="1"/>
        <v>41.44752558</v>
      </c>
      <c r="K3088" s="68" t="b">
        <v>1</v>
      </c>
    </row>
    <row r="3089" hidden="1">
      <c r="A3089" s="75">
        <v>3083.0</v>
      </c>
      <c r="B3089" s="62" t="s">
        <v>1306</v>
      </c>
      <c r="C3089" s="62" t="s">
        <v>108</v>
      </c>
      <c r="D3089" s="62" t="s">
        <v>1958</v>
      </c>
      <c r="E3089" s="76">
        <v>44160.0</v>
      </c>
      <c r="F3089" s="77">
        <v>0.04583333333333333</v>
      </c>
      <c r="G3089" s="62" t="b">
        <v>0</v>
      </c>
      <c r="H3089" s="78" t="b">
        <f>IF(VLOOKUP(C3089,Projetos!A:L,12,false)=TRUE,TRUE,FALSE)</f>
        <v>1</v>
      </c>
      <c r="I3089" s="68">
        <v>41.447525582529835</v>
      </c>
      <c r="J3089" s="68">
        <f t="shared" si="1"/>
        <v>0</v>
      </c>
      <c r="K3089" s="68" t="b">
        <v>1</v>
      </c>
    </row>
    <row r="3090" hidden="1">
      <c r="A3090" s="75">
        <v>3084.0</v>
      </c>
      <c r="B3090" s="62" t="s">
        <v>1306</v>
      </c>
      <c r="C3090" s="62" t="s">
        <v>83</v>
      </c>
      <c r="D3090" s="62" t="s">
        <v>1973</v>
      </c>
      <c r="E3090" s="76">
        <v>44160.0</v>
      </c>
      <c r="F3090" s="77">
        <v>0.07361111111111111</v>
      </c>
      <c r="G3090" s="62" t="b">
        <v>0</v>
      </c>
      <c r="H3090" s="78" t="b">
        <f>IF(VLOOKUP(C3090,Projetos!A:L,12,false)=TRUE,TRUE,FALSE)</f>
        <v>0</v>
      </c>
      <c r="I3090" s="68">
        <v>41.447525582529835</v>
      </c>
      <c r="J3090" s="68">
        <f t="shared" si="1"/>
        <v>0</v>
      </c>
      <c r="K3090" s="68" t="b">
        <v>0</v>
      </c>
    </row>
    <row r="3091" hidden="1">
      <c r="A3091" s="75">
        <v>3085.0</v>
      </c>
      <c r="B3091" s="62" t="s">
        <v>1306</v>
      </c>
      <c r="C3091" s="62" t="s">
        <v>108</v>
      </c>
      <c r="D3091" s="62" t="s">
        <v>1974</v>
      </c>
      <c r="E3091" s="76">
        <v>44160.0</v>
      </c>
      <c r="F3091" s="77">
        <v>0.020833333333333332</v>
      </c>
      <c r="G3091" s="62" t="b">
        <v>0</v>
      </c>
      <c r="H3091" s="78" t="b">
        <f>IF(VLOOKUP(C3091,Projetos!A:L,12,false)=TRUE,TRUE,FALSE)</f>
        <v>1</v>
      </c>
      <c r="I3091" s="68">
        <v>41.447525582529835</v>
      </c>
      <c r="J3091" s="68">
        <f t="shared" si="1"/>
        <v>0</v>
      </c>
      <c r="K3091" s="68" t="b">
        <v>1</v>
      </c>
    </row>
    <row r="3092">
      <c r="A3092" s="75">
        <v>3086.0</v>
      </c>
      <c r="B3092" s="62" t="s">
        <v>1306</v>
      </c>
      <c r="C3092" s="62" t="s">
        <v>90</v>
      </c>
      <c r="D3092" s="62" t="s">
        <v>1975</v>
      </c>
      <c r="E3092" s="76">
        <v>44160.0</v>
      </c>
      <c r="F3092" s="77">
        <v>0.041666666666666664</v>
      </c>
      <c r="G3092" s="62" t="b">
        <v>1</v>
      </c>
      <c r="H3092" s="78" t="b">
        <f>IF(VLOOKUP(C3092,Projetos!A:L,12,false)=TRUE,TRUE,FALSE)</f>
        <v>1</v>
      </c>
      <c r="I3092" s="68">
        <v>41.447525582529835</v>
      </c>
      <c r="J3092" s="68">
        <f t="shared" si="1"/>
        <v>41.44752558</v>
      </c>
      <c r="K3092" s="68" t="b">
        <v>1</v>
      </c>
    </row>
    <row r="3093">
      <c r="A3093" s="75">
        <v>3087.0</v>
      </c>
      <c r="B3093" s="62" t="s">
        <v>1306</v>
      </c>
      <c r="C3093" s="62" t="s">
        <v>116</v>
      </c>
      <c r="D3093" s="62" t="s">
        <v>1976</v>
      </c>
      <c r="E3093" s="76">
        <v>44160.0</v>
      </c>
      <c r="F3093" s="77">
        <v>0.020833333333333332</v>
      </c>
      <c r="G3093" s="62" t="b">
        <v>1</v>
      </c>
      <c r="H3093" s="78" t="b">
        <f>IF(VLOOKUP(C3093,Projetos!A:L,12,false)=TRUE,TRUE,FALSE)</f>
        <v>1</v>
      </c>
      <c r="I3093" s="68">
        <v>41.447525582529835</v>
      </c>
      <c r="J3093" s="68">
        <f t="shared" si="1"/>
        <v>20.72376279</v>
      </c>
      <c r="K3093" s="68" t="b">
        <v>1</v>
      </c>
    </row>
    <row r="3094" hidden="1">
      <c r="A3094" s="75">
        <v>3088.0</v>
      </c>
      <c r="B3094" s="62" t="s">
        <v>1306</v>
      </c>
      <c r="C3094" s="62" t="s">
        <v>108</v>
      </c>
      <c r="D3094" s="62" t="s">
        <v>1958</v>
      </c>
      <c r="E3094" s="76">
        <v>44160.0</v>
      </c>
      <c r="F3094" s="77">
        <v>0.043055555555555555</v>
      </c>
      <c r="G3094" s="62" t="b">
        <v>0</v>
      </c>
      <c r="H3094" s="78" t="b">
        <f>IF(VLOOKUP(C3094,Projetos!A:L,12,false)=TRUE,TRUE,FALSE)</f>
        <v>1</v>
      </c>
      <c r="I3094" s="68">
        <v>41.447525582529835</v>
      </c>
      <c r="J3094" s="68">
        <f t="shared" si="1"/>
        <v>0</v>
      </c>
      <c r="K3094" s="68" t="b">
        <v>1</v>
      </c>
    </row>
    <row r="3095" hidden="1">
      <c r="A3095" s="75">
        <v>3089.0</v>
      </c>
      <c r="B3095" s="62" t="s">
        <v>1306</v>
      </c>
      <c r="C3095" s="62" t="s">
        <v>108</v>
      </c>
      <c r="D3095" s="62" t="s">
        <v>1977</v>
      </c>
      <c r="E3095" s="76">
        <v>44161.0</v>
      </c>
      <c r="F3095" s="77">
        <v>0.05555555555555555</v>
      </c>
      <c r="G3095" s="62" t="b">
        <v>0</v>
      </c>
      <c r="H3095" s="78" t="b">
        <f>IF(VLOOKUP(C3095,Projetos!A:L,12,false)=TRUE,TRUE,FALSE)</f>
        <v>1</v>
      </c>
      <c r="I3095" s="68">
        <v>41.447525582529835</v>
      </c>
      <c r="J3095" s="68">
        <f t="shared" si="1"/>
        <v>0</v>
      </c>
      <c r="K3095" s="68" t="b">
        <v>1</v>
      </c>
    </row>
    <row r="3096">
      <c r="A3096" s="75">
        <v>3090.0</v>
      </c>
      <c r="B3096" s="62" t="s">
        <v>1306</v>
      </c>
      <c r="C3096" s="62" t="s">
        <v>90</v>
      </c>
      <c r="D3096" s="62" t="s">
        <v>1978</v>
      </c>
      <c r="E3096" s="76">
        <v>44161.0</v>
      </c>
      <c r="F3096" s="77">
        <v>0.041666666666666664</v>
      </c>
      <c r="G3096" s="62" t="b">
        <v>1</v>
      </c>
      <c r="H3096" s="78" t="b">
        <f>IF(VLOOKUP(C3096,Projetos!A:L,12,false)=TRUE,TRUE,FALSE)</f>
        <v>1</v>
      </c>
      <c r="I3096" s="68">
        <v>41.447525582529835</v>
      </c>
      <c r="J3096" s="68">
        <f t="shared" si="1"/>
        <v>41.44752558</v>
      </c>
      <c r="K3096" s="68" t="b">
        <v>1</v>
      </c>
    </row>
    <row r="3097" hidden="1">
      <c r="A3097" s="75">
        <v>3091.0</v>
      </c>
      <c r="B3097" s="62" t="s">
        <v>1306</v>
      </c>
      <c r="C3097" s="62" t="s">
        <v>108</v>
      </c>
      <c r="D3097" s="62" t="s">
        <v>1979</v>
      </c>
      <c r="E3097" s="76">
        <v>44161.0</v>
      </c>
      <c r="F3097" s="77">
        <v>0.020833333333333332</v>
      </c>
      <c r="G3097" s="62" t="b">
        <v>1</v>
      </c>
      <c r="H3097" s="78" t="b">
        <f>IF(VLOOKUP(C3097,Projetos!A:L,12,false)=TRUE,TRUE,FALSE)</f>
        <v>1</v>
      </c>
      <c r="I3097" s="68">
        <v>41.447525582529835</v>
      </c>
      <c r="J3097" s="68">
        <f t="shared" si="1"/>
        <v>20.72376279</v>
      </c>
      <c r="K3097" s="68" t="b">
        <v>1</v>
      </c>
    </row>
    <row r="3098">
      <c r="A3098" s="75">
        <v>3092.0</v>
      </c>
      <c r="B3098" s="62" t="s">
        <v>1306</v>
      </c>
      <c r="C3098" s="62" t="s">
        <v>90</v>
      </c>
      <c r="D3098" s="62" t="s">
        <v>1980</v>
      </c>
      <c r="E3098" s="76">
        <v>44161.0</v>
      </c>
      <c r="F3098" s="77">
        <v>0.027777777777777776</v>
      </c>
      <c r="G3098" s="62" t="b">
        <v>1</v>
      </c>
      <c r="H3098" s="78" t="b">
        <f>IF(VLOOKUP(C3098,Projetos!A:L,12,false)=TRUE,TRUE,FALSE)</f>
        <v>1</v>
      </c>
      <c r="I3098" s="68">
        <v>41.447525582529835</v>
      </c>
      <c r="J3098" s="68">
        <f t="shared" si="1"/>
        <v>27.63168372</v>
      </c>
      <c r="K3098" s="68" t="b">
        <v>1</v>
      </c>
    </row>
    <row r="3099">
      <c r="A3099" s="75">
        <v>3093.0</v>
      </c>
      <c r="B3099" s="62" t="s">
        <v>1306</v>
      </c>
      <c r="C3099" s="62" t="s">
        <v>116</v>
      </c>
      <c r="D3099" s="62" t="s">
        <v>1981</v>
      </c>
      <c r="E3099" s="76">
        <v>44161.0</v>
      </c>
      <c r="F3099" s="77">
        <v>0.029166666666666667</v>
      </c>
      <c r="G3099" s="62" t="b">
        <v>1</v>
      </c>
      <c r="H3099" s="78" t="b">
        <f>IF(VLOOKUP(C3099,Projetos!A:L,12,false)=TRUE,TRUE,FALSE)</f>
        <v>1</v>
      </c>
      <c r="I3099" s="68">
        <v>41.447525582529835</v>
      </c>
      <c r="J3099" s="68">
        <f t="shared" si="1"/>
        <v>29.01326791</v>
      </c>
      <c r="K3099" s="68" t="b">
        <v>1</v>
      </c>
    </row>
    <row r="3100" hidden="1">
      <c r="A3100" s="75">
        <v>3094.0</v>
      </c>
      <c r="B3100" s="62" t="s">
        <v>1306</v>
      </c>
      <c r="C3100" s="62" t="s">
        <v>108</v>
      </c>
      <c r="D3100" s="62" t="s">
        <v>1982</v>
      </c>
      <c r="E3100" s="76">
        <v>44161.0</v>
      </c>
      <c r="F3100" s="77">
        <v>0.08541666666666667</v>
      </c>
      <c r="G3100" s="62" t="b">
        <v>1</v>
      </c>
      <c r="H3100" s="78" t="b">
        <f>IF(VLOOKUP(C3100,Projetos!A:L,12,false)=TRUE,TRUE,FALSE)</f>
        <v>1</v>
      </c>
      <c r="I3100" s="68">
        <v>41.447525582529835</v>
      </c>
      <c r="J3100" s="68">
        <f t="shared" si="1"/>
        <v>84.96742744</v>
      </c>
      <c r="K3100" s="68" t="b">
        <v>1</v>
      </c>
    </row>
    <row r="3101">
      <c r="A3101" s="75">
        <v>3095.0</v>
      </c>
      <c r="B3101" s="62" t="s">
        <v>1306</v>
      </c>
      <c r="C3101" s="62" t="s">
        <v>90</v>
      </c>
      <c r="D3101" s="62" t="s">
        <v>1983</v>
      </c>
      <c r="E3101" s="76">
        <v>44161.0</v>
      </c>
      <c r="F3101" s="77">
        <v>0.034722222222222224</v>
      </c>
      <c r="G3101" s="62" t="b">
        <v>1</v>
      </c>
      <c r="H3101" s="78" t="b">
        <f>IF(VLOOKUP(C3101,Projetos!A:L,12,false)=TRUE,TRUE,FALSE)</f>
        <v>1</v>
      </c>
      <c r="I3101" s="68">
        <v>41.447525582529835</v>
      </c>
      <c r="J3101" s="68">
        <f t="shared" si="1"/>
        <v>34.53960465</v>
      </c>
      <c r="K3101" s="68" t="b">
        <v>1</v>
      </c>
    </row>
    <row r="3102" hidden="1">
      <c r="A3102" s="75">
        <v>3096.0</v>
      </c>
      <c r="B3102" s="62" t="s">
        <v>1306</v>
      </c>
      <c r="C3102" s="62" t="s">
        <v>108</v>
      </c>
      <c r="D3102" s="62" t="s">
        <v>1984</v>
      </c>
      <c r="E3102" s="76">
        <v>44161.0</v>
      </c>
      <c r="F3102" s="77">
        <v>0.11805555555555555</v>
      </c>
      <c r="G3102" s="62" t="b">
        <v>1</v>
      </c>
      <c r="H3102" s="78" t="b">
        <f>IF(VLOOKUP(C3102,Projetos!A:L,12,false)=TRUE,TRUE,FALSE)</f>
        <v>1</v>
      </c>
      <c r="I3102" s="68">
        <v>41.447525582529835</v>
      </c>
      <c r="J3102" s="68">
        <f t="shared" si="1"/>
        <v>117.4346558</v>
      </c>
      <c r="K3102" s="68" t="b">
        <v>1</v>
      </c>
    </row>
    <row r="3103" hidden="1">
      <c r="A3103" s="75">
        <v>3097.0</v>
      </c>
      <c r="B3103" s="62" t="s">
        <v>1306</v>
      </c>
      <c r="C3103" s="62" t="s">
        <v>108</v>
      </c>
      <c r="D3103" s="62" t="s">
        <v>1985</v>
      </c>
      <c r="E3103" s="76">
        <v>44162.0</v>
      </c>
      <c r="F3103" s="77">
        <v>0.016666666666666666</v>
      </c>
      <c r="G3103" s="62" t="b">
        <v>1</v>
      </c>
      <c r="H3103" s="78" t="b">
        <f>IF(VLOOKUP(C3103,Projetos!A:L,12,false)=TRUE,TRUE,FALSE)</f>
        <v>1</v>
      </c>
      <c r="I3103" s="68">
        <v>41.447525582529835</v>
      </c>
      <c r="J3103" s="68">
        <f t="shared" si="1"/>
        <v>16.57901023</v>
      </c>
      <c r="K3103" s="68" t="b">
        <v>1</v>
      </c>
    </row>
    <row r="3104">
      <c r="A3104" s="75">
        <v>3098.0</v>
      </c>
      <c r="B3104" s="62" t="s">
        <v>1306</v>
      </c>
      <c r="C3104" s="62" t="s">
        <v>116</v>
      </c>
      <c r="D3104" s="62" t="s">
        <v>1986</v>
      </c>
      <c r="E3104" s="76">
        <v>44162.0</v>
      </c>
      <c r="F3104" s="77">
        <v>0.034722222222222224</v>
      </c>
      <c r="G3104" s="62" t="b">
        <v>1</v>
      </c>
      <c r="H3104" s="78" t="b">
        <f>IF(VLOOKUP(C3104,Projetos!A:L,12,false)=TRUE,TRUE,FALSE)</f>
        <v>1</v>
      </c>
      <c r="I3104" s="68">
        <v>41.447525582529835</v>
      </c>
      <c r="J3104" s="68">
        <f t="shared" si="1"/>
        <v>34.53960465</v>
      </c>
      <c r="K3104" s="68" t="b">
        <v>1</v>
      </c>
    </row>
    <row r="3105" hidden="1">
      <c r="A3105" s="75">
        <v>3099.0</v>
      </c>
      <c r="B3105" s="62" t="s">
        <v>1306</v>
      </c>
      <c r="C3105" s="62" t="s">
        <v>108</v>
      </c>
      <c r="D3105" s="62" t="s">
        <v>1987</v>
      </c>
      <c r="E3105" s="76">
        <v>44162.0</v>
      </c>
      <c r="F3105" s="77">
        <v>0.1986111111111111</v>
      </c>
      <c r="G3105" s="62" t="b">
        <v>1</v>
      </c>
      <c r="H3105" s="78" t="b">
        <f>IF(VLOOKUP(C3105,Projetos!A:L,12,false)=TRUE,TRUE,FALSE)</f>
        <v>1</v>
      </c>
      <c r="I3105" s="68">
        <v>41.447525582529835</v>
      </c>
      <c r="J3105" s="68">
        <f t="shared" si="1"/>
        <v>197.5665386</v>
      </c>
      <c r="K3105" s="68" t="b">
        <v>1</v>
      </c>
    </row>
    <row r="3106" hidden="1">
      <c r="A3106" s="75">
        <v>3100.0</v>
      </c>
      <c r="B3106" s="62" t="s">
        <v>1306</v>
      </c>
      <c r="C3106" s="62" t="s">
        <v>83</v>
      </c>
      <c r="D3106" s="62" t="s">
        <v>1988</v>
      </c>
      <c r="E3106" s="76">
        <v>44162.0</v>
      </c>
      <c r="F3106" s="77">
        <v>0.043055555555555555</v>
      </c>
      <c r="G3106" s="62" t="b">
        <v>0</v>
      </c>
      <c r="H3106" s="78" t="b">
        <f>IF(VLOOKUP(C3106,Projetos!A:L,12,false)=TRUE,TRUE,FALSE)</f>
        <v>0</v>
      </c>
      <c r="I3106" s="68">
        <v>41.447525582529835</v>
      </c>
      <c r="J3106" s="68">
        <f t="shared" si="1"/>
        <v>0</v>
      </c>
      <c r="K3106" s="68" t="b">
        <v>0</v>
      </c>
    </row>
    <row r="3107">
      <c r="A3107" s="75">
        <v>3101.0</v>
      </c>
      <c r="B3107" s="62" t="s">
        <v>1306</v>
      </c>
      <c r="C3107" s="62" t="s">
        <v>112</v>
      </c>
      <c r="D3107" s="62" t="s">
        <v>1989</v>
      </c>
      <c r="E3107" s="76">
        <v>44162.0</v>
      </c>
      <c r="F3107" s="77">
        <v>0.052083333333333336</v>
      </c>
      <c r="G3107" s="62" t="b">
        <v>1</v>
      </c>
      <c r="H3107" s="78" t="b">
        <f>IF(VLOOKUP(C3107,Projetos!A:L,12,false)=TRUE,TRUE,FALSE)</f>
        <v>1</v>
      </c>
      <c r="I3107" s="68">
        <v>41.447525582529835</v>
      </c>
      <c r="J3107" s="68">
        <f t="shared" si="1"/>
        <v>51.80940698</v>
      </c>
      <c r="K3107" s="68" t="b">
        <v>1</v>
      </c>
    </row>
    <row r="3108" hidden="1">
      <c r="A3108" s="75">
        <v>3102.0</v>
      </c>
      <c r="B3108" s="62" t="s">
        <v>1306</v>
      </c>
      <c r="C3108" s="62" t="s">
        <v>111</v>
      </c>
      <c r="D3108" s="62" t="s">
        <v>1990</v>
      </c>
      <c r="E3108" s="76">
        <v>44162.0</v>
      </c>
      <c r="F3108" s="77">
        <v>0.017361111111111112</v>
      </c>
      <c r="G3108" s="62" t="b">
        <v>0</v>
      </c>
      <c r="H3108" s="78" t="b">
        <f>IF(VLOOKUP(C3108,Projetos!A:L,12,false)=TRUE,TRUE,FALSE)</f>
        <v>0</v>
      </c>
      <c r="I3108" s="68">
        <v>41.447525582529835</v>
      </c>
      <c r="J3108" s="68">
        <f t="shared" si="1"/>
        <v>0</v>
      </c>
      <c r="K3108" s="68" t="b">
        <v>0</v>
      </c>
    </row>
    <row r="3109" hidden="1">
      <c r="A3109" s="75">
        <v>3103.0</v>
      </c>
      <c r="B3109" s="62" t="s">
        <v>1306</v>
      </c>
      <c r="C3109" s="62" t="s">
        <v>108</v>
      </c>
      <c r="D3109" s="62" t="s">
        <v>1991</v>
      </c>
      <c r="E3109" s="76">
        <v>44162.0</v>
      </c>
      <c r="F3109" s="77">
        <v>0.022222222222222223</v>
      </c>
      <c r="G3109" s="62" t="b">
        <v>1</v>
      </c>
      <c r="H3109" s="78" t="b">
        <f>IF(VLOOKUP(C3109,Projetos!A:L,12,false)=TRUE,TRUE,FALSE)</f>
        <v>1</v>
      </c>
      <c r="I3109" s="68">
        <v>41.447525582529835</v>
      </c>
      <c r="J3109" s="68">
        <f t="shared" si="1"/>
        <v>22.10534698</v>
      </c>
      <c r="K3109" s="68" t="b">
        <v>1</v>
      </c>
    </row>
    <row r="3110" hidden="1">
      <c r="A3110" s="75">
        <v>3104.0</v>
      </c>
      <c r="B3110" s="62" t="s">
        <v>1306</v>
      </c>
      <c r="C3110" s="62" t="s">
        <v>83</v>
      </c>
      <c r="D3110" s="62" t="s">
        <v>1992</v>
      </c>
      <c r="E3110" s="76">
        <v>44165.0</v>
      </c>
      <c r="F3110" s="77">
        <v>0.03263888888888889</v>
      </c>
      <c r="G3110" s="62" t="b">
        <v>0</v>
      </c>
      <c r="H3110" s="78" t="b">
        <f>IF(VLOOKUP(C3110,Projetos!A:L,12,false)=TRUE,TRUE,FALSE)</f>
        <v>0</v>
      </c>
      <c r="I3110" s="68">
        <v>41.447525582529835</v>
      </c>
      <c r="J3110" s="68">
        <f t="shared" si="1"/>
        <v>0</v>
      </c>
      <c r="K3110" s="68" t="b">
        <v>0</v>
      </c>
    </row>
    <row r="3111" hidden="1">
      <c r="A3111" s="75">
        <v>3105.0</v>
      </c>
      <c r="B3111" s="62" t="s">
        <v>1306</v>
      </c>
      <c r="C3111" s="62" t="s">
        <v>108</v>
      </c>
      <c r="D3111" s="62" t="s">
        <v>1993</v>
      </c>
      <c r="E3111" s="76">
        <v>44165.0</v>
      </c>
      <c r="F3111" s="77">
        <v>0.041666666666666664</v>
      </c>
      <c r="G3111" s="62" t="b">
        <v>1</v>
      </c>
      <c r="H3111" s="78" t="b">
        <f>IF(VLOOKUP(C3111,Projetos!A:L,12,false)=TRUE,TRUE,FALSE)</f>
        <v>1</v>
      </c>
      <c r="I3111" s="68">
        <v>41.447525582529835</v>
      </c>
      <c r="J3111" s="68">
        <f t="shared" si="1"/>
        <v>41.44752558</v>
      </c>
      <c r="K3111" s="68" t="b">
        <v>1</v>
      </c>
    </row>
    <row r="3112" hidden="1">
      <c r="A3112" s="75">
        <v>3106.0</v>
      </c>
      <c r="B3112" s="62" t="s">
        <v>1306</v>
      </c>
      <c r="C3112" s="62" t="s">
        <v>83</v>
      </c>
      <c r="D3112" s="62" t="s">
        <v>1994</v>
      </c>
      <c r="E3112" s="76">
        <v>44165.0</v>
      </c>
      <c r="F3112" s="77">
        <v>0.041666666666666664</v>
      </c>
      <c r="G3112" s="62" t="b">
        <v>0</v>
      </c>
      <c r="H3112" s="78" t="b">
        <f>IF(VLOOKUP(C3112,Projetos!A:L,12,false)=TRUE,TRUE,FALSE)</f>
        <v>0</v>
      </c>
      <c r="I3112" s="68">
        <v>41.447525582529835</v>
      </c>
      <c r="J3112" s="68">
        <f t="shared" si="1"/>
        <v>0</v>
      </c>
      <c r="K3112" s="68" t="b">
        <v>0</v>
      </c>
    </row>
    <row r="3113">
      <c r="A3113" s="75">
        <v>3107.0</v>
      </c>
      <c r="B3113" s="62" t="s">
        <v>1306</v>
      </c>
      <c r="C3113" s="62" t="s">
        <v>90</v>
      </c>
      <c r="D3113" s="62" t="s">
        <v>1995</v>
      </c>
      <c r="E3113" s="76">
        <v>44165.0</v>
      </c>
      <c r="F3113" s="77">
        <v>0.020833333333333332</v>
      </c>
      <c r="G3113" s="62" t="b">
        <v>1</v>
      </c>
      <c r="H3113" s="78" t="b">
        <f>IF(VLOOKUP(C3113,Projetos!A:L,12,false)=TRUE,TRUE,FALSE)</f>
        <v>1</v>
      </c>
      <c r="I3113" s="68">
        <v>41.447525582529835</v>
      </c>
      <c r="J3113" s="68">
        <f t="shared" si="1"/>
        <v>20.72376279</v>
      </c>
      <c r="K3113" s="68" t="b">
        <v>1</v>
      </c>
    </row>
    <row r="3114" hidden="1">
      <c r="A3114" s="75">
        <v>3108.0</v>
      </c>
      <c r="B3114" s="62" t="s">
        <v>1306</v>
      </c>
      <c r="C3114" s="62" t="s">
        <v>108</v>
      </c>
      <c r="D3114" s="62" t="s">
        <v>1996</v>
      </c>
      <c r="E3114" s="76">
        <v>44165.0</v>
      </c>
      <c r="F3114" s="77">
        <v>0.11319444444444444</v>
      </c>
      <c r="G3114" s="62" t="b">
        <v>1</v>
      </c>
      <c r="H3114" s="78" t="b">
        <f>IF(VLOOKUP(C3114,Projetos!A:L,12,false)=TRUE,TRUE,FALSE)</f>
        <v>1</v>
      </c>
      <c r="I3114" s="68">
        <v>41.447525582529835</v>
      </c>
      <c r="J3114" s="68">
        <f t="shared" si="1"/>
        <v>112.5991112</v>
      </c>
      <c r="K3114" s="68" t="b">
        <v>1</v>
      </c>
    </row>
    <row r="3115" hidden="1">
      <c r="A3115" s="75">
        <v>3109.0</v>
      </c>
      <c r="B3115" s="62" t="s">
        <v>1306</v>
      </c>
      <c r="C3115" s="62" t="s">
        <v>108</v>
      </c>
      <c r="D3115" s="62" t="s">
        <v>1997</v>
      </c>
      <c r="E3115" s="76">
        <v>44165.0</v>
      </c>
      <c r="F3115" s="77">
        <v>0.04375</v>
      </c>
      <c r="G3115" s="62" t="b">
        <v>1</v>
      </c>
      <c r="H3115" s="78" t="b">
        <f>IF(VLOOKUP(C3115,Projetos!A:L,12,false)=TRUE,TRUE,FALSE)</f>
        <v>1</v>
      </c>
      <c r="I3115" s="68">
        <v>41.447525582529835</v>
      </c>
      <c r="J3115" s="68">
        <f t="shared" si="1"/>
        <v>43.51990186</v>
      </c>
      <c r="K3115" s="68" t="b">
        <v>1</v>
      </c>
    </row>
    <row r="3116" hidden="1">
      <c r="A3116" s="75">
        <v>3110.0</v>
      </c>
      <c r="B3116" s="62" t="s">
        <v>1306</v>
      </c>
      <c r="C3116" s="62" t="s">
        <v>83</v>
      </c>
      <c r="D3116" s="62" t="s">
        <v>1998</v>
      </c>
      <c r="E3116" s="76">
        <v>44165.0</v>
      </c>
      <c r="F3116" s="77">
        <v>0.027777777777777776</v>
      </c>
      <c r="G3116" s="62" t="b">
        <v>0</v>
      </c>
      <c r="H3116" s="78" t="b">
        <f>IF(VLOOKUP(C3116,Projetos!A:L,12,false)=TRUE,TRUE,FALSE)</f>
        <v>0</v>
      </c>
      <c r="I3116" s="68">
        <v>41.447525582529835</v>
      </c>
      <c r="J3116" s="68">
        <f t="shared" si="1"/>
        <v>0</v>
      </c>
      <c r="K3116" s="68" t="b">
        <v>0</v>
      </c>
    </row>
    <row r="3117">
      <c r="A3117" s="75">
        <v>3111.0</v>
      </c>
      <c r="B3117" s="62" t="s">
        <v>1306</v>
      </c>
      <c r="C3117" s="62" t="s">
        <v>116</v>
      </c>
      <c r="D3117" s="62" t="s">
        <v>1999</v>
      </c>
      <c r="E3117" s="76">
        <v>44165.0</v>
      </c>
      <c r="F3117" s="77">
        <v>0.020833333333333332</v>
      </c>
      <c r="G3117" s="62" t="b">
        <v>1</v>
      </c>
      <c r="H3117" s="78" t="b">
        <f>IF(VLOOKUP(C3117,Projetos!A:L,12,false)=TRUE,TRUE,FALSE)</f>
        <v>1</v>
      </c>
      <c r="I3117" s="68">
        <v>41.447525582529835</v>
      </c>
      <c r="J3117" s="68">
        <f t="shared" si="1"/>
        <v>20.72376279</v>
      </c>
      <c r="K3117" s="68" t="b">
        <v>1</v>
      </c>
    </row>
    <row r="3118">
      <c r="A3118" s="75">
        <v>3112.0</v>
      </c>
      <c r="B3118" s="62" t="s">
        <v>1306</v>
      </c>
      <c r="C3118" s="62" t="s">
        <v>113</v>
      </c>
      <c r="D3118" s="62" t="s">
        <v>2000</v>
      </c>
      <c r="E3118" s="76">
        <v>44165.0</v>
      </c>
      <c r="F3118" s="77">
        <v>0.01875</v>
      </c>
      <c r="G3118" s="62" t="b">
        <v>1</v>
      </c>
      <c r="H3118" s="78" t="b">
        <f>IF(VLOOKUP(C3118,Projetos!A:L,12,false)=TRUE,TRUE,FALSE)</f>
        <v>1</v>
      </c>
      <c r="I3118" s="68">
        <v>41.447525582529835</v>
      </c>
      <c r="J3118" s="68">
        <f t="shared" si="1"/>
        <v>18.65138651</v>
      </c>
      <c r="K3118" s="68" t="b">
        <v>1</v>
      </c>
    </row>
    <row r="3119">
      <c r="A3119" s="75">
        <v>3113.0</v>
      </c>
      <c r="B3119" s="62" t="s">
        <v>1306</v>
      </c>
      <c r="C3119" s="62" t="s">
        <v>90</v>
      </c>
      <c r="D3119" s="62" t="s">
        <v>2001</v>
      </c>
      <c r="E3119" s="76">
        <v>44166.0</v>
      </c>
      <c r="F3119" s="77">
        <v>0.041666666666666664</v>
      </c>
      <c r="G3119" s="62" t="b">
        <v>1</v>
      </c>
      <c r="H3119" s="78" t="b">
        <f>IF(VLOOKUP(C3119,Projetos!A:L,12,false)=TRUE,TRUE,FALSE)</f>
        <v>1</v>
      </c>
      <c r="I3119" s="68">
        <v>43.42121727693602</v>
      </c>
      <c r="J3119" s="68">
        <f t="shared" si="1"/>
        <v>43.42121728</v>
      </c>
      <c r="K3119" s="68" t="b">
        <v>1</v>
      </c>
    </row>
    <row r="3120">
      <c r="A3120" s="75">
        <v>3114.0</v>
      </c>
      <c r="B3120" s="62" t="s">
        <v>1306</v>
      </c>
      <c r="C3120" s="62" t="s">
        <v>113</v>
      </c>
      <c r="D3120" s="62" t="s">
        <v>2002</v>
      </c>
      <c r="E3120" s="76">
        <v>44166.0</v>
      </c>
      <c r="F3120" s="77">
        <v>0.08333333333333333</v>
      </c>
      <c r="G3120" s="62" t="b">
        <v>1</v>
      </c>
      <c r="H3120" s="78" t="b">
        <f>IF(VLOOKUP(C3120,Projetos!A:L,12,false)=TRUE,TRUE,FALSE)</f>
        <v>1</v>
      </c>
      <c r="I3120" s="68">
        <v>43.42121727693602</v>
      </c>
      <c r="J3120" s="68">
        <f t="shared" si="1"/>
        <v>86.84243455</v>
      </c>
      <c r="K3120" s="68" t="b">
        <v>1</v>
      </c>
    </row>
    <row r="3121" hidden="1">
      <c r="A3121" s="75">
        <v>3115.0</v>
      </c>
      <c r="B3121" s="62" t="s">
        <v>1306</v>
      </c>
      <c r="C3121" s="62" t="s">
        <v>108</v>
      </c>
      <c r="D3121" s="62" t="s">
        <v>2003</v>
      </c>
      <c r="E3121" s="76">
        <v>44166.0</v>
      </c>
      <c r="F3121" s="77">
        <v>0.0625</v>
      </c>
      <c r="G3121" s="62" t="b">
        <v>1</v>
      </c>
      <c r="H3121" s="78" t="b">
        <f>IF(VLOOKUP(C3121,Projetos!A:L,12,false)=TRUE,TRUE,FALSE)</f>
        <v>1</v>
      </c>
      <c r="I3121" s="68">
        <v>43.42121727693602</v>
      </c>
      <c r="J3121" s="68">
        <f t="shared" si="1"/>
        <v>65.13182592</v>
      </c>
      <c r="K3121" s="68" t="b">
        <v>1</v>
      </c>
    </row>
    <row r="3122">
      <c r="A3122" s="75">
        <v>3116.0</v>
      </c>
      <c r="B3122" s="62" t="s">
        <v>1306</v>
      </c>
      <c r="C3122" s="62" t="s">
        <v>90</v>
      </c>
      <c r="D3122" s="62" t="s">
        <v>2001</v>
      </c>
      <c r="E3122" s="76">
        <v>44166.0</v>
      </c>
      <c r="F3122" s="77">
        <v>0.020833333333333332</v>
      </c>
      <c r="G3122" s="62" t="b">
        <v>1</v>
      </c>
      <c r="H3122" s="78" t="b">
        <f>IF(VLOOKUP(C3122,Projetos!A:L,12,false)=TRUE,TRUE,FALSE)</f>
        <v>1</v>
      </c>
      <c r="I3122" s="68">
        <v>43.42121727693602</v>
      </c>
      <c r="J3122" s="68">
        <f t="shared" si="1"/>
        <v>21.71060864</v>
      </c>
      <c r="K3122" s="68" t="b">
        <v>1</v>
      </c>
    </row>
    <row r="3123" hidden="1">
      <c r="A3123" s="75">
        <v>3117.0</v>
      </c>
      <c r="B3123" s="62" t="s">
        <v>1306</v>
      </c>
      <c r="C3123" s="62" t="s">
        <v>108</v>
      </c>
      <c r="D3123" s="62" t="s">
        <v>2004</v>
      </c>
      <c r="E3123" s="76">
        <v>44166.0</v>
      </c>
      <c r="F3123" s="77">
        <v>0.041666666666666664</v>
      </c>
      <c r="G3123" s="62" t="b">
        <v>1</v>
      </c>
      <c r="H3123" s="78" t="b">
        <f>IF(VLOOKUP(C3123,Projetos!A:L,12,false)=TRUE,TRUE,FALSE)</f>
        <v>1</v>
      </c>
      <c r="I3123" s="68">
        <v>43.42121727693602</v>
      </c>
      <c r="J3123" s="68">
        <f t="shared" si="1"/>
        <v>43.42121728</v>
      </c>
      <c r="K3123" s="68" t="b">
        <v>1</v>
      </c>
    </row>
    <row r="3124">
      <c r="A3124" s="75">
        <v>3118.0</v>
      </c>
      <c r="B3124" s="62" t="s">
        <v>1306</v>
      </c>
      <c r="C3124" s="62" t="s">
        <v>105</v>
      </c>
      <c r="D3124" s="62" t="s">
        <v>2005</v>
      </c>
      <c r="E3124" s="76">
        <v>44166.0</v>
      </c>
      <c r="F3124" s="77">
        <v>0.125</v>
      </c>
      <c r="G3124" s="62" t="b">
        <v>1</v>
      </c>
      <c r="H3124" s="78" t="b">
        <f>IF(VLOOKUP(C3124,Projetos!A:L,12,false)=TRUE,TRUE,FALSE)</f>
        <v>1</v>
      </c>
      <c r="I3124" s="68">
        <v>43.42121727693602</v>
      </c>
      <c r="J3124" s="68">
        <f t="shared" si="1"/>
        <v>130.2636518</v>
      </c>
      <c r="K3124" s="68" t="b">
        <v>1</v>
      </c>
    </row>
    <row r="3125">
      <c r="A3125" s="75">
        <v>3119.0</v>
      </c>
      <c r="B3125" s="62" t="s">
        <v>1306</v>
      </c>
      <c r="C3125" s="62" t="s">
        <v>104</v>
      </c>
      <c r="D3125" s="62" t="s">
        <v>2001</v>
      </c>
      <c r="E3125" s="76">
        <v>44167.0</v>
      </c>
      <c r="F3125" s="77">
        <v>0.20833333333333334</v>
      </c>
      <c r="G3125" s="62" t="b">
        <v>1</v>
      </c>
      <c r="H3125" s="78" t="b">
        <f>IF(VLOOKUP(C3125,Projetos!A:L,12,false)=TRUE,TRUE,FALSE)</f>
        <v>1</v>
      </c>
      <c r="I3125" s="68">
        <v>43.42121727693602</v>
      </c>
      <c r="J3125" s="68">
        <f t="shared" si="1"/>
        <v>217.1060864</v>
      </c>
      <c r="K3125" s="68" t="b">
        <v>1</v>
      </c>
    </row>
    <row r="3126">
      <c r="A3126" s="75">
        <v>3120.0</v>
      </c>
      <c r="B3126" s="62" t="s">
        <v>1306</v>
      </c>
      <c r="C3126" s="62" t="s">
        <v>90</v>
      </c>
      <c r="D3126" s="62" t="s">
        <v>2006</v>
      </c>
      <c r="E3126" s="76">
        <v>44167.0</v>
      </c>
      <c r="F3126" s="77">
        <v>0.020833333333333332</v>
      </c>
      <c r="G3126" s="62" t="b">
        <v>1</v>
      </c>
      <c r="H3126" s="78" t="b">
        <f>IF(VLOOKUP(C3126,Projetos!A:L,12,false)=TRUE,TRUE,FALSE)</f>
        <v>1</v>
      </c>
      <c r="I3126" s="68">
        <v>43.42121727693602</v>
      </c>
      <c r="J3126" s="68">
        <f t="shared" si="1"/>
        <v>21.71060864</v>
      </c>
      <c r="K3126" s="68" t="b">
        <v>1</v>
      </c>
    </row>
    <row r="3127">
      <c r="A3127" s="75">
        <v>3121.0</v>
      </c>
      <c r="B3127" s="62" t="s">
        <v>1306</v>
      </c>
      <c r="C3127" s="62" t="s">
        <v>105</v>
      </c>
      <c r="D3127" s="62" t="s">
        <v>2005</v>
      </c>
      <c r="E3127" s="76">
        <v>44167.0</v>
      </c>
      <c r="F3127" s="77">
        <v>0.041666666666666664</v>
      </c>
      <c r="G3127" s="62" t="b">
        <v>1</v>
      </c>
      <c r="H3127" s="78" t="b">
        <f>IF(VLOOKUP(C3127,Projetos!A:L,12,false)=TRUE,TRUE,FALSE)</f>
        <v>1</v>
      </c>
      <c r="I3127" s="68">
        <v>43.42121727693602</v>
      </c>
      <c r="J3127" s="68">
        <f t="shared" si="1"/>
        <v>43.42121728</v>
      </c>
      <c r="K3127" s="68" t="b">
        <v>1</v>
      </c>
    </row>
    <row r="3128" hidden="1">
      <c r="A3128" s="75">
        <v>3122.0</v>
      </c>
      <c r="B3128" s="62" t="s">
        <v>1306</v>
      </c>
      <c r="C3128" s="62" t="s">
        <v>108</v>
      </c>
      <c r="D3128" s="62" t="s">
        <v>2007</v>
      </c>
      <c r="E3128" s="76">
        <v>44167.0</v>
      </c>
      <c r="F3128" s="77">
        <v>0.020833333333333332</v>
      </c>
      <c r="G3128" s="62" t="b">
        <v>1</v>
      </c>
      <c r="H3128" s="78" t="b">
        <f>IF(VLOOKUP(C3128,Projetos!A:L,12,false)=TRUE,TRUE,FALSE)</f>
        <v>1</v>
      </c>
      <c r="I3128" s="68">
        <v>43.42121727693602</v>
      </c>
      <c r="J3128" s="68">
        <f t="shared" si="1"/>
        <v>21.71060864</v>
      </c>
      <c r="K3128" s="68" t="b">
        <v>1</v>
      </c>
    </row>
    <row r="3129" hidden="1">
      <c r="A3129" s="75">
        <v>3123.0</v>
      </c>
      <c r="B3129" s="62" t="s">
        <v>1306</v>
      </c>
      <c r="C3129" s="62" t="s">
        <v>83</v>
      </c>
      <c r="D3129" s="62" t="s">
        <v>2008</v>
      </c>
      <c r="E3129" s="76">
        <v>44167.0</v>
      </c>
      <c r="F3129" s="77">
        <v>0.0625</v>
      </c>
      <c r="G3129" s="62" t="b">
        <v>0</v>
      </c>
      <c r="H3129" s="78" t="b">
        <f>IF(VLOOKUP(C3129,Projetos!A:L,12,false)=TRUE,TRUE,FALSE)</f>
        <v>0</v>
      </c>
      <c r="I3129" s="68">
        <v>43.42121727693602</v>
      </c>
      <c r="J3129" s="68">
        <f t="shared" si="1"/>
        <v>0</v>
      </c>
      <c r="K3129" s="68" t="b">
        <v>0</v>
      </c>
    </row>
    <row r="3130" hidden="1">
      <c r="A3130" s="75">
        <v>3124.0</v>
      </c>
      <c r="B3130" s="62" t="s">
        <v>1306</v>
      </c>
      <c r="C3130" s="62" t="s">
        <v>108</v>
      </c>
      <c r="D3130" s="62" t="s">
        <v>2009</v>
      </c>
      <c r="E3130" s="76">
        <v>44167.0</v>
      </c>
      <c r="F3130" s="77">
        <v>0.041666666666666664</v>
      </c>
      <c r="G3130" s="62" t="b">
        <v>1</v>
      </c>
      <c r="H3130" s="78" t="b">
        <f>IF(VLOOKUP(C3130,Projetos!A:L,12,false)=TRUE,TRUE,FALSE)</f>
        <v>1</v>
      </c>
      <c r="I3130" s="68">
        <v>43.42121727693602</v>
      </c>
      <c r="J3130" s="68">
        <f t="shared" si="1"/>
        <v>43.42121728</v>
      </c>
      <c r="K3130" s="68" t="b">
        <v>1</v>
      </c>
    </row>
    <row r="3131">
      <c r="A3131" s="75">
        <v>3125.0</v>
      </c>
      <c r="B3131" s="62" t="s">
        <v>1306</v>
      </c>
      <c r="C3131" s="62" t="s">
        <v>104</v>
      </c>
      <c r="D3131" s="62" t="s">
        <v>2001</v>
      </c>
      <c r="E3131" s="76">
        <v>44168.0</v>
      </c>
      <c r="F3131" s="77">
        <v>0.20833333333333334</v>
      </c>
      <c r="G3131" s="62" t="b">
        <v>1</v>
      </c>
      <c r="H3131" s="78" t="b">
        <f>IF(VLOOKUP(C3131,Projetos!A:L,12,false)=TRUE,TRUE,FALSE)</f>
        <v>1</v>
      </c>
      <c r="I3131" s="68">
        <v>43.42121727693602</v>
      </c>
      <c r="J3131" s="68">
        <f t="shared" si="1"/>
        <v>217.1060864</v>
      </c>
      <c r="K3131" s="68" t="b">
        <v>1</v>
      </c>
    </row>
    <row r="3132" hidden="1">
      <c r="A3132" s="75">
        <v>3126.0</v>
      </c>
      <c r="B3132" s="62" t="s">
        <v>1306</v>
      </c>
      <c r="C3132" s="62" t="s">
        <v>108</v>
      </c>
      <c r="D3132" s="62" t="s">
        <v>2010</v>
      </c>
      <c r="E3132" s="76">
        <v>44168.0</v>
      </c>
      <c r="F3132" s="77">
        <v>0.020833333333333332</v>
      </c>
      <c r="G3132" s="62" t="b">
        <v>1</v>
      </c>
      <c r="H3132" s="78" t="b">
        <f>IF(VLOOKUP(C3132,Projetos!A:L,12,false)=TRUE,TRUE,FALSE)</f>
        <v>1</v>
      </c>
      <c r="I3132" s="68">
        <v>43.42121727693602</v>
      </c>
      <c r="J3132" s="68">
        <f t="shared" si="1"/>
        <v>21.71060864</v>
      </c>
      <c r="K3132" s="68" t="b">
        <v>1</v>
      </c>
    </row>
    <row r="3133" hidden="1">
      <c r="A3133" s="75">
        <v>3127.0</v>
      </c>
      <c r="B3133" s="62" t="s">
        <v>1306</v>
      </c>
      <c r="C3133" s="62" t="s">
        <v>98</v>
      </c>
      <c r="D3133" s="62" t="s">
        <v>2011</v>
      </c>
      <c r="E3133" s="76">
        <v>44168.0</v>
      </c>
      <c r="F3133" s="77">
        <v>0.041666666666666664</v>
      </c>
      <c r="G3133" s="62" t="b">
        <v>0</v>
      </c>
      <c r="H3133" s="78" t="b">
        <f>IF(VLOOKUP(C3133,Projetos!A:L,12,false)=TRUE,TRUE,FALSE)</f>
        <v>1</v>
      </c>
      <c r="I3133" s="68">
        <v>43.42121727693602</v>
      </c>
      <c r="J3133" s="68">
        <f t="shared" si="1"/>
        <v>0</v>
      </c>
      <c r="K3133" s="68" t="b">
        <v>1</v>
      </c>
    </row>
    <row r="3134" hidden="1">
      <c r="A3134" s="75">
        <v>3128.0</v>
      </c>
      <c r="B3134" s="62" t="s">
        <v>1306</v>
      </c>
      <c r="C3134" s="62" t="s">
        <v>108</v>
      </c>
      <c r="D3134" s="62" t="s">
        <v>2012</v>
      </c>
      <c r="E3134" s="76">
        <v>44168.0</v>
      </c>
      <c r="F3134" s="77">
        <v>0.0625</v>
      </c>
      <c r="G3134" s="62" t="b">
        <v>1</v>
      </c>
      <c r="H3134" s="78" t="b">
        <f>IF(VLOOKUP(C3134,Projetos!A:L,12,false)=TRUE,TRUE,FALSE)</f>
        <v>1</v>
      </c>
      <c r="I3134" s="68">
        <v>43.42121727693602</v>
      </c>
      <c r="J3134" s="68">
        <f t="shared" si="1"/>
        <v>65.13182592</v>
      </c>
      <c r="K3134" s="68" t="b">
        <v>1</v>
      </c>
    </row>
    <row r="3135" hidden="1">
      <c r="A3135" s="75">
        <v>3129.0</v>
      </c>
      <c r="B3135" s="62" t="s">
        <v>1306</v>
      </c>
      <c r="C3135" s="62" t="s">
        <v>108</v>
      </c>
      <c r="D3135" s="62" t="s">
        <v>2013</v>
      </c>
      <c r="E3135" s="76">
        <v>44168.0</v>
      </c>
      <c r="F3135" s="77">
        <v>0.0625</v>
      </c>
      <c r="G3135" s="62" t="b">
        <v>1</v>
      </c>
      <c r="H3135" s="78" t="b">
        <f>IF(VLOOKUP(C3135,Projetos!A:L,12,false)=TRUE,TRUE,FALSE)</f>
        <v>1</v>
      </c>
      <c r="I3135" s="68">
        <v>43.42121727693602</v>
      </c>
      <c r="J3135" s="68">
        <f t="shared" si="1"/>
        <v>65.13182592</v>
      </c>
      <c r="K3135" s="68" t="b">
        <v>1</v>
      </c>
    </row>
    <row r="3136">
      <c r="A3136" s="75">
        <v>3130.0</v>
      </c>
      <c r="B3136" s="62" t="s">
        <v>1306</v>
      </c>
      <c r="C3136" s="62" t="s">
        <v>90</v>
      </c>
      <c r="D3136" s="62" t="s">
        <v>2001</v>
      </c>
      <c r="E3136" s="76">
        <v>44169.0</v>
      </c>
      <c r="F3136" s="77">
        <v>0.08333333333333333</v>
      </c>
      <c r="G3136" s="62" t="b">
        <v>1</v>
      </c>
      <c r="H3136" s="78" t="b">
        <f>IF(VLOOKUP(C3136,Projetos!A:L,12,false)=TRUE,TRUE,FALSE)</f>
        <v>1</v>
      </c>
      <c r="I3136" s="68">
        <v>43.42121727693602</v>
      </c>
      <c r="J3136" s="68">
        <f t="shared" si="1"/>
        <v>86.84243455</v>
      </c>
      <c r="K3136" s="68" t="b">
        <v>1</v>
      </c>
    </row>
    <row r="3137" hidden="1">
      <c r="A3137" s="75">
        <v>3131.0</v>
      </c>
      <c r="B3137" s="62" t="s">
        <v>1306</v>
      </c>
      <c r="C3137" s="62" t="s">
        <v>108</v>
      </c>
      <c r="D3137" s="62" t="s">
        <v>2014</v>
      </c>
      <c r="E3137" s="76">
        <v>44169.0</v>
      </c>
      <c r="F3137" s="77">
        <v>0.10416666666666667</v>
      </c>
      <c r="G3137" s="62" t="b">
        <v>1</v>
      </c>
      <c r="H3137" s="78" t="b">
        <f>IF(VLOOKUP(C3137,Projetos!A:L,12,false)=TRUE,TRUE,FALSE)</f>
        <v>1</v>
      </c>
      <c r="I3137" s="68">
        <v>43.42121727693602</v>
      </c>
      <c r="J3137" s="68">
        <f t="shared" si="1"/>
        <v>108.5530432</v>
      </c>
      <c r="K3137" s="68" t="b">
        <v>1</v>
      </c>
    </row>
    <row r="3138">
      <c r="A3138" s="75">
        <v>3132.0</v>
      </c>
      <c r="B3138" s="62" t="s">
        <v>1306</v>
      </c>
      <c r="C3138" s="62" t="s">
        <v>90</v>
      </c>
      <c r="D3138" s="62" t="s">
        <v>2015</v>
      </c>
      <c r="E3138" s="76">
        <v>44169.0</v>
      </c>
      <c r="F3138" s="77">
        <v>0.1875</v>
      </c>
      <c r="G3138" s="62" t="b">
        <v>1</v>
      </c>
      <c r="H3138" s="78" t="b">
        <f>IF(VLOOKUP(C3138,Projetos!A:L,12,false)=TRUE,TRUE,FALSE)</f>
        <v>1</v>
      </c>
      <c r="I3138" s="68">
        <v>43.42121727693602</v>
      </c>
      <c r="J3138" s="68">
        <f t="shared" si="1"/>
        <v>195.3954777</v>
      </c>
      <c r="K3138" s="68" t="b">
        <v>1</v>
      </c>
    </row>
    <row r="3139" hidden="1">
      <c r="A3139" s="75">
        <v>3133.0</v>
      </c>
      <c r="B3139" s="62" t="s">
        <v>1306</v>
      </c>
      <c r="C3139" s="62" t="s">
        <v>108</v>
      </c>
      <c r="D3139" s="62" t="s">
        <v>2016</v>
      </c>
      <c r="E3139" s="76">
        <v>44172.0</v>
      </c>
      <c r="F3139" s="77">
        <v>0.09375</v>
      </c>
      <c r="G3139" s="62" t="b">
        <v>1</v>
      </c>
      <c r="H3139" s="78" t="b">
        <f>IF(VLOOKUP(C3139,Projetos!A:L,12,false)=TRUE,TRUE,FALSE)</f>
        <v>1</v>
      </c>
      <c r="I3139" s="68">
        <v>43.42121727693602</v>
      </c>
      <c r="J3139" s="68">
        <f t="shared" si="1"/>
        <v>97.69773887</v>
      </c>
      <c r="K3139" s="68" t="b">
        <v>1</v>
      </c>
    </row>
    <row r="3140">
      <c r="A3140" s="75">
        <v>3134.0</v>
      </c>
      <c r="B3140" s="62" t="s">
        <v>1306</v>
      </c>
      <c r="C3140" s="62" t="s">
        <v>90</v>
      </c>
      <c r="D3140" s="62" t="s">
        <v>2017</v>
      </c>
      <c r="E3140" s="76">
        <v>44172.0</v>
      </c>
      <c r="F3140" s="77">
        <v>0.020833333333333332</v>
      </c>
      <c r="G3140" s="62" t="b">
        <v>1</v>
      </c>
      <c r="H3140" s="78" t="b">
        <f>IF(VLOOKUP(C3140,Projetos!A:L,12,false)=TRUE,TRUE,FALSE)</f>
        <v>1</v>
      </c>
      <c r="I3140" s="68">
        <v>43.42121727693602</v>
      </c>
      <c r="J3140" s="68">
        <f t="shared" si="1"/>
        <v>21.71060864</v>
      </c>
      <c r="K3140" s="68" t="b">
        <v>1</v>
      </c>
    </row>
    <row r="3141">
      <c r="A3141" s="75">
        <v>3135.0</v>
      </c>
      <c r="B3141" s="62" t="s">
        <v>1306</v>
      </c>
      <c r="C3141" s="62" t="s">
        <v>100</v>
      </c>
      <c r="D3141" s="62" t="s">
        <v>2018</v>
      </c>
      <c r="E3141" s="76">
        <v>44172.0</v>
      </c>
      <c r="F3141" s="77">
        <v>0.041666666666666664</v>
      </c>
      <c r="G3141" s="62" t="b">
        <v>1</v>
      </c>
      <c r="H3141" s="78" t="b">
        <f>IF(VLOOKUP(C3141,Projetos!A:L,12,false)=TRUE,TRUE,FALSE)</f>
        <v>1</v>
      </c>
      <c r="I3141" s="68">
        <v>43.42121727693602</v>
      </c>
      <c r="J3141" s="68">
        <f t="shared" si="1"/>
        <v>43.42121728</v>
      </c>
      <c r="K3141" s="68" t="b">
        <v>1</v>
      </c>
    </row>
    <row r="3142" hidden="1">
      <c r="A3142" s="75">
        <v>3136.0</v>
      </c>
      <c r="B3142" s="62" t="s">
        <v>1306</v>
      </c>
      <c r="C3142" s="62" t="s">
        <v>108</v>
      </c>
      <c r="D3142" s="62" t="s">
        <v>2019</v>
      </c>
      <c r="E3142" s="76">
        <v>44172.0</v>
      </c>
      <c r="F3142" s="77">
        <v>0.08333333333333333</v>
      </c>
      <c r="G3142" s="62" t="b">
        <v>1</v>
      </c>
      <c r="H3142" s="78" t="b">
        <f>IF(VLOOKUP(C3142,Projetos!A:L,12,false)=TRUE,TRUE,FALSE)</f>
        <v>1</v>
      </c>
      <c r="I3142" s="68">
        <v>43.42121727693602</v>
      </c>
      <c r="J3142" s="68">
        <f t="shared" si="1"/>
        <v>86.84243455</v>
      </c>
      <c r="K3142" s="68" t="b">
        <v>1</v>
      </c>
    </row>
    <row r="3143">
      <c r="A3143" s="75">
        <v>3137.0</v>
      </c>
      <c r="B3143" s="62" t="s">
        <v>1306</v>
      </c>
      <c r="C3143" s="62" t="s">
        <v>89</v>
      </c>
      <c r="D3143" s="62" t="s">
        <v>2020</v>
      </c>
      <c r="E3143" s="76">
        <v>44172.0</v>
      </c>
      <c r="F3143" s="77">
        <v>0.041666666666666664</v>
      </c>
      <c r="G3143" s="62" t="b">
        <v>1</v>
      </c>
      <c r="H3143" s="78" t="b">
        <f>IF(VLOOKUP(C3143,Projetos!A:L,12,false)=TRUE,TRUE,FALSE)</f>
        <v>1</v>
      </c>
      <c r="I3143" s="68">
        <v>43.42121727693602</v>
      </c>
      <c r="J3143" s="68">
        <f t="shared" si="1"/>
        <v>43.42121728</v>
      </c>
      <c r="K3143" s="68" t="b">
        <v>1</v>
      </c>
    </row>
    <row r="3144" hidden="1">
      <c r="A3144" s="75">
        <v>3138.0</v>
      </c>
      <c r="B3144" s="62" t="s">
        <v>1306</v>
      </c>
      <c r="C3144" s="62" t="s">
        <v>83</v>
      </c>
      <c r="D3144" s="62" t="s">
        <v>2008</v>
      </c>
      <c r="E3144" s="76">
        <v>44172.0</v>
      </c>
      <c r="F3144" s="77">
        <v>0.041666666666666664</v>
      </c>
      <c r="G3144" s="62" t="b">
        <v>0</v>
      </c>
      <c r="H3144" s="78" t="b">
        <f>IF(VLOOKUP(C3144,Projetos!A:L,12,false)=TRUE,TRUE,FALSE)</f>
        <v>0</v>
      </c>
      <c r="I3144" s="68">
        <v>43.42121727693602</v>
      </c>
      <c r="J3144" s="68">
        <f t="shared" si="1"/>
        <v>0</v>
      </c>
      <c r="K3144" s="68" t="b">
        <v>0</v>
      </c>
    </row>
    <row r="3145">
      <c r="A3145" s="75">
        <v>3139.0</v>
      </c>
      <c r="B3145" s="62" t="s">
        <v>1306</v>
      </c>
      <c r="C3145" s="62" t="s">
        <v>113</v>
      </c>
      <c r="D3145" s="62" t="s">
        <v>2021</v>
      </c>
      <c r="E3145" s="76">
        <v>44172.0</v>
      </c>
      <c r="F3145" s="77">
        <v>0.041666666666666664</v>
      </c>
      <c r="G3145" s="62" t="b">
        <v>1</v>
      </c>
      <c r="H3145" s="78" t="b">
        <f>IF(VLOOKUP(C3145,Projetos!A:L,12,false)=TRUE,TRUE,FALSE)</f>
        <v>1</v>
      </c>
      <c r="I3145" s="68">
        <v>43.42121727693602</v>
      </c>
      <c r="J3145" s="68">
        <f t="shared" si="1"/>
        <v>43.42121728</v>
      </c>
      <c r="K3145" s="68" t="b">
        <v>1</v>
      </c>
    </row>
    <row r="3146">
      <c r="A3146" s="75">
        <v>3140.0</v>
      </c>
      <c r="B3146" s="62" t="s">
        <v>1306</v>
      </c>
      <c r="C3146" s="62" t="s">
        <v>100</v>
      </c>
      <c r="D3146" s="62" t="s">
        <v>2022</v>
      </c>
      <c r="E3146" s="76">
        <v>44173.0</v>
      </c>
      <c r="F3146" s="77">
        <v>0.07291666666666667</v>
      </c>
      <c r="G3146" s="62" t="b">
        <v>1</v>
      </c>
      <c r="H3146" s="78" t="b">
        <f>IF(VLOOKUP(C3146,Projetos!A:L,12,false)=TRUE,TRUE,FALSE)</f>
        <v>1</v>
      </c>
      <c r="I3146" s="68">
        <v>43.42121727693602</v>
      </c>
      <c r="J3146" s="68">
        <f t="shared" si="1"/>
        <v>75.98713023</v>
      </c>
      <c r="K3146" s="68" t="b">
        <v>1</v>
      </c>
    </row>
    <row r="3147" hidden="1">
      <c r="A3147" s="75">
        <v>3141.0</v>
      </c>
      <c r="B3147" s="62" t="s">
        <v>1306</v>
      </c>
      <c r="C3147" s="62" t="s">
        <v>108</v>
      </c>
      <c r="D3147" s="62" t="s">
        <v>2023</v>
      </c>
      <c r="E3147" s="76">
        <v>44173.0</v>
      </c>
      <c r="F3147" s="77">
        <v>0.020833333333333332</v>
      </c>
      <c r="G3147" s="62" t="b">
        <v>1</v>
      </c>
      <c r="H3147" s="78" t="b">
        <f>IF(VLOOKUP(C3147,Projetos!A:L,12,false)=TRUE,TRUE,FALSE)</f>
        <v>1</v>
      </c>
      <c r="I3147" s="68">
        <v>43.42121727693602</v>
      </c>
      <c r="J3147" s="68">
        <f t="shared" si="1"/>
        <v>21.71060864</v>
      </c>
      <c r="K3147" s="68" t="b">
        <v>1</v>
      </c>
    </row>
    <row r="3148">
      <c r="A3148" s="75">
        <v>3142.0</v>
      </c>
      <c r="B3148" s="62" t="s">
        <v>1306</v>
      </c>
      <c r="C3148" s="62" t="s">
        <v>105</v>
      </c>
      <c r="D3148" s="62" t="s">
        <v>2024</v>
      </c>
      <c r="E3148" s="76">
        <v>44173.0</v>
      </c>
      <c r="F3148" s="77">
        <v>0.041666666666666664</v>
      </c>
      <c r="G3148" s="62" t="b">
        <v>1</v>
      </c>
      <c r="H3148" s="78" t="b">
        <f>IF(VLOOKUP(C3148,Projetos!A:L,12,false)=TRUE,TRUE,FALSE)</f>
        <v>1</v>
      </c>
      <c r="I3148" s="68">
        <v>43.42121727693602</v>
      </c>
      <c r="J3148" s="68">
        <f t="shared" si="1"/>
        <v>43.42121728</v>
      </c>
      <c r="K3148" s="68" t="b">
        <v>1</v>
      </c>
    </row>
    <row r="3149" hidden="1">
      <c r="A3149" s="75">
        <v>3143.0</v>
      </c>
      <c r="B3149" s="62" t="s">
        <v>1306</v>
      </c>
      <c r="C3149" s="62" t="s">
        <v>108</v>
      </c>
      <c r="D3149" s="62" t="s">
        <v>2025</v>
      </c>
      <c r="E3149" s="76">
        <v>44173.0</v>
      </c>
      <c r="F3149" s="77">
        <v>0.020833333333333332</v>
      </c>
      <c r="G3149" s="62" t="b">
        <v>1</v>
      </c>
      <c r="H3149" s="78" t="b">
        <f>IF(VLOOKUP(C3149,Projetos!A:L,12,false)=TRUE,TRUE,FALSE)</f>
        <v>1</v>
      </c>
      <c r="I3149" s="68">
        <v>43.42121727693602</v>
      </c>
      <c r="J3149" s="68">
        <f t="shared" si="1"/>
        <v>21.71060864</v>
      </c>
      <c r="K3149" s="68" t="b">
        <v>1</v>
      </c>
    </row>
    <row r="3150">
      <c r="A3150" s="75">
        <v>3144.0</v>
      </c>
      <c r="B3150" s="62" t="s">
        <v>1306</v>
      </c>
      <c r="C3150" s="62" t="s">
        <v>116</v>
      </c>
      <c r="D3150" s="62" t="s">
        <v>2026</v>
      </c>
      <c r="E3150" s="76">
        <v>44173.0</v>
      </c>
      <c r="F3150" s="77">
        <v>0.041666666666666664</v>
      </c>
      <c r="G3150" s="62" t="b">
        <v>1</v>
      </c>
      <c r="H3150" s="78" t="b">
        <f>IF(VLOOKUP(C3150,Projetos!A:L,12,false)=TRUE,TRUE,FALSE)</f>
        <v>1</v>
      </c>
      <c r="I3150" s="68">
        <v>43.42121727693602</v>
      </c>
      <c r="J3150" s="68">
        <f t="shared" si="1"/>
        <v>43.42121728</v>
      </c>
      <c r="K3150" s="68" t="b">
        <v>1</v>
      </c>
    </row>
    <row r="3151">
      <c r="A3151" s="75">
        <v>3145.0</v>
      </c>
      <c r="B3151" s="62" t="s">
        <v>1306</v>
      </c>
      <c r="C3151" s="62" t="s">
        <v>113</v>
      </c>
      <c r="D3151" s="62" t="s">
        <v>2027</v>
      </c>
      <c r="E3151" s="76">
        <v>44173.0</v>
      </c>
      <c r="F3151" s="77">
        <v>0.020833333333333332</v>
      </c>
      <c r="G3151" s="62" t="b">
        <v>1</v>
      </c>
      <c r="H3151" s="78" t="b">
        <f>IF(VLOOKUP(C3151,Projetos!A:L,12,false)=TRUE,TRUE,FALSE)</f>
        <v>1</v>
      </c>
      <c r="I3151" s="68">
        <v>43.42121727693602</v>
      </c>
      <c r="J3151" s="68">
        <f t="shared" si="1"/>
        <v>21.71060864</v>
      </c>
      <c r="K3151" s="68" t="b">
        <v>1</v>
      </c>
    </row>
    <row r="3152">
      <c r="A3152" s="75">
        <v>3146.0</v>
      </c>
      <c r="B3152" s="62" t="s">
        <v>1306</v>
      </c>
      <c r="C3152" s="62" t="s">
        <v>105</v>
      </c>
      <c r="D3152" s="62" t="s">
        <v>2028</v>
      </c>
      <c r="E3152" s="76">
        <v>44173.0</v>
      </c>
      <c r="F3152" s="77">
        <v>0.0625</v>
      </c>
      <c r="G3152" s="62" t="b">
        <v>1</v>
      </c>
      <c r="H3152" s="78" t="b">
        <f>IF(VLOOKUP(C3152,Projetos!A:L,12,false)=TRUE,TRUE,FALSE)</f>
        <v>1</v>
      </c>
      <c r="I3152" s="68">
        <v>43.42121727693602</v>
      </c>
      <c r="J3152" s="68">
        <f t="shared" si="1"/>
        <v>65.13182592</v>
      </c>
      <c r="K3152" s="68" t="b">
        <v>1</v>
      </c>
    </row>
    <row r="3153" hidden="1">
      <c r="A3153" s="75">
        <v>3147.0</v>
      </c>
      <c r="B3153" s="62" t="s">
        <v>1306</v>
      </c>
      <c r="C3153" s="62" t="s">
        <v>116</v>
      </c>
      <c r="D3153" s="62" t="s">
        <v>2029</v>
      </c>
      <c r="E3153" s="76">
        <v>44173.0</v>
      </c>
      <c r="F3153" s="77">
        <v>0.020833333333333332</v>
      </c>
      <c r="G3153" s="62" t="b">
        <v>0</v>
      </c>
      <c r="H3153" s="78" t="b">
        <f>IF(VLOOKUP(C3153,Projetos!A:L,12,false)=TRUE,TRUE,FALSE)</f>
        <v>1</v>
      </c>
      <c r="I3153" s="68">
        <v>43.42121727693602</v>
      </c>
      <c r="J3153" s="68">
        <f t="shared" si="1"/>
        <v>0</v>
      </c>
      <c r="K3153" s="68" t="b">
        <v>1</v>
      </c>
    </row>
    <row r="3154" hidden="1">
      <c r="A3154" s="75">
        <v>3148.0</v>
      </c>
      <c r="B3154" s="62" t="s">
        <v>1306</v>
      </c>
      <c r="C3154" s="62" t="s">
        <v>100</v>
      </c>
      <c r="D3154" s="62" t="s">
        <v>2029</v>
      </c>
      <c r="E3154" s="76">
        <v>44173.0</v>
      </c>
      <c r="F3154" s="77">
        <v>0.020833333333333332</v>
      </c>
      <c r="G3154" s="62" t="b">
        <v>0</v>
      </c>
      <c r="H3154" s="78" t="b">
        <f>IF(VLOOKUP(C3154,Projetos!A:L,12,false)=TRUE,TRUE,FALSE)</f>
        <v>1</v>
      </c>
      <c r="I3154" s="68">
        <v>43.42121727693602</v>
      </c>
      <c r="J3154" s="68">
        <f t="shared" si="1"/>
        <v>0</v>
      </c>
      <c r="K3154" s="68" t="b">
        <v>1</v>
      </c>
    </row>
    <row r="3155" hidden="1">
      <c r="A3155" s="75">
        <v>3149.0</v>
      </c>
      <c r="B3155" s="62" t="s">
        <v>1306</v>
      </c>
      <c r="C3155" s="62" t="s">
        <v>90</v>
      </c>
      <c r="D3155" s="62" t="s">
        <v>2029</v>
      </c>
      <c r="E3155" s="76">
        <v>44173.0</v>
      </c>
      <c r="F3155" s="77">
        <v>0.041666666666666664</v>
      </c>
      <c r="G3155" s="62" t="b">
        <v>0</v>
      </c>
      <c r="H3155" s="78" t="b">
        <f>IF(VLOOKUP(C3155,Projetos!A:L,12,false)=TRUE,TRUE,FALSE)</f>
        <v>1</v>
      </c>
      <c r="I3155" s="68">
        <v>43.42121727693602</v>
      </c>
      <c r="J3155" s="68">
        <f t="shared" si="1"/>
        <v>0</v>
      </c>
      <c r="K3155" s="68" t="b">
        <v>1</v>
      </c>
    </row>
    <row r="3156">
      <c r="A3156" s="75">
        <v>3150.0</v>
      </c>
      <c r="B3156" s="62" t="s">
        <v>1306</v>
      </c>
      <c r="C3156" s="62" t="s">
        <v>105</v>
      </c>
      <c r="D3156" s="62" t="s">
        <v>2005</v>
      </c>
      <c r="E3156" s="76">
        <v>44174.0</v>
      </c>
      <c r="F3156" s="77">
        <v>0.09375</v>
      </c>
      <c r="G3156" s="62" t="b">
        <v>1</v>
      </c>
      <c r="H3156" s="78" t="b">
        <f>IF(VLOOKUP(C3156,Projetos!A:L,12,false)=TRUE,TRUE,FALSE)</f>
        <v>1</v>
      </c>
      <c r="I3156" s="68">
        <v>43.42121727693602</v>
      </c>
      <c r="J3156" s="68">
        <f t="shared" si="1"/>
        <v>97.69773887</v>
      </c>
      <c r="K3156" s="68" t="b">
        <v>1</v>
      </c>
    </row>
    <row r="3157">
      <c r="A3157" s="75">
        <v>3151.0</v>
      </c>
      <c r="B3157" s="62" t="s">
        <v>1306</v>
      </c>
      <c r="C3157" s="62" t="s">
        <v>90</v>
      </c>
      <c r="D3157" s="62" t="s">
        <v>2030</v>
      </c>
      <c r="E3157" s="76">
        <v>44174.0</v>
      </c>
      <c r="F3157" s="77">
        <v>0.041666666666666664</v>
      </c>
      <c r="G3157" s="62" t="b">
        <v>1</v>
      </c>
      <c r="H3157" s="78" t="b">
        <f>IF(VLOOKUP(C3157,Projetos!A:L,12,false)=TRUE,TRUE,FALSE)</f>
        <v>1</v>
      </c>
      <c r="I3157" s="68">
        <v>43.42121727693602</v>
      </c>
      <c r="J3157" s="68">
        <f t="shared" si="1"/>
        <v>43.42121728</v>
      </c>
      <c r="K3157" s="68" t="b">
        <v>1</v>
      </c>
    </row>
    <row r="3158" hidden="1">
      <c r="A3158" s="75">
        <v>3152.0</v>
      </c>
      <c r="B3158" s="62" t="s">
        <v>1306</v>
      </c>
      <c r="C3158" s="62" t="s">
        <v>108</v>
      </c>
      <c r="D3158" s="62" t="s">
        <v>2031</v>
      </c>
      <c r="E3158" s="76">
        <v>44174.0</v>
      </c>
      <c r="F3158" s="77">
        <v>0.020833333333333332</v>
      </c>
      <c r="G3158" s="62" t="b">
        <v>1</v>
      </c>
      <c r="H3158" s="78" t="b">
        <f>IF(VLOOKUP(C3158,Projetos!A:L,12,false)=TRUE,TRUE,FALSE)</f>
        <v>1</v>
      </c>
      <c r="I3158" s="68">
        <v>43.42121727693602</v>
      </c>
      <c r="J3158" s="68">
        <f t="shared" si="1"/>
        <v>21.71060864</v>
      </c>
      <c r="K3158" s="68" t="b">
        <v>1</v>
      </c>
    </row>
    <row r="3159">
      <c r="A3159" s="75">
        <v>3153.0</v>
      </c>
      <c r="B3159" s="62" t="s">
        <v>1306</v>
      </c>
      <c r="C3159" s="62" t="s">
        <v>105</v>
      </c>
      <c r="D3159" s="62" t="s">
        <v>2032</v>
      </c>
      <c r="E3159" s="76">
        <v>44174.0</v>
      </c>
      <c r="F3159" s="77">
        <v>0.020833333333333332</v>
      </c>
      <c r="G3159" s="62" t="b">
        <v>1</v>
      </c>
      <c r="H3159" s="78" t="b">
        <f>IF(VLOOKUP(C3159,Projetos!A:L,12,false)=TRUE,TRUE,FALSE)</f>
        <v>1</v>
      </c>
      <c r="I3159" s="68">
        <v>43.42121727693602</v>
      </c>
      <c r="J3159" s="68">
        <f t="shared" si="1"/>
        <v>21.71060864</v>
      </c>
      <c r="K3159" s="68" t="b">
        <v>1</v>
      </c>
    </row>
    <row r="3160">
      <c r="A3160" s="75">
        <v>3154.0</v>
      </c>
      <c r="B3160" s="62" t="s">
        <v>1306</v>
      </c>
      <c r="C3160" s="62" t="s">
        <v>90</v>
      </c>
      <c r="D3160" s="62" t="s">
        <v>2033</v>
      </c>
      <c r="E3160" s="76">
        <v>44174.0</v>
      </c>
      <c r="F3160" s="77">
        <v>0.1875</v>
      </c>
      <c r="G3160" s="62" t="b">
        <v>1</v>
      </c>
      <c r="H3160" s="78" t="b">
        <f>IF(VLOOKUP(C3160,Projetos!A:L,12,false)=TRUE,TRUE,FALSE)</f>
        <v>1</v>
      </c>
      <c r="I3160" s="68">
        <v>43.42121727693602</v>
      </c>
      <c r="J3160" s="68">
        <f t="shared" si="1"/>
        <v>195.3954777</v>
      </c>
      <c r="K3160" s="68" t="b">
        <v>1</v>
      </c>
    </row>
    <row r="3161" hidden="1">
      <c r="A3161" s="75">
        <v>3155.0</v>
      </c>
      <c r="B3161" s="62" t="s">
        <v>1306</v>
      </c>
      <c r="C3161" s="62" t="s">
        <v>108</v>
      </c>
      <c r="D3161" s="62" t="s">
        <v>2007</v>
      </c>
      <c r="E3161" s="76">
        <v>44175.0</v>
      </c>
      <c r="F3161" s="77">
        <v>0.03125</v>
      </c>
      <c r="G3161" s="62" t="b">
        <v>1</v>
      </c>
      <c r="H3161" s="78" t="b">
        <f>IF(VLOOKUP(C3161,Projetos!A:L,12,false)=TRUE,TRUE,FALSE)</f>
        <v>1</v>
      </c>
      <c r="I3161" s="68">
        <v>43.42121727693602</v>
      </c>
      <c r="J3161" s="68">
        <f t="shared" si="1"/>
        <v>32.56591296</v>
      </c>
      <c r="K3161" s="68" t="b">
        <v>1</v>
      </c>
    </row>
    <row r="3162">
      <c r="A3162" s="75">
        <v>3156.0</v>
      </c>
      <c r="B3162" s="62" t="s">
        <v>1306</v>
      </c>
      <c r="C3162" s="62" t="s">
        <v>88</v>
      </c>
      <c r="D3162" s="62" t="s">
        <v>2034</v>
      </c>
      <c r="E3162" s="76">
        <v>44175.0</v>
      </c>
      <c r="F3162" s="77">
        <v>0.041666666666666664</v>
      </c>
      <c r="G3162" s="62" t="b">
        <v>1</v>
      </c>
      <c r="H3162" s="78" t="b">
        <f>IF(VLOOKUP(C3162,Projetos!A:L,12,false)=TRUE,TRUE,FALSE)</f>
        <v>1</v>
      </c>
      <c r="I3162" s="68">
        <v>43.42121727693602</v>
      </c>
      <c r="J3162" s="68">
        <f t="shared" si="1"/>
        <v>43.42121728</v>
      </c>
      <c r="K3162" s="68" t="b">
        <v>1</v>
      </c>
    </row>
    <row r="3163" hidden="1">
      <c r="A3163" s="75">
        <v>3157.0</v>
      </c>
      <c r="B3163" s="62" t="s">
        <v>1306</v>
      </c>
      <c r="C3163" s="62" t="s">
        <v>108</v>
      </c>
      <c r="D3163" s="62" t="s">
        <v>2035</v>
      </c>
      <c r="E3163" s="76">
        <v>44175.0</v>
      </c>
      <c r="F3163" s="77">
        <v>0.041666666666666664</v>
      </c>
      <c r="G3163" s="62" t="b">
        <v>1</v>
      </c>
      <c r="H3163" s="78" t="b">
        <f>IF(VLOOKUP(C3163,Projetos!A:L,12,false)=TRUE,TRUE,FALSE)</f>
        <v>1</v>
      </c>
      <c r="I3163" s="68">
        <v>43.42121727693602</v>
      </c>
      <c r="J3163" s="68">
        <f t="shared" si="1"/>
        <v>43.42121728</v>
      </c>
      <c r="K3163" s="68" t="b">
        <v>1</v>
      </c>
    </row>
    <row r="3164">
      <c r="A3164" s="75">
        <v>3158.0</v>
      </c>
      <c r="B3164" s="62" t="s">
        <v>1306</v>
      </c>
      <c r="C3164" s="62" t="s">
        <v>90</v>
      </c>
      <c r="D3164" s="62" t="s">
        <v>2033</v>
      </c>
      <c r="E3164" s="76">
        <v>44175.0</v>
      </c>
      <c r="F3164" s="77">
        <v>0.08333333333333333</v>
      </c>
      <c r="G3164" s="62" t="b">
        <v>1</v>
      </c>
      <c r="H3164" s="78" t="b">
        <f>IF(VLOOKUP(C3164,Projetos!A:L,12,false)=TRUE,TRUE,FALSE)</f>
        <v>1</v>
      </c>
      <c r="I3164" s="68">
        <v>43.42121727693602</v>
      </c>
      <c r="J3164" s="68">
        <f t="shared" si="1"/>
        <v>86.84243455</v>
      </c>
      <c r="K3164" s="68" t="b">
        <v>1</v>
      </c>
    </row>
    <row r="3165">
      <c r="A3165" s="75">
        <v>3159.0</v>
      </c>
      <c r="B3165" s="62" t="s">
        <v>1306</v>
      </c>
      <c r="C3165" s="62" t="s">
        <v>88</v>
      </c>
      <c r="D3165" s="62" t="s">
        <v>2036</v>
      </c>
      <c r="E3165" s="76">
        <v>44175.0</v>
      </c>
      <c r="F3165" s="77">
        <v>0.020833333333333332</v>
      </c>
      <c r="G3165" s="62" t="b">
        <v>1</v>
      </c>
      <c r="H3165" s="78" t="b">
        <f>IF(VLOOKUP(C3165,Projetos!A:L,12,false)=TRUE,TRUE,FALSE)</f>
        <v>1</v>
      </c>
      <c r="I3165" s="68">
        <v>43.42121727693602</v>
      </c>
      <c r="J3165" s="68">
        <f t="shared" si="1"/>
        <v>21.71060864</v>
      </c>
      <c r="K3165" s="68" t="b">
        <v>1</v>
      </c>
    </row>
    <row r="3166">
      <c r="A3166" s="75">
        <v>3160.0</v>
      </c>
      <c r="B3166" s="62" t="s">
        <v>1306</v>
      </c>
      <c r="C3166" s="62" t="s">
        <v>90</v>
      </c>
      <c r="D3166" s="62" t="s">
        <v>2037</v>
      </c>
      <c r="E3166" s="76">
        <v>44175.0</v>
      </c>
      <c r="F3166" s="77">
        <v>0.0625</v>
      </c>
      <c r="G3166" s="62" t="b">
        <v>1</v>
      </c>
      <c r="H3166" s="78" t="b">
        <f>IF(VLOOKUP(C3166,Projetos!A:L,12,false)=TRUE,TRUE,FALSE)</f>
        <v>1</v>
      </c>
      <c r="I3166" s="68">
        <v>43.42121727693602</v>
      </c>
      <c r="J3166" s="68">
        <f t="shared" si="1"/>
        <v>65.13182592</v>
      </c>
      <c r="K3166" s="68" t="b">
        <v>1</v>
      </c>
    </row>
    <row r="3167" hidden="1">
      <c r="A3167" s="75">
        <v>3161.0</v>
      </c>
      <c r="B3167" s="62" t="s">
        <v>1306</v>
      </c>
      <c r="C3167" s="62" t="s">
        <v>108</v>
      </c>
      <c r="D3167" s="62" t="s">
        <v>2038</v>
      </c>
      <c r="E3167" s="76">
        <v>44175.0</v>
      </c>
      <c r="F3167" s="77">
        <v>0.020833333333333332</v>
      </c>
      <c r="G3167" s="62" t="b">
        <v>1</v>
      </c>
      <c r="H3167" s="78" t="b">
        <f>IF(VLOOKUP(C3167,Projetos!A:L,12,false)=TRUE,TRUE,FALSE)</f>
        <v>1</v>
      </c>
      <c r="I3167" s="68">
        <v>43.42121727693602</v>
      </c>
      <c r="J3167" s="68">
        <f t="shared" si="1"/>
        <v>21.71060864</v>
      </c>
      <c r="K3167" s="68" t="b">
        <v>1</v>
      </c>
    </row>
    <row r="3168">
      <c r="A3168" s="75">
        <v>3162.0</v>
      </c>
      <c r="B3168" s="62" t="s">
        <v>1306</v>
      </c>
      <c r="C3168" s="62" t="s">
        <v>105</v>
      </c>
      <c r="D3168" s="62" t="s">
        <v>2039</v>
      </c>
      <c r="E3168" s="76">
        <v>44175.0</v>
      </c>
      <c r="F3168" s="77">
        <v>0.041666666666666664</v>
      </c>
      <c r="G3168" s="62" t="b">
        <v>1</v>
      </c>
      <c r="H3168" s="78" t="b">
        <f>IF(VLOOKUP(C3168,Projetos!A:L,12,false)=TRUE,TRUE,FALSE)</f>
        <v>1</v>
      </c>
      <c r="I3168" s="68">
        <v>43.42121727693602</v>
      </c>
      <c r="J3168" s="68">
        <f t="shared" si="1"/>
        <v>43.42121728</v>
      </c>
      <c r="K3168" s="68" t="b">
        <v>1</v>
      </c>
    </row>
    <row r="3169">
      <c r="A3169" s="75">
        <v>3163.0</v>
      </c>
      <c r="B3169" s="62" t="s">
        <v>1306</v>
      </c>
      <c r="C3169" s="62" t="s">
        <v>90</v>
      </c>
      <c r="D3169" s="62" t="s">
        <v>2040</v>
      </c>
      <c r="E3169" s="76">
        <v>44179.0</v>
      </c>
      <c r="F3169" s="77">
        <v>0.13541666666666666</v>
      </c>
      <c r="G3169" s="62" t="b">
        <v>1</v>
      </c>
      <c r="H3169" s="78" t="b">
        <f>IF(VLOOKUP(C3169,Projetos!A:L,12,false)=TRUE,TRUE,FALSE)</f>
        <v>1</v>
      </c>
      <c r="I3169" s="68">
        <v>43.42121727693602</v>
      </c>
      <c r="J3169" s="68">
        <f t="shared" si="1"/>
        <v>141.1189562</v>
      </c>
      <c r="K3169" s="68" t="b">
        <v>1</v>
      </c>
    </row>
    <row r="3170">
      <c r="A3170" s="75">
        <v>3164.0</v>
      </c>
      <c r="B3170" s="62" t="s">
        <v>1306</v>
      </c>
      <c r="C3170" s="62" t="s">
        <v>90</v>
      </c>
      <c r="D3170" s="62" t="s">
        <v>2041</v>
      </c>
      <c r="E3170" s="76">
        <v>44179.0</v>
      </c>
      <c r="F3170" s="77">
        <v>0.0625</v>
      </c>
      <c r="G3170" s="62" t="b">
        <v>1</v>
      </c>
      <c r="H3170" s="78" t="b">
        <f>IF(VLOOKUP(C3170,Projetos!A:L,12,false)=TRUE,TRUE,FALSE)</f>
        <v>1</v>
      </c>
      <c r="I3170" s="68">
        <v>43.42121727693602</v>
      </c>
      <c r="J3170" s="68">
        <f t="shared" si="1"/>
        <v>65.13182592</v>
      </c>
      <c r="K3170" s="68" t="b">
        <v>1</v>
      </c>
    </row>
    <row r="3171" hidden="1">
      <c r="A3171" s="75">
        <v>3165.0</v>
      </c>
      <c r="B3171" s="62" t="s">
        <v>1306</v>
      </c>
      <c r="C3171" s="62" t="s">
        <v>104</v>
      </c>
      <c r="D3171" s="62" t="s">
        <v>2042</v>
      </c>
      <c r="E3171" s="76">
        <v>44179.0</v>
      </c>
      <c r="F3171" s="77">
        <v>0.041666666666666664</v>
      </c>
      <c r="G3171" s="62" t="b">
        <v>0</v>
      </c>
      <c r="H3171" s="78" t="b">
        <f>IF(VLOOKUP(C3171,Projetos!A:L,12,false)=TRUE,TRUE,FALSE)</f>
        <v>1</v>
      </c>
      <c r="I3171" s="68">
        <v>43.42121727693602</v>
      </c>
      <c r="J3171" s="68">
        <f t="shared" si="1"/>
        <v>0</v>
      </c>
      <c r="K3171" s="68" t="b">
        <v>1</v>
      </c>
    </row>
    <row r="3172" hidden="1">
      <c r="A3172" s="75">
        <v>3166.0</v>
      </c>
      <c r="B3172" s="62" t="s">
        <v>1306</v>
      </c>
      <c r="C3172" s="62" t="s">
        <v>108</v>
      </c>
      <c r="D3172" s="62" t="s">
        <v>2043</v>
      </c>
      <c r="E3172" s="76">
        <v>44179.0</v>
      </c>
      <c r="F3172" s="77">
        <v>0.041666666666666664</v>
      </c>
      <c r="G3172" s="62" t="b">
        <v>1</v>
      </c>
      <c r="H3172" s="78" t="b">
        <f>IF(VLOOKUP(C3172,Projetos!A:L,12,false)=TRUE,TRUE,FALSE)</f>
        <v>1</v>
      </c>
      <c r="I3172" s="68">
        <v>43.42121727693602</v>
      </c>
      <c r="J3172" s="68">
        <f t="shared" si="1"/>
        <v>43.42121728</v>
      </c>
      <c r="K3172" s="68" t="b">
        <v>1</v>
      </c>
    </row>
    <row r="3173">
      <c r="A3173" s="75">
        <v>3167.0</v>
      </c>
      <c r="B3173" s="62" t="s">
        <v>1306</v>
      </c>
      <c r="C3173" s="62" t="s">
        <v>90</v>
      </c>
      <c r="D3173" s="62" t="s">
        <v>2044</v>
      </c>
      <c r="E3173" s="76">
        <v>44179.0</v>
      </c>
      <c r="F3173" s="77">
        <v>0.08333333333333333</v>
      </c>
      <c r="G3173" s="62" t="b">
        <v>1</v>
      </c>
      <c r="H3173" s="78" t="b">
        <f>IF(VLOOKUP(C3173,Projetos!A:L,12,false)=TRUE,TRUE,FALSE)</f>
        <v>1</v>
      </c>
      <c r="I3173" s="68">
        <v>43.42121727693602</v>
      </c>
      <c r="J3173" s="68">
        <f t="shared" si="1"/>
        <v>86.84243455</v>
      </c>
      <c r="K3173" s="68" t="b">
        <v>1</v>
      </c>
    </row>
    <row r="3174">
      <c r="A3174" s="75">
        <v>3168.0</v>
      </c>
      <c r="B3174" s="62" t="s">
        <v>1306</v>
      </c>
      <c r="C3174" s="62" t="s">
        <v>90</v>
      </c>
      <c r="D3174" s="62" t="s">
        <v>2044</v>
      </c>
      <c r="E3174" s="76">
        <v>44180.0</v>
      </c>
      <c r="F3174" s="77">
        <v>0.020833333333333332</v>
      </c>
      <c r="G3174" s="62" t="b">
        <v>1</v>
      </c>
      <c r="H3174" s="78" t="b">
        <f>IF(VLOOKUP(C3174,Projetos!A:L,12,false)=TRUE,TRUE,FALSE)</f>
        <v>1</v>
      </c>
      <c r="I3174" s="68">
        <v>43.42121727693602</v>
      </c>
      <c r="J3174" s="68">
        <f t="shared" si="1"/>
        <v>21.71060864</v>
      </c>
      <c r="K3174" s="68" t="b">
        <v>1</v>
      </c>
    </row>
    <row r="3175">
      <c r="A3175" s="75">
        <v>3169.0</v>
      </c>
      <c r="B3175" s="62" t="s">
        <v>1306</v>
      </c>
      <c r="C3175" s="62" t="s">
        <v>90</v>
      </c>
      <c r="D3175" s="62" t="s">
        <v>2045</v>
      </c>
      <c r="E3175" s="76">
        <v>44180.0</v>
      </c>
      <c r="F3175" s="77">
        <v>0.0625</v>
      </c>
      <c r="G3175" s="62" t="b">
        <v>1</v>
      </c>
      <c r="H3175" s="78" t="b">
        <f>IF(VLOOKUP(C3175,Projetos!A:L,12,false)=TRUE,TRUE,FALSE)</f>
        <v>1</v>
      </c>
      <c r="I3175" s="68">
        <v>43.42121727693602</v>
      </c>
      <c r="J3175" s="68">
        <f t="shared" si="1"/>
        <v>65.13182592</v>
      </c>
      <c r="K3175" s="68" t="b">
        <v>1</v>
      </c>
    </row>
    <row r="3176" hidden="1">
      <c r="A3176" s="75">
        <v>3170.0</v>
      </c>
      <c r="B3176" s="62" t="s">
        <v>1306</v>
      </c>
      <c r="C3176" s="62" t="s">
        <v>108</v>
      </c>
      <c r="D3176" s="62" t="s">
        <v>2046</v>
      </c>
      <c r="E3176" s="76">
        <v>44180.0</v>
      </c>
      <c r="F3176" s="77">
        <v>0.041666666666666664</v>
      </c>
      <c r="G3176" s="62" t="b">
        <v>1</v>
      </c>
      <c r="H3176" s="78" t="b">
        <f>IF(VLOOKUP(C3176,Projetos!A:L,12,false)=TRUE,TRUE,FALSE)</f>
        <v>1</v>
      </c>
      <c r="I3176" s="68">
        <v>43.42121727693602</v>
      </c>
      <c r="J3176" s="68">
        <f t="shared" si="1"/>
        <v>43.42121728</v>
      </c>
      <c r="K3176" s="68" t="b">
        <v>1</v>
      </c>
    </row>
    <row r="3177">
      <c r="A3177" s="75">
        <v>3171.0</v>
      </c>
      <c r="B3177" s="62" t="s">
        <v>1306</v>
      </c>
      <c r="C3177" s="62" t="s">
        <v>105</v>
      </c>
      <c r="D3177" s="62" t="s">
        <v>2047</v>
      </c>
      <c r="E3177" s="76">
        <v>44180.0</v>
      </c>
      <c r="F3177" s="77">
        <v>0.020833333333333332</v>
      </c>
      <c r="G3177" s="62" t="b">
        <v>1</v>
      </c>
      <c r="H3177" s="78" t="b">
        <f>IF(VLOOKUP(C3177,Projetos!A:L,12,false)=TRUE,TRUE,FALSE)</f>
        <v>1</v>
      </c>
      <c r="I3177" s="68">
        <v>43.42121727693602</v>
      </c>
      <c r="J3177" s="68">
        <f t="shared" si="1"/>
        <v>21.71060864</v>
      </c>
      <c r="K3177" s="68" t="b">
        <v>1</v>
      </c>
    </row>
    <row r="3178">
      <c r="A3178" s="75">
        <v>3172.0</v>
      </c>
      <c r="B3178" s="62" t="s">
        <v>1306</v>
      </c>
      <c r="C3178" s="62" t="s">
        <v>113</v>
      </c>
      <c r="D3178" s="62" t="s">
        <v>2048</v>
      </c>
      <c r="E3178" s="76">
        <v>44180.0</v>
      </c>
      <c r="F3178" s="77">
        <v>0.041666666666666664</v>
      </c>
      <c r="G3178" s="62" t="b">
        <v>1</v>
      </c>
      <c r="H3178" s="78" t="b">
        <f>IF(VLOOKUP(C3178,Projetos!A:L,12,false)=TRUE,TRUE,FALSE)</f>
        <v>1</v>
      </c>
      <c r="I3178" s="68">
        <v>43.42121727693602</v>
      </c>
      <c r="J3178" s="68">
        <f t="shared" si="1"/>
        <v>43.42121728</v>
      </c>
      <c r="K3178" s="68" t="b">
        <v>1</v>
      </c>
    </row>
    <row r="3179">
      <c r="A3179" s="75">
        <v>3173.0</v>
      </c>
      <c r="B3179" s="62" t="s">
        <v>1306</v>
      </c>
      <c r="C3179" s="62" t="s">
        <v>90</v>
      </c>
      <c r="D3179" s="62" t="s">
        <v>2049</v>
      </c>
      <c r="E3179" s="76">
        <v>44180.0</v>
      </c>
      <c r="F3179" s="77">
        <v>0.125</v>
      </c>
      <c r="G3179" s="62" t="b">
        <v>1</v>
      </c>
      <c r="H3179" s="78" t="b">
        <f>IF(VLOOKUP(C3179,Projetos!A:L,12,false)=TRUE,TRUE,FALSE)</f>
        <v>1</v>
      </c>
      <c r="I3179" s="68">
        <v>43.42121727693602</v>
      </c>
      <c r="J3179" s="68">
        <f t="shared" si="1"/>
        <v>130.2636518</v>
      </c>
      <c r="K3179" s="68" t="b">
        <v>1</v>
      </c>
    </row>
    <row r="3180" hidden="1">
      <c r="A3180" s="75">
        <v>3174.0</v>
      </c>
      <c r="B3180" s="62" t="s">
        <v>1306</v>
      </c>
      <c r="C3180" s="62" t="s">
        <v>108</v>
      </c>
      <c r="D3180" s="62" t="s">
        <v>2050</v>
      </c>
      <c r="E3180" s="76">
        <v>44180.0</v>
      </c>
      <c r="F3180" s="77">
        <v>0.020833333333333332</v>
      </c>
      <c r="G3180" s="62" t="b">
        <v>0</v>
      </c>
      <c r="H3180" s="78" t="b">
        <f>IF(VLOOKUP(C3180,Projetos!A:L,12,false)=TRUE,TRUE,FALSE)</f>
        <v>1</v>
      </c>
      <c r="I3180" s="68">
        <v>43.42121727693602</v>
      </c>
      <c r="J3180" s="68">
        <f t="shared" si="1"/>
        <v>0</v>
      </c>
      <c r="K3180" s="68" t="b">
        <v>1</v>
      </c>
    </row>
    <row r="3181" hidden="1">
      <c r="A3181" s="75">
        <v>3175.0</v>
      </c>
      <c r="B3181" s="62" t="s">
        <v>1306</v>
      </c>
      <c r="C3181" s="62" t="s">
        <v>108</v>
      </c>
      <c r="D3181" s="62" t="s">
        <v>2051</v>
      </c>
      <c r="E3181" s="76">
        <v>44181.0</v>
      </c>
      <c r="F3181" s="77">
        <v>0.03125</v>
      </c>
      <c r="G3181" s="62" t="b">
        <v>0</v>
      </c>
      <c r="H3181" s="78" t="b">
        <f>IF(VLOOKUP(C3181,Projetos!A:L,12,false)=TRUE,TRUE,FALSE)</f>
        <v>1</v>
      </c>
      <c r="I3181" s="68">
        <v>43.42121727693602</v>
      </c>
      <c r="J3181" s="68">
        <f t="shared" si="1"/>
        <v>0</v>
      </c>
      <c r="K3181" s="68" t="b">
        <v>1</v>
      </c>
    </row>
    <row r="3182">
      <c r="A3182" s="75">
        <v>3176.0</v>
      </c>
      <c r="B3182" s="62" t="s">
        <v>1306</v>
      </c>
      <c r="C3182" s="62" t="s">
        <v>90</v>
      </c>
      <c r="D3182" s="62" t="s">
        <v>2052</v>
      </c>
      <c r="E3182" s="76">
        <v>44181.0</v>
      </c>
      <c r="F3182" s="77">
        <v>0.1875</v>
      </c>
      <c r="G3182" s="62" t="b">
        <v>1</v>
      </c>
      <c r="H3182" s="78" t="b">
        <f>IF(VLOOKUP(C3182,Projetos!A:L,12,false)=TRUE,TRUE,FALSE)</f>
        <v>1</v>
      </c>
      <c r="I3182" s="68">
        <v>43.42121727693602</v>
      </c>
      <c r="J3182" s="68">
        <f t="shared" si="1"/>
        <v>195.3954777</v>
      </c>
      <c r="K3182" s="68" t="b">
        <v>1</v>
      </c>
    </row>
    <row r="3183">
      <c r="A3183" s="75">
        <v>3177.0</v>
      </c>
      <c r="B3183" s="62" t="s">
        <v>1306</v>
      </c>
      <c r="C3183" s="62" t="s">
        <v>105</v>
      </c>
      <c r="D3183" s="62" t="s">
        <v>2053</v>
      </c>
      <c r="E3183" s="76">
        <v>44181.0</v>
      </c>
      <c r="F3183" s="77">
        <v>0.08333333333333333</v>
      </c>
      <c r="G3183" s="62" t="b">
        <v>1</v>
      </c>
      <c r="H3183" s="78" t="b">
        <f>IF(VLOOKUP(C3183,Projetos!A:L,12,false)=TRUE,TRUE,FALSE)</f>
        <v>1</v>
      </c>
      <c r="I3183" s="68">
        <v>43.42121727693602</v>
      </c>
      <c r="J3183" s="68">
        <f t="shared" si="1"/>
        <v>86.84243455</v>
      </c>
      <c r="K3183" s="68" t="b">
        <v>1</v>
      </c>
    </row>
    <row r="3184">
      <c r="A3184" s="75">
        <v>3178.0</v>
      </c>
      <c r="B3184" s="62" t="s">
        <v>1306</v>
      </c>
      <c r="C3184" s="62" t="s">
        <v>90</v>
      </c>
      <c r="D3184" s="62" t="s">
        <v>2054</v>
      </c>
      <c r="E3184" s="76">
        <v>44181.0</v>
      </c>
      <c r="F3184" s="77">
        <v>0.0625</v>
      </c>
      <c r="G3184" s="62" t="b">
        <v>1</v>
      </c>
      <c r="H3184" s="78" t="b">
        <f>IF(VLOOKUP(C3184,Projetos!A:L,12,false)=TRUE,TRUE,FALSE)</f>
        <v>1</v>
      </c>
      <c r="I3184" s="68">
        <v>43.42121727693602</v>
      </c>
      <c r="J3184" s="68">
        <f t="shared" si="1"/>
        <v>65.13182592</v>
      </c>
      <c r="K3184" s="68" t="b">
        <v>1</v>
      </c>
    </row>
    <row r="3185">
      <c r="A3185" s="75">
        <v>3179.0</v>
      </c>
      <c r="B3185" s="62" t="s">
        <v>1306</v>
      </c>
      <c r="C3185" s="62" t="s">
        <v>105</v>
      </c>
      <c r="D3185" s="62" t="s">
        <v>2055</v>
      </c>
      <c r="E3185" s="76">
        <v>44182.0</v>
      </c>
      <c r="F3185" s="77">
        <v>0.07291666666666667</v>
      </c>
      <c r="G3185" s="62" t="b">
        <v>1</v>
      </c>
      <c r="H3185" s="78" t="b">
        <f>IF(VLOOKUP(C3185,Projetos!A:L,12,false)=TRUE,TRUE,FALSE)</f>
        <v>1</v>
      </c>
      <c r="I3185" s="68">
        <v>43.42121727693602</v>
      </c>
      <c r="J3185" s="68">
        <f t="shared" si="1"/>
        <v>75.98713023</v>
      </c>
      <c r="K3185" s="68" t="b">
        <v>1</v>
      </c>
    </row>
    <row r="3186">
      <c r="A3186" s="75">
        <v>3180.0</v>
      </c>
      <c r="B3186" s="62" t="s">
        <v>1306</v>
      </c>
      <c r="C3186" s="62" t="s">
        <v>88</v>
      </c>
      <c r="D3186" s="62" t="s">
        <v>2056</v>
      </c>
      <c r="E3186" s="76">
        <v>44182.0</v>
      </c>
      <c r="F3186" s="77">
        <v>0.041666666666666664</v>
      </c>
      <c r="G3186" s="62" t="b">
        <v>1</v>
      </c>
      <c r="H3186" s="78" t="b">
        <f>IF(VLOOKUP(C3186,Projetos!A:L,12,false)=TRUE,TRUE,FALSE)</f>
        <v>1</v>
      </c>
      <c r="I3186" s="68">
        <v>43.42121727693602</v>
      </c>
      <c r="J3186" s="68">
        <f t="shared" si="1"/>
        <v>43.42121728</v>
      </c>
      <c r="K3186" s="68" t="b">
        <v>1</v>
      </c>
    </row>
    <row r="3187">
      <c r="A3187" s="75">
        <v>3181.0</v>
      </c>
      <c r="B3187" s="62" t="s">
        <v>1306</v>
      </c>
      <c r="C3187" s="62" t="s">
        <v>90</v>
      </c>
      <c r="D3187" s="62" t="s">
        <v>2057</v>
      </c>
      <c r="E3187" s="76">
        <v>44182.0</v>
      </c>
      <c r="F3187" s="77">
        <v>0.041666666666666664</v>
      </c>
      <c r="G3187" s="62" t="b">
        <v>1</v>
      </c>
      <c r="H3187" s="78" t="b">
        <f>IF(VLOOKUP(C3187,Projetos!A:L,12,false)=TRUE,TRUE,FALSE)</f>
        <v>1</v>
      </c>
      <c r="I3187" s="68">
        <v>43.42121727693602</v>
      </c>
      <c r="J3187" s="68">
        <f t="shared" si="1"/>
        <v>43.42121728</v>
      </c>
      <c r="K3187" s="68" t="b">
        <v>1</v>
      </c>
    </row>
    <row r="3188">
      <c r="A3188" s="75">
        <v>3182.0</v>
      </c>
      <c r="B3188" s="62" t="s">
        <v>1306</v>
      </c>
      <c r="C3188" s="62" t="s">
        <v>105</v>
      </c>
      <c r="D3188" s="62" t="s">
        <v>2058</v>
      </c>
      <c r="E3188" s="76">
        <v>44182.0</v>
      </c>
      <c r="F3188" s="77">
        <v>0.041666666666666664</v>
      </c>
      <c r="G3188" s="62" t="b">
        <v>1</v>
      </c>
      <c r="H3188" s="78" t="b">
        <f>IF(VLOOKUP(C3188,Projetos!A:L,12,false)=TRUE,TRUE,FALSE)</f>
        <v>1</v>
      </c>
      <c r="I3188" s="68">
        <v>43.42121727693602</v>
      </c>
      <c r="J3188" s="68">
        <f t="shared" si="1"/>
        <v>43.42121728</v>
      </c>
      <c r="K3188" s="68" t="b">
        <v>1</v>
      </c>
    </row>
    <row r="3189">
      <c r="A3189" s="75">
        <v>3183.0</v>
      </c>
      <c r="B3189" s="62" t="s">
        <v>1306</v>
      </c>
      <c r="C3189" s="62" t="s">
        <v>116</v>
      </c>
      <c r="D3189" s="62" t="s">
        <v>2059</v>
      </c>
      <c r="E3189" s="76">
        <v>44182.0</v>
      </c>
      <c r="F3189" s="77">
        <v>0.0625</v>
      </c>
      <c r="G3189" s="62" t="b">
        <v>1</v>
      </c>
      <c r="H3189" s="78" t="b">
        <f>IF(VLOOKUP(C3189,Projetos!A:L,12,false)=TRUE,TRUE,FALSE)</f>
        <v>1</v>
      </c>
      <c r="I3189" s="68">
        <v>43.42121727693602</v>
      </c>
      <c r="J3189" s="68">
        <f t="shared" si="1"/>
        <v>65.13182592</v>
      </c>
      <c r="K3189" s="68" t="b">
        <v>1</v>
      </c>
    </row>
    <row r="3190" hidden="1">
      <c r="A3190" s="75">
        <v>3184.0</v>
      </c>
      <c r="B3190" s="62" t="s">
        <v>1306</v>
      </c>
      <c r="C3190" s="62" t="s">
        <v>108</v>
      </c>
      <c r="D3190" s="62" t="s">
        <v>2060</v>
      </c>
      <c r="E3190" s="76">
        <v>44182.0</v>
      </c>
      <c r="F3190" s="77">
        <v>0.041666666666666664</v>
      </c>
      <c r="G3190" s="62" t="b">
        <v>1</v>
      </c>
      <c r="H3190" s="78" t="b">
        <f>IF(VLOOKUP(C3190,Projetos!A:L,12,false)=TRUE,TRUE,FALSE)</f>
        <v>1</v>
      </c>
      <c r="I3190" s="68">
        <v>43.42121727693602</v>
      </c>
      <c r="J3190" s="68">
        <f t="shared" si="1"/>
        <v>43.42121728</v>
      </c>
      <c r="K3190" s="68" t="b">
        <v>1</v>
      </c>
    </row>
    <row r="3191">
      <c r="A3191" s="75">
        <v>3185.0</v>
      </c>
      <c r="B3191" s="62" t="s">
        <v>1306</v>
      </c>
      <c r="C3191" s="62" t="s">
        <v>105</v>
      </c>
      <c r="D3191" s="62" t="s">
        <v>2060</v>
      </c>
      <c r="E3191" s="76">
        <v>44182.0</v>
      </c>
      <c r="F3191" s="77">
        <v>0.041666666666666664</v>
      </c>
      <c r="G3191" s="62" t="b">
        <v>1</v>
      </c>
      <c r="H3191" s="78" t="b">
        <f>IF(VLOOKUP(C3191,Projetos!A:L,12,false)=TRUE,TRUE,FALSE)</f>
        <v>1</v>
      </c>
      <c r="I3191" s="68">
        <v>43.42121727693602</v>
      </c>
      <c r="J3191" s="68">
        <f t="shared" si="1"/>
        <v>43.42121728</v>
      </c>
      <c r="K3191" s="68" t="b">
        <v>1</v>
      </c>
    </row>
    <row r="3192">
      <c r="A3192" s="75">
        <v>3186.0</v>
      </c>
      <c r="B3192" s="62" t="s">
        <v>1306</v>
      </c>
      <c r="C3192" s="62" t="s">
        <v>90</v>
      </c>
      <c r="D3192" s="62" t="s">
        <v>2061</v>
      </c>
      <c r="E3192" s="76">
        <v>44183.0</v>
      </c>
      <c r="F3192" s="77">
        <v>0.03125</v>
      </c>
      <c r="G3192" s="62" t="b">
        <v>1</v>
      </c>
      <c r="H3192" s="78" t="b">
        <f>IF(VLOOKUP(C3192,Projetos!A:L,12,false)=TRUE,TRUE,FALSE)</f>
        <v>1</v>
      </c>
      <c r="I3192" s="68">
        <v>43.42121727693602</v>
      </c>
      <c r="J3192" s="68">
        <f t="shared" si="1"/>
        <v>32.56591296</v>
      </c>
      <c r="K3192" s="68" t="b">
        <v>1</v>
      </c>
    </row>
    <row r="3193">
      <c r="A3193" s="75">
        <v>3187.0</v>
      </c>
      <c r="B3193" s="62" t="s">
        <v>1306</v>
      </c>
      <c r="C3193" s="62" t="s">
        <v>90</v>
      </c>
      <c r="D3193" s="62" t="s">
        <v>2062</v>
      </c>
      <c r="E3193" s="76">
        <v>44183.0</v>
      </c>
      <c r="F3193" s="77">
        <v>0.1875</v>
      </c>
      <c r="G3193" s="62" t="b">
        <v>1</v>
      </c>
      <c r="H3193" s="78" t="b">
        <f>IF(VLOOKUP(C3193,Projetos!A:L,12,false)=TRUE,TRUE,FALSE)</f>
        <v>1</v>
      </c>
      <c r="I3193" s="68">
        <v>43.42121727693602</v>
      </c>
      <c r="J3193" s="68">
        <f t="shared" si="1"/>
        <v>195.3954777</v>
      </c>
      <c r="K3193" s="68" t="b">
        <v>1</v>
      </c>
    </row>
    <row r="3194">
      <c r="A3194" s="75">
        <v>3188.0</v>
      </c>
      <c r="B3194" s="62" t="s">
        <v>1306</v>
      </c>
      <c r="C3194" s="62" t="s">
        <v>105</v>
      </c>
      <c r="D3194" s="62" t="s">
        <v>2063</v>
      </c>
      <c r="E3194" s="76">
        <v>44183.0</v>
      </c>
      <c r="F3194" s="77">
        <v>0.08333333333333333</v>
      </c>
      <c r="G3194" s="62" t="b">
        <v>1</v>
      </c>
      <c r="H3194" s="78" t="b">
        <f>IF(VLOOKUP(C3194,Projetos!A:L,12,false)=TRUE,TRUE,FALSE)</f>
        <v>1</v>
      </c>
      <c r="I3194" s="68">
        <v>43.42121727693602</v>
      </c>
      <c r="J3194" s="68">
        <f t="shared" si="1"/>
        <v>86.84243455</v>
      </c>
      <c r="K3194" s="68" t="b">
        <v>1</v>
      </c>
    </row>
    <row r="3195">
      <c r="A3195" s="75">
        <v>3189.0</v>
      </c>
      <c r="B3195" s="62" t="s">
        <v>1306</v>
      </c>
      <c r="C3195" s="62" t="s">
        <v>90</v>
      </c>
      <c r="D3195" s="62" t="s">
        <v>2061</v>
      </c>
      <c r="E3195" s="76">
        <v>44183.0</v>
      </c>
      <c r="F3195" s="77">
        <v>0.020833333333333332</v>
      </c>
      <c r="G3195" s="62" t="b">
        <v>1</v>
      </c>
      <c r="H3195" s="78" t="b">
        <f>IF(VLOOKUP(C3195,Projetos!A:L,12,false)=TRUE,TRUE,FALSE)</f>
        <v>1</v>
      </c>
      <c r="I3195" s="68">
        <v>43.42121727693602</v>
      </c>
      <c r="J3195" s="68">
        <f t="shared" si="1"/>
        <v>21.71060864</v>
      </c>
      <c r="K3195" s="68" t="b">
        <v>1</v>
      </c>
    </row>
    <row r="3196">
      <c r="A3196" s="75">
        <v>3190.0</v>
      </c>
      <c r="B3196" s="62" t="s">
        <v>1306</v>
      </c>
      <c r="C3196" s="62" t="s">
        <v>90</v>
      </c>
      <c r="D3196" s="62" t="s">
        <v>2064</v>
      </c>
      <c r="E3196" s="76">
        <v>44186.0</v>
      </c>
      <c r="F3196" s="77">
        <v>0.07291666666666667</v>
      </c>
      <c r="G3196" s="62" t="b">
        <v>1</v>
      </c>
      <c r="H3196" s="78" t="b">
        <f>IF(VLOOKUP(C3196,Projetos!A:L,12,false)=TRUE,TRUE,FALSE)</f>
        <v>1</v>
      </c>
      <c r="I3196" s="68">
        <v>43.42121727693602</v>
      </c>
      <c r="J3196" s="68">
        <f t="shared" si="1"/>
        <v>75.98713023</v>
      </c>
      <c r="K3196" s="68" t="b">
        <v>1</v>
      </c>
    </row>
    <row r="3197" hidden="1">
      <c r="A3197" s="75">
        <v>3191.0</v>
      </c>
      <c r="B3197" s="62" t="s">
        <v>1306</v>
      </c>
      <c r="C3197" s="62" t="s">
        <v>110</v>
      </c>
      <c r="D3197" s="62" t="s">
        <v>2065</v>
      </c>
      <c r="E3197" s="76">
        <v>44186.0</v>
      </c>
      <c r="F3197" s="77">
        <v>0.0625</v>
      </c>
      <c r="G3197" s="62" t="b">
        <v>0</v>
      </c>
      <c r="H3197" s="78" t="b">
        <f>IF(VLOOKUP(C3197,Projetos!A:L,12,false)=TRUE,TRUE,FALSE)</f>
        <v>1</v>
      </c>
      <c r="I3197" s="68">
        <v>43.42121727693602</v>
      </c>
      <c r="J3197" s="68">
        <f t="shared" si="1"/>
        <v>0</v>
      </c>
      <c r="K3197" s="68" t="b">
        <v>1</v>
      </c>
    </row>
    <row r="3198">
      <c r="A3198" s="75">
        <v>3192.0</v>
      </c>
      <c r="B3198" s="62" t="s">
        <v>1306</v>
      </c>
      <c r="C3198" s="62" t="s">
        <v>90</v>
      </c>
      <c r="D3198" s="62" t="s">
        <v>2054</v>
      </c>
      <c r="E3198" s="76">
        <v>44186.0</v>
      </c>
      <c r="F3198" s="77">
        <v>0.041666666666666664</v>
      </c>
      <c r="G3198" s="62" t="b">
        <v>1</v>
      </c>
      <c r="H3198" s="78" t="b">
        <f>IF(VLOOKUP(C3198,Projetos!A:L,12,false)=TRUE,TRUE,FALSE)</f>
        <v>1</v>
      </c>
      <c r="I3198" s="68">
        <v>43.42121727693602</v>
      </c>
      <c r="J3198" s="68">
        <f t="shared" si="1"/>
        <v>43.42121728</v>
      </c>
      <c r="K3198" s="68" t="b">
        <v>1</v>
      </c>
    </row>
    <row r="3199" hidden="1">
      <c r="A3199" s="75">
        <v>3193.0</v>
      </c>
      <c r="B3199" s="62" t="s">
        <v>1306</v>
      </c>
      <c r="C3199" s="62" t="s">
        <v>108</v>
      </c>
      <c r="D3199" s="62" t="s">
        <v>2066</v>
      </c>
      <c r="E3199" s="76">
        <v>44186.0</v>
      </c>
      <c r="F3199" s="77">
        <v>0.041666666666666664</v>
      </c>
      <c r="G3199" s="62" t="b">
        <v>1</v>
      </c>
      <c r="H3199" s="78" t="b">
        <f>IF(VLOOKUP(C3199,Projetos!A:L,12,false)=TRUE,TRUE,FALSE)</f>
        <v>1</v>
      </c>
      <c r="I3199" s="68">
        <v>43.42121727693602</v>
      </c>
      <c r="J3199" s="68">
        <f t="shared" si="1"/>
        <v>43.42121728</v>
      </c>
      <c r="K3199" s="68" t="b">
        <v>1</v>
      </c>
    </row>
    <row r="3200">
      <c r="A3200" s="75">
        <v>3194.0</v>
      </c>
      <c r="B3200" s="62" t="s">
        <v>1306</v>
      </c>
      <c r="C3200" s="62" t="s">
        <v>90</v>
      </c>
      <c r="D3200" s="62" t="s">
        <v>2067</v>
      </c>
      <c r="E3200" s="76">
        <v>44186.0</v>
      </c>
      <c r="F3200" s="77">
        <v>0.10416666666666667</v>
      </c>
      <c r="G3200" s="62" t="b">
        <v>1</v>
      </c>
      <c r="H3200" s="78" t="b">
        <f>IF(VLOOKUP(C3200,Projetos!A:L,12,false)=TRUE,TRUE,FALSE)</f>
        <v>1</v>
      </c>
      <c r="I3200" s="68">
        <v>43.42121727693602</v>
      </c>
      <c r="J3200" s="68">
        <f t="shared" si="1"/>
        <v>108.5530432</v>
      </c>
      <c r="K3200" s="68" t="b">
        <v>1</v>
      </c>
    </row>
    <row r="3201">
      <c r="A3201" s="75">
        <v>3195.0</v>
      </c>
      <c r="B3201" s="62" t="s">
        <v>1306</v>
      </c>
      <c r="C3201" s="62" t="s">
        <v>105</v>
      </c>
      <c r="D3201" s="62" t="s">
        <v>2005</v>
      </c>
      <c r="E3201" s="76">
        <v>44187.0</v>
      </c>
      <c r="F3201" s="77">
        <v>0.07291666666666667</v>
      </c>
      <c r="G3201" s="62" t="b">
        <v>1</v>
      </c>
      <c r="H3201" s="78" t="b">
        <f>IF(VLOOKUP(C3201,Projetos!A:L,12,false)=TRUE,TRUE,FALSE)</f>
        <v>1</v>
      </c>
      <c r="I3201" s="68">
        <v>43.42121727693602</v>
      </c>
      <c r="J3201" s="68">
        <f t="shared" si="1"/>
        <v>75.98713023</v>
      </c>
      <c r="K3201" s="68" t="b">
        <v>1</v>
      </c>
    </row>
    <row r="3202" hidden="1">
      <c r="A3202" s="75">
        <v>3196.0</v>
      </c>
      <c r="B3202" s="62" t="s">
        <v>1306</v>
      </c>
      <c r="C3202" s="62" t="s">
        <v>90</v>
      </c>
      <c r="D3202" s="62" t="s">
        <v>2068</v>
      </c>
      <c r="E3202" s="76">
        <v>44187.0</v>
      </c>
      <c r="F3202" s="77">
        <v>0.08333333333333333</v>
      </c>
      <c r="G3202" s="62" t="b">
        <v>0</v>
      </c>
      <c r="H3202" s="78" t="b">
        <f>IF(VLOOKUP(C3202,Projetos!A:L,12,false)=TRUE,TRUE,FALSE)</f>
        <v>1</v>
      </c>
      <c r="I3202" s="68">
        <v>43.42121727693602</v>
      </c>
      <c r="J3202" s="68">
        <f t="shared" si="1"/>
        <v>0</v>
      </c>
      <c r="K3202" s="68" t="b">
        <v>1</v>
      </c>
    </row>
    <row r="3203" hidden="1">
      <c r="A3203" s="75">
        <v>3197.0</v>
      </c>
      <c r="B3203" s="62" t="s">
        <v>1306</v>
      </c>
      <c r="C3203" s="62" t="s">
        <v>108</v>
      </c>
      <c r="D3203" s="62" t="s">
        <v>2069</v>
      </c>
      <c r="E3203" s="76">
        <v>44187.0</v>
      </c>
      <c r="F3203" s="77">
        <v>0.0625</v>
      </c>
      <c r="G3203" s="62" t="b">
        <v>1</v>
      </c>
      <c r="H3203" s="78" t="b">
        <f>IF(VLOOKUP(C3203,Projetos!A:L,12,false)=TRUE,TRUE,FALSE)</f>
        <v>1</v>
      </c>
      <c r="I3203" s="68">
        <v>43.42121727693602</v>
      </c>
      <c r="J3203" s="68">
        <f t="shared" si="1"/>
        <v>65.13182592</v>
      </c>
      <c r="K3203" s="68" t="b">
        <v>1</v>
      </c>
    </row>
    <row r="3204">
      <c r="A3204" s="75">
        <v>3198.0</v>
      </c>
      <c r="B3204" s="62" t="s">
        <v>1306</v>
      </c>
      <c r="C3204" s="62" t="s">
        <v>90</v>
      </c>
      <c r="D3204" s="62" t="s">
        <v>2070</v>
      </c>
      <c r="E3204" s="76">
        <v>44187.0</v>
      </c>
      <c r="F3204" s="77">
        <v>0.08333333333333333</v>
      </c>
      <c r="G3204" s="62" t="b">
        <v>1</v>
      </c>
      <c r="H3204" s="78" t="b">
        <f>IF(VLOOKUP(C3204,Projetos!A:L,12,false)=TRUE,TRUE,FALSE)</f>
        <v>1</v>
      </c>
      <c r="I3204" s="68">
        <v>43.42121727693602</v>
      </c>
      <c r="J3204" s="68">
        <f t="shared" si="1"/>
        <v>86.84243455</v>
      </c>
      <c r="K3204" s="68" t="b">
        <v>1</v>
      </c>
    </row>
    <row r="3205">
      <c r="A3205" s="75">
        <v>3199.0</v>
      </c>
      <c r="B3205" s="62" t="s">
        <v>1306</v>
      </c>
      <c r="C3205" s="62" t="s">
        <v>116</v>
      </c>
      <c r="D3205" s="62" t="s">
        <v>2071</v>
      </c>
      <c r="E3205" s="76">
        <v>44187.0</v>
      </c>
      <c r="F3205" s="77">
        <v>0.0625</v>
      </c>
      <c r="G3205" s="62" t="b">
        <v>1</v>
      </c>
      <c r="H3205" s="78" t="b">
        <f>IF(VLOOKUP(C3205,Projetos!A:L,12,false)=TRUE,TRUE,FALSE)</f>
        <v>1</v>
      </c>
      <c r="I3205" s="68">
        <v>43.42121727693602</v>
      </c>
      <c r="J3205" s="68">
        <f t="shared" si="1"/>
        <v>65.13182592</v>
      </c>
      <c r="K3205" s="68" t="b">
        <v>1</v>
      </c>
    </row>
    <row r="3206" hidden="1">
      <c r="A3206" s="75">
        <v>3200.0</v>
      </c>
      <c r="B3206" s="62" t="s">
        <v>1306</v>
      </c>
      <c r="C3206" s="62" t="s">
        <v>116</v>
      </c>
      <c r="D3206" s="62" t="s">
        <v>2072</v>
      </c>
      <c r="E3206" s="76">
        <v>44188.0</v>
      </c>
      <c r="F3206" s="77">
        <v>0.041666666666666664</v>
      </c>
      <c r="G3206" s="62" t="b">
        <v>0</v>
      </c>
      <c r="H3206" s="78" t="b">
        <f>IF(VLOOKUP(C3206,Projetos!A:L,12,false)=TRUE,TRUE,FALSE)</f>
        <v>1</v>
      </c>
      <c r="I3206" s="68">
        <v>43.42121727693602</v>
      </c>
      <c r="J3206" s="68">
        <f t="shared" si="1"/>
        <v>0</v>
      </c>
      <c r="K3206" s="68" t="b">
        <v>1</v>
      </c>
    </row>
    <row r="3207">
      <c r="A3207" s="75">
        <v>3201.0</v>
      </c>
      <c r="B3207" s="62" t="s">
        <v>1306</v>
      </c>
      <c r="C3207" s="62" t="s">
        <v>90</v>
      </c>
      <c r="D3207" s="62" t="s">
        <v>2073</v>
      </c>
      <c r="E3207" s="76">
        <v>44188.0</v>
      </c>
      <c r="F3207" s="77">
        <v>0.14583333333333334</v>
      </c>
      <c r="G3207" s="62" t="b">
        <v>1</v>
      </c>
      <c r="H3207" s="78" t="b">
        <f>IF(VLOOKUP(C3207,Projetos!A:L,12,false)=TRUE,TRUE,FALSE)</f>
        <v>1</v>
      </c>
      <c r="I3207" s="68">
        <v>43.42121727693602</v>
      </c>
      <c r="J3207" s="68">
        <f t="shared" si="1"/>
        <v>151.9742605</v>
      </c>
      <c r="K3207" s="68" t="b">
        <v>1</v>
      </c>
    </row>
    <row r="3208">
      <c r="A3208" s="75">
        <v>3202.0</v>
      </c>
      <c r="B3208" s="62" t="s">
        <v>1306</v>
      </c>
      <c r="C3208" s="62" t="s">
        <v>90</v>
      </c>
      <c r="D3208" s="62" t="s">
        <v>2074</v>
      </c>
      <c r="E3208" s="76">
        <v>44193.0</v>
      </c>
      <c r="F3208" s="77">
        <v>0.09375</v>
      </c>
      <c r="G3208" s="62" t="b">
        <v>1</v>
      </c>
      <c r="H3208" s="78" t="b">
        <f>IF(VLOOKUP(C3208,Projetos!A:L,12,false)=TRUE,TRUE,FALSE)</f>
        <v>1</v>
      </c>
      <c r="I3208" s="68">
        <v>43.42121727693602</v>
      </c>
      <c r="J3208" s="68">
        <f t="shared" si="1"/>
        <v>97.69773887</v>
      </c>
      <c r="K3208" s="68" t="b">
        <v>1</v>
      </c>
    </row>
    <row r="3209" hidden="1">
      <c r="A3209" s="75">
        <v>3203.0</v>
      </c>
      <c r="B3209" s="62" t="s">
        <v>1306</v>
      </c>
      <c r="C3209" s="62" t="s">
        <v>108</v>
      </c>
      <c r="D3209" s="62" t="s">
        <v>2075</v>
      </c>
      <c r="E3209" s="76">
        <v>44193.0</v>
      </c>
      <c r="F3209" s="77">
        <v>0.0625</v>
      </c>
      <c r="G3209" s="62" t="b">
        <v>0</v>
      </c>
      <c r="H3209" s="78" t="b">
        <f>IF(VLOOKUP(C3209,Projetos!A:L,12,false)=TRUE,TRUE,FALSE)</f>
        <v>1</v>
      </c>
      <c r="I3209" s="68">
        <v>43.42121727693602</v>
      </c>
      <c r="J3209" s="68">
        <f t="shared" si="1"/>
        <v>0</v>
      </c>
      <c r="K3209" s="68" t="b">
        <v>1</v>
      </c>
    </row>
    <row r="3210">
      <c r="A3210" s="75">
        <v>3204.0</v>
      </c>
      <c r="B3210" s="62" t="s">
        <v>1306</v>
      </c>
      <c r="C3210" s="62" t="s">
        <v>116</v>
      </c>
      <c r="D3210" s="62" t="s">
        <v>2076</v>
      </c>
      <c r="E3210" s="76">
        <v>44193.0</v>
      </c>
      <c r="F3210" s="77">
        <v>0.08333333333333333</v>
      </c>
      <c r="G3210" s="62" t="b">
        <v>1</v>
      </c>
      <c r="H3210" s="78" t="b">
        <f>IF(VLOOKUP(C3210,Projetos!A:L,12,false)=TRUE,TRUE,FALSE)</f>
        <v>1</v>
      </c>
      <c r="I3210" s="68">
        <v>43.42121727693602</v>
      </c>
      <c r="J3210" s="68">
        <f t="shared" si="1"/>
        <v>86.84243455</v>
      </c>
      <c r="K3210" s="68" t="b">
        <v>1</v>
      </c>
    </row>
    <row r="3211" hidden="1">
      <c r="A3211" s="75">
        <v>3205.0</v>
      </c>
      <c r="B3211" s="62" t="s">
        <v>1306</v>
      </c>
      <c r="C3211" s="62" t="s">
        <v>108</v>
      </c>
      <c r="D3211" s="62" t="s">
        <v>2077</v>
      </c>
      <c r="E3211" s="76">
        <v>44193.0</v>
      </c>
      <c r="F3211" s="77">
        <v>0.08333333333333333</v>
      </c>
      <c r="G3211" s="62" t="b">
        <v>0</v>
      </c>
      <c r="H3211" s="78" t="b">
        <f>IF(VLOOKUP(C3211,Projetos!A:L,12,false)=TRUE,TRUE,FALSE)</f>
        <v>1</v>
      </c>
      <c r="I3211" s="68">
        <v>43.42121727693602</v>
      </c>
      <c r="J3211" s="68">
        <f t="shared" si="1"/>
        <v>0</v>
      </c>
      <c r="K3211" s="68" t="b">
        <v>1</v>
      </c>
    </row>
    <row r="3212" hidden="1">
      <c r="A3212" s="75">
        <v>3206.0</v>
      </c>
      <c r="B3212" s="62" t="s">
        <v>1306</v>
      </c>
      <c r="C3212" s="62" t="s">
        <v>108</v>
      </c>
      <c r="D3212" s="62" t="s">
        <v>2078</v>
      </c>
      <c r="E3212" s="76">
        <v>44194.0</v>
      </c>
      <c r="F3212" s="77">
        <v>0.010416666666666666</v>
      </c>
      <c r="G3212" s="62" t="b">
        <v>0</v>
      </c>
      <c r="H3212" s="78" t="b">
        <f>IF(VLOOKUP(C3212,Projetos!A:L,12,false)=TRUE,TRUE,FALSE)</f>
        <v>1</v>
      </c>
      <c r="I3212" s="68">
        <v>43.42121727693602</v>
      </c>
      <c r="J3212" s="68">
        <f t="shared" si="1"/>
        <v>0</v>
      </c>
      <c r="K3212" s="68" t="b">
        <v>1</v>
      </c>
    </row>
    <row r="3213">
      <c r="A3213" s="75">
        <v>3207.0</v>
      </c>
      <c r="B3213" s="62" t="s">
        <v>1306</v>
      </c>
      <c r="C3213" s="62" t="s">
        <v>90</v>
      </c>
      <c r="D3213" s="62" t="s">
        <v>2079</v>
      </c>
      <c r="E3213" s="76">
        <v>44194.0</v>
      </c>
      <c r="F3213" s="77">
        <v>0.0625</v>
      </c>
      <c r="G3213" s="62" t="b">
        <v>1</v>
      </c>
      <c r="H3213" s="78" t="b">
        <f>IF(VLOOKUP(C3213,Projetos!A:L,12,false)=TRUE,TRUE,FALSE)</f>
        <v>1</v>
      </c>
      <c r="I3213" s="68">
        <v>43.42121727693602</v>
      </c>
      <c r="J3213" s="68">
        <f t="shared" si="1"/>
        <v>65.13182592</v>
      </c>
      <c r="K3213" s="68" t="b">
        <v>1</v>
      </c>
    </row>
    <row r="3214" hidden="1">
      <c r="A3214" s="75">
        <v>3208.0</v>
      </c>
      <c r="B3214" s="62" t="s">
        <v>1306</v>
      </c>
      <c r="C3214" s="62" t="s">
        <v>117</v>
      </c>
      <c r="D3214" s="62" t="s">
        <v>2080</v>
      </c>
      <c r="E3214" s="76">
        <v>44194.0</v>
      </c>
      <c r="F3214" s="77">
        <v>0.08333333333333333</v>
      </c>
      <c r="G3214" s="62" t="b">
        <v>0</v>
      </c>
      <c r="H3214" s="78" t="b">
        <f>IF(VLOOKUP(C3214,Projetos!A:L,12,false)=TRUE,TRUE,FALSE)</f>
        <v>0</v>
      </c>
      <c r="I3214" s="68">
        <v>43.42121727693602</v>
      </c>
      <c r="J3214" s="68">
        <f t="shared" si="1"/>
        <v>0</v>
      </c>
      <c r="K3214" s="68" t="b">
        <v>0</v>
      </c>
    </row>
    <row r="3215">
      <c r="A3215" s="75">
        <v>3209.0</v>
      </c>
      <c r="B3215" s="62" t="s">
        <v>1306</v>
      </c>
      <c r="C3215" s="62" t="s">
        <v>90</v>
      </c>
      <c r="D3215" s="62" t="s">
        <v>2081</v>
      </c>
      <c r="E3215" s="76">
        <v>44194.0</v>
      </c>
      <c r="F3215" s="77">
        <v>0.041666666666666664</v>
      </c>
      <c r="G3215" s="62" t="b">
        <v>1</v>
      </c>
      <c r="H3215" s="78" t="b">
        <f>IF(VLOOKUP(C3215,Projetos!A:L,12,false)=TRUE,TRUE,FALSE)</f>
        <v>1</v>
      </c>
      <c r="I3215" s="68">
        <v>43.42121727693602</v>
      </c>
      <c r="J3215" s="68">
        <f t="shared" si="1"/>
        <v>43.42121728</v>
      </c>
      <c r="K3215" s="68" t="b">
        <v>1</v>
      </c>
    </row>
    <row r="3216" hidden="1">
      <c r="A3216" s="75">
        <v>3210.0</v>
      </c>
      <c r="B3216" s="62" t="s">
        <v>1306</v>
      </c>
      <c r="C3216" s="62" t="s">
        <v>111</v>
      </c>
      <c r="D3216" s="62" t="s">
        <v>2082</v>
      </c>
      <c r="E3216" s="76">
        <v>44194.0</v>
      </c>
      <c r="F3216" s="77">
        <v>0.0625</v>
      </c>
      <c r="G3216" s="62" t="b">
        <v>0</v>
      </c>
      <c r="H3216" s="78" t="b">
        <f>IF(VLOOKUP(C3216,Projetos!A:L,12,false)=TRUE,TRUE,FALSE)</f>
        <v>0</v>
      </c>
      <c r="I3216" s="68">
        <v>43.42121727693602</v>
      </c>
      <c r="J3216" s="68">
        <f t="shared" si="1"/>
        <v>0</v>
      </c>
      <c r="K3216" s="68" t="b">
        <v>0</v>
      </c>
    </row>
    <row r="3217">
      <c r="A3217" s="75">
        <v>3211.0</v>
      </c>
      <c r="B3217" s="62" t="s">
        <v>1306</v>
      </c>
      <c r="C3217" s="62" t="s">
        <v>113</v>
      </c>
      <c r="D3217" s="62" t="s">
        <v>1404</v>
      </c>
      <c r="E3217" s="76">
        <v>44194.0</v>
      </c>
      <c r="F3217" s="77">
        <v>0.020833333333333332</v>
      </c>
      <c r="G3217" s="62" t="b">
        <v>1</v>
      </c>
      <c r="H3217" s="78" t="b">
        <f>IF(VLOOKUP(C3217,Projetos!A:L,12,false)=TRUE,TRUE,FALSE)</f>
        <v>1</v>
      </c>
      <c r="I3217" s="68">
        <v>43.42121727693602</v>
      </c>
      <c r="J3217" s="68">
        <f t="shared" si="1"/>
        <v>21.71060864</v>
      </c>
      <c r="K3217" s="68" t="b">
        <v>1</v>
      </c>
    </row>
    <row r="3218">
      <c r="A3218" s="75">
        <v>3212.0</v>
      </c>
      <c r="B3218" s="62" t="s">
        <v>1306</v>
      </c>
      <c r="C3218" s="62" t="s">
        <v>98</v>
      </c>
      <c r="D3218" s="62" t="s">
        <v>2083</v>
      </c>
      <c r="E3218" s="76">
        <v>44194.0</v>
      </c>
      <c r="F3218" s="77">
        <v>0.041666666666666664</v>
      </c>
      <c r="G3218" s="62" t="b">
        <v>1</v>
      </c>
      <c r="H3218" s="78" t="b">
        <f>IF(VLOOKUP(C3218,Projetos!A:L,12,false)=TRUE,TRUE,FALSE)</f>
        <v>1</v>
      </c>
      <c r="I3218" s="68">
        <v>43.42121727693602</v>
      </c>
      <c r="J3218" s="68">
        <f t="shared" si="1"/>
        <v>43.42121728</v>
      </c>
      <c r="K3218" s="68" t="b">
        <v>1</v>
      </c>
    </row>
    <row r="3219" hidden="1">
      <c r="A3219" s="75">
        <v>3213.0</v>
      </c>
      <c r="B3219" s="62" t="s">
        <v>1306</v>
      </c>
      <c r="C3219" s="62" t="s">
        <v>108</v>
      </c>
      <c r="D3219" s="62" t="s">
        <v>2084</v>
      </c>
      <c r="E3219" s="76">
        <v>44194.0</v>
      </c>
      <c r="F3219" s="77">
        <v>0.041666666666666664</v>
      </c>
      <c r="G3219" s="62" t="b">
        <v>0</v>
      </c>
      <c r="H3219" s="78" t="b">
        <f>IF(VLOOKUP(C3219,Projetos!A:L,12,false)=TRUE,TRUE,FALSE)</f>
        <v>1</v>
      </c>
      <c r="I3219" s="68">
        <v>43.42121727693602</v>
      </c>
      <c r="J3219" s="68">
        <f t="shared" si="1"/>
        <v>0</v>
      </c>
      <c r="K3219" s="68" t="b">
        <v>1</v>
      </c>
    </row>
    <row r="3220">
      <c r="A3220" s="75">
        <v>3214.0</v>
      </c>
      <c r="B3220" s="62" t="s">
        <v>1306</v>
      </c>
      <c r="C3220" s="62" t="s">
        <v>116</v>
      </c>
      <c r="D3220" s="62" t="s">
        <v>2076</v>
      </c>
      <c r="E3220" s="76">
        <v>44195.0</v>
      </c>
      <c r="F3220" s="77">
        <v>0.03125</v>
      </c>
      <c r="G3220" s="62" t="b">
        <v>1</v>
      </c>
      <c r="H3220" s="78" t="b">
        <f>IF(VLOOKUP(C3220,Projetos!A:L,12,false)=TRUE,TRUE,FALSE)</f>
        <v>1</v>
      </c>
      <c r="I3220" s="68">
        <v>43.42121727693602</v>
      </c>
      <c r="J3220" s="68">
        <f t="shared" si="1"/>
        <v>32.56591296</v>
      </c>
      <c r="K3220" s="68" t="b">
        <v>1</v>
      </c>
    </row>
    <row r="3221" hidden="1">
      <c r="A3221" s="75">
        <v>3215.0</v>
      </c>
      <c r="B3221" s="62" t="s">
        <v>1306</v>
      </c>
      <c r="C3221" s="62" t="s">
        <v>108</v>
      </c>
      <c r="D3221" s="62" t="s">
        <v>1332</v>
      </c>
      <c r="E3221" s="76">
        <v>44195.0</v>
      </c>
      <c r="F3221" s="77">
        <v>0.041666666666666664</v>
      </c>
      <c r="G3221" s="62" t="b">
        <v>1</v>
      </c>
      <c r="H3221" s="78" t="b">
        <f>IF(VLOOKUP(C3221,Projetos!A:L,12,false)=TRUE,TRUE,FALSE)</f>
        <v>1</v>
      </c>
      <c r="I3221" s="68">
        <v>43.42121727693602</v>
      </c>
      <c r="J3221" s="68">
        <f t="shared" si="1"/>
        <v>43.42121728</v>
      </c>
      <c r="K3221" s="68" t="b">
        <v>1</v>
      </c>
    </row>
    <row r="3222">
      <c r="A3222" s="75">
        <v>3216.0</v>
      </c>
      <c r="B3222" s="62" t="s">
        <v>1306</v>
      </c>
      <c r="C3222" s="62" t="s">
        <v>105</v>
      </c>
      <c r="D3222" s="62" t="s">
        <v>2085</v>
      </c>
      <c r="E3222" s="76">
        <v>44195.0</v>
      </c>
      <c r="F3222" s="77">
        <v>0.020833333333333332</v>
      </c>
      <c r="G3222" s="62" t="b">
        <v>1</v>
      </c>
      <c r="H3222" s="78" t="b">
        <f>IF(VLOOKUP(C3222,Projetos!A:L,12,false)=TRUE,TRUE,FALSE)</f>
        <v>1</v>
      </c>
      <c r="I3222" s="68">
        <v>43.42121727693602</v>
      </c>
      <c r="J3222" s="68">
        <f t="shared" si="1"/>
        <v>21.71060864</v>
      </c>
      <c r="K3222" s="68" t="b">
        <v>1</v>
      </c>
    </row>
    <row r="3223" hidden="1">
      <c r="A3223" s="75">
        <v>3217.0</v>
      </c>
      <c r="B3223" s="62" t="s">
        <v>1306</v>
      </c>
      <c r="C3223" s="62" t="s">
        <v>83</v>
      </c>
      <c r="D3223" s="62" t="s">
        <v>2086</v>
      </c>
      <c r="E3223" s="76">
        <v>44195.0</v>
      </c>
      <c r="F3223" s="77">
        <v>0.020833333333333332</v>
      </c>
      <c r="G3223" s="62" t="b">
        <v>0</v>
      </c>
      <c r="H3223" s="78" t="b">
        <f>IF(VLOOKUP(C3223,Projetos!A:L,12,false)=TRUE,TRUE,FALSE)</f>
        <v>0</v>
      </c>
      <c r="I3223" s="68">
        <v>43.42121727693602</v>
      </c>
      <c r="J3223" s="68">
        <f t="shared" si="1"/>
        <v>0</v>
      </c>
      <c r="K3223" s="68" t="b">
        <v>0</v>
      </c>
    </row>
    <row r="3224">
      <c r="A3224" s="75">
        <v>3218.0</v>
      </c>
      <c r="B3224" s="62" t="s">
        <v>1306</v>
      </c>
      <c r="C3224" s="62" t="s">
        <v>116</v>
      </c>
      <c r="D3224" s="62" t="s">
        <v>2076</v>
      </c>
      <c r="E3224" s="76">
        <v>44195.0</v>
      </c>
      <c r="F3224" s="77">
        <v>0.041666666666666664</v>
      </c>
      <c r="G3224" s="62" t="b">
        <v>1</v>
      </c>
      <c r="H3224" s="78" t="b">
        <f>IF(VLOOKUP(C3224,Projetos!A:L,12,false)=TRUE,TRUE,FALSE)</f>
        <v>1</v>
      </c>
      <c r="I3224" s="68">
        <v>43.42121727693602</v>
      </c>
      <c r="J3224" s="68">
        <f t="shared" si="1"/>
        <v>43.42121728</v>
      </c>
      <c r="K3224" s="68" t="b">
        <v>1</v>
      </c>
    </row>
    <row r="3225">
      <c r="A3225" s="75">
        <v>3219.0</v>
      </c>
      <c r="B3225" s="62" t="s">
        <v>1306</v>
      </c>
      <c r="C3225" s="62" t="s">
        <v>105</v>
      </c>
      <c r="D3225" s="62" t="s">
        <v>2087</v>
      </c>
      <c r="E3225" s="76">
        <v>44195.0</v>
      </c>
      <c r="F3225" s="77">
        <v>0.08333333333333333</v>
      </c>
      <c r="G3225" s="62" t="b">
        <v>1</v>
      </c>
      <c r="H3225" s="78" t="b">
        <f>IF(VLOOKUP(C3225,Projetos!A:L,12,false)=TRUE,TRUE,FALSE)</f>
        <v>1</v>
      </c>
      <c r="I3225" s="68">
        <v>43.42121727693602</v>
      </c>
      <c r="J3225" s="68">
        <f t="shared" si="1"/>
        <v>86.84243455</v>
      </c>
      <c r="K3225" s="68" t="b">
        <v>1</v>
      </c>
    </row>
    <row r="3226">
      <c r="A3226" s="75">
        <v>3220.0</v>
      </c>
      <c r="B3226" s="62" t="s">
        <v>1306</v>
      </c>
      <c r="C3226" s="62" t="s">
        <v>90</v>
      </c>
      <c r="D3226" s="62" t="s">
        <v>2088</v>
      </c>
      <c r="E3226" s="76">
        <v>44195.0</v>
      </c>
      <c r="F3226" s="77">
        <v>0.08333333333333333</v>
      </c>
      <c r="G3226" s="62" t="b">
        <v>1</v>
      </c>
      <c r="H3226" s="78" t="b">
        <f>IF(VLOOKUP(C3226,Projetos!A:L,12,false)=TRUE,TRUE,FALSE)</f>
        <v>1</v>
      </c>
      <c r="I3226" s="68">
        <v>43.42121727693602</v>
      </c>
      <c r="J3226" s="68">
        <f t="shared" si="1"/>
        <v>86.84243455</v>
      </c>
      <c r="K3226" s="68" t="b">
        <v>1</v>
      </c>
    </row>
    <row r="3227">
      <c r="A3227" s="75">
        <v>3221.0</v>
      </c>
      <c r="B3227" s="62" t="s">
        <v>1306</v>
      </c>
      <c r="C3227" s="62" t="s">
        <v>98</v>
      </c>
      <c r="D3227" s="62" t="s">
        <v>2089</v>
      </c>
      <c r="E3227" s="76">
        <v>44195.0</v>
      </c>
      <c r="F3227" s="77">
        <v>0.020833333333333332</v>
      </c>
      <c r="G3227" s="62" t="b">
        <v>1</v>
      </c>
      <c r="H3227" s="78" t="b">
        <f>IF(VLOOKUP(C3227,Projetos!A:L,12,false)=TRUE,TRUE,FALSE)</f>
        <v>1</v>
      </c>
      <c r="I3227" s="68">
        <v>43.42121727693602</v>
      </c>
      <c r="J3227" s="68">
        <f t="shared" si="1"/>
        <v>21.71060864</v>
      </c>
      <c r="K3227" s="68" t="b">
        <v>1</v>
      </c>
    </row>
    <row r="3228">
      <c r="A3228" s="75">
        <v>3222.0</v>
      </c>
      <c r="B3228" s="62" t="s">
        <v>2090</v>
      </c>
      <c r="C3228" s="62" t="s">
        <v>104</v>
      </c>
      <c r="D3228" s="62" t="s">
        <v>2091</v>
      </c>
      <c r="E3228" s="76">
        <v>43836.0</v>
      </c>
      <c r="F3228" s="77">
        <v>1.875</v>
      </c>
      <c r="G3228" s="62" t="b">
        <v>1</v>
      </c>
      <c r="H3228" s="78" t="b">
        <f>IF(VLOOKUP(C3228,Projetos!A:L,12,false)=TRUE,TRUE,FALSE)</f>
        <v>1</v>
      </c>
      <c r="I3228" s="68">
        <v>87.89016574074073</v>
      </c>
      <c r="J3228" s="68">
        <f t="shared" si="1"/>
        <v>3955.057458</v>
      </c>
      <c r="K3228" s="68" t="b">
        <v>1</v>
      </c>
    </row>
    <row r="3229">
      <c r="A3229" s="75">
        <v>3223.0</v>
      </c>
      <c r="B3229" s="62" t="s">
        <v>2090</v>
      </c>
      <c r="C3229" s="62" t="s">
        <v>104</v>
      </c>
      <c r="D3229" s="62" t="s">
        <v>2091</v>
      </c>
      <c r="E3229" s="76">
        <v>43843.0</v>
      </c>
      <c r="F3229" s="77">
        <v>1.25</v>
      </c>
      <c r="G3229" s="62" t="b">
        <v>1</v>
      </c>
      <c r="H3229" s="78" t="b">
        <f>IF(VLOOKUP(C3229,Projetos!A:L,12,false)=TRUE,TRUE,FALSE)</f>
        <v>1</v>
      </c>
      <c r="I3229" s="68">
        <v>87.89016574074073</v>
      </c>
      <c r="J3229" s="68">
        <f t="shared" si="1"/>
        <v>2636.704972</v>
      </c>
      <c r="K3229" s="68" t="b">
        <v>1</v>
      </c>
    </row>
    <row r="3230">
      <c r="A3230" s="75">
        <v>3224.0</v>
      </c>
      <c r="B3230" s="62" t="s">
        <v>2090</v>
      </c>
      <c r="C3230" s="62" t="s">
        <v>104</v>
      </c>
      <c r="D3230" s="62" t="s">
        <v>2091</v>
      </c>
      <c r="E3230" s="76">
        <v>43850.0</v>
      </c>
      <c r="F3230" s="77">
        <v>1.25</v>
      </c>
      <c r="G3230" s="62" t="b">
        <v>1</v>
      </c>
      <c r="H3230" s="78" t="b">
        <f>IF(VLOOKUP(C3230,Projetos!A:L,12,false)=TRUE,TRUE,FALSE)</f>
        <v>1</v>
      </c>
      <c r="I3230" s="68">
        <v>87.89016574074073</v>
      </c>
      <c r="J3230" s="68">
        <f t="shared" si="1"/>
        <v>2636.704972</v>
      </c>
      <c r="K3230" s="68" t="b">
        <v>1</v>
      </c>
    </row>
    <row r="3231">
      <c r="A3231" s="75">
        <v>3225.0</v>
      </c>
      <c r="B3231" s="62" t="s">
        <v>2090</v>
      </c>
      <c r="C3231" s="62" t="s">
        <v>104</v>
      </c>
      <c r="D3231" s="62" t="s">
        <v>2091</v>
      </c>
      <c r="E3231" s="76">
        <v>43857.0</v>
      </c>
      <c r="F3231" s="77">
        <v>1.25</v>
      </c>
      <c r="G3231" s="62" t="b">
        <v>1</v>
      </c>
      <c r="H3231" s="78" t="b">
        <f>IF(VLOOKUP(C3231,Projetos!A:L,12,false)=TRUE,TRUE,FALSE)</f>
        <v>1</v>
      </c>
      <c r="I3231" s="68">
        <v>87.89016574074073</v>
      </c>
      <c r="J3231" s="68">
        <f t="shared" si="1"/>
        <v>2636.704972</v>
      </c>
      <c r="K3231" s="68" t="b">
        <v>1</v>
      </c>
    </row>
    <row r="3232">
      <c r="A3232" s="75">
        <v>3226.0</v>
      </c>
      <c r="B3232" s="62" t="s">
        <v>2090</v>
      </c>
      <c r="C3232" s="62" t="s">
        <v>110</v>
      </c>
      <c r="D3232" s="62" t="s">
        <v>2091</v>
      </c>
      <c r="E3232" s="76">
        <v>43850.0</v>
      </c>
      <c r="F3232" s="77">
        <v>0.625</v>
      </c>
      <c r="G3232" s="62" t="b">
        <v>1</v>
      </c>
      <c r="H3232" s="78" t="b">
        <f>IF(VLOOKUP(C3232,Projetos!A:L,12,false)=TRUE,TRUE,FALSE)</f>
        <v>1</v>
      </c>
      <c r="I3232" s="68">
        <v>87.89016574074073</v>
      </c>
      <c r="J3232" s="68">
        <f t="shared" si="1"/>
        <v>1318.352486</v>
      </c>
      <c r="K3232" s="68" t="b">
        <v>1</v>
      </c>
    </row>
    <row r="3233">
      <c r="A3233" s="75">
        <v>3227.0</v>
      </c>
      <c r="B3233" s="62" t="s">
        <v>2090</v>
      </c>
      <c r="C3233" s="62" t="s">
        <v>110</v>
      </c>
      <c r="D3233" s="62" t="s">
        <v>2091</v>
      </c>
      <c r="E3233" s="76">
        <v>43857.0</v>
      </c>
      <c r="F3233" s="77">
        <v>0.625</v>
      </c>
      <c r="G3233" s="62" t="b">
        <v>1</v>
      </c>
      <c r="H3233" s="78" t="b">
        <f>IF(VLOOKUP(C3233,Projetos!A:L,12,false)=TRUE,TRUE,FALSE)</f>
        <v>1</v>
      </c>
      <c r="I3233" s="68">
        <v>87.89016574074073</v>
      </c>
      <c r="J3233" s="68">
        <f t="shared" si="1"/>
        <v>1318.352486</v>
      </c>
      <c r="K3233" s="68" t="b">
        <v>1</v>
      </c>
    </row>
    <row r="3234">
      <c r="A3234" s="75">
        <v>3228.0</v>
      </c>
      <c r="B3234" s="62" t="s">
        <v>2090</v>
      </c>
      <c r="C3234" s="62" t="s">
        <v>104</v>
      </c>
      <c r="D3234" s="62" t="s">
        <v>2091</v>
      </c>
      <c r="E3234" s="76">
        <v>43864.0</v>
      </c>
      <c r="F3234" s="77">
        <v>1.875</v>
      </c>
      <c r="G3234" s="62" t="b">
        <v>1</v>
      </c>
      <c r="H3234" s="78" t="b">
        <f>IF(VLOOKUP(C3234,Projetos!A:L,12,false)=TRUE,TRUE,FALSE)</f>
        <v>1</v>
      </c>
      <c r="I3234" s="68">
        <v>83.8951582070707</v>
      </c>
      <c r="J3234" s="68">
        <f t="shared" si="1"/>
        <v>3775.282119</v>
      </c>
      <c r="K3234" s="68" t="b">
        <v>1</v>
      </c>
    </row>
    <row r="3235">
      <c r="A3235" s="75">
        <v>3229.0</v>
      </c>
      <c r="B3235" s="62" t="s">
        <v>2090</v>
      </c>
      <c r="C3235" s="62" t="s">
        <v>104</v>
      </c>
      <c r="D3235" s="62" t="s">
        <v>2091</v>
      </c>
      <c r="E3235" s="76">
        <v>43871.0</v>
      </c>
      <c r="F3235" s="77">
        <v>1.875</v>
      </c>
      <c r="G3235" s="62" t="b">
        <v>1</v>
      </c>
      <c r="H3235" s="78" t="b">
        <f>IF(VLOOKUP(C3235,Projetos!A:L,12,false)=TRUE,TRUE,FALSE)</f>
        <v>1</v>
      </c>
      <c r="I3235" s="68">
        <v>83.8951582070707</v>
      </c>
      <c r="J3235" s="68">
        <f t="shared" si="1"/>
        <v>3775.282119</v>
      </c>
      <c r="K3235" s="68" t="b">
        <v>1</v>
      </c>
    </row>
    <row r="3236">
      <c r="A3236" s="75">
        <v>3230.0</v>
      </c>
      <c r="B3236" s="62" t="s">
        <v>2090</v>
      </c>
      <c r="C3236" s="62" t="s">
        <v>104</v>
      </c>
      <c r="D3236" s="62" t="s">
        <v>2091</v>
      </c>
      <c r="E3236" s="76">
        <v>43878.0</v>
      </c>
      <c r="F3236" s="77">
        <v>1.875</v>
      </c>
      <c r="G3236" s="62" t="b">
        <v>1</v>
      </c>
      <c r="H3236" s="78" t="b">
        <f>IF(VLOOKUP(C3236,Projetos!A:L,12,false)=TRUE,TRUE,FALSE)</f>
        <v>1</v>
      </c>
      <c r="I3236" s="68">
        <v>83.8951582070707</v>
      </c>
      <c r="J3236" s="68">
        <f t="shared" si="1"/>
        <v>3775.282119</v>
      </c>
      <c r="K3236" s="68" t="b">
        <v>1</v>
      </c>
    </row>
    <row r="3237">
      <c r="A3237" s="75">
        <v>3231.0</v>
      </c>
      <c r="B3237" s="62" t="s">
        <v>2090</v>
      </c>
      <c r="C3237" s="62" t="s">
        <v>104</v>
      </c>
      <c r="D3237" s="62" t="s">
        <v>2091</v>
      </c>
      <c r="E3237" s="76">
        <v>46520.0</v>
      </c>
      <c r="F3237" s="77">
        <v>0.625</v>
      </c>
      <c r="G3237" s="62" t="b">
        <v>1</v>
      </c>
      <c r="H3237" s="78" t="b">
        <f>IF(VLOOKUP(C3237,Projetos!A:L,12,false)=TRUE,TRUE,FALSE)</f>
        <v>1</v>
      </c>
      <c r="I3237" s="68">
        <v>87.89016574074073</v>
      </c>
      <c r="J3237" s="68">
        <f t="shared" si="1"/>
        <v>0</v>
      </c>
      <c r="K3237" s="68" t="b">
        <v>1</v>
      </c>
    </row>
    <row r="3238">
      <c r="A3238" s="75">
        <v>3232.0</v>
      </c>
      <c r="B3238" s="62" t="s">
        <v>2090</v>
      </c>
      <c r="C3238" s="62" t="s">
        <v>110</v>
      </c>
      <c r="D3238" s="62" t="s">
        <v>2091</v>
      </c>
      <c r="E3238" s="76">
        <v>46550.0</v>
      </c>
      <c r="F3238" s="77">
        <v>0.625</v>
      </c>
      <c r="G3238" s="62" t="b">
        <v>1</v>
      </c>
      <c r="H3238" s="78" t="b">
        <f>IF(VLOOKUP(C3238,Projetos!A:L,12,false)=TRUE,TRUE,FALSE)</f>
        <v>1</v>
      </c>
      <c r="I3238" s="68">
        <v>83.8951582070707</v>
      </c>
      <c r="J3238" s="68">
        <f t="shared" si="1"/>
        <v>0</v>
      </c>
      <c r="K3238" s="68" t="b">
        <v>1</v>
      </c>
    </row>
    <row r="3239">
      <c r="A3239" s="75">
        <v>3233.0</v>
      </c>
      <c r="B3239" s="62" t="s">
        <v>2090</v>
      </c>
      <c r="C3239" s="62" t="s">
        <v>104</v>
      </c>
      <c r="D3239" s="62" t="s">
        <v>2092</v>
      </c>
      <c r="E3239" s="76">
        <v>43892.0</v>
      </c>
      <c r="F3239" s="77">
        <v>1.875</v>
      </c>
      <c r="G3239" s="62" t="b">
        <v>1</v>
      </c>
      <c r="H3239" s="78" t="b">
        <f>IF(VLOOKUP(C3239,Projetos!A:L,12,false)=TRUE,TRUE,FALSE)</f>
        <v>1</v>
      </c>
      <c r="I3239" s="68">
        <v>87.89016574074073</v>
      </c>
      <c r="J3239" s="68">
        <f t="shared" si="1"/>
        <v>3955.057458</v>
      </c>
      <c r="K3239" s="68" t="b">
        <v>1</v>
      </c>
    </row>
    <row r="3240">
      <c r="A3240" s="75">
        <v>3234.0</v>
      </c>
      <c r="B3240" s="62" t="s">
        <v>2090</v>
      </c>
      <c r="C3240" s="62" t="s">
        <v>110</v>
      </c>
      <c r="D3240" s="62" t="s">
        <v>2091</v>
      </c>
      <c r="E3240" s="76">
        <v>43899.0</v>
      </c>
      <c r="F3240" s="77">
        <v>0.4166666666666667</v>
      </c>
      <c r="G3240" s="62" t="b">
        <v>1</v>
      </c>
      <c r="H3240" s="78" t="b">
        <f>IF(VLOOKUP(C3240,Projetos!A:L,12,false)=TRUE,TRUE,FALSE)</f>
        <v>1</v>
      </c>
      <c r="I3240" s="68">
        <v>87.89016574074073</v>
      </c>
      <c r="J3240" s="68">
        <f t="shared" si="1"/>
        <v>878.9016574</v>
      </c>
      <c r="K3240" s="68" t="b">
        <v>1</v>
      </c>
    </row>
    <row r="3241">
      <c r="A3241" s="75">
        <v>3235.0</v>
      </c>
      <c r="B3241" s="62" t="s">
        <v>2090</v>
      </c>
      <c r="C3241" s="62" t="s">
        <v>105</v>
      </c>
      <c r="D3241" s="62" t="s">
        <v>2093</v>
      </c>
      <c r="E3241" s="76">
        <v>43899.0</v>
      </c>
      <c r="F3241" s="77">
        <v>0.4166666666666667</v>
      </c>
      <c r="G3241" s="62" t="b">
        <v>1</v>
      </c>
      <c r="H3241" s="78" t="b">
        <f>IF(VLOOKUP(C3241,Projetos!A:L,12,false)=TRUE,TRUE,FALSE)</f>
        <v>1</v>
      </c>
      <c r="I3241" s="68">
        <v>87.89016574074073</v>
      </c>
      <c r="J3241" s="68">
        <f t="shared" si="1"/>
        <v>878.9016574</v>
      </c>
      <c r="K3241" s="68" t="b">
        <v>1</v>
      </c>
    </row>
    <row r="3242">
      <c r="A3242" s="75">
        <v>3236.0</v>
      </c>
      <c r="B3242" s="62" t="s">
        <v>2090</v>
      </c>
      <c r="C3242" s="62" t="s">
        <v>105</v>
      </c>
      <c r="D3242" s="62" t="s">
        <v>2094</v>
      </c>
      <c r="E3242" s="76">
        <v>43899.0</v>
      </c>
      <c r="F3242" s="77">
        <v>0.4166666666666667</v>
      </c>
      <c r="G3242" s="62" t="b">
        <v>1</v>
      </c>
      <c r="H3242" s="78" t="b">
        <f>IF(VLOOKUP(C3242,Projetos!A:L,12,false)=TRUE,TRUE,FALSE)</f>
        <v>1</v>
      </c>
      <c r="I3242" s="68">
        <v>87.89016574074073</v>
      </c>
      <c r="J3242" s="68">
        <f t="shared" si="1"/>
        <v>878.9016574</v>
      </c>
      <c r="K3242" s="68" t="b">
        <v>1</v>
      </c>
    </row>
    <row r="3243">
      <c r="A3243" s="75">
        <v>3237.0</v>
      </c>
      <c r="B3243" s="62" t="s">
        <v>2090</v>
      </c>
      <c r="C3243" s="62" t="s">
        <v>105</v>
      </c>
      <c r="D3243" s="62" t="s">
        <v>2093</v>
      </c>
      <c r="E3243" s="76">
        <v>43906.0</v>
      </c>
      <c r="F3243" s="77">
        <v>0.4166666666666667</v>
      </c>
      <c r="G3243" s="62" t="b">
        <v>1</v>
      </c>
      <c r="H3243" s="78" t="b">
        <f>IF(VLOOKUP(C3243,Projetos!A:L,12,false)=TRUE,TRUE,FALSE)</f>
        <v>1</v>
      </c>
      <c r="I3243" s="68">
        <v>87.89016574074073</v>
      </c>
      <c r="J3243" s="68">
        <f t="shared" si="1"/>
        <v>878.9016574</v>
      </c>
      <c r="K3243" s="68" t="b">
        <v>1</v>
      </c>
    </row>
    <row r="3244">
      <c r="A3244" s="75">
        <v>3238.0</v>
      </c>
      <c r="B3244" s="62" t="s">
        <v>2090</v>
      </c>
      <c r="C3244" s="62" t="s">
        <v>105</v>
      </c>
      <c r="D3244" s="62" t="s">
        <v>2094</v>
      </c>
      <c r="E3244" s="76">
        <v>43906.0</v>
      </c>
      <c r="F3244" s="77">
        <v>0.4166666666666667</v>
      </c>
      <c r="G3244" s="62" t="b">
        <v>1</v>
      </c>
      <c r="H3244" s="78" t="b">
        <f>IF(VLOOKUP(C3244,Projetos!A:L,12,false)=TRUE,TRUE,FALSE)</f>
        <v>1</v>
      </c>
      <c r="I3244" s="68">
        <v>87.89016574074073</v>
      </c>
      <c r="J3244" s="68">
        <f t="shared" si="1"/>
        <v>878.9016574</v>
      </c>
      <c r="K3244" s="68" t="b">
        <v>1</v>
      </c>
    </row>
    <row r="3245">
      <c r="A3245" s="75">
        <v>3239.0</v>
      </c>
      <c r="B3245" s="62" t="s">
        <v>2090</v>
      </c>
      <c r="C3245" s="62" t="s">
        <v>101</v>
      </c>
      <c r="D3245" s="62" t="s">
        <v>2095</v>
      </c>
      <c r="E3245" s="76">
        <v>43913.0</v>
      </c>
      <c r="F3245" s="77">
        <v>0.625</v>
      </c>
      <c r="G3245" s="62" t="b">
        <v>1</v>
      </c>
      <c r="H3245" s="78" t="b">
        <f>IF(VLOOKUP(C3245,Projetos!A:L,12,false)=TRUE,TRUE,FALSE)</f>
        <v>1</v>
      </c>
      <c r="I3245" s="68">
        <v>87.89016574074073</v>
      </c>
      <c r="J3245" s="68">
        <f t="shared" si="1"/>
        <v>1318.352486</v>
      </c>
      <c r="K3245" s="68" t="b">
        <v>1</v>
      </c>
    </row>
    <row r="3246">
      <c r="A3246" s="75">
        <v>3240.0</v>
      </c>
      <c r="B3246" s="62" t="s">
        <v>2090</v>
      </c>
      <c r="C3246" s="62" t="s">
        <v>104</v>
      </c>
      <c r="D3246" s="62" t="s">
        <v>2096</v>
      </c>
      <c r="E3246" s="76">
        <v>43899.0</v>
      </c>
      <c r="F3246" s="77">
        <v>0.4166666666666667</v>
      </c>
      <c r="G3246" s="62" t="b">
        <v>1</v>
      </c>
      <c r="H3246" s="78" t="b">
        <f>IF(VLOOKUP(C3246,Projetos!A:L,12,false)=TRUE,TRUE,FALSE)</f>
        <v>1</v>
      </c>
      <c r="I3246" s="68">
        <v>87.89016574074073</v>
      </c>
      <c r="J3246" s="68">
        <f t="shared" si="1"/>
        <v>878.9016574</v>
      </c>
      <c r="K3246" s="68" t="b">
        <v>1</v>
      </c>
    </row>
    <row r="3247">
      <c r="A3247" s="75">
        <v>3241.0</v>
      </c>
      <c r="B3247" s="62" t="s">
        <v>2090</v>
      </c>
      <c r="C3247" s="62" t="s">
        <v>104</v>
      </c>
      <c r="D3247" s="62" t="s">
        <v>2096</v>
      </c>
      <c r="E3247" s="76">
        <v>43906.0</v>
      </c>
      <c r="F3247" s="77">
        <v>0.4166666666666667</v>
      </c>
      <c r="G3247" s="62" t="b">
        <v>1</v>
      </c>
      <c r="H3247" s="78" t="b">
        <f>IF(VLOOKUP(C3247,Projetos!A:L,12,false)=TRUE,TRUE,FALSE)</f>
        <v>1</v>
      </c>
      <c r="I3247" s="68">
        <v>87.89016574074073</v>
      </c>
      <c r="J3247" s="68">
        <f t="shared" si="1"/>
        <v>878.9016574</v>
      </c>
      <c r="K3247" s="68" t="b">
        <v>1</v>
      </c>
    </row>
    <row r="3248">
      <c r="A3248" s="75">
        <v>3242.0</v>
      </c>
      <c r="B3248" s="62" t="s">
        <v>2090</v>
      </c>
      <c r="C3248" s="62" t="s">
        <v>104</v>
      </c>
      <c r="D3248" s="62" t="s">
        <v>2096</v>
      </c>
      <c r="E3248" s="76">
        <v>43913.0</v>
      </c>
      <c r="F3248" s="77">
        <v>0.4166666666666667</v>
      </c>
      <c r="G3248" s="62" t="b">
        <v>1</v>
      </c>
      <c r="H3248" s="78" t="b">
        <f>IF(VLOOKUP(C3248,Projetos!A:L,12,false)=TRUE,TRUE,FALSE)</f>
        <v>1</v>
      </c>
      <c r="I3248" s="68">
        <v>87.89016574074073</v>
      </c>
      <c r="J3248" s="68">
        <f t="shared" si="1"/>
        <v>878.9016574</v>
      </c>
      <c r="K3248" s="68" t="b">
        <v>1</v>
      </c>
    </row>
    <row r="3249">
      <c r="A3249" s="75">
        <v>3243.0</v>
      </c>
      <c r="B3249" s="62" t="s">
        <v>2090</v>
      </c>
      <c r="C3249" s="62" t="s">
        <v>104</v>
      </c>
      <c r="D3249" s="62" t="s">
        <v>2092</v>
      </c>
      <c r="E3249" s="76">
        <v>43922.0</v>
      </c>
      <c r="F3249" s="77">
        <v>0.4166666666666667</v>
      </c>
      <c r="G3249" s="62" t="b">
        <v>1</v>
      </c>
      <c r="H3249" s="78" t="b">
        <f>IF(VLOOKUP(C3249,Projetos!A:L,12,false)=TRUE,TRUE,FALSE)</f>
        <v>1</v>
      </c>
      <c r="I3249" s="68">
        <v>83.8951582070707</v>
      </c>
      <c r="J3249" s="68">
        <f t="shared" si="1"/>
        <v>838.9515821</v>
      </c>
      <c r="K3249" s="68" t="b">
        <v>1</v>
      </c>
    </row>
    <row r="3250">
      <c r="A3250" s="75">
        <v>3244.0</v>
      </c>
      <c r="B3250" s="62" t="s">
        <v>2090</v>
      </c>
      <c r="C3250" s="62" t="s">
        <v>104</v>
      </c>
      <c r="D3250" s="62" t="s">
        <v>2092</v>
      </c>
      <c r="E3250" s="76">
        <v>43934.0</v>
      </c>
      <c r="F3250" s="77">
        <v>0.4166666666666667</v>
      </c>
      <c r="G3250" s="62" t="b">
        <v>1</v>
      </c>
      <c r="H3250" s="78" t="b">
        <f>IF(VLOOKUP(C3250,Projetos!A:L,12,false)=TRUE,TRUE,FALSE)</f>
        <v>1</v>
      </c>
      <c r="I3250" s="68">
        <v>83.8951582070707</v>
      </c>
      <c r="J3250" s="68">
        <f t="shared" si="1"/>
        <v>838.9515821</v>
      </c>
      <c r="K3250" s="68" t="b">
        <v>1</v>
      </c>
    </row>
    <row r="3251">
      <c r="A3251" s="75">
        <v>3245.0</v>
      </c>
      <c r="B3251" s="62" t="s">
        <v>2090</v>
      </c>
      <c r="C3251" s="62" t="s">
        <v>104</v>
      </c>
      <c r="D3251" s="62" t="s">
        <v>2097</v>
      </c>
      <c r="E3251" s="76">
        <v>43941.0</v>
      </c>
      <c r="F3251" s="77">
        <v>0.5416666666666666</v>
      </c>
      <c r="G3251" s="62" t="b">
        <v>1</v>
      </c>
      <c r="H3251" s="78" t="b">
        <f>IF(VLOOKUP(C3251,Projetos!A:L,12,false)=TRUE,TRUE,FALSE)</f>
        <v>1</v>
      </c>
      <c r="I3251" s="68">
        <v>83.8951582070707</v>
      </c>
      <c r="J3251" s="68">
        <f t="shared" si="1"/>
        <v>1090.637057</v>
      </c>
      <c r="K3251" s="68" t="b">
        <v>1</v>
      </c>
    </row>
    <row r="3252">
      <c r="A3252" s="75">
        <v>3246.0</v>
      </c>
      <c r="B3252" s="62" t="s">
        <v>2090</v>
      </c>
      <c r="C3252" s="62" t="s">
        <v>104</v>
      </c>
      <c r="D3252" s="62" t="s">
        <v>2098</v>
      </c>
      <c r="E3252" s="76">
        <v>43948.0</v>
      </c>
      <c r="F3252" s="77">
        <v>0.5416666666666666</v>
      </c>
      <c r="G3252" s="62" t="b">
        <v>1</v>
      </c>
      <c r="H3252" s="78" t="b">
        <f>IF(VLOOKUP(C3252,Projetos!A:L,12,false)=TRUE,TRUE,FALSE)</f>
        <v>1</v>
      </c>
      <c r="I3252" s="68">
        <v>83.8951582070707</v>
      </c>
      <c r="J3252" s="68">
        <f t="shared" si="1"/>
        <v>1090.637057</v>
      </c>
      <c r="K3252" s="68" t="b">
        <v>1</v>
      </c>
    </row>
    <row r="3253">
      <c r="A3253" s="75">
        <v>3247.0</v>
      </c>
      <c r="B3253" s="62" t="s">
        <v>2090</v>
      </c>
      <c r="C3253" s="62" t="s">
        <v>105</v>
      </c>
      <c r="D3253" s="62" t="s">
        <v>2093</v>
      </c>
      <c r="E3253" s="76">
        <v>43927.0</v>
      </c>
      <c r="F3253" s="77">
        <v>0.4166666666666667</v>
      </c>
      <c r="G3253" s="62" t="b">
        <v>1</v>
      </c>
      <c r="H3253" s="78" t="b">
        <f>IF(VLOOKUP(C3253,Projetos!A:L,12,false)=TRUE,TRUE,FALSE)</f>
        <v>1</v>
      </c>
      <c r="I3253" s="68">
        <v>83.8951582070707</v>
      </c>
      <c r="J3253" s="68">
        <f t="shared" si="1"/>
        <v>838.9515821</v>
      </c>
      <c r="K3253" s="68" t="b">
        <v>1</v>
      </c>
    </row>
    <row r="3254">
      <c r="A3254" s="75">
        <v>3248.0</v>
      </c>
      <c r="B3254" s="62" t="s">
        <v>2090</v>
      </c>
      <c r="C3254" s="62" t="s">
        <v>105</v>
      </c>
      <c r="D3254" s="62" t="s">
        <v>2094</v>
      </c>
      <c r="E3254" s="76">
        <v>43934.0</v>
      </c>
      <c r="F3254" s="77">
        <v>0.4166666666666667</v>
      </c>
      <c r="G3254" s="62" t="b">
        <v>1</v>
      </c>
      <c r="H3254" s="78" t="b">
        <f>IF(VLOOKUP(C3254,Projetos!A:L,12,false)=TRUE,TRUE,FALSE)</f>
        <v>1</v>
      </c>
      <c r="I3254" s="68">
        <v>83.8951582070707</v>
      </c>
      <c r="J3254" s="68">
        <f t="shared" si="1"/>
        <v>838.9515821</v>
      </c>
      <c r="K3254" s="68" t="b">
        <v>1</v>
      </c>
    </row>
    <row r="3255">
      <c r="A3255" s="75">
        <v>3249.0</v>
      </c>
      <c r="B3255" s="62" t="s">
        <v>2090</v>
      </c>
      <c r="C3255" s="62" t="s">
        <v>105</v>
      </c>
      <c r="D3255" s="62" t="s">
        <v>2093</v>
      </c>
      <c r="E3255" s="76">
        <v>43941.0</v>
      </c>
      <c r="F3255" s="77">
        <v>0.4166666666666667</v>
      </c>
      <c r="G3255" s="62" t="b">
        <v>1</v>
      </c>
      <c r="H3255" s="78" t="b">
        <f>IF(VLOOKUP(C3255,Projetos!A:L,12,false)=TRUE,TRUE,FALSE)</f>
        <v>1</v>
      </c>
      <c r="I3255" s="68">
        <v>83.8951582070707</v>
      </c>
      <c r="J3255" s="68">
        <f t="shared" si="1"/>
        <v>838.9515821</v>
      </c>
      <c r="K3255" s="68" t="b">
        <v>1</v>
      </c>
    </row>
    <row r="3256">
      <c r="A3256" s="75">
        <v>3250.0</v>
      </c>
      <c r="B3256" s="62" t="s">
        <v>2090</v>
      </c>
      <c r="C3256" s="62" t="s">
        <v>105</v>
      </c>
      <c r="D3256" s="62" t="s">
        <v>2094</v>
      </c>
      <c r="E3256" s="76">
        <v>43948.0</v>
      </c>
      <c r="F3256" s="77">
        <v>0.4166666666666667</v>
      </c>
      <c r="G3256" s="62" t="b">
        <v>1</v>
      </c>
      <c r="H3256" s="78" t="b">
        <f>IF(VLOOKUP(C3256,Projetos!A:L,12,false)=TRUE,TRUE,FALSE)</f>
        <v>1</v>
      </c>
      <c r="I3256" s="68">
        <v>83.8951582070707</v>
      </c>
      <c r="J3256" s="68">
        <f t="shared" si="1"/>
        <v>838.9515821</v>
      </c>
      <c r="K3256" s="68" t="b">
        <v>1</v>
      </c>
    </row>
    <row r="3257">
      <c r="A3257" s="75">
        <v>3251.0</v>
      </c>
      <c r="B3257" s="62" t="s">
        <v>2090</v>
      </c>
      <c r="C3257" s="62" t="s">
        <v>101</v>
      </c>
      <c r="D3257" s="62" t="s">
        <v>2095</v>
      </c>
      <c r="E3257" s="76">
        <v>43927.0</v>
      </c>
      <c r="F3257" s="77">
        <v>0.4166666666666667</v>
      </c>
      <c r="G3257" s="62" t="b">
        <v>1</v>
      </c>
      <c r="H3257" s="78" t="b">
        <f>IF(VLOOKUP(C3257,Projetos!A:L,12,false)=TRUE,TRUE,FALSE)</f>
        <v>1</v>
      </c>
      <c r="I3257" s="68">
        <v>83.8951582070707</v>
      </c>
      <c r="J3257" s="68">
        <f t="shared" si="1"/>
        <v>838.9515821</v>
      </c>
      <c r="K3257" s="68" t="b">
        <v>1</v>
      </c>
    </row>
    <row r="3258">
      <c r="A3258" s="75">
        <v>3252.0</v>
      </c>
      <c r="B3258" s="62" t="s">
        <v>2090</v>
      </c>
      <c r="C3258" s="62" t="s">
        <v>101</v>
      </c>
      <c r="D3258" s="62" t="s">
        <v>2095</v>
      </c>
      <c r="E3258" s="76">
        <v>43934.0</v>
      </c>
      <c r="F3258" s="77">
        <v>0.4166666666666667</v>
      </c>
      <c r="G3258" s="62" t="b">
        <v>1</v>
      </c>
      <c r="H3258" s="78" t="b">
        <f>IF(VLOOKUP(C3258,Projetos!A:L,12,false)=TRUE,TRUE,FALSE)</f>
        <v>1</v>
      </c>
      <c r="I3258" s="68">
        <v>83.8951582070707</v>
      </c>
      <c r="J3258" s="68">
        <f t="shared" si="1"/>
        <v>838.9515821</v>
      </c>
      <c r="K3258" s="68" t="b">
        <v>1</v>
      </c>
    </row>
    <row r="3259">
      <c r="A3259" s="75">
        <v>3253.0</v>
      </c>
      <c r="B3259" s="62" t="s">
        <v>2090</v>
      </c>
      <c r="C3259" s="62" t="s">
        <v>101</v>
      </c>
      <c r="D3259" s="62" t="s">
        <v>2096</v>
      </c>
      <c r="E3259" s="76">
        <v>43941.0</v>
      </c>
      <c r="F3259" s="77">
        <v>0.4166666666666667</v>
      </c>
      <c r="G3259" s="62" t="b">
        <v>1</v>
      </c>
      <c r="H3259" s="78" t="b">
        <f>IF(VLOOKUP(C3259,Projetos!A:L,12,false)=TRUE,TRUE,FALSE)</f>
        <v>1</v>
      </c>
      <c r="I3259" s="68">
        <v>83.8951582070707</v>
      </c>
      <c r="J3259" s="68">
        <f t="shared" si="1"/>
        <v>838.9515821</v>
      </c>
      <c r="K3259" s="68" t="b">
        <v>1</v>
      </c>
    </row>
    <row r="3260">
      <c r="A3260" s="75">
        <v>3254.0</v>
      </c>
      <c r="B3260" s="62" t="s">
        <v>2090</v>
      </c>
      <c r="C3260" s="62" t="s">
        <v>101</v>
      </c>
      <c r="D3260" s="62" t="s">
        <v>2096</v>
      </c>
      <c r="E3260" s="76">
        <v>43948.0</v>
      </c>
      <c r="F3260" s="77">
        <v>0.4166666666666667</v>
      </c>
      <c r="G3260" s="62" t="b">
        <v>1</v>
      </c>
      <c r="H3260" s="78" t="b">
        <f>IF(VLOOKUP(C3260,Projetos!A:L,12,false)=TRUE,TRUE,FALSE)</f>
        <v>1</v>
      </c>
      <c r="I3260" s="68">
        <v>83.8951582070707</v>
      </c>
      <c r="J3260" s="68">
        <f t="shared" si="1"/>
        <v>838.9515821</v>
      </c>
      <c r="K3260" s="68" t="b">
        <v>1</v>
      </c>
    </row>
    <row r="3261">
      <c r="A3261" s="75">
        <v>3255.0</v>
      </c>
      <c r="B3261" s="62" t="s">
        <v>2090</v>
      </c>
      <c r="C3261" s="62" t="s">
        <v>97</v>
      </c>
      <c r="D3261" s="62" t="s">
        <v>2094</v>
      </c>
      <c r="E3261" s="76">
        <v>43927.0</v>
      </c>
      <c r="F3261" s="77">
        <v>0.4166666666666667</v>
      </c>
      <c r="G3261" s="62" t="b">
        <v>1</v>
      </c>
      <c r="H3261" s="78" t="b">
        <f>IF(VLOOKUP(C3261,Projetos!A:L,12,false)=TRUE,TRUE,FALSE)</f>
        <v>1</v>
      </c>
      <c r="I3261" s="68">
        <v>83.8951582070707</v>
      </c>
      <c r="J3261" s="68">
        <f t="shared" si="1"/>
        <v>838.9515821</v>
      </c>
      <c r="K3261" s="68" t="b">
        <v>1</v>
      </c>
    </row>
    <row r="3262">
      <c r="A3262" s="75">
        <v>3256.0</v>
      </c>
      <c r="B3262" s="62" t="s">
        <v>2090</v>
      </c>
      <c r="C3262" s="62" t="s">
        <v>97</v>
      </c>
      <c r="D3262" s="62" t="s">
        <v>2094</v>
      </c>
      <c r="E3262" s="76">
        <v>43934.0</v>
      </c>
      <c r="F3262" s="77">
        <v>0.4166666666666667</v>
      </c>
      <c r="G3262" s="62" t="b">
        <v>1</v>
      </c>
      <c r="H3262" s="78" t="b">
        <f>IF(VLOOKUP(C3262,Projetos!A:L,12,false)=TRUE,TRUE,FALSE)</f>
        <v>1</v>
      </c>
      <c r="I3262" s="68">
        <v>83.8951582070707</v>
      </c>
      <c r="J3262" s="68">
        <f t="shared" si="1"/>
        <v>838.9515821</v>
      </c>
      <c r="K3262" s="68" t="b">
        <v>1</v>
      </c>
    </row>
    <row r="3263">
      <c r="A3263" s="75">
        <v>3257.0</v>
      </c>
      <c r="B3263" s="62" t="s">
        <v>2090</v>
      </c>
      <c r="C3263" s="62" t="s">
        <v>138</v>
      </c>
      <c r="D3263" s="62" t="s">
        <v>2096</v>
      </c>
      <c r="E3263" s="76">
        <v>43941.0</v>
      </c>
      <c r="F3263" s="77">
        <v>0.16666666666666666</v>
      </c>
      <c r="G3263" s="62" t="b">
        <v>1</v>
      </c>
      <c r="H3263" s="78" t="b">
        <f>IF(VLOOKUP(C3263,Projetos!A:L,12,false)=TRUE,TRUE,FALSE)</f>
        <v>1</v>
      </c>
      <c r="I3263" s="68">
        <v>83.8951582070707</v>
      </c>
      <c r="J3263" s="68">
        <f t="shared" si="1"/>
        <v>335.5806328</v>
      </c>
      <c r="K3263" s="68" t="b">
        <v>1</v>
      </c>
    </row>
    <row r="3264">
      <c r="A3264" s="75">
        <v>3258.0</v>
      </c>
      <c r="B3264" s="62" t="s">
        <v>2090</v>
      </c>
      <c r="C3264" s="62" t="s">
        <v>103</v>
      </c>
      <c r="D3264" s="62" t="s">
        <v>2099</v>
      </c>
      <c r="E3264" s="76">
        <v>43948.0</v>
      </c>
      <c r="F3264" s="77">
        <v>0.041666666666666664</v>
      </c>
      <c r="G3264" s="62" t="b">
        <v>1</v>
      </c>
      <c r="H3264" s="78" t="b">
        <f>IF(VLOOKUP(C3264,Projetos!A:L,12,false)=TRUE,TRUE,FALSE)</f>
        <v>1</v>
      </c>
      <c r="I3264" s="68">
        <v>83.8951582070707</v>
      </c>
      <c r="J3264" s="68">
        <f t="shared" si="1"/>
        <v>83.89515821</v>
      </c>
      <c r="K3264" s="68" t="b">
        <v>1</v>
      </c>
    </row>
    <row r="3265">
      <c r="A3265" s="75">
        <v>3259.0</v>
      </c>
      <c r="B3265" s="62" t="s">
        <v>2090</v>
      </c>
      <c r="C3265" s="62" t="s">
        <v>104</v>
      </c>
      <c r="D3265" s="62" t="s">
        <v>2100</v>
      </c>
      <c r="E3265" s="76">
        <v>45425.0</v>
      </c>
      <c r="F3265" s="77">
        <v>0.16666666666666666</v>
      </c>
      <c r="G3265" s="62" t="b">
        <v>1</v>
      </c>
      <c r="H3265" s="78" t="b">
        <f>IF(VLOOKUP(C3265,Projetos!A:L,12,false)=TRUE,TRUE,FALSE)</f>
        <v>1</v>
      </c>
      <c r="I3265" s="68">
        <v>87.89016574074073</v>
      </c>
      <c r="J3265" s="68">
        <f t="shared" si="1"/>
        <v>0</v>
      </c>
      <c r="K3265" s="68" t="b">
        <v>1</v>
      </c>
    </row>
    <row r="3266">
      <c r="A3266" s="75">
        <v>3260.0</v>
      </c>
      <c r="B3266" s="62" t="s">
        <v>2090</v>
      </c>
      <c r="C3266" s="62" t="s">
        <v>104</v>
      </c>
      <c r="D3266" s="62" t="s">
        <v>2100</v>
      </c>
      <c r="E3266" s="76">
        <v>43955.0</v>
      </c>
      <c r="F3266" s="77">
        <v>0.4166666666666667</v>
      </c>
      <c r="G3266" s="62" t="b">
        <v>1</v>
      </c>
      <c r="H3266" s="78" t="b">
        <f>IF(VLOOKUP(C3266,Projetos!A:L,12,false)=TRUE,TRUE,FALSE)</f>
        <v>1</v>
      </c>
      <c r="I3266" s="68">
        <v>87.89016574074073</v>
      </c>
      <c r="J3266" s="68">
        <f t="shared" si="1"/>
        <v>878.9016574</v>
      </c>
      <c r="K3266" s="68" t="b">
        <v>1</v>
      </c>
    </row>
    <row r="3267">
      <c r="A3267" s="75">
        <v>3261.0</v>
      </c>
      <c r="B3267" s="62" t="s">
        <v>2090</v>
      </c>
      <c r="C3267" s="62" t="s">
        <v>104</v>
      </c>
      <c r="D3267" s="62" t="s">
        <v>2100</v>
      </c>
      <c r="E3267" s="76">
        <v>43962.0</v>
      </c>
      <c r="F3267" s="77">
        <v>0.625</v>
      </c>
      <c r="G3267" s="62" t="b">
        <v>1</v>
      </c>
      <c r="H3267" s="78" t="b">
        <f>IF(VLOOKUP(C3267,Projetos!A:L,12,false)=TRUE,TRUE,FALSE)</f>
        <v>1</v>
      </c>
      <c r="I3267" s="68">
        <v>87.89016574074073</v>
      </c>
      <c r="J3267" s="68">
        <f t="shared" si="1"/>
        <v>1318.352486</v>
      </c>
      <c r="K3267" s="68" t="b">
        <v>1</v>
      </c>
    </row>
    <row r="3268">
      <c r="A3268" s="75">
        <v>3262.0</v>
      </c>
      <c r="B3268" s="62" t="s">
        <v>2090</v>
      </c>
      <c r="C3268" s="62" t="s">
        <v>104</v>
      </c>
      <c r="D3268" s="62" t="s">
        <v>2100</v>
      </c>
      <c r="E3268" s="76">
        <v>43969.0</v>
      </c>
      <c r="F3268" s="77">
        <v>0.5416666666666666</v>
      </c>
      <c r="G3268" s="62" t="b">
        <v>1</v>
      </c>
      <c r="H3268" s="78" t="b">
        <f>IF(VLOOKUP(C3268,Projetos!A:L,12,false)=TRUE,TRUE,FALSE)</f>
        <v>1</v>
      </c>
      <c r="I3268" s="68">
        <v>87.89016574074073</v>
      </c>
      <c r="J3268" s="68">
        <f t="shared" si="1"/>
        <v>1142.572155</v>
      </c>
      <c r="K3268" s="68" t="b">
        <v>1</v>
      </c>
    </row>
    <row r="3269">
      <c r="A3269" s="75">
        <v>3263.0</v>
      </c>
      <c r="B3269" s="62" t="s">
        <v>2090</v>
      </c>
      <c r="C3269" s="62" t="s">
        <v>104</v>
      </c>
      <c r="D3269" s="62" t="s">
        <v>2101</v>
      </c>
      <c r="E3269" s="76">
        <v>43976.0</v>
      </c>
      <c r="F3269" s="77">
        <v>0.5416666666666666</v>
      </c>
      <c r="G3269" s="62" t="b">
        <v>1</v>
      </c>
      <c r="H3269" s="78" t="b">
        <f>IF(VLOOKUP(C3269,Projetos!A:L,12,false)=TRUE,TRUE,FALSE)</f>
        <v>1</v>
      </c>
      <c r="I3269" s="68">
        <v>87.89016574074073</v>
      </c>
      <c r="J3269" s="68">
        <f t="shared" si="1"/>
        <v>1142.572155</v>
      </c>
      <c r="K3269" s="68" t="b">
        <v>1</v>
      </c>
    </row>
    <row r="3270">
      <c r="A3270" s="75">
        <v>3264.0</v>
      </c>
      <c r="B3270" s="62" t="s">
        <v>2090</v>
      </c>
      <c r="C3270" s="62" t="s">
        <v>105</v>
      </c>
      <c r="D3270" s="62" t="s">
        <v>2094</v>
      </c>
      <c r="E3270" s="76">
        <v>43955.0</v>
      </c>
      <c r="F3270" s="77">
        <v>0.4166666666666667</v>
      </c>
      <c r="G3270" s="62" t="b">
        <v>1</v>
      </c>
      <c r="H3270" s="78" t="b">
        <f>IF(VLOOKUP(C3270,Projetos!A:L,12,false)=TRUE,TRUE,FALSE)</f>
        <v>1</v>
      </c>
      <c r="I3270" s="68">
        <v>87.89016574074073</v>
      </c>
      <c r="J3270" s="68">
        <f t="shared" si="1"/>
        <v>878.9016574</v>
      </c>
      <c r="K3270" s="68" t="b">
        <v>1</v>
      </c>
    </row>
    <row r="3271">
      <c r="A3271" s="75">
        <v>3265.0</v>
      </c>
      <c r="B3271" s="62" t="s">
        <v>2090</v>
      </c>
      <c r="C3271" s="62" t="s">
        <v>105</v>
      </c>
      <c r="D3271" s="62" t="s">
        <v>2093</v>
      </c>
      <c r="E3271" s="76">
        <v>43962.0</v>
      </c>
      <c r="F3271" s="77">
        <v>0.3333333333333333</v>
      </c>
      <c r="G3271" s="62" t="b">
        <v>1</v>
      </c>
      <c r="H3271" s="78" t="b">
        <f>IF(VLOOKUP(C3271,Projetos!A:L,12,false)=TRUE,TRUE,FALSE)</f>
        <v>1</v>
      </c>
      <c r="I3271" s="68">
        <v>87.89016574074073</v>
      </c>
      <c r="J3271" s="68">
        <f t="shared" si="1"/>
        <v>703.1213259</v>
      </c>
      <c r="K3271" s="68" t="b">
        <v>1</v>
      </c>
    </row>
    <row r="3272">
      <c r="A3272" s="75">
        <v>3266.0</v>
      </c>
      <c r="B3272" s="62" t="s">
        <v>2090</v>
      </c>
      <c r="C3272" s="62" t="s">
        <v>105</v>
      </c>
      <c r="D3272" s="62" t="s">
        <v>2093</v>
      </c>
      <c r="E3272" s="76">
        <v>43969.0</v>
      </c>
      <c r="F3272" s="77">
        <v>0.3333333333333333</v>
      </c>
      <c r="G3272" s="62" t="b">
        <v>1</v>
      </c>
      <c r="H3272" s="78" t="b">
        <f>IF(VLOOKUP(C3272,Projetos!A:L,12,false)=TRUE,TRUE,FALSE)</f>
        <v>1</v>
      </c>
      <c r="I3272" s="68">
        <v>87.89016574074073</v>
      </c>
      <c r="J3272" s="68">
        <f t="shared" si="1"/>
        <v>703.1213259</v>
      </c>
      <c r="K3272" s="68" t="b">
        <v>1</v>
      </c>
    </row>
    <row r="3273">
      <c r="A3273" s="75">
        <v>3267.0</v>
      </c>
      <c r="B3273" s="62" t="s">
        <v>2090</v>
      </c>
      <c r="C3273" s="62" t="s">
        <v>101</v>
      </c>
      <c r="D3273" s="62" t="s">
        <v>2095</v>
      </c>
      <c r="E3273" s="76">
        <v>43976.0</v>
      </c>
      <c r="F3273" s="77">
        <v>0.16666666666666666</v>
      </c>
      <c r="G3273" s="62" t="b">
        <v>1</v>
      </c>
      <c r="H3273" s="78" t="b">
        <f>IF(VLOOKUP(C3273,Projetos!A:L,12,false)=TRUE,TRUE,FALSE)</f>
        <v>1</v>
      </c>
      <c r="I3273" s="68">
        <v>87.89016574074073</v>
      </c>
      <c r="J3273" s="68">
        <f t="shared" si="1"/>
        <v>351.560663</v>
      </c>
      <c r="K3273" s="68" t="b">
        <v>1</v>
      </c>
    </row>
    <row r="3274">
      <c r="A3274" s="75">
        <v>3268.0</v>
      </c>
      <c r="B3274" s="62" t="s">
        <v>2090</v>
      </c>
      <c r="C3274" s="62" t="s">
        <v>101</v>
      </c>
      <c r="D3274" s="62" t="s">
        <v>2095</v>
      </c>
      <c r="E3274" s="76">
        <v>43955.0</v>
      </c>
      <c r="F3274" s="77">
        <v>0.16666666666666666</v>
      </c>
      <c r="G3274" s="62" t="b">
        <v>1</v>
      </c>
      <c r="H3274" s="78" t="b">
        <f>IF(VLOOKUP(C3274,Projetos!A:L,12,false)=TRUE,TRUE,FALSE)</f>
        <v>1</v>
      </c>
      <c r="I3274" s="68">
        <v>87.89016574074073</v>
      </c>
      <c r="J3274" s="68">
        <f t="shared" si="1"/>
        <v>351.560663</v>
      </c>
      <c r="K3274" s="68" t="b">
        <v>1</v>
      </c>
    </row>
    <row r="3275">
      <c r="A3275" s="75">
        <v>3269.0</v>
      </c>
      <c r="B3275" s="62" t="s">
        <v>2090</v>
      </c>
      <c r="C3275" s="62" t="s">
        <v>101</v>
      </c>
      <c r="D3275" s="62" t="s">
        <v>2096</v>
      </c>
      <c r="E3275" s="76">
        <v>43962.0</v>
      </c>
      <c r="F3275" s="77">
        <v>0.08333333333333333</v>
      </c>
      <c r="G3275" s="62" t="b">
        <v>1</v>
      </c>
      <c r="H3275" s="78" t="b">
        <f>IF(VLOOKUP(C3275,Projetos!A:L,12,false)=TRUE,TRUE,FALSE)</f>
        <v>1</v>
      </c>
      <c r="I3275" s="68">
        <v>87.89016574074073</v>
      </c>
      <c r="J3275" s="68">
        <f t="shared" si="1"/>
        <v>175.7803315</v>
      </c>
      <c r="K3275" s="68" t="b">
        <v>1</v>
      </c>
    </row>
    <row r="3276">
      <c r="A3276" s="75">
        <v>3270.0</v>
      </c>
      <c r="B3276" s="62" t="s">
        <v>2090</v>
      </c>
      <c r="C3276" s="62" t="s">
        <v>101</v>
      </c>
      <c r="D3276" s="62" t="s">
        <v>2096</v>
      </c>
      <c r="E3276" s="76">
        <v>43969.0</v>
      </c>
      <c r="F3276" s="77">
        <v>0.25</v>
      </c>
      <c r="G3276" s="62" t="b">
        <v>1</v>
      </c>
      <c r="H3276" s="78" t="b">
        <f>IF(VLOOKUP(C3276,Projetos!A:L,12,false)=TRUE,TRUE,FALSE)</f>
        <v>1</v>
      </c>
      <c r="I3276" s="68">
        <v>87.89016574074073</v>
      </c>
      <c r="J3276" s="68">
        <f t="shared" si="1"/>
        <v>527.3409944</v>
      </c>
      <c r="K3276" s="68" t="b">
        <v>1</v>
      </c>
    </row>
    <row r="3277">
      <c r="A3277" s="75">
        <v>3271.0</v>
      </c>
      <c r="B3277" s="62" t="s">
        <v>2090</v>
      </c>
      <c r="C3277" s="62" t="s">
        <v>97</v>
      </c>
      <c r="D3277" s="62" t="s">
        <v>2094</v>
      </c>
      <c r="E3277" s="76">
        <v>43976.0</v>
      </c>
      <c r="F3277" s="77">
        <v>0.25</v>
      </c>
      <c r="G3277" s="62" t="b">
        <v>1</v>
      </c>
      <c r="H3277" s="78" t="b">
        <f>IF(VLOOKUP(C3277,Projetos!A:L,12,false)=TRUE,TRUE,FALSE)</f>
        <v>1</v>
      </c>
      <c r="I3277" s="68">
        <v>87.89016574074073</v>
      </c>
      <c r="J3277" s="68">
        <f t="shared" si="1"/>
        <v>527.3409944</v>
      </c>
      <c r="K3277" s="68" t="b">
        <v>1</v>
      </c>
    </row>
    <row r="3278">
      <c r="A3278" s="75">
        <v>3272.0</v>
      </c>
      <c r="B3278" s="62" t="s">
        <v>2090</v>
      </c>
      <c r="C3278" s="62" t="s">
        <v>97</v>
      </c>
      <c r="D3278" s="62" t="s">
        <v>2094</v>
      </c>
      <c r="E3278" s="76">
        <v>43955.0</v>
      </c>
      <c r="F3278" s="77">
        <v>0.4166666666666667</v>
      </c>
      <c r="G3278" s="62" t="b">
        <v>1</v>
      </c>
      <c r="H3278" s="78" t="b">
        <f>IF(VLOOKUP(C3278,Projetos!A:L,12,false)=TRUE,TRUE,FALSE)</f>
        <v>1</v>
      </c>
      <c r="I3278" s="68">
        <v>87.89016574074073</v>
      </c>
      <c r="J3278" s="68">
        <f t="shared" si="1"/>
        <v>878.9016574</v>
      </c>
      <c r="K3278" s="68" t="b">
        <v>1</v>
      </c>
    </row>
    <row r="3279">
      <c r="A3279" s="75">
        <v>3273.0</v>
      </c>
      <c r="B3279" s="62" t="s">
        <v>2090</v>
      </c>
      <c r="C3279" s="62" t="s">
        <v>138</v>
      </c>
      <c r="D3279" s="62" t="s">
        <v>2096</v>
      </c>
      <c r="E3279" s="76">
        <v>43962.0</v>
      </c>
      <c r="F3279" s="77">
        <v>0.16666666666666666</v>
      </c>
      <c r="G3279" s="62" t="b">
        <v>1</v>
      </c>
      <c r="H3279" s="78" t="b">
        <f>IF(VLOOKUP(C3279,Projetos!A:L,12,false)=TRUE,TRUE,FALSE)</f>
        <v>1</v>
      </c>
      <c r="I3279" s="68">
        <v>87.89016574074073</v>
      </c>
      <c r="J3279" s="68">
        <f t="shared" si="1"/>
        <v>351.560663</v>
      </c>
      <c r="K3279" s="68" t="b">
        <v>1</v>
      </c>
    </row>
    <row r="3280">
      <c r="A3280" s="75">
        <v>3274.0</v>
      </c>
      <c r="B3280" s="62" t="s">
        <v>2090</v>
      </c>
      <c r="C3280" s="62" t="s">
        <v>138</v>
      </c>
      <c r="D3280" s="62" t="s">
        <v>2096</v>
      </c>
      <c r="E3280" s="76">
        <v>43969.0</v>
      </c>
      <c r="F3280" s="77">
        <v>0.16666666666666666</v>
      </c>
      <c r="G3280" s="62" t="b">
        <v>1</v>
      </c>
      <c r="H3280" s="78" t="b">
        <f>IF(VLOOKUP(C3280,Projetos!A:L,12,false)=TRUE,TRUE,FALSE)</f>
        <v>1</v>
      </c>
      <c r="I3280" s="68">
        <v>87.89016574074073</v>
      </c>
      <c r="J3280" s="68">
        <f t="shared" si="1"/>
        <v>351.560663</v>
      </c>
      <c r="K3280" s="68" t="b">
        <v>1</v>
      </c>
    </row>
    <row r="3281">
      <c r="A3281" s="75">
        <v>3275.0</v>
      </c>
      <c r="B3281" s="62" t="s">
        <v>2090</v>
      </c>
      <c r="C3281" s="62" t="s">
        <v>104</v>
      </c>
      <c r="D3281" s="62" t="s">
        <v>2101</v>
      </c>
      <c r="E3281" s="76">
        <v>43976.0</v>
      </c>
      <c r="F3281" s="77">
        <v>0.5</v>
      </c>
      <c r="G3281" s="62" t="b">
        <v>1</v>
      </c>
      <c r="H3281" s="78" t="b">
        <f>IF(VLOOKUP(C3281,Projetos!A:L,12,false)=TRUE,TRUE,FALSE)</f>
        <v>1</v>
      </c>
      <c r="I3281" s="68">
        <v>87.89016574074073</v>
      </c>
      <c r="J3281" s="68">
        <f t="shared" si="1"/>
        <v>1054.681989</v>
      </c>
      <c r="K3281" s="68" t="b">
        <v>1</v>
      </c>
    </row>
    <row r="3282">
      <c r="A3282" s="75">
        <v>3276.0</v>
      </c>
      <c r="B3282" s="62" t="s">
        <v>2090</v>
      </c>
      <c r="C3282" s="62" t="s">
        <v>110</v>
      </c>
      <c r="D3282" s="62" t="s">
        <v>2101</v>
      </c>
      <c r="E3282" s="76">
        <v>43976.0</v>
      </c>
      <c r="F3282" s="77">
        <v>0.375</v>
      </c>
      <c r="G3282" s="62" t="b">
        <v>1</v>
      </c>
      <c r="H3282" s="78" t="b">
        <f>IF(VLOOKUP(C3282,Projetos!A:L,12,false)=TRUE,TRUE,FALSE)</f>
        <v>1</v>
      </c>
      <c r="I3282" s="68">
        <v>87.89016574074073</v>
      </c>
      <c r="J3282" s="68">
        <f t="shared" si="1"/>
        <v>791.0114917</v>
      </c>
      <c r="K3282" s="68" t="b">
        <v>1</v>
      </c>
    </row>
    <row r="3283">
      <c r="A3283" s="75">
        <v>3277.0</v>
      </c>
      <c r="B3283" s="62" t="s">
        <v>2090</v>
      </c>
      <c r="C3283" s="62" t="s">
        <v>104</v>
      </c>
      <c r="D3283" s="62" t="s">
        <v>749</v>
      </c>
      <c r="E3283" s="76">
        <v>43983.0</v>
      </c>
      <c r="F3283" s="77">
        <v>0.0625</v>
      </c>
      <c r="G3283" s="62" t="b">
        <v>1</v>
      </c>
      <c r="H3283" s="78" t="b">
        <f>IF(VLOOKUP(C3283,Projetos!A:L,12,false)=TRUE,TRUE,FALSE)</f>
        <v>1</v>
      </c>
      <c r="I3283" s="68">
        <v>83.8951582070707</v>
      </c>
      <c r="J3283" s="68">
        <f t="shared" si="1"/>
        <v>125.8427373</v>
      </c>
      <c r="K3283" s="68" t="b">
        <v>1</v>
      </c>
    </row>
    <row r="3284">
      <c r="A3284" s="75">
        <v>3278.0</v>
      </c>
      <c r="B3284" s="62" t="s">
        <v>2090</v>
      </c>
      <c r="C3284" s="62" t="s">
        <v>110</v>
      </c>
      <c r="D3284" s="62" t="s">
        <v>745</v>
      </c>
      <c r="E3284" s="76">
        <v>43983.0</v>
      </c>
      <c r="F3284" s="77">
        <v>0.08333333333333333</v>
      </c>
      <c r="G3284" s="62" t="b">
        <v>1</v>
      </c>
      <c r="H3284" s="78" t="b">
        <f>IF(VLOOKUP(C3284,Projetos!A:L,12,false)=TRUE,TRUE,FALSE)</f>
        <v>1</v>
      </c>
      <c r="I3284" s="68">
        <v>83.8951582070707</v>
      </c>
      <c r="J3284" s="68">
        <f t="shared" si="1"/>
        <v>167.7903164</v>
      </c>
      <c r="K3284" s="68" t="b">
        <v>1</v>
      </c>
    </row>
    <row r="3285">
      <c r="A3285" s="75">
        <v>3279.0</v>
      </c>
      <c r="B3285" s="62" t="s">
        <v>2090</v>
      </c>
      <c r="C3285" s="62" t="s">
        <v>110</v>
      </c>
      <c r="D3285" s="62" t="s">
        <v>745</v>
      </c>
      <c r="E3285" s="76">
        <v>43984.0</v>
      </c>
      <c r="F3285" s="77">
        <v>0.16666666666666666</v>
      </c>
      <c r="G3285" s="62" t="b">
        <v>1</v>
      </c>
      <c r="H3285" s="78" t="b">
        <f>IF(VLOOKUP(C3285,Projetos!A:L,12,false)=TRUE,TRUE,FALSE)</f>
        <v>1</v>
      </c>
      <c r="I3285" s="68">
        <v>83.8951582070707</v>
      </c>
      <c r="J3285" s="68">
        <f t="shared" si="1"/>
        <v>335.5806328</v>
      </c>
      <c r="K3285" s="68" t="b">
        <v>1</v>
      </c>
    </row>
    <row r="3286">
      <c r="A3286" s="75">
        <v>3280.0</v>
      </c>
      <c r="B3286" s="62" t="s">
        <v>2090</v>
      </c>
      <c r="C3286" s="62" t="s">
        <v>101</v>
      </c>
      <c r="D3286" s="62" t="s">
        <v>2102</v>
      </c>
      <c r="E3286" s="76">
        <v>43984.0</v>
      </c>
      <c r="F3286" s="77">
        <v>0.08333333333333333</v>
      </c>
      <c r="G3286" s="62" t="b">
        <v>1</v>
      </c>
      <c r="H3286" s="78" t="b">
        <f>IF(VLOOKUP(C3286,Projetos!A:L,12,false)=TRUE,TRUE,FALSE)</f>
        <v>1</v>
      </c>
      <c r="I3286" s="68">
        <v>83.8951582070707</v>
      </c>
      <c r="J3286" s="68">
        <f t="shared" si="1"/>
        <v>167.7903164</v>
      </c>
      <c r="K3286" s="68" t="b">
        <v>1</v>
      </c>
    </row>
    <row r="3287">
      <c r="A3287" s="75">
        <v>3281.0</v>
      </c>
      <c r="B3287" s="62" t="s">
        <v>2090</v>
      </c>
      <c r="C3287" s="62" t="s">
        <v>104</v>
      </c>
      <c r="D3287" s="62" t="s">
        <v>749</v>
      </c>
      <c r="E3287" s="76">
        <v>43984.0</v>
      </c>
      <c r="F3287" s="77">
        <v>0.08333333333333333</v>
      </c>
      <c r="G3287" s="62" t="b">
        <v>1</v>
      </c>
      <c r="H3287" s="78" t="b">
        <f>IF(VLOOKUP(C3287,Projetos!A:L,12,false)=TRUE,TRUE,FALSE)</f>
        <v>1</v>
      </c>
      <c r="I3287" s="68">
        <v>83.8951582070707</v>
      </c>
      <c r="J3287" s="68">
        <f t="shared" si="1"/>
        <v>167.7903164</v>
      </c>
      <c r="K3287" s="68" t="b">
        <v>1</v>
      </c>
    </row>
    <row r="3288">
      <c r="A3288" s="75">
        <v>3282.0</v>
      </c>
      <c r="B3288" s="62" t="s">
        <v>2090</v>
      </c>
      <c r="C3288" s="62" t="s">
        <v>110</v>
      </c>
      <c r="D3288" s="62" t="s">
        <v>745</v>
      </c>
      <c r="E3288" s="76">
        <v>43985.0</v>
      </c>
      <c r="F3288" s="77">
        <v>0.041666666666666664</v>
      </c>
      <c r="G3288" s="62" t="b">
        <v>1</v>
      </c>
      <c r="H3288" s="78" t="b">
        <f>IF(VLOOKUP(C3288,Projetos!A:L,12,false)=TRUE,TRUE,FALSE)</f>
        <v>1</v>
      </c>
      <c r="I3288" s="68">
        <v>83.8951582070707</v>
      </c>
      <c r="J3288" s="68">
        <f t="shared" si="1"/>
        <v>83.89515821</v>
      </c>
      <c r="K3288" s="68" t="b">
        <v>1</v>
      </c>
    </row>
    <row r="3289">
      <c r="A3289" s="75">
        <v>3283.0</v>
      </c>
      <c r="B3289" s="62" t="s">
        <v>2090</v>
      </c>
      <c r="C3289" s="62" t="s">
        <v>104</v>
      </c>
      <c r="D3289" s="62" t="s">
        <v>745</v>
      </c>
      <c r="E3289" s="76">
        <v>43985.0</v>
      </c>
      <c r="F3289" s="77">
        <v>0.25</v>
      </c>
      <c r="G3289" s="62" t="b">
        <v>1</v>
      </c>
      <c r="H3289" s="78" t="b">
        <f>IF(VLOOKUP(C3289,Projetos!A:L,12,false)=TRUE,TRUE,FALSE)</f>
        <v>1</v>
      </c>
      <c r="I3289" s="68">
        <v>83.8951582070707</v>
      </c>
      <c r="J3289" s="68">
        <f t="shared" si="1"/>
        <v>503.3709492</v>
      </c>
      <c r="K3289" s="68" t="b">
        <v>1</v>
      </c>
    </row>
    <row r="3290">
      <c r="A3290" s="75">
        <v>3284.0</v>
      </c>
      <c r="B3290" s="62" t="s">
        <v>2090</v>
      </c>
      <c r="C3290" s="62" t="s">
        <v>110</v>
      </c>
      <c r="D3290" s="62" t="s">
        <v>745</v>
      </c>
      <c r="E3290" s="76">
        <v>43986.0</v>
      </c>
      <c r="F3290" s="77">
        <v>0.08333333333333333</v>
      </c>
      <c r="G3290" s="62" t="b">
        <v>1</v>
      </c>
      <c r="H3290" s="78" t="b">
        <f>IF(VLOOKUP(C3290,Projetos!A:L,12,false)=TRUE,TRUE,FALSE)</f>
        <v>1</v>
      </c>
      <c r="I3290" s="68">
        <v>83.8951582070707</v>
      </c>
      <c r="J3290" s="68">
        <f t="shared" si="1"/>
        <v>167.7903164</v>
      </c>
      <c r="K3290" s="68" t="b">
        <v>1</v>
      </c>
    </row>
    <row r="3291">
      <c r="A3291" s="75">
        <v>3285.0</v>
      </c>
      <c r="B3291" s="62" t="s">
        <v>2090</v>
      </c>
      <c r="C3291" s="62" t="s">
        <v>110</v>
      </c>
      <c r="D3291" s="62" t="s">
        <v>745</v>
      </c>
      <c r="E3291" s="76">
        <v>43987.0</v>
      </c>
      <c r="F3291" s="77">
        <v>0.041666666666666664</v>
      </c>
      <c r="G3291" s="62" t="b">
        <v>1</v>
      </c>
      <c r="H3291" s="78" t="b">
        <f>IF(VLOOKUP(C3291,Projetos!A:L,12,false)=TRUE,TRUE,FALSE)</f>
        <v>1</v>
      </c>
      <c r="I3291" s="68">
        <v>83.8951582070707</v>
      </c>
      <c r="J3291" s="68">
        <f t="shared" si="1"/>
        <v>83.89515821</v>
      </c>
      <c r="K3291" s="68" t="b">
        <v>1</v>
      </c>
    </row>
    <row r="3292">
      <c r="A3292" s="75">
        <v>3286.0</v>
      </c>
      <c r="B3292" s="62" t="s">
        <v>2090</v>
      </c>
      <c r="C3292" s="62" t="s">
        <v>104</v>
      </c>
      <c r="D3292" s="62" t="s">
        <v>749</v>
      </c>
      <c r="E3292" s="76">
        <v>43987.0</v>
      </c>
      <c r="F3292" s="77">
        <v>0.125</v>
      </c>
      <c r="G3292" s="62" t="b">
        <v>1</v>
      </c>
      <c r="H3292" s="78" t="b">
        <f>IF(VLOOKUP(C3292,Projetos!A:L,12,false)=TRUE,TRUE,FALSE)</f>
        <v>1</v>
      </c>
      <c r="I3292" s="68">
        <v>83.8951582070707</v>
      </c>
      <c r="J3292" s="68">
        <f t="shared" si="1"/>
        <v>251.6854746</v>
      </c>
      <c r="K3292" s="68" t="b">
        <v>1</v>
      </c>
    </row>
    <row r="3293">
      <c r="A3293" s="75">
        <v>3287.0</v>
      </c>
      <c r="B3293" s="62" t="s">
        <v>2090</v>
      </c>
      <c r="C3293" s="62" t="s">
        <v>104</v>
      </c>
      <c r="D3293" s="62" t="s">
        <v>749</v>
      </c>
      <c r="E3293" s="76">
        <v>43990.0</v>
      </c>
      <c r="F3293" s="77">
        <v>0.22916666666666666</v>
      </c>
      <c r="G3293" s="62" t="b">
        <v>1</v>
      </c>
      <c r="H3293" s="78" t="b">
        <f>IF(VLOOKUP(C3293,Projetos!A:L,12,false)=TRUE,TRUE,FALSE)</f>
        <v>1</v>
      </c>
      <c r="I3293" s="68">
        <v>83.8951582070707</v>
      </c>
      <c r="J3293" s="68">
        <f t="shared" si="1"/>
        <v>461.4233701</v>
      </c>
      <c r="K3293" s="68" t="b">
        <v>1</v>
      </c>
    </row>
    <row r="3294">
      <c r="A3294" s="75">
        <v>3288.0</v>
      </c>
      <c r="B3294" s="62" t="s">
        <v>2090</v>
      </c>
      <c r="C3294" s="62" t="s">
        <v>104</v>
      </c>
      <c r="D3294" s="62" t="s">
        <v>749</v>
      </c>
      <c r="E3294" s="76">
        <v>43991.0</v>
      </c>
      <c r="F3294" s="77">
        <v>0.22916666666666666</v>
      </c>
      <c r="G3294" s="62" t="b">
        <v>1</v>
      </c>
      <c r="H3294" s="78" t="b">
        <f>IF(VLOOKUP(C3294,Projetos!A:L,12,false)=TRUE,TRUE,FALSE)</f>
        <v>1</v>
      </c>
      <c r="I3294" s="68">
        <v>83.8951582070707</v>
      </c>
      <c r="J3294" s="68">
        <f t="shared" si="1"/>
        <v>461.4233701</v>
      </c>
      <c r="K3294" s="68" t="b">
        <v>1</v>
      </c>
    </row>
    <row r="3295">
      <c r="A3295" s="75">
        <v>3289.0</v>
      </c>
      <c r="B3295" s="62" t="s">
        <v>2090</v>
      </c>
      <c r="C3295" s="62" t="s">
        <v>110</v>
      </c>
      <c r="D3295" s="62" t="s">
        <v>745</v>
      </c>
      <c r="E3295" s="76">
        <v>43992.0</v>
      </c>
      <c r="F3295" s="77">
        <v>0.0625</v>
      </c>
      <c r="G3295" s="62" t="b">
        <v>1</v>
      </c>
      <c r="H3295" s="78" t="b">
        <f>IF(VLOOKUP(C3295,Projetos!A:L,12,false)=TRUE,TRUE,FALSE)</f>
        <v>1</v>
      </c>
      <c r="I3295" s="68">
        <v>83.8951582070707</v>
      </c>
      <c r="J3295" s="68">
        <f t="shared" si="1"/>
        <v>125.8427373</v>
      </c>
      <c r="K3295" s="68" t="b">
        <v>1</v>
      </c>
    </row>
    <row r="3296">
      <c r="A3296" s="75">
        <v>3290.0</v>
      </c>
      <c r="B3296" s="62" t="s">
        <v>2090</v>
      </c>
      <c r="C3296" s="62" t="s">
        <v>104</v>
      </c>
      <c r="D3296" s="62" t="s">
        <v>749</v>
      </c>
      <c r="E3296" s="76">
        <v>43992.0</v>
      </c>
      <c r="F3296" s="77">
        <v>0.10416666666666667</v>
      </c>
      <c r="G3296" s="62" t="b">
        <v>1</v>
      </c>
      <c r="H3296" s="78" t="b">
        <f>IF(VLOOKUP(C3296,Projetos!A:L,12,false)=TRUE,TRUE,FALSE)</f>
        <v>1</v>
      </c>
      <c r="I3296" s="68">
        <v>83.8951582070707</v>
      </c>
      <c r="J3296" s="68">
        <f t="shared" si="1"/>
        <v>209.7378955</v>
      </c>
      <c r="K3296" s="68" t="b">
        <v>1</v>
      </c>
    </row>
    <row r="3297">
      <c r="A3297" s="75">
        <v>3291.0</v>
      </c>
      <c r="B3297" s="62" t="s">
        <v>2090</v>
      </c>
      <c r="C3297" s="62" t="s">
        <v>104</v>
      </c>
      <c r="D3297" s="62" t="s">
        <v>749</v>
      </c>
      <c r="E3297" s="76">
        <v>43994.0</v>
      </c>
      <c r="F3297" s="77">
        <v>0.20833333333333334</v>
      </c>
      <c r="G3297" s="62" t="b">
        <v>1</v>
      </c>
      <c r="H3297" s="78" t="b">
        <f>IF(VLOOKUP(C3297,Projetos!A:L,12,false)=TRUE,TRUE,FALSE)</f>
        <v>1</v>
      </c>
      <c r="I3297" s="68">
        <v>83.8951582070707</v>
      </c>
      <c r="J3297" s="68">
        <f t="shared" si="1"/>
        <v>419.475791</v>
      </c>
      <c r="K3297" s="68" t="b">
        <v>1</v>
      </c>
    </row>
    <row r="3298">
      <c r="A3298" s="75">
        <v>3292.0</v>
      </c>
      <c r="B3298" s="62" t="s">
        <v>2090</v>
      </c>
      <c r="C3298" s="62" t="s">
        <v>115</v>
      </c>
      <c r="D3298" s="62" t="s">
        <v>750</v>
      </c>
      <c r="E3298" s="76">
        <v>43998.0</v>
      </c>
      <c r="F3298" s="77">
        <v>0.08333333333333333</v>
      </c>
      <c r="G3298" s="62" t="b">
        <v>1</v>
      </c>
      <c r="H3298" s="78" t="b">
        <f>IF(VLOOKUP(C3298,Projetos!A:L,12,false)=TRUE,TRUE,FALSE)</f>
        <v>1</v>
      </c>
      <c r="I3298" s="68">
        <v>83.8951582070707</v>
      </c>
      <c r="J3298" s="68">
        <f t="shared" si="1"/>
        <v>167.7903164</v>
      </c>
      <c r="K3298" s="68" t="b">
        <v>1</v>
      </c>
    </row>
    <row r="3299">
      <c r="A3299" s="75">
        <v>3293.0</v>
      </c>
      <c r="B3299" s="62" t="s">
        <v>2090</v>
      </c>
      <c r="C3299" s="62" t="s">
        <v>115</v>
      </c>
      <c r="D3299" s="62" t="s">
        <v>750</v>
      </c>
      <c r="E3299" s="76">
        <v>43999.0</v>
      </c>
      <c r="F3299" s="77">
        <v>0.08333333333333333</v>
      </c>
      <c r="G3299" s="62" t="b">
        <v>1</v>
      </c>
      <c r="H3299" s="78" t="b">
        <f>IF(VLOOKUP(C3299,Projetos!A:L,12,false)=TRUE,TRUE,FALSE)</f>
        <v>1</v>
      </c>
      <c r="I3299" s="68">
        <v>83.8951582070707</v>
      </c>
      <c r="J3299" s="68">
        <f t="shared" si="1"/>
        <v>167.7903164</v>
      </c>
      <c r="K3299" s="68" t="b">
        <v>1</v>
      </c>
    </row>
    <row r="3300">
      <c r="A3300" s="75">
        <v>3294.0</v>
      </c>
      <c r="B3300" s="62" t="s">
        <v>2090</v>
      </c>
      <c r="C3300" s="62" t="s">
        <v>115</v>
      </c>
      <c r="D3300" s="62" t="s">
        <v>750</v>
      </c>
      <c r="E3300" s="76">
        <v>43999.0</v>
      </c>
      <c r="F3300" s="77">
        <v>0.041666666666666664</v>
      </c>
      <c r="G3300" s="62" t="b">
        <v>1</v>
      </c>
      <c r="H3300" s="78" t="b">
        <f>IF(VLOOKUP(C3300,Projetos!A:L,12,false)=TRUE,TRUE,FALSE)</f>
        <v>1</v>
      </c>
      <c r="I3300" s="68">
        <v>83.8951582070707</v>
      </c>
      <c r="J3300" s="68">
        <f t="shared" si="1"/>
        <v>83.89515821</v>
      </c>
      <c r="K3300" s="68" t="b">
        <v>1</v>
      </c>
    </row>
    <row r="3301">
      <c r="A3301" s="75">
        <v>3295.0</v>
      </c>
      <c r="B3301" s="62" t="s">
        <v>2090</v>
      </c>
      <c r="C3301" s="62" t="s">
        <v>101</v>
      </c>
      <c r="D3301" s="62" t="s">
        <v>2103</v>
      </c>
      <c r="E3301" s="76">
        <v>44000.0</v>
      </c>
      <c r="F3301" s="77">
        <v>0.25</v>
      </c>
      <c r="G3301" s="62" t="b">
        <v>1</v>
      </c>
      <c r="H3301" s="78" t="b">
        <f>IF(VLOOKUP(C3301,Projetos!A:L,12,false)=TRUE,TRUE,FALSE)</f>
        <v>1</v>
      </c>
      <c r="I3301" s="68">
        <v>83.8951582070707</v>
      </c>
      <c r="J3301" s="68">
        <f t="shared" si="1"/>
        <v>503.3709492</v>
      </c>
      <c r="K3301" s="68" t="b">
        <v>1</v>
      </c>
    </row>
    <row r="3302">
      <c r="A3302" s="75">
        <v>3296.0</v>
      </c>
      <c r="B3302" s="62" t="s">
        <v>2090</v>
      </c>
      <c r="C3302" s="62" t="s">
        <v>110</v>
      </c>
      <c r="D3302" s="62" t="s">
        <v>745</v>
      </c>
      <c r="E3302" s="76">
        <v>44000.0</v>
      </c>
      <c r="F3302" s="77">
        <v>0.08333333333333333</v>
      </c>
      <c r="G3302" s="62" t="b">
        <v>1</v>
      </c>
      <c r="H3302" s="78" t="b">
        <f>IF(VLOOKUP(C3302,Projetos!A:L,12,false)=TRUE,TRUE,FALSE)</f>
        <v>1</v>
      </c>
      <c r="I3302" s="68">
        <v>83.8951582070707</v>
      </c>
      <c r="J3302" s="68">
        <f t="shared" si="1"/>
        <v>167.7903164</v>
      </c>
      <c r="K3302" s="68" t="b">
        <v>1</v>
      </c>
    </row>
    <row r="3303">
      <c r="A3303" s="75">
        <v>3297.0</v>
      </c>
      <c r="B3303" s="62" t="s">
        <v>2090</v>
      </c>
      <c r="C3303" s="62" t="s">
        <v>101</v>
      </c>
      <c r="D3303" s="62" t="s">
        <v>2103</v>
      </c>
      <c r="E3303" s="76">
        <v>44001.0</v>
      </c>
      <c r="F3303" s="77">
        <v>0.25</v>
      </c>
      <c r="G3303" s="62" t="b">
        <v>1</v>
      </c>
      <c r="H3303" s="78" t="b">
        <f>IF(VLOOKUP(C3303,Projetos!A:L,12,false)=TRUE,TRUE,FALSE)</f>
        <v>1</v>
      </c>
      <c r="I3303" s="68">
        <v>83.8951582070707</v>
      </c>
      <c r="J3303" s="68">
        <f t="shared" si="1"/>
        <v>503.3709492</v>
      </c>
      <c r="K3303" s="68" t="b">
        <v>1</v>
      </c>
    </row>
    <row r="3304">
      <c r="A3304" s="75">
        <v>3298.0</v>
      </c>
      <c r="B3304" s="62" t="s">
        <v>2090</v>
      </c>
      <c r="C3304" s="62" t="s">
        <v>105</v>
      </c>
      <c r="D3304" s="62" t="s">
        <v>2104</v>
      </c>
      <c r="E3304" s="76">
        <v>44004.0</v>
      </c>
      <c r="F3304" s="77">
        <v>0.08333333333333333</v>
      </c>
      <c r="G3304" s="62" t="b">
        <v>1</v>
      </c>
      <c r="H3304" s="78" t="b">
        <f>IF(VLOOKUP(C3304,Projetos!A:L,12,false)=TRUE,TRUE,FALSE)</f>
        <v>1</v>
      </c>
      <c r="I3304" s="68">
        <v>83.8951582070707</v>
      </c>
      <c r="J3304" s="68">
        <f t="shared" si="1"/>
        <v>167.7903164</v>
      </c>
      <c r="K3304" s="68" t="b">
        <v>1</v>
      </c>
    </row>
    <row r="3305" hidden="1">
      <c r="A3305" s="75">
        <v>3299.0</v>
      </c>
      <c r="B3305" s="62" t="s">
        <v>2090</v>
      </c>
      <c r="C3305" s="62" t="s">
        <v>109</v>
      </c>
      <c r="D3305" s="62" t="s">
        <v>750</v>
      </c>
      <c r="E3305" s="76">
        <v>44005.0</v>
      </c>
      <c r="F3305" s="77">
        <v>0.041666666666666664</v>
      </c>
      <c r="G3305" s="62" t="b">
        <v>0</v>
      </c>
      <c r="H3305" s="78" t="b">
        <f>IF(VLOOKUP(C3305,Projetos!A:L,12,false)=TRUE,TRUE,FALSE)</f>
        <v>0</v>
      </c>
      <c r="I3305" s="68">
        <v>83.8951582070707</v>
      </c>
      <c r="J3305" s="68">
        <f t="shared" si="1"/>
        <v>0</v>
      </c>
      <c r="K3305" s="68" t="b">
        <v>0</v>
      </c>
    </row>
    <row r="3306">
      <c r="A3306" s="75">
        <v>3300.0</v>
      </c>
      <c r="B3306" s="62" t="s">
        <v>2090</v>
      </c>
      <c r="C3306" s="62" t="s">
        <v>104</v>
      </c>
      <c r="D3306" s="62" t="s">
        <v>749</v>
      </c>
      <c r="E3306" s="76">
        <v>44005.0</v>
      </c>
      <c r="F3306" s="77">
        <v>0.375</v>
      </c>
      <c r="G3306" s="62" t="b">
        <v>1</v>
      </c>
      <c r="H3306" s="78" t="b">
        <f>IF(VLOOKUP(C3306,Projetos!A:L,12,false)=TRUE,TRUE,FALSE)</f>
        <v>1</v>
      </c>
      <c r="I3306" s="68">
        <v>83.8951582070707</v>
      </c>
      <c r="J3306" s="68">
        <f t="shared" si="1"/>
        <v>755.0564239</v>
      </c>
      <c r="K3306" s="68" t="b">
        <v>1</v>
      </c>
    </row>
    <row r="3307">
      <c r="A3307" s="75">
        <v>3301.0</v>
      </c>
      <c r="B3307" s="62" t="s">
        <v>2090</v>
      </c>
      <c r="C3307" s="62" t="s">
        <v>104</v>
      </c>
      <c r="D3307" s="62" t="s">
        <v>749</v>
      </c>
      <c r="E3307" s="76">
        <v>44006.0</v>
      </c>
      <c r="F3307" s="77">
        <v>0.3541666666666667</v>
      </c>
      <c r="G3307" s="62" t="b">
        <v>1</v>
      </c>
      <c r="H3307" s="78" t="b">
        <f>IF(VLOOKUP(C3307,Projetos!A:L,12,false)=TRUE,TRUE,FALSE)</f>
        <v>1</v>
      </c>
      <c r="I3307" s="68">
        <v>83.8951582070707</v>
      </c>
      <c r="J3307" s="68">
        <f t="shared" si="1"/>
        <v>713.1088448</v>
      </c>
      <c r="K3307" s="68" t="b">
        <v>1</v>
      </c>
    </row>
    <row r="3308" hidden="1">
      <c r="A3308" s="75">
        <v>3302.0</v>
      </c>
      <c r="B3308" s="62" t="s">
        <v>2090</v>
      </c>
      <c r="C3308" s="62" t="s">
        <v>109</v>
      </c>
      <c r="D3308" s="62" t="s">
        <v>750</v>
      </c>
      <c r="E3308" s="76">
        <v>44006.0</v>
      </c>
      <c r="F3308" s="77">
        <v>0.041666666666666664</v>
      </c>
      <c r="G3308" s="62" t="b">
        <v>0</v>
      </c>
      <c r="H3308" s="78" t="b">
        <f>IF(VLOOKUP(C3308,Projetos!A:L,12,false)=TRUE,TRUE,FALSE)</f>
        <v>0</v>
      </c>
      <c r="I3308" s="68">
        <v>83.8951582070707</v>
      </c>
      <c r="J3308" s="68">
        <f t="shared" si="1"/>
        <v>0</v>
      </c>
      <c r="K3308" s="68" t="b">
        <v>0</v>
      </c>
    </row>
    <row r="3309">
      <c r="A3309" s="75">
        <v>3303.0</v>
      </c>
      <c r="B3309" s="62" t="s">
        <v>2090</v>
      </c>
      <c r="C3309" s="62" t="s">
        <v>104</v>
      </c>
      <c r="D3309" s="62" t="s">
        <v>750</v>
      </c>
      <c r="E3309" s="76">
        <v>44007.0</v>
      </c>
      <c r="F3309" s="77">
        <v>0.16666666666666666</v>
      </c>
      <c r="G3309" s="62" t="b">
        <v>1</v>
      </c>
      <c r="H3309" s="78" t="b">
        <f>IF(VLOOKUP(C3309,Projetos!A:L,12,false)=TRUE,TRUE,FALSE)</f>
        <v>1</v>
      </c>
      <c r="I3309" s="68">
        <v>83.8951582070707</v>
      </c>
      <c r="J3309" s="68">
        <f t="shared" si="1"/>
        <v>335.5806328</v>
      </c>
      <c r="K3309" s="68" t="b">
        <v>1</v>
      </c>
    </row>
    <row r="3310">
      <c r="A3310" s="75">
        <v>3304.0</v>
      </c>
      <c r="B3310" s="62" t="s">
        <v>2090</v>
      </c>
      <c r="C3310" s="62" t="s">
        <v>104</v>
      </c>
      <c r="D3310" s="62" t="s">
        <v>750</v>
      </c>
      <c r="E3310" s="76">
        <v>44008.0</v>
      </c>
      <c r="F3310" s="77">
        <v>0.16666666666666666</v>
      </c>
      <c r="G3310" s="62" t="b">
        <v>1</v>
      </c>
      <c r="H3310" s="78" t="b">
        <f>IF(VLOOKUP(C3310,Projetos!A:L,12,false)=TRUE,TRUE,FALSE)</f>
        <v>1</v>
      </c>
      <c r="I3310" s="68">
        <v>83.8951582070707</v>
      </c>
      <c r="J3310" s="68">
        <f t="shared" si="1"/>
        <v>335.5806328</v>
      </c>
      <c r="K3310" s="68" t="b">
        <v>1</v>
      </c>
    </row>
    <row r="3311">
      <c r="A3311" s="75">
        <v>3305.0</v>
      </c>
      <c r="B3311" s="62" t="s">
        <v>2090</v>
      </c>
      <c r="C3311" s="62" t="s">
        <v>104</v>
      </c>
      <c r="D3311" s="62" t="s">
        <v>749</v>
      </c>
      <c r="E3311" s="76">
        <v>44011.0</v>
      </c>
      <c r="F3311" s="77">
        <v>0.20833333333333334</v>
      </c>
      <c r="G3311" s="62" t="b">
        <v>1</v>
      </c>
      <c r="H3311" s="78" t="b">
        <f>IF(VLOOKUP(C3311,Projetos!A:L,12,false)=TRUE,TRUE,FALSE)</f>
        <v>1</v>
      </c>
      <c r="I3311" s="68">
        <v>83.8951582070707</v>
      </c>
      <c r="J3311" s="68">
        <f t="shared" si="1"/>
        <v>419.475791</v>
      </c>
      <c r="K3311" s="68" t="b">
        <v>1</v>
      </c>
    </row>
    <row r="3312">
      <c r="A3312" s="75">
        <v>3306.0</v>
      </c>
      <c r="B3312" s="62" t="s">
        <v>2090</v>
      </c>
      <c r="C3312" s="62" t="s">
        <v>104</v>
      </c>
      <c r="D3312" s="62" t="s">
        <v>749</v>
      </c>
      <c r="E3312" s="76">
        <v>44011.0</v>
      </c>
      <c r="F3312" s="77">
        <v>0.125</v>
      </c>
      <c r="G3312" s="62" t="b">
        <v>1</v>
      </c>
      <c r="H3312" s="78" t="b">
        <f>IF(VLOOKUP(C3312,Projetos!A:L,12,false)=TRUE,TRUE,FALSE)</f>
        <v>1</v>
      </c>
      <c r="I3312" s="68">
        <v>83.8951582070707</v>
      </c>
      <c r="J3312" s="68">
        <f t="shared" si="1"/>
        <v>251.6854746</v>
      </c>
      <c r="K3312" s="68" t="b">
        <v>1</v>
      </c>
    </row>
    <row r="3313">
      <c r="A3313" s="75">
        <v>3307.0</v>
      </c>
      <c r="B3313" s="62" t="s">
        <v>2090</v>
      </c>
      <c r="C3313" s="62" t="s">
        <v>104</v>
      </c>
      <c r="D3313" s="62" t="s">
        <v>749</v>
      </c>
      <c r="E3313" s="76">
        <v>44012.0</v>
      </c>
      <c r="F3313" s="77">
        <v>0.3645833333333333</v>
      </c>
      <c r="G3313" s="62" t="b">
        <v>1</v>
      </c>
      <c r="H3313" s="78" t="b">
        <f>IF(VLOOKUP(C3313,Projetos!A:L,12,false)=TRUE,TRUE,FALSE)</f>
        <v>1</v>
      </c>
      <c r="I3313" s="68">
        <v>83.8951582070707</v>
      </c>
      <c r="J3313" s="68">
        <f t="shared" si="1"/>
        <v>734.0826343</v>
      </c>
      <c r="K3313" s="68" t="b">
        <v>1</v>
      </c>
    </row>
    <row r="3314">
      <c r="A3314" s="75">
        <v>3308.0</v>
      </c>
      <c r="B3314" s="62" t="s">
        <v>2090</v>
      </c>
      <c r="C3314" s="62" t="s">
        <v>104</v>
      </c>
      <c r="D3314" s="62" t="s">
        <v>1280</v>
      </c>
      <c r="E3314" s="76">
        <v>43983.0</v>
      </c>
      <c r="F3314" s="77">
        <v>0.041666666666666664</v>
      </c>
      <c r="G3314" s="62" t="b">
        <v>1</v>
      </c>
      <c r="H3314" s="78" t="b">
        <f>IF(VLOOKUP(C3314,Projetos!A:L,12,false)=TRUE,TRUE,FALSE)</f>
        <v>1</v>
      </c>
      <c r="I3314" s="68">
        <v>83.8951582070707</v>
      </c>
      <c r="J3314" s="68">
        <f t="shared" si="1"/>
        <v>83.89515821</v>
      </c>
      <c r="K3314" s="68" t="b">
        <v>1</v>
      </c>
    </row>
    <row r="3315">
      <c r="A3315" s="75">
        <v>3309.0</v>
      </c>
      <c r="B3315" s="62" t="s">
        <v>2090</v>
      </c>
      <c r="C3315" s="62" t="s">
        <v>101</v>
      </c>
      <c r="D3315" s="62" t="s">
        <v>1281</v>
      </c>
      <c r="E3315" s="76">
        <v>43983.0</v>
      </c>
      <c r="F3315" s="77">
        <v>0.0625</v>
      </c>
      <c r="G3315" s="62" t="b">
        <v>1</v>
      </c>
      <c r="H3315" s="78" t="b">
        <f>IF(VLOOKUP(C3315,Projetos!A:L,12,false)=TRUE,TRUE,FALSE)</f>
        <v>1</v>
      </c>
      <c r="I3315" s="68">
        <v>83.8951582070707</v>
      </c>
      <c r="J3315" s="68">
        <f t="shared" si="1"/>
        <v>125.8427373</v>
      </c>
      <c r="K3315" s="68" t="b">
        <v>1</v>
      </c>
    </row>
    <row r="3316">
      <c r="A3316" s="75">
        <v>3310.0</v>
      </c>
      <c r="B3316" s="62" t="s">
        <v>2090</v>
      </c>
      <c r="C3316" s="62" t="s">
        <v>104</v>
      </c>
      <c r="D3316" s="62" t="s">
        <v>1280</v>
      </c>
      <c r="E3316" s="76">
        <v>43985.0</v>
      </c>
      <c r="F3316" s="77">
        <v>0.041666666666666664</v>
      </c>
      <c r="G3316" s="62" t="b">
        <v>1</v>
      </c>
      <c r="H3316" s="78" t="b">
        <f>IF(VLOOKUP(C3316,Projetos!A:L,12,false)=TRUE,TRUE,FALSE)</f>
        <v>1</v>
      </c>
      <c r="I3316" s="68">
        <v>83.8951582070707</v>
      </c>
      <c r="J3316" s="68">
        <f t="shared" si="1"/>
        <v>83.89515821</v>
      </c>
      <c r="K3316" s="68" t="b">
        <v>1</v>
      </c>
    </row>
    <row r="3317">
      <c r="A3317" s="75">
        <v>3311.0</v>
      </c>
      <c r="B3317" s="62" t="s">
        <v>2090</v>
      </c>
      <c r="C3317" s="62" t="s">
        <v>101</v>
      </c>
      <c r="D3317" s="62" t="s">
        <v>1281</v>
      </c>
      <c r="E3317" s="76">
        <v>43986.0</v>
      </c>
      <c r="F3317" s="77">
        <v>0.041666666666666664</v>
      </c>
      <c r="G3317" s="62" t="b">
        <v>1</v>
      </c>
      <c r="H3317" s="78" t="b">
        <f>IF(VLOOKUP(C3317,Projetos!A:L,12,false)=TRUE,TRUE,FALSE)</f>
        <v>1</v>
      </c>
      <c r="I3317" s="68">
        <v>83.8951582070707</v>
      </c>
      <c r="J3317" s="68">
        <f t="shared" si="1"/>
        <v>83.89515821</v>
      </c>
      <c r="K3317" s="68" t="b">
        <v>1</v>
      </c>
    </row>
    <row r="3318">
      <c r="A3318" s="75">
        <v>3312.0</v>
      </c>
      <c r="B3318" s="62" t="s">
        <v>2090</v>
      </c>
      <c r="C3318" s="62" t="s">
        <v>101</v>
      </c>
      <c r="D3318" s="62" t="s">
        <v>1281</v>
      </c>
      <c r="E3318" s="76">
        <v>43990.0</v>
      </c>
      <c r="F3318" s="77">
        <v>0.08333333333333333</v>
      </c>
      <c r="G3318" s="62" t="b">
        <v>1</v>
      </c>
      <c r="H3318" s="78" t="b">
        <f>IF(VLOOKUP(C3318,Projetos!A:L,12,false)=TRUE,TRUE,FALSE)</f>
        <v>1</v>
      </c>
      <c r="I3318" s="68">
        <v>83.8951582070707</v>
      </c>
      <c r="J3318" s="68">
        <f t="shared" si="1"/>
        <v>167.7903164</v>
      </c>
      <c r="K3318" s="68" t="b">
        <v>1</v>
      </c>
    </row>
    <row r="3319">
      <c r="A3319" s="75">
        <v>3313.0</v>
      </c>
      <c r="B3319" s="62" t="s">
        <v>2090</v>
      </c>
      <c r="C3319" s="62" t="s">
        <v>84</v>
      </c>
      <c r="D3319" s="62" t="s">
        <v>1282</v>
      </c>
      <c r="E3319" s="76">
        <v>43990.0</v>
      </c>
      <c r="F3319" s="77">
        <v>0.08333333333333333</v>
      </c>
      <c r="G3319" s="62" t="b">
        <v>1</v>
      </c>
      <c r="H3319" s="78" t="b">
        <f>IF(VLOOKUP(C3319,Projetos!A:L,12,false)=TRUE,TRUE,FALSE)</f>
        <v>1</v>
      </c>
      <c r="I3319" s="68">
        <v>83.8951582070707</v>
      </c>
      <c r="J3319" s="68">
        <f t="shared" si="1"/>
        <v>167.7903164</v>
      </c>
      <c r="K3319" s="68" t="b">
        <v>1</v>
      </c>
    </row>
    <row r="3320">
      <c r="A3320" s="75">
        <v>3314.0</v>
      </c>
      <c r="B3320" s="62" t="s">
        <v>2090</v>
      </c>
      <c r="C3320" s="62" t="s">
        <v>101</v>
      </c>
      <c r="D3320" s="62" t="s">
        <v>1281</v>
      </c>
      <c r="E3320" s="76">
        <v>43991.0</v>
      </c>
      <c r="F3320" s="77">
        <v>0.16666666666666666</v>
      </c>
      <c r="G3320" s="62" t="b">
        <v>1</v>
      </c>
      <c r="H3320" s="78" t="b">
        <f>IF(VLOOKUP(C3320,Projetos!A:L,12,false)=TRUE,TRUE,FALSE)</f>
        <v>1</v>
      </c>
      <c r="I3320" s="68">
        <v>83.8951582070707</v>
      </c>
      <c r="J3320" s="68">
        <f t="shared" si="1"/>
        <v>335.5806328</v>
      </c>
      <c r="K3320" s="68" t="b">
        <v>1</v>
      </c>
    </row>
    <row r="3321">
      <c r="A3321" s="75">
        <v>3315.0</v>
      </c>
      <c r="B3321" s="62" t="s">
        <v>2090</v>
      </c>
      <c r="C3321" s="62" t="s">
        <v>84</v>
      </c>
      <c r="D3321" s="62" t="s">
        <v>1283</v>
      </c>
      <c r="E3321" s="76">
        <v>43992.0</v>
      </c>
      <c r="F3321" s="77">
        <v>0.041666666666666664</v>
      </c>
      <c r="G3321" s="62" t="b">
        <v>1</v>
      </c>
      <c r="H3321" s="78" t="b">
        <f>IF(VLOOKUP(C3321,Projetos!A:L,12,false)=TRUE,TRUE,FALSE)</f>
        <v>1</v>
      </c>
      <c r="I3321" s="68">
        <v>83.8951582070707</v>
      </c>
      <c r="J3321" s="68">
        <f t="shared" si="1"/>
        <v>83.89515821</v>
      </c>
      <c r="K3321" s="68" t="b">
        <v>1</v>
      </c>
    </row>
    <row r="3322">
      <c r="A3322" s="75">
        <v>3316.0</v>
      </c>
      <c r="B3322" s="62" t="s">
        <v>2090</v>
      </c>
      <c r="C3322" s="62" t="s">
        <v>101</v>
      </c>
      <c r="D3322" s="62" t="s">
        <v>1281</v>
      </c>
      <c r="E3322" s="76">
        <v>43994.0</v>
      </c>
      <c r="F3322" s="77">
        <v>0.020833333333333332</v>
      </c>
      <c r="G3322" s="62" t="b">
        <v>1</v>
      </c>
      <c r="H3322" s="78" t="b">
        <f>IF(VLOOKUP(C3322,Projetos!A:L,12,false)=TRUE,TRUE,FALSE)</f>
        <v>1</v>
      </c>
      <c r="I3322" s="68">
        <v>83.8951582070707</v>
      </c>
      <c r="J3322" s="68">
        <f t="shared" si="1"/>
        <v>41.9475791</v>
      </c>
      <c r="K3322" s="68" t="b">
        <v>1</v>
      </c>
    </row>
    <row r="3323">
      <c r="A3323" s="75">
        <v>3317.0</v>
      </c>
      <c r="B3323" s="62" t="s">
        <v>2090</v>
      </c>
      <c r="C3323" s="62" t="s">
        <v>103</v>
      </c>
      <c r="D3323" s="62" t="s">
        <v>1284</v>
      </c>
      <c r="E3323" s="76">
        <v>43994.0</v>
      </c>
      <c r="F3323" s="77">
        <v>0.08333333333333333</v>
      </c>
      <c r="G3323" s="62" t="b">
        <v>1</v>
      </c>
      <c r="H3323" s="78" t="b">
        <f>IF(VLOOKUP(C3323,Projetos!A:L,12,false)=TRUE,TRUE,FALSE)</f>
        <v>1</v>
      </c>
      <c r="I3323" s="68">
        <v>83.8951582070707</v>
      </c>
      <c r="J3323" s="68">
        <f t="shared" si="1"/>
        <v>167.7903164</v>
      </c>
      <c r="K3323" s="68" t="b">
        <v>1</v>
      </c>
    </row>
    <row r="3324">
      <c r="A3324" s="75">
        <v>3318.0</v>
      </c>
      <c r="B3324" s="62" t="s">
        <v>2090</v>
      </c>
      <c r="C3324" s="62" t="s">
        <v>104</v>
      </c>
      <c r="D3324" s="62" t="s">
        <v>1280</v>
      </c>
      <c r="E3324" s="76">
        <v>43997.0</v>
      </c>
      <c r="F3324" s="77">
        <v>0.08333333333333333</v>
      </c>
      <c r="G3324" s="62" t="b">
        <v>1</v>
      </c>
      <c r="H3324" s="78" t="b">
        <f>IF(VLOOKUP(C3324,Projetos!A:L,12,false)=TRUE,TRUE,FALSE)</f>
        <v>1</v>
      </c>
      <c r="I3324" s="68">
        <v>83.8951582070707</v>
      </c>
      <c r="J3324" s="68">
        <f t="shared" si="1"/>
        <v>167.7903164</v>
      </c>
      <c r="K3324" s="68" t="b">
        <v>1</v>
      </c>
    </row>
    <row r="3325">
      <c r="A3325" s="75">
        <v>3319.0</v>
      </c>
      <c r="B3325" s="62" t="s">
        <v>2090</v>
      </c>
      <c r="C3325" s="62" t="s">
        <v>84</v>
      </c>
      <c r="D3325" s="62" t="s">
        <v>1285</v>
      </c>
      <c r="E3325" s="76">
        <v>43998.0</v>
      </c>
      <c r="F3325" s="77">
        <v>0.041666666666666664</v>
      </c>
      <c r="G3325" s="62" t="b">
        <v>1</v>
      </c>
      <c r="H3325" s="78" t="b">
        <f>IF(VLOOKUP(C3325,Projetos!A:L,12,false)=TRUE,TRUE,FALSE)</f>
        <v>1</v>
      </c>
      <c r="I3325" s="68">
        <v>83.8951582070707</v>
      </c>
      <c r="J3325" s="68">
        <f t="shared" si="1"/>
        <v>83.89515821</v>
      </c>
      <c r="K3325" s="68" t="b">
        <v>1</v>
      </c>
    </row>
    <row r="3326">
      <c r="A3326" s="75">
        <v>3320.0</v>
      </c>
      <c r="B3326" s="62" t="s">
        <v>2090</v>
      </c>
      <c r="C3326" s="62" t="s">
        <v>104</v>
      </c>
      <c r="D3326" s="62" t="s">
        <v>1286</v>
      </c>
      <c r="E3326" s="76">
        <v>43999.0</v>
      </c>
      <c r="F3326" s="77">
        <v>0.08333333333333333</v>
      </c>
      <c r="G3326" s="62" t="b">
        <v>1</v>
      </c>
      <c r="H3326" s="78" t="b">
        <f>IF(VLOOKUP(C3326,Projetos!A:L,12,false)=TRUE,TRUE,FALSE)</f>
        <v>1</v>
      </c>
      <c r="I3326" s="68">
        <v>83.8951582070707</v>
      </c>
      <c r="J3326" s="68">
        <f t="shared" si="1"/>
        <v>167.7903164</v>
      </c>
      <c r="K3326" s="68" t="b">
        <v>1</v>
      </c>
    </row>
    <row r="3327">
      <c r="A3327" s="75">
        <v>3321.0</v>
      </c>
      <c r="B3327" s="62" t="s">
        <v>2090</v>
      </c>
      <c r="C3327" s="62" t="s">
        <v>104</v>
      </c>
      <c r="D3327" s="62" t="s">
        <v>1286</v>
      </c>
      <c r="E3327" s="76">
        <v>43999.0</v>
      </c>
      <c r="F3327" s="77">
        <v>0.1875</v>
      </c>
      <c r="G3327" s="62" t="b">
        <v>1</v>
      </c>
      <c r="H3327" s="78" t="b">
        <f>IF(VLOOKUP(C3327,Projetos!A:L,12,false)=TRUE,TRUE,FALSE)</f>
        <v>1</v>
      </c>
      <c r="I3327" s="68">
        <v>83.8951582070707</v>
      </c>
      <c r="J3327" s="68">
        <f t="shared" si="1"/>
        <v>377.5282119</v>
      </c>
      <c r="K3327" s="68" t="b">
        <v>1</v>
      </c>
    </row>
    <row r="3328">
      <c r="A3328" s="75">
        <v>3322.0</v>
      </c>
      <c r="B3328" s="62" t="s">
        <v>2090</v>
      </c>
      <c r="C3328" s="62" t="s">
        <v>84</v>
      </c>
      <c r="D3328" s="62" t="s">
        <v>1285</v>
      </c>
      <c r="E3328" s="76">
        <v>44000.0</v>
      </c>
      <c r="F3328" s="77">
        <v>0.041666666666666664</v>
      </c>
      <c r="G3328" s="62" t="b">
        <v>1</v>
      </c>
      <c r="H3328" s="78" t="b">
        <f>IF(VLOOKUP(C3328,Projetos!A:L,12,false)=TRUE,TRUE,FALSE)</f>
        <v>1</v>
      </c>
      <c r="I3328" s="68">
        <v>83.8951582070707</v>
      </c>
      <c r="J3328" s="68">
        <f t="shared" si="1"/>
        <v>83.89515821</v>
      </c>
      <c r="K3328" s="68" t="b">
        <v>1</v>
      </c>
    </row>
    <row r="3329">
      <c r="A3329" s="75">
        <v>3323.0</v>
      </c>
      <c r="B3329" s="62" t="s">
        <v>2090</v>
      </c>
      <c r="C3329" s="62" t="s">
        <v>84</v>
      </c>
      <c r="D3329" s="62" t="s">
        <v>1285</v>
      </c>
      <c r="E3329" s="76">
        <v>44008.0</v>
      </c>
      <c r="F3329" s="77">
        <v>0.08333333333333333</v>
      </c>
      <c r="G3329" s="62" t="b">
        <v>1</v>
      </c>
      <c r="H3329" s="78" t="b">
        <f>IF(VLOOKUP(C3329,Projetos!A:L,12,false)=TRUE,TRUE,FALSE)</f>
        <v>1</v>
      </c>
      <c r="I3329" s="68">
        <v>83.8951582070707</v>
      </c>
      <c r="J3329" s="68">
        <f t="shared" si="1"/>
        <v>167.7903164</v>
      </c>
      <c r="K3329" s="68" t="b">
        <v>1</v>
      </c>
    </row>
    <row r="3330">
      <c r="A3330" s="75">
        <v>3324.0</v>
      </c>
      <c r="B3330" s="62" t="s">
        <v>2090</v>
      </c>
      <c r="C3330" s="62" t="s">
        <v>84</v>
      </c>
      <c r="D3330" s="62" t="s">
        <v>1285</v>
      </c>
      <c r="E3330" s="76">
        <v>44012.0</v>
      </c>
      <c r="F3330" s="77">
        <v>0.041666666666666664</v>
      </c>
      <c r="G3330" s="62" t="b">
        <v>1</v>
      </c>
      <c r="H3330" s="78" t="b">
        <f>IF(VLOOKUP(C3330,Projetos!A:L,12,false)=TRUE,TRUE,FALSE)</f>
        <v>1</v>
      </c>
      <c r="I3330" s="68">
        <v>83.8951582070707</v>
      </c>
      <c r="J3330" s="68">
        <f t="shared" si="1"/>
        <v>83.89515821</v>
      </c>
      <c r="K3330" s="68" t="b">
        <v>1</v>
      </c>
    </row>
    <row r="3331">
      <c r="A3331" s="75">
        <v>3325.0</v>
      </c>
      <c r="B3331" s="62" t="s">
        <v>2090</v>
      </c>
      <c r="C3331" s="62" t="s">
        <v>104</v>
      </c>
      <c r="D3331" s="62" t="s">
        <v>749</v>
      </c>
      <c r="E3331" s="76">
        <v>43983.0</v>
      </c>
      <c r="F3331" s="77">
        <v>0.14583333333333334</v>
      </c>
      <c r="G3331" s="62" t="b">
        <v>1</v>
      </c>
      <c r="H3331" s="78" t="b">
        <f>IF(VLOOKUP(C3331,Projetos!A:L,12,false)=TRUE,TRUE,FALSE)</f>
        <v>1</v>
      </c>
      <c r="I3331" s="68">
        <v>83.8951582070707</v>
      </c>
      <c r="J3331" s="68">
        <f t="shared" si="1"/>
        <v>293.6330537</v>
      </c>
      <c r="K3331" s="68" t="b">
        <v>1</v>
      </c>
    </row>
    <row r="3332">
      <c r="A3332" s="75">
        <v>3326.0</v>
      </c>
      <c r="B3332" s="62" t="s">
        <v>2090</v>
      </c>
      <c r="C3332" s="62" t="s">
        <v>110</v>
      </c>
      <c r="D3332" s="62" t="s">
        <v>745</v>
      </c>
      <c r="E3332" s="76">
        <v>43984.0</v>
      </c>
      <c r="F3332" s="77">
        <v>0.041666666666666664</v>
      </c>
      <c r="G3332" s="62" t="b">
        <v>1</v>
      </c>
      <c r="H3332" s="78" t="b">
        <f>IF(VLOOKUP(C3332,Projetos!A:L,12,false)=TRUE,TRUE,FALSE)</f>
        <v>1</v>
      </c>
      <c r="I3332" s="68">
        <v>83.8951582070707</v>
      </c>
      <c r="J3332" s="68">
        <f t="shared" si="1"/>
        <v>83.89515821</v>
      </c>
      <c r="K3332" s="68" t="b">
        <v>1</v>
      </c>
    </row>
    <row r="3333">
      <c r="A3333" s="75">
        <v>3327.0</v>
      </c>
      <c r="B3333" s="62" t="s">
        <v>2090</v>
      </c>
      <c r="C3333" s="62" t="s">
        <v>104</v>
      </c>
      <c r="D3333" s="62" t="s">
        <v>749</v>
      </c>
      <c r="E3333" s="76">
        <v>43984.0</v>
      </c>
      <c r="F3333" s="77">
        <v>0.14583333333333334</v>
      </c>
      <c r="G3333" s="62" t="b">
        <v>1</v>
      </c>
      <c r="H3333" s="78" t="b">
        <f>IF(VLOOKUP(C3333,Projetos!A:L,12,false)=TRUE,TRUE,FALSE)</f>
        <v>1</v>
      </c>
      <c r="I3333" s="68">
        <v>83.8951582070707</v>
      </c>
      <c r="J3333" s="68">
        <f t="shared" si="1"/>
        <v>293.6330537</v>
      </c>
      <c r="K3333" s="68" t="b">
        <v>1</v>
      </c>
    </row>
    <row r="3334">
      <c r="A3334" s="75">
        <v>3328.0</v>
      </c>
      <c r="B3334" s="62" t="s">
        <v>2090</v>
      </c>
      <c r="C3334" s="62" t="s">
        <v>104</v>
      </c>
      <c r="D3334" s="62" t="s">
        <v>745</v>
      </c>
      <c r="E3334" s="76">
        <v>43985.0</v>
      </c>
      <c r="F3334" s="77">
        <v>0.20833333333333334</v>
      </c>
      <c r="G3334" s="62" t="b">
        <v>1</v>
      </c>
      <c r="H3334" s="78" t="b">
        <f>IF(VLOOKUP(C3334,Projetos!A:L,12,false)=TRUE,TRUE,FALSE)</f>
        <v>1</v>
      </c>
      <c r="I3334" s="68">
        <v>83.8951582070707</v>
      </c>
      <c r="J3334" s="68">
        <f t="shared" si="1"/>
        <v>419.475791</v>
      </c>
      <c r="K3334" s="68" t="b">
        <v>1</v>
      </c>
    </row>
    <row r="3335">
      <c r="A3335" s="75">
        <v>3329.0</v>
      </c>
      <c r="B3335" s="62" t="s">
        <v>2090</v>
      </c>
      <c r="C3335" s="62" t="s">
        <v>104</v>
      </c>
      <c r="D3335" s="62" t="s">
        <v>745</v>
      </c>
      <c r="E3335" s="76">
        <v>43986.0</v>
      </c>
      <c r="F3335" s="77">
        <v>0.20833333333333334</v>
      </c>
      <c r="G3335" s="62" t="b">
        <v>1</v>
      </c>
      <c r="H3335" s="78" t="b">
        <f>IF(VLOOKUP(C3335,Projetos!A:L,12,false)=TRUE,TRUE,FALSE)</f>
        <v>1</v>
      </c>
      <c r="I3335" s="68">
        <v>83.8951582070707</v>
      </c>
      <c r="J3335" s="68">
        <f t="shared" si="1"/>
        <v>419.475791</v>
      </c>
      <c r="K3335" s="68" t="b">
        <v>1</v>
      </c>
    </row>
    <row r="3336">
      <c r="A3336" s="75">
        <v>3330.0</v>
      </c>
      <c r="B3336" s="62" t="s">
        <v>2090</v>
      </c>
      <c r="C3336" s="62" t="s">
        <v>110</v>
      </c>
      <c r="D3336" s="62" t="s">
        <v>745</v>
      </c>
      <c r="E3336" s="76">
        <v>43987.0</v>
      </c>
      <c r="F3336" s="77">
        <v>0.041666666666666664</v>
      </c>
      <c r="G3336" s="62" t="b">
        <v>1</v>
      </c>
      <c r="H3336" s="78" t="b">
        <f>IF(VLOOKUP(C3336,Projetos!A:L,12,false)=TRUE,TRUE,FALSE)</f>
        <v>1</v>
      </c>
      <c r="I3336" s="68">
        <v>83.8951582070707</v>
      </c>
      <c r="J3336" s="68">
        <f t="shared" si="1"/>
        <v>83.89515821</v>
      </c>
      <c r="K3336" s="68" t="b">
        <v>1</v>
      </c>
    </row>
    <row r="3337">
      <c r="A3337" s="75">
        <v>3331.0</v>
      </c>
      <c r="B3337" s="62" t="s">
        <v>2090</v>
      </c>
      <c r="C3337" s="62" t="s">
        <v>104</v>
      </c>
      <c r="D3337" s="62" t="s">
        <v>749</v>
      </c>
      <c r="E3337" s="76">
        <v>43987.0</v>
      </c>
      <c r="F3337" s="77">
        <v>0.20833333333333334</v>
      </c>
      <c r="G3337" s="62" t="b">
        <v>1</v>
      </c>
      <c r="H3337" s="78" t="b">
        <f>IF(VLOOKUP(C3337,Projetos!A:L,12,false)=TRUE,TRUE,FALSE)</f>
        <v>1</v>
      </c>
      <c r="I3337" s="68">
        <v>83.8951582070707</v>
      </c>
      <c r="J3337" s="68">
        <f t="shared" si="1"/>
        <v>419.475791</v>
      </c>
      <c r="K3337" s="68" t="b">
        <v>1</v>
      </c>
    </row>
    <row r="3338">
      <c r="A3338" s="75">
        <v>3332.0</v>
      </c>
      <c r="B3338" s="62" t="s">
        <v>2090</v>
      </c>
      <c r="C3338" s="62" t="s">
        <v>104</v>
      </c>
      <c r="D3338" s="62" t="s">
        <v>749</v>
      </c>
      <c r="E3338" s="76">
        <v>43990.0</v>
      </c>
      <c r="F3338" s="77">
        <v>0.20833333333333334</v>
      </c>
      <c r="G3338" s="62" t="b">
        <v>1</v>
      </c>
      <c r="H3338" s="78" t="b">
        <f>IF(VLOOKUP(C3338,Projetos!A:L,12,false)=TRUE,TRUE,FALSE)</f>
        <v>1</v>
      </c>
      <c r="I3338" s="68">
        <v>83.8951582070707</v>
      </c>
      <c r="J3338" s="68">
        <f t="shared" si="1"/>
        <v>419.475791</v>
      </c>
      <c r="K3338" s="68" t="b">
        <v>1</v>
      </c>
    </row>
    <row r="3339">
      <c r="A3339" s="75">
        <v>3333.0</v>
      </c>
      <c r="B3339" s="62" t="s">
        <v>2090</v>
      </c>
      <c r="C3339" s="62" t="s">
        <v>104</v>
      </c>
      <c r="D3339" s="62" t="s">
        <v>749</v>
      </c>
      <c r="E3339" s="76">
        <v>43991.0</v>
      </c>
      <c r="F3339" s="77">
        <v>0.20833333333333334</v>
      </c>
      <c r="G3339" s="62" t="b">
        <v>1</v>
      </c>
      <c r="H3339" s="78" t="b">
        <f>IF(VLOOKUP(C3339,Projetos!A:L,12,false)=TRUE,TRUE,FALSE)</f>
        <v>1</v>
      </c>
      <c r="I3339" s="68">
        <v>83.8951582070707</v>
      </c>
      <c r="J3339" s="68">
        <f t="shared" si="1"/>
        <v>419.475791</v>
      </c>
      <c r="K3339" s="68" t="b">
        <v>1</v>
      </c>
    </row>
    <row r="3340">
      <c r="A3340" s="75">
        <v>3334.0</v>
      </c>
      <c r="B3340" s="62" t="s">
        <v>2090</v>
      </c>
      <c r="C3340" s="62" t="s">
        <v>110</v>
      </c>
      <c r="D3340" s="62" t="s">
        <v>745</v>
      </c>
      <c r="E3340" s="76">
        <v>43992.0</v>
      </c>
      <c r="F3340" s="77">
        <v>0.041666666666666664</v>
      </c>
      <c r="G3340" s="62" t="b">
        <v>1</v>
      </c>
      <c r="H3340" s="78" t="b">
        <f>IF(VLOOKUP(C3340,Projetos!A:L,12,false)=TRUE,TRUE,FALSE)</f>
        <v>1</v>
      </c>
      <c r="I3340" s="68">
        <v>83.8951582070707</v>
      </c>
      <c r="J3340" s="68">
        <f t="shared" si="1"/>
        <v>83.89515821</v>
      </c>
      <c r="K3340" s="68" t="b">
        <v>1</v>
      </c>
    </row>
    <row r="3341">
      <c r="A3341" s="75">
        <v>3335.0</v>
      </c>
      <c r="B3341" s="62" t="s">
        <v>2090</v>
      </c>
      <c r="C3341" s="62" t="s">
        <v>104</v>
      </c>
      <c r="D3341" s="62" t="s">
        <v>749</v>
      </c>
      <c r="E3341" s="76">
        <v>43992.0</v>
      </c>
      <c r="F3341" s="77">
        <v>0.0625</v>
      </c>
      <c r="G3341" s="62" t="b">
        <v>1</v>
      </c>
      <c r="H3341" s="78" t="b">
        <f>IF(VLOOKUP(C3341,Projetos!A:L,12,false)=TRUE,TRUE,FALSE)</f>
        <v>1</v>
      </c>
      <c r="I3341" s="68">
        <v>83.8951582070707</v>
      </c>
      <c r="J3341" s="68">
        <f t="shared" si="1"/>
        <v>125.8427373</v>
      </c>
      <c r="K3341" s="68" t="b">
        <v>1</v>
      </c>
    </row>
    <row r="3342">
      <c r="A3342" s="75">
        <v>3336.0</v>
      </c>
      <c r="B3342" s="62" t="s">
        <v>2090</v>
      </c>
      <c r="C3342" s="62" t="s">
        <v>104</v>
      </c>
      <c r="D3342" s="62" t="s">
        <v>749</v>
      </c>
      <c r="E3342" s="76">
        <v>43994.0</v>
      </c>
      <c r="F3342" s="77">
        <v>0.25</v>
      </c>
      <c r="G3342" s="62" t="b">
        <v>1</v>
      </c>
      <c r="H3342" s="78" t="b">
        <f>IF(VLOOKUP(C3342,Projetos!A:L,12,false)=TRUE,TRUE,FALSE)</f>
        <v>1</v>
      </c>
      <c r="I3342" s="68">
        <v>83.8951582070707</v>
      </c>
      <c r="J3342" s="68">
        <f t="shared" si="1"/>
        <v>503.3709492</v>
      </c>
      <c r="K3342" s="68" t="b">
        <v>1</v>
      </c>
    </row>
    <row r="3343">
      <c r="A3343" s="75">
        <v>3337.0</v>
      </c>
      <c r="B3343" s="62" t="s">
        <v>2090</v>
      </c>
      <c r="C3343" s="62" t="s">
        <v>115</v>
      </c>
      <c r="D3343" s="62" t="s">
        <v>750</v>
      </c>
      <c r="E3343" s="76">
        <v>43998.0</v>
      </c>
      <c r="F3343" s="77">
        <v>0.041666666666666664</v>
      </c>
      <c r="G3343" s="62" t="b">
        <v>1</v>
      </c>
      <c r="H3343" s="78" t="b">
        <f>IF(VLOOKUP(C3343,Projetos!A:L,12,false)=TRUE,TRUE,FALSE)</f>
        <v>1</v>
      </c>
      <c r="I3343" s="68">
        <v>83.8951582070707</v>
      </c>
      <c r="J3343" s="68">
        <f t="shared" si="1"/>
        <v>83.89515821</v>
      </c>
      <c r="K3343" s="68" t="b">
        <v>1</v>
      </c>
    </row>
    <row r="3344">
      <c r="A3344" s="75">
        <v>3338.0</v>
      </c>
      <c r="B3344" s="62" t="s">
        <v>2090</v>
      </c>
      <c r="C3344" s="62" t="s">
        <v>115</v>
      </c>
      <c r="D3344" s="62" t="s">
        <v>750</v>
      </c>
      <c r="E3344" s="76">
        <v>44000.0</v>
      </c>
      <c r="F3344" s="77">
        <v>0.0625</v>
      </c>
      <c r="G3344" s="62" t="b">
        <v>1</v>
      </c>
      <c r="H3344" s="78" t="b">
        <f>IF(VLOOKUP(C3344,Projetos!A:L,12,false)=TRUE,TRUE,FALSE)</f>
        <v>1</v>
      </c>
      <c r="I3344" s="68">
        <v>83.8951582070707</v>
      </c>
      <c r="J3344" s="68">
        <f t="shared" si="1"/>
        <v>125.8427373</v>
      </c>
      <c r="K3344" s="68" t="b">
        <v>1</v>
      </c>
    </row>
    <row r="3345">
      <c r="A3345" s="75">
        <v>3339.0</v>
      </c>
      <c r="B3345" s="62" t="s">
        <v>2090</v>
      </c>
      <c r="C3345" s="62" t="s">
        <v>110</v>
      </c>
      <c r="D3345" s="62" t="s">
        <v>745</v>
      </c>
      <c r="E3345" s="76">
        <v>44000.0</v>
      </c>
      <c r="F3345" s="77">
        <v>0.08333333333333333</v>
      </c>
      <c r="G3345" s="62" t="b">
        <v>1</v>
      </c>
      <c r="H3345" s="78" t="b">
        <f>IF(VLOOKUP(C3345,Projetos!A:L,12,false)=TRUE,TRUE,FALSE)</f>
        <v>1</v>
      </c>
      <c r="I3345" s="68">
        <v>83.8951582070707</v>
      </c>
      <c r="J3345" s="68">
        <f t="shared" si="1"/>
        <v>167.7903164</v>
      </c>
      <c r="K3345" s="68" t="b">
        <v>1</v>
      </c>
    </row>
    <row r="3346">
      <c r="A3346" s="75">
        <v>3340.0</v>
      </c>
      <c r="B3346" s="62" t="s">
        <v>2090</v>
      </c>
      <c r="C3346" s="62" t="s">
        <v>115</v>
      </c>
      <c r="D3346" s="62" t="s">
        <v>750</v>
      </c>
      <c r="E3346" s="76">
        <v>44001.0</v>
      </c>
      <c r="F3346" s="77">
        <v>0.0625</v>
      </c>
      <c r="G3346" s="62" t="b">
        <v>1</v>
      </c>
      <c r="H3346" s="78" t="b">
        <f>IF(VLOOKUP(C3346,Projetos!A:L,12,false)=TRUE,TRUE,FALSE)</f>
        <v>1</v>
      </c>
      <c r="I3346" s="68">
        <v>83.8951582070707</v>
      </c>
      <c r="J3346" s="68">
        <f t="shared" si="1"/>
        <v>125.8427373</v>
      </c>
      <c r="K3346" s="68" t="b">
        <v>1</v>
      </c>
    </row>
    <row r="3347" hidden="1">
      <c r="A3347" s="75">
        <v>3341.0</v>
      </c>
      <c r="B3347" s="62" t="s">
        <v>2090</v>
      </c>
      <c r="C3347" s="62" t="s">
        <v>109</v>
      </c>
      <c r="D3347" s="62" t="s">
        <v>750</v>
      </c>
      <c r="E3347" s="76">
        <v>44005.0</v>
      </c>
      <c r="F3347" s="77">
        <v>0.041666666666666664</v>
      </c>
      <c r="G3347" s="62" t="b">
        <v>0</v>
      </c>
      <c r="H3347" s="78" t="b">
        <f>IF(VLOOKUP(C3347,Projetos!A:L,12,false)=TRUE,TRUE,FALSE)</f>
        <v>0</v>
      </c>
      <c r="I3347" s="68">
        <v>83.8951582070707</v>
      </c>
      <c r="J3347" s="68">
        <f t="shared" si="1"/>
        <v>0</v>
      </c>
      <c r="K3347" s="68" t="b">
        <v>0</v>
      </c>
    </row>
    <row r="3348">
      <c r="A3348" s="75">
        <v>3342.0</v>
      </c>
      <c r="B3348" s="62" t="s">
        <v>2090</v>
      </c>
      <c r="C3348" s="62" t="s">
        <v>104</v>
      </c>
      <c r="D3348" s="62" t="s">
        <v>749</v>
      </c>
      <c r="E3348" s="76">
        <v>44005.0</v>
      </c>
      <c r="F3348" s="77">
        <v>0.20833333333333334</v>
      </c>
      <c r="G3348" s="62" t="b">
        <v>1</v>
      </c>
      <c r="H3348" s="78" t="b">
        <f>IF(VLOOKUP(C3348,Projetos!A:L,12,false)=TRUE,TRUE,FALSE)</f>
        <v>1</v>
      </c>
      <c r="I3348" s="68">
        <v>83.8951582070707</v>
      </c>
      <c r="J3348" s="68">
        <f t="shared" si="1"/>
        <v>419.475791</v>
      </c>
      <c r="K3348" s="68" t="b">
        <v>1</v>
      </c>
    </row>
    <row r="3349">
      <c r="A3349" s="75">
        <v>3343.0</v>
      </c>
      <c r="B3349" s="62" t="s">
        <v>2090</v>
      </c>
      <c r="C3349" s="62" t="s">
        <v>104</v>
      </c>
      <c r="D3349" s="62" t="s">
        <v>749</v>
      </c>
      <c r="E3349" s="76">
        <v>44006.0</v>
      </c>
      <c r="F3349" s="77">
        <v>0.125</v>
      </c>
      <c r="G3349" s="62" t="b">
        <v>1</v>
      </c>
      <c r="H3349" s="78" t="b">
        <f>IF(VLOOKUP(C3349,Projetos!A:L,12,false)=TRUE,TRUE,FALSE)</f>
        <v>1</v>
      </c>
      <c r="I3349" s="68">
        <v>83.8951582070707</v>
      </c>
      <c r="J3349" s="68">
        <f t="shared" si="1"/>
        <v>251.6854746</v>
      </c>
      <c r="K3349" s="68" t="b">
        <v>1</v>
      </c>
    </row>
    <row r="3350" hidden="1">
      <c r="A3350" s="75">
        <v>3344.0</v>
      </c>
      <c r="B3350" s="62" t="s">
        <v>2090</v>
      </c>
      <c r="C3350" s="62" t="s">
        <v>109</v>
      </c>
      <c r="D3350" s="62" t="s">
        <v>750</v>
      </c>
      <c r="E3350" s="76">
        <v>44008.0</v>
      </c>
      <c r="F3350" s="77">
        <v>0.020833333333333332</v>
      </c>
      <c r="G3350" s="62" t="b">
        <v>0</v>
      </c>
      <c r="H3350" s="78" t="b">
        <f>IF(VLOOKUP(C3350,Projetos!A:L,12,false)=TRUE,TRUE,FALSE)</f>
        <v>0</v>
      </c>
      <c r="I3350" s="68">
        <v>83.8951582070707</v>
      </c>
      <c r="J3350" s="68">
        <f t="shared" si="1"/>
        <v>0</v>
      </c>
      <c r="K3350" s="68" t="b">
        <v>0</v>
      </c>
    </row>
    <row r="3351">
      <c r="A3351" s="75">
        <v>3345.0</v>
      </c>
      <c r="B3351" s="62" t="s">
        <v>2090</v>
      </c>
      <c r="C3351" s="62" t="s">
        <v>104</v>
      </c>
      <c r="D3351" s="62" t="s">
        <v>1288</v>
      </c>
      <c r="E3351" s="76">
        <v>44013.0</v>
      </c>
      <c r="F3351" s="77">
        <v>0.16666666666666666</v>
      </c>
      <c r="G3351" s="62" t="b">
        <v>1</v>
      </c>
      <c r="H3351" s="78" t="b">
        <f>IF(VLOOKUP(C3351,Projetos!A:L,12,false)=TRUE,TRUE,FALSE)</f>
        <v>1</v>
      </c>
      <c r="I3351" s="68">
        <v>87.89016574074073</v>
      </c>
      <c r="J3351" s="68">
        <f t="shared" si="1"/>
        <v>351.560663</v>
      </c>
      <c r="K3351" s="68" t="b">
        <v>1</v>
      </c>
    </row>
    <row r="3352">
      <c r="A3352" s="75">
        <v>3346.0</v>
      </c>
      <c r="B3352" s="62" t="s">
        <v>2090</v>
      </c>
      <c r="C3352" s="62" t="s">
        <v>84</v>
      </c>
      <c r="D3352" s="62" t="s">
        <v>1289</v>
      </c>
      <c r="E3352" s="76">
        <v>44013.0</v>
      </c>
      <c r="F3352" s="77">
        <v>0.041666666666666664</v>
      </c>
      <c r="G3352" s="62" t="b">
        <v>1</v>
      </c>
      <c r="H3352" s="78" t="b">
        <f>IF(VLOOKUP(C3352,Projetos!A:L,12,false)=TRUE,TRUE,FALSE)</f>
        <v>1</v>
      </c>
      <c r="I3352" s="68">
        <v>87.89016574074073</v>
      </c>
      <c r="J3352" s="68">
        <f t="shared" si="1"/>
        <v>87.89016574</v>
      </c>
      <c r="K3352" s="68" t="b">
        <v>1</v>
      </c>
    </row>
    <row r="3353">
      <c r="A3353" s="75">
        <v>3347.0</v>
      </c>
      <c r="B3353" s="62" t="s">
        <v>2090</v>
      </c>
      <c r="C3353" s="62" t="s">
        <v>90</v>
      </c>
      <c r="D3353" s="62" t="s">
        <v>1290</v>
      </c>
      <c r="E3353" s="76">
        <v>44015.0</v>
      </c>
      <c r="F3353" s="77">
        <v>0.041666666666666664</v>
      </c>
      <c r="G3353" s="62" t="b">
        <v>1</v>
      </c>
      <c r="H3353" s="78" t="b">
        <f>IF(VLOOKUP(C3353,Projetos!A:L,12,false)=TRUE,TRUE,FALSE)</f>
        <v>1</v>
      </c>
      <c r="I3353" s="68">
        <v>87.89016574074073</v>
      </c>
      <c r="J3353" s="68">
        <f t="shared" si="1"/>
        <v>87.89016574</v>
      </c>
      <c r="K3353" s="68" t="b">
        <v>1</v>
      </c>
    </row>
    <row r="3354">
      <c r="A3354" s="75">
        <v>3348.0</v>
      </c>
      <c r="B3354" s="62" t="s">
        <v>2090</v>
      </c>
      <c r="C3354" s="62" t="s">
        <v>90</v>
      </c>
      <c r="D3354" s="62" t="s">
        <v>1290</v>
      </c>
      <c r="E3354" s="76">
        <v>44018.0</v>
      </c>
      <c r="F3354" s="77">
        <v>0.041666666666666664</v>
      </c>
      <c r="G3354" s="62" t="b">
        <v>1</v>
      </c>
      <c r="H3354" s="78" t="b">
        <f>IF(VLOOKUP(C3354,Projetos!A:L,12,false)=TRUE,TRUE,FALSE)</f>
        <v>1</v>
      </c>
      <c r="I3354" s="68">
        <v>87.89016574074073</v>
      </c>
      <c r="J3354" s="68">
        <f t="shared" si="1"/>
        <v>87.89016574</v>
      </c>
      <c r="K3354" s="68" t="b">
        <v>1</v>
      </c>
    </row>
    <row r="3355">
      <c r="A3355" s="75">
        <v>3349.0</v>
      </c>
      <c r="B3355" s="62" t="s">
        <v>2090</v>
      </c>
      <c r="C3355" s="62" t="s">
        <v>84</v>
      </c>
      <c r="D3355" s="62" t="s">
        <v>1289</v>
      </c>
      <c r="E3355" s="76">
        <v>44019.0</v>
      </c>
      <c r="F3355" s="77">
        <v>0.041666666666666664</v>
      </c>
      <c r="G3355" s="62" t="b">
        <v>1</v>
      </c>
      <c r="H3355" s="78" t="b">
        <f>IF(VLOOKUP(C3355,Projetos!A:L,12,false)=TRUE,TRUE,FALSE)</f>
        <v>1</v>
      </c>
      <c r="I3355" s="68">
        <v>87.89016574074073</v>
      </c>
      <c r="J3355" s="68">
        <f t="shared" si="1"/>
        <v>87.89016574</v>
      </c>
      <c r="K3355" s="68" t="b">
        <v>1</v>
      </c>
    </row>
    <row r="3356">
      <c r="A3356" s="75">
        <v>3350.0</v>
      </c>
      <c r="B3356" s="62" t="s">
        <v>2090</v>
      </c>
      <c r="C3356" s="62" t="s">
        <v>104</v>
      </c>
      <c r="D3356" s="62" t="s">
        <v>749</v>
      </c>
      <c r="E3356" s="76">
        <v>44019.0</v>
      </c>
      <c r="F3356" s="77">
        <v>0.20833333333333334</v>
      </c>
      <c r="G3356" s="62" t="b">
        <v>1</v>
      </c>
      <c r="H3356" s="78" t="b">
        <f>IF(VLOOKUP(C3356,Projetos!A:L,12,false)=TRUE,TRUE,FALSE)</f>
        <v>1</v>
      </c>
      <c r="I3356" s="68">
        <v>87.89016574074073</v>
      </c>
      <c r="J3356" s="68">
        <f t="shared" si="1"/>
        <v>439.4508287</v>
      </c>
      <c r="K3356" s="68" t="b">
        <v>1</v>
      </c>
    </row>
    <row r="3357">
      <c r="A3357" s="75">
        <v>3351.0</v>
      </c>
      <c r="B3357" s="62" t="s">
        <v>2090</v>
      </c>
      <c r="C3357" s="62" t="s">
        <v>90</v>
      </c>
      <c r="D3357" s="62" t="s">
        <v>1290</v>
      </c>
      <c r="E3357" s="76">
        <v>44020.0</v>
      </c>
      <c r="F3357" s="77">
        <v>0.041666666666666664</v>
      </c>
      <c r="G3357" s="62" t="b">
        <v>1</v>
      </c>
      <c r="H3357" s="78" t="b">
        <f>IF(VLOOKUP(C3357,Projetos!A:L,12,false)=TRUE,TRUE,FALSE)</f>
        <v>1</v>
      </c>
      <c r="I3357" s="68">
        <v>87.89016574074073</v>
      </c>
      <c r="J3357" s="68">
        <f t="shared" si="1"/>
        <v>87.89016574</v>
      </c>
      <c r="K3357" s="68" t="b">
        <v>1</v>
      </c>
    </row>
    <row r="3358">
      <c r="A3358" s="75">
        <v>3352.0</v>
      </c>
      <c r="B3358" s="62" t="s">
        <v>2090</v>
      </c>
      <c r="C3358" s="62" t="s">
        <v>90</v>
      </c>
      <c r="D3358" s="62" t="s">
        <v>1290</v>
      </c>
      <c r="E3358" s="76">
        <v>44021.0</v>
      </c>
      <c r="F3358" s="77">
        <v>0.041666666666666664</v>
      </c>
      <c r="G3358" s="62" t="b">
        <v>1</v>
      </c>
      <c r="H3358" s="78" t="b">
        <f>IF(VLOOKUP(C3358,Projetos!A:L,12,false)=TRUE,TRUE,FALSE)</f>
        <v>1</v>
      </c>
      <c r="I3358" s="68">
        <v>87.89016574074073</v>
      </c>
      <c r="J3358" s="68">
        <f t="shared" si="1"/>
        <v>87.89016574</v>
      </c>
      <c r="K3358" s="68" t="b">
        <v>1</v>
      </c>
    </row>
    <row r="3359">
      <c r="A3359" s="75">
        <v>3353.0</v>
      </c>
      <c r="B3359" s="62" t="s">
        <v>2090</v>
      </c>
      <c r="C3359" s="62" t="s">
        <v>104</v>
      </c>
      <c r="D3359" s="62" t="s">
        <v>1288</v>
      </c>
      <c r="E3359" s="76">
        <v>44021.0</v>
      </c>
      <c r="F3359" s="77">
        <v>0.041666666666666664</v>
      </c>
      <c r="G3359" s="62" t="b">
        <v>1</v>
      </c>
      <c r="H3359" s="78" t="b">
        <f>IF(VLOOKUP(C3359,Projetos!A:L,12,false)=TRUE,TRUE,FALSE)</f>
        <v>1</v>
      </c>
      <c r="I3359" s="68">
        <v>87.89016574074073</v>
      </c>
      <c r="J3359" s="68">
        <f t="shared" si="1"/>
        <v>87.89016574</v>
      </c>
      <c r="K3359" s="68" t="b">
        <v>1</v>
      </c>
    </row>
    <row r="3360">
      <c r="A3360" s="75">
        <v>3354.0</v>
      </c>
      <c r="B3360" s="62" t="s">
        <v>2090</v>
      </c>
      <c r="C3360" s="62" t="s">
        <v>84</v>
      </c>
      <c r="D3360" s="62" t="s">
        <v>1289</v>
      </c>
      <c r="E3360" s="76">
        <v>44022.0</v>
      </c>
      <c r="F3360" s="77">
        <v>0.08333333333333333</v>
      </c>
      <c r="G3360" s="62" t="b">
        <v>1</v>
      </c>
      <c r="H3360" s="78" t="b">
        <f>IF(VLOOKUP(C3360,Projetos!A:L,12,false)=TRUE,TRUE,FALSE)</f>
        <v>1</v>
      </c>
      <c r="I3360" s="68">
        <v>87.89016574074073</v>
      </c>
      <c r="J3360" s="68">
        <f t="shared" si="1"/>
        <v>175.7803315</v>
      </c>
      <c r="K3360" s="68" t="b">
        <v>1</v>
      </c>
    </row>
    <row r="3361">
      <c r="A3361" s="75">
        <v>3355.0</v>
      </c>
      <c r="B3361" s="62" t="s">
        <v>2090</v>
      </c>
      <c r="C3361" s="62" t="s">
        <v>90</v>
      </c>
      <c r="D3361" s="62" t="s">
        <v>1290</v>
      </c>
      <c r="E3361" s="76">
        <v>44022.0</v>
      </c>
      <c r="F3361" s="77">
        <v>0.041666666666666664</v>
      </c>
      <c r="G3361" s="62" t="b">
        <v>1</v>
      </c>
      <c r="H3361" s="78" t="b">
        <f>IF(VLOOKUP(C3361,Projetos!A:L,12,false)=TRUE,TRUE,FALSE)</f>
        <v>1</v>
      </c>
      <c r="I3361" s="68">
        <v>87.89016574074073</v>
      </c>
      <c r="J3361" s="68">
        <f t="shared" si="1"/>
        <v>87.89016574</v>
      </c>
      <c r="K3361" s="68" t="b">
        <v>1</v>
      </c>
    </row>
    <row r="3362">
      <c r="A3362" s="75">
        <v>3356.0</v>
      </c>
      <c r="B3362" s="62" t="s">
        <v>2090</v>
      </c>
      <c r="C3362" s="62" t="s">
        <v>90</v>
      </c>
      <c r="D3362" s="62" t="s">
        <v>1290</v>
      </c>
      <c r="E3362" s="76">
        <v>44025.0</v>
      </c>
      <c r="F3362" s="77">
        <v>0.041666666666666664</v>
      </c>
      <c r="G3362" s="62" t="b">
        <v>1</v>
      </c>
      <c r="H3362" s="78" t="b">
        <f>IF(VLOOKUP(C3362,Projetos!A:L,12,false)=TRUE,TRUE,FALSE)</f>
        <v>1</v>
      </c>
      <c r="I3362" s="68">
        <v>87.89016574074073</v>
      </c>
      <c r="J3362" s="68">
        <f t="shared" si="1"/>
        <v>87.89016574</v>
      </c>
      <c r="K3362" s="68" t="b">
        <v>1</v>
      </c>
    </row>
    <row r="3363">
      <c r="A3363" s="75">
        <v>3357.0</v>
      </c>
      <c r="B3363" s="62" t="s">
        <v>2090</v>
      </c>
      <c r="C3363" s="62" t="s">
        <v>90</v>
      </c>
      <c r="D3363" s="62" t="s">
        <v>1290</v>
      </c>
      <c r="E3363" s="76">
        <v>44026.0</v>
      </c>
      <c r="F3363" s="77">
        <v>0.041666666666666664</v>
      </c>
      <c r="G3363" s="62" t="b">
        <v>1</v>
      </c>
      <c r="H3363" s="78" t="b">
        <f>IF(VLOOKUP(C3363,Projetos!A:L,12,false)=TRUE,TRUE,FALSE)</f>
        <v>1</v>
      </c>
      <c r="I3363" s="68">
        <v>87.89016574074073</v>
      </c>
      <c r="J3363" s="68">
        <f t="shared" si="1"/>
        <v>87.89016574</v>
      </c>
      <c r="K3363" s="68" t="b">
        <v>1</v>
      </c>
    </row>
    <row r="3364">
      <c r="A3364" s="75">
        <v>3358.0</v>
      </c>
      <c r="B3364" s="62" t="s">
        <v>2090</v>
      </c>
      <c r="C3364" s="62" t="s">
        <v>84</v>
      </c>
      <c r="D3364" s="62" t="s">
        <v>1289</v>
      </c>
      <c r="E3364" s="76">
        <v>44029.0</v>
      </c>
      <c r="F3364" s="77">
        <v>0.08333333333333333</v>
      </c>
      <c r="G3364" s="62" t="b">
        <v>1</v>
      </c>
      <c r="H3364" s="78" t="b">
        <f>IF(VLOOKUP(C3364,Projetos!A:L,12,false)=TRUE,TRUE,FALSE)</f>
        <v>1</v>
      </c>
      <c r="I3364" s="68">
        <v>87.89016574074073</v>
      </c>
      <c r="J3364" s="68">
        <f t="shared" si="1"/>
        <v>175.7803315</v>
      </c>
      <c r="K3364" s="68" t="b">
        <v>1</v>
      </c>
    </row>
    <row r="3365">
      <c r="A3365" s="75">
        <v>3359.0</v>
      </c>
      <c r="B3365" s="62" t="s">
        <v>2090</v>
      </c>
      <c r="C3365" s="62" t="s">
        <v>90</v>
      </c>
      <c r="D3365" s="62" t="s">
        <v>1291</v>
      </c>
      <c r="E3365" s="76">
        <v>44029.0</v>
      </c>
      <c r="F3365" s="77">
        <v>0.041666666666666664</v>
      </c>
      <c r="G3365" s="62" t="b">
        <v>1</v>
      </c>
      <c r="H3365" s="78" t="b">
        <f>IF(VLOOKUP(C3365,Projetos!A:L,12,false)=TRUE,TRUE,FALSE)</f>
        <v>1</v>
      </c>
      <c r="I3365" s="68">
        <v>87.89016574074073</v>
      </c>
      <c r="J3365" s="68">
        <f t="shared" si="1"/>
        <v>87.89016574</v>
      </c>
      <c r="K3365" s="68" t="b">
        <v>1</v>
      </c>
    </row>
    <row r="3366">
      <c r="A3366" s="75">
        <v>3360.0</v>
      </c>
      <c r="B3366" s="62" t="s">
        <v>2090</v>
      </c>
      <c r="C3366" s="62" t="s">
        <v>90</v>
      </c>
      <c r="D3366" s="62" t="s">
        <v>1291</v>
      </c>
      <c r="E3366" s="76">
        <v>44032.0</v>
      </c>
      <c r="F3366" s="77">
        <v>0.041666666666666664</v>
      </c>
      <c r="G3366" s="62" t="b">
        <v>1</v>
      </c>
      <c r="H3366" s="78" t="b">
        <f>IF(VLOOKUP(C3366,Projetos!A:L,12,false)=TRUE,TRUE,FALSE)</f>
        <v>1</v>
      </c>
      <c r="I3366" s="68">
        <v>87.89016574074073</v>
      </c>
      <c r="J3366" s="68">
        <f t="shared" si="1"/>
        <v>87.89016574</v>
      </c>
      <c r="K3366" s="68" t="b">
        <v>1</v>
      </c>
    </row>
    <row r="3367">
      <c r="A3367" s="75">
        <v>3361.0</v>
      </c>
      <c r="B3367" s="62" t="s">
        <v>2090</v>
      </c>
      <c r="C3367" s="62" t="s">
        <v>84</v>
      </c>
      <c r="D3367" s="62" t="s">
        <v>1289</v>
      </c>
      <c r="E3367" s="76">
        <v>44032.0</v>
      </c>
      <c r="F3367" s="77">
        <v>0.125</v>
      </c>
      <c r="G3367" s="62" t="b">
        <v>1</v>
      </c>
      <c r="H3367" s="78" t="b">
        <f>IF(VLOOKUP(C3367,Projetos!A:L,12,false)=TRUE,TRUE,FALSE)</f>
        <v>1</v>
      </c>
      <c r="I3367" s="68">
        <v>87.89016574074073</v>
      </c>
      <c r="J3367" s="68">
        <f t="shared" si="1"/>
        <v>263.6704972</v>
      </c>
      <c r="K3367" s="68" t="b">
        <v>1</v>
      </c>
    </row>
    <row r="3368">
      <c r="A3368" s="75">
        <v>3362.0</v>
      </c>
      <c r="B3368" s="62" t="s">
        <v>2090</v>
      </c>
      <c r="C3368" s="62" t="s">
        <v>84</v>
      </c>
      <c r="D3368" s="62" t="s">
        <v>1289</v>
      </c>
      <c r="E3368" s="76">
        <v>44033.0</v>
      </c>
      <c r="F3368" s="77">
        <v>0.125</v>
      </c>
      <c r="G3368" s="62" t="b">
        <v>1</v>
      </c>
      <c r="H3368" s="78" t="b">
        <f>IF(VLOOKUP(C3368,Projetos!A:L,12,false)=TRUE,TRUE,FALSE)</f>
        <v>1</v>
      </c>
      <c r="I3368" s="68">
        <v>87.89016574074073</v>
      </c>
      <c r="J3368" s="68">
        <f t="shared" si="1"/>
        <v>263.6704972</v>
      </c>
      <c r="K3368" s="68" t="b">
        <v>1</v>
      </c>
    </row>
    <row r="3369">
      <c r="A3369" s="75">
        <v>3363.0</v>
      </c>
      <c r="B3369" s="62" t="s">
        <v>2090</v>
      </c>
      <c r="C3369" s="62" t="s">
        <v>90</v>
      </c>
      <c r="D3369" s="62" t="s">
        <v>1291</v>
      </c>
      <c r="E3369" s="76">
        <v>44034.0</v>
      </c>
      <c r="F3369" s="77">
        <v>0.041666666666666664</v>
      </c>
      <c r="G3369" s="62" t="b">
        <v>1</v>
      </c>
      <c r="H3369" s="78" t="b">
        <f>IF(VLOOKUP(C3369,Projetos!A:L,12,false)=TRUE,TRUE,FALSE)</f>
        <v>1</v>
      </c>
      <c r="I3369" s="68">
        <v>87.89016574074073</v>
      </c>
      <c r="J3369" s="68">
        <f t="shared" si="1"/>
        <v>87.89016574</v>
      </c>
      <c r="K3369" s="68" t="b">
        <v>1</v>
      </c>
    </row>
    <row r="3370">
      <c r="A3370" s="75">
        <v>3364.0</v>
      </c>
      <c r="B3370" s="62" t="s">
        <v>2090</v>
      </c>
      <c r="C3370" s="62" t="s">
        <v>97</v>
      </c>
      <c r="D3370" s="62" t="s">
        <v>1293</v>
      </c>
      <c r="E3370" s="76">
        <v>44035.0</v>
      </c>
      <c r="F3370" s="77">
        <v>0.041666666666666664</v>
      </c>
      <c r="G3370" s="62" t="b">
        <v>1</v>
      </c>
      <c r="H3370" s="78" t="b">
        <f>IF(VLOOKUP(C3370,Projetos!A:L,12,false)=TRUE,TRUE,FALSE)</f>
        <v>1</v>
      </c>
      <c r="I3370" s="68">
        <v>87.89016574074073</v>
      </c>
      <c r="J3370" s="68">
        <f t="shared" si="1"/>
        <v>87.89016574</v>
      </c>
      <c r="K3370" s="68" t="b">
        <v>1</v>
      </c>
    </row>
    <row r="3371">
      <c r="A3371" s="75">
        <v>3365.0</v>
      </c>
      <c r="B3371" s="62" t="s">
        <v>2090</v>
      </c>
      <c r="C3371" s="62" t="s">
        <v>112</v>
      </c>
      <c r="D3371" s="62" t="s">
        <v>1293</v>
      </c>
      <c r="E3371" s="76">
        <v>44035.0</v>
      </c>
      <c r="F3371" s="77">
        <v>0.041666666666666664</v>
      </c>
      <c r="G3371" s="62" t="b">
        <v>1</v>
      </c>
      <c r="H3371" s="78" t="b">
        <f>IF(VLOOKUP(C3371,Projetos!A:L,12,false)=TRUE,TRUE,FALSE)</f>
        <v>1</v>
      </c>
      <c r="I3371" s="68">
        <v>87.89016574074073</v>
      </c>
      <c r="J3371" s="68">
        <f t="shared" si="1"/>
        <v>87.89016574</v>
      </c>
      <c r="K3371" s="68" t="b">
        <v>1</v>
      </c>
    </row>
    <row r="3372">
      <c r="A3372" s="75">
        <v>3366.0</v>
      </c>
      <c r="B3372" s="62" t="s">
        <v>2090</v>
      </c>
      <c r="C3372" s="62" t="s">
        <v>97</v>
      </c>
      <c r="D3372" s="62" t="s">
        <v>1293</v>
      </c>
      <c r="E3372" s="76">
        <v>44036.0</v>
      </c>
      <c r="F3372" s="77">
        <v>0.020833333333333332</v>
      </c>
      <c r="G3372" s="62" t="b">
        <v>1</v>
      </c>
      <c r="H3372" s="78" t="b">
        <f>IF(VLOOKUP(C3372,Projetos!A:L,12,false)=TRUE,TRUE,FALSE)</f>
        <v>1</v>
      </c>
      <c r="I3372" s="68">
        <v>87.89016574074073</v>
      </c>
      <c r="J3372" s="68">
        <f t="shared" si="1"/>
        <v>43.94508287</v>
      </c>
      <c r="K3372" s="68" t="b">
        <v>1</v>
      </c>
    </row>
    <row r="3373">
      <c r="A3373" s="75">
        <v>3367.0</v>
      </c>
      <c r="B3373" s="62" t="s">
        <v>2090</v>
      </c>
      <c r="C3373" s="62" t="s">
        <v>104</v>
      </c>
      <c r="D3373" s="62" t="s">
        <v>2105</v>
      </c>
      <c r="E3373" s="76">
        <v>44039.0</v>
      </c>
      <c r="F3373" s="77">
        <v>0.5</v>
      </c>
      <c r="G3373" s="62" t="b">
        <v>1</v>
      </c>
      <c r="H3373" s="78" t="b">
        <f>IF(VLOOKUP(C3373,Projetos!A:L,12,false)=TRUE,TRUE,FALSE)</f>
        <v>1</v>
      </c>
      <c r="I3373" s="68">
        <v>87.89016574074073</v>
      </c>
      <c r="J3373" s="68">
        <f t="shared" si="1"/>
        <v>1054.681989</v>
      </c>
      <c r="K3373" s="68" t="b">
        <v>1</v>
      </c>
    </row>
    <row r="3374">
      <c r="A3374" s="75">
        <v>3368.0</v>
      </c>
      <c r="B3374" s="62" t="s">
        <v>2090</v>
      </c>
      <c r="C3374" s="62" t="s">
        <v>104</v>
      </c>
      <c r="D3374" s="62" t="s">
        <v>2105</v>
      </c>
      <c r="E3374" s="76">
        <v>44040.0</v>
      </c>
      <c r="F3374" s="77">
        <v>0.5</v>
      </c>
      <c r="G3374" s="62" t="b">
        <v>1</v>
      </c>
      <c r="H3374" s="78" t="b">
        <f>IF(VLOOKUP(C3374,Projetos!A:L,12,false)=TRUE,TRUE,FALSE)</f>
        <v>1</v>
      </c>
      <c r="I3374" s="68">
        <v>87.89016574074073</v>
      </c>
      <c r="J3374" s="68">
        <f t="shared" si="1"/>
        <v>1054.681989</v>
      </c>
      <c r="K3374" s="68" t="b">
        <v>1</v>
      </c>
    </row>
    <row r="3375">
      <c r="A3375" s="75">
        <v>3369.0</v>
      </c>
      <c r="B3375" s="62" t="s">
        <v>2090</v>
      </c>
      <c r="C3375" s="62" t="s">
        <v>104</v>
      </c>
      <c r="D3375" s="62" t="s">
        <v>2105</v>
      </c>
      <c r="E3375" s="76">
        <v>44041.0</v>
      </c>
      <c r="F3375" s="77">
        <v>0.5</v>
      </c>
      <c r="G3375" s="62" t="b">
        <v>1</v>
      </c>
      <c r="H3375" s="78" t="b">
        <f>IF(VLOOKUP(C3375,Projetos!A:L,12,false)=TRUE,TRUE,FALSE)</f>
        <v>1</v>
      </c>
      <c r="I3375" s="68">
        <v>87.89016574074073</v>
      </c>
      <c r="J3375" s="68">
        <f t="shared" si="1"/>
        <v>1054.681989</v>
      </c>
      <c r="K3375" s="68" t="b">
        <v>1</v>
      </c>
    </row>
    <row r="3376">
      <c r="A3376" s="75">
        <v>3370.0</v>
      </c>
      <c r="B3376" s="62" t="s">
        <v>2090</v>
      </c>
      <c r="C3376" s="62" t="s">
        <v>104</v>
      </c>
      <c r="D3376" s="62" t="s">
        <v>2105</v>
      </c>
      <c r="E3376" s="76">
        <v>44042.0</v>
      </c>
      <c r="F3376" s="77">
        <v>0.5</v>
      </c>
      <c r="G3376" s="62" t="b">
        <v>1</v>
      </c>
      <c r="H3376" s="78" t="b">
        <f>IF(VLOOKUP(C3376,Projetos!A:L,12,false)=TRUE,TRUE,FALSE)</f>
        <v>1</v>
      </c>
      <c r="I3376" s="68">
        <v>87.89016574074073</v>
      </c>
      <c r="J3376" s="68">
        <f t="shared" si="1"/>
        <v>1054.681989</v>
      </c>
      <c r="K3376" s="68" t="b">
        <v>1</v>
      </c>
    </row>
    <row r="3377">
      <c r="A3377" s="75">
        <v>3371.0</v>
      </c>
      <c r="B3377" s="62" t="s">
        <v>2090</v>
      </c>
      <c r="C3377" s="62" t="s">
        <v>104</v>
      </c>
      <c r="D3377" s="62" t="s">
        <v>2105</v>
      </c>
      <c r="E3377" s="76">
        <v>44043.0</v>
      </c>
      <c r="F3377" s="77">
        <v>0.5</v>
      </c>
      <c r="G3377" s="62" t="b">
        <v>1</v>
      </c>
      <c r="H3377" s="78" t="b">
        <f>IF(VLOOKUP(C3377,Projetos!A:L,12,false)=TRUE,TRUE,FALSE)</f>
        <v>1</v>
      </c>
      <c r="I3377" s="68">
        <v>87.89016574074073</v>
      </c>
      <c r="J3377" s="68">
        <f t="shared" si="1"/>
        <v>1054.681989</v>
      </c>
      <c r="K3377" s="68" t="b">
        <v>1</v>
      </c>
    </row>
    <row r="3378">
      <c r="A3378" s="75">
        <v>3372.0</v>
      </c>
      <c r="B3378" s="62" t="s">
        <v>2090</v>
      </c>
      <c r="C3378" s="62" t="s">
        <v>138</v>
      </c>
      <c r="D3378" s="62" t="s">
        <v>749</v>
      </c>
      <c r="E3378" s="76">
        <v>44046.0</v>
      </c>
      <c r="F3378" s="77">
        <v>0.041666666666666664</v>
      </c>
      <c r="G3378" s="62" t="b">
        <v>1</v>
      </c>
      <c r="H3378" s="78" t="b">
        <f>IF(VLOOKUP(C3378,Projetos!A:L,12,false)=TRUE,TRUE,FALSE)</f>
        <v>1</v>
      </c>
      <c r="I3378" s="68">
        <v>87.89016574074073</v>
      </c>
      <c r="J3378" s="68">
        <f t="shared" si="1"/>
        <v>87.89016574</v>
      </c>
      <c r="K3378" s="68" t="b">
        <v>1</v>
      </c>
    </row>
    <row r="3379">
      <c r="A3379" s="75">
        <v>3373.0</v>
      </c>
      <c r="B3379" s="62" t="s">
        <v>2090</v>
      </c>
      <c r="C3379" s="62" t="s">
        <v>112</v>
      </c>
      <c r="D3379" s="62" t="s">
        <v>750</v>
      </c>
      <c r="E3379" s="76">
        <v>44047.0</v>
      </c>
      <c r="F3379" s="77">
        <v>0.08333333333333333</v>
      </c>
      <c r="G3379" s="62" t="b">
        <v>1</v>
      </c>
      <c r="H3379" s="78" t="b">
        <f>IF(VLOOKUP(C3379,Projetos!A:L,12,false)=TRUE,TRUE,FALSE)</f>
        <v>1</v>
      </c>
      <c r="I3379" s="68">
        <v>87.89016574074073</v>
      </c>
      <c r="J3379" s="68">
        <f t="shared" si="1"/>
        <v>175.7803315</v>
      </c>
      <c r="K3379" s="68" t="b">
        <v>1</v>
      </c>
    </row>
    <row r="3380">
      <c r="A3380" s="75">
        <v>3374.0</v>
      </c>
      <c r="B3380" s="62" t="s">
        <v>2090</v>
      </c>
      <c r="C3380" s="62" t="s">
        <v>112</v>
      </c>
      <c r="D3380" s="62" t="s">
        <v>750</v>
      </c>
      <c r="E3380" s="76">
        <v>44048.0</v>
      </c>
      <c r="F3380" s="77">
        <v>0.08333333333333333</v>
      </c>
      <c r="G3380" s="62" t="b">
        <v>1</v>
      </c>
      <c r="H3380" s="78" t="b">
        <f>IF(VLOOKUP(C3380,Projetos!A:L,12,false)=TRUE,TRUE,FALSE)</f>
        <v>1</v>
      </c>
      <c r="I3380" s="68">
        <v>87.89016574074073</v>
      </c>
      <c r="J3380" s="68">
        <f t="shared" si="1"/>
        <v>175.7803315</v>
      </c>
      <c r="K3380" s="68" t="b">
        <v>1</v>
      </c>
    </row>
    <row r="3381">
      <c r="A3381" s="75">
        <v>3375.0</v>
      </c>
      <c r="B3381" s="62" t="s">
        <v>2090</v>
      </c>
      <c r="C3381" s="62" t="s">
        <v>104</v>
      </c>
      <c r="D3381" s="62" t="s">
        <v>2106</v>
      </c>
      <c r="E3381" s="76">
        <v>44050.0</v>
      </c>
      <c r="F3381" s="77">
        <v>0.16666666666666666</v>
      </c>
      <c r="G3381" s="62" t="b">
        <v>1</v>
      </c>
      <c r="H3381" s="78" t="b">
        <f>IF(VLOOKUP(C3381,Projetos!A:L,12,false)=TRUE,TRUE,FALSE)</f>
        <v>1</v>
      </c>
      <c r="I3381" s="68">
        <v>87.89016574074073</v>
      </c>
      <c r="J3381" s="68">
        <f t="shared" si="1"/>
        <v>351.560663</v>
      </c>
      <c r="K3381" s="68" t="b">
        <v>1</v>
      </c>
    </row>
    <row r="3382">
      <c r="A3382" s="75">
        <v>3376.0</v>
      </c>
      <c r="B3382" s="62" t="s">
        <v>2090</v>
      </c>
      <c r="C3382" s="62" t="s">
        <v>110</v>
      </c>
      <c r="D3382" s="62" t="s">
        <v>745</v>
      </c>
      <c r="E3382" s="76">
        <v>44050.0</v>
      </c>
      <c r="F3382" s="77">
        <v>0.07291666666666667</v>
      </c>
      <c r="G3382" s="62" t="b">
        <v>1</v>
      </c>
      <c r="H3382" s="78" t="b">
        <f>IF(VLOOKUP(C3382,Projetos!A:L,12,false)=TRUE,TRUE,FALSE)</f>
        <v>1</v>
      </c>
      <c r="I3382" s="68">
        <v>87.89016574074073</v>
      </c>
      <c r="J3382" s="68">
        <f t="shared" si="1"/>
        <v>153.80779</v>
      </c>
      <c r="K3382" s="68" t="b">
        <v>1</v>
      </c>
    </row>
    <row r="3383">
      <c r="A3383" s="75">
        <v>3377.0</v>
      </c>
      <c r="B3383" s="62" t="s">
        <v>2090</v>
      </c>
      <c r="C3383" s="62" t="s">
        <v>104</v>
      </c>
      <c r="D3383" s="62" t="s">
        <v>749</v>
      </c>
      <c r="E3383" s="76">
        <v>44053.0</v>
      </c>
      <c r="F3383" s="77">
        <v>0.08333333333333333</v>
      </c>
      <c r="G3383" s="62" t="b">
        <v>1</v>
      </c>
      <c r="H3383" s="78" t="b">
        <f>IF(VLOOKUP(C3383,Projetos!A:L,12,false)=TRUE,TRUE,FALSE)</f>
        <v>1</v>
      </c>
      <c r="I3383" s="68">
        <v>87.89016574074073</v>
      </c>
      <c r="J3383" s="68">
        <f t="shared" si="1"/>
        <v>175.7803315</v>
      </c>
      <c r="K3383" s="68" t="b">
        <v>1</v>
      </c>
    </row>
    <row r="3384">
      <c r="A3384" s="75">
        <v>3378.0</v>
      </c>
      <c r="B3384" s="62" t="s">
        <v>2090</v>
      </c>
      <c r="C3384" s="62" t="s">
        <v>112</v>
      </c>
      <c r="D3384" s="62" t="s">
        <v>750</v>
      </c>
      <c r="E3384" s="76">
        <v>44053.0</v>
      </c>
      <c r="F3384" s="77">
        <v>0.041666666666666664</v>
      </c>
      <c r="G3384" s="62" t="b">
        <v>1</v>
      </c>
      <c r="H3384" s="78" t="b">
        <f>IF(VLOOKUP(C3384,Projetos!A:L,12,false)=TRUE,TRUE,FALSE)</f>
        <v>1</v>
      </c>
      <c r="I3384" s="68">
        <v>87.89016574074073</v>
      </c>
      <c r="J3384" s="68">
        <f t="shared" si="1"/>
        <v>87.89016574</v>
      </c>
      <c r="K3384" s="68" t="b">
        <v>1</v>
      </c>
    </row>
    <row r="3385">
      <c r="A3385" s="75">
        <v>3379.0</v>
      </c>
      <c r="B3385" s="62" t="s">
        <v>2090</v>
      </c>
      <c r="C3385" s="62" t="s">
        <v>104</v>
      </c>
      <c r="D3385" s="62" t="s">
        <v>2106</v>
      </c>
      <c r="E3385" s="76">
        <v>44054.0</v>
      </c>
      <c r="F3385" s="77">
        <v>0.08333333333333333</v>
      </c>
      <c r="G3385" s="62" t="b">
        <v>1</v>
      </c>
      <c r="H3385" s="78" t="b">
        <f>IF(VLOOKUP(C3385,Projetos!A:L,12,false)=TRUE,TRUE,FALSE)</f>
        <v>1</v>
      </c>
      <c r="I3385" s="68">
        <v>87.89016574074073</v>
      </c>
      <c r="J3385" s="68">
        <f t="shared" si="1"/>
        <v>175.7803315</v>
      </c>
      <c r="K3385" s="68" t="b">
        <v>1</v>
      </c>
    </row>
    <row r="3386">
      <c r="A3386" s="75">
        <v>3380.0</v>
      </c>
      <c r="B3386" s="62" t="s">
        <v>2090</v>
      </c>
      <c r="C3386" s="62" t="s">
        <v>104</v>
      </c>
      <c r="D3386" s="62" t="s">
        <v>2106</v>
      </c>
      <c r="E3386" s="76">
        <v>44055.0</v>
      </c>
      <c r="F3386" s="77">
        <v>0.125</v>
      </c>
      <c r="G3386" s="62" t="b">
        <v>1</v>
      </c>
      <c r="H3386" s="78" t="b">
        <f>IF(VLOOKUP(C3386,Projetos!A:L,12,false)=TRUE,TRUE,FALSE)</f>
        <v>1</v>
      </c>
      <c r="I3386" s="68">
        <v>87.89016574074073</v>
      </c>
      <c r="J3386" s="68">
        <f t="shared" si="1"/>
        <v>263.6704972</v>
      </c>
      <c r="K3386" s="68" t="b">
        <v>1</v>
      </c>
    </row>
    <row r="3387">
      <c r="A3387" s="75">
        <v>3381.0</v>
      </c>
      <c r="B3387" s="62" t="s">
        <v>2090</v>
      </c>
      <c r="C3387" s="62" t="s">
        <v>112</v>
      </c>
      <c r="D3387" s="62" t="s">
        <v>750</v>
      </c>
      <c r="E3387" s="76">
        <v>44056.0</v>
      </c>
      <c r="F3387" s="77">
        <v>0.041666666666666664</v>
      </c>
      <c r="G3387" s="62" t="b">
        <v>1</v>
      </c>
      <c r="H3387" s="78" t="b">
        <f>IF(VLOOKUP(C3387,Projetos!A:L,12,false)=TRUE,TRUE,FALSE)</f>
        <v>1</v>
      </c>
      <c r="I3387" s="68">
        <v>87.89016574074073</v>
      </c>
      <c r="J3387" s="68">
        <f t="shared" si="1"/>
        <v>87.89016574</v>
      </c>
      <c r="K3387" s="68" t="b">
        <v>1</v>
      </c>
    </row>
    <row r="3388">
      <c r="A3388" s="75">
        <v>3382.0</v>
      </c>
      <c r="B3388" s="62" t="s">
        <v>2090</v>
      </c>
      <c r="C3388" s="62" t="s">
        <v>104</v>
      </c>
      <c r="D3388" s="62" t="s">
        <v>2106</v>
      </c>
      <c r="E3388" s="76">
        <v>44056.0</v>
      </c>
      <c r="F3388" s="77">
        <v>0.14583333333333334</v>
      </c>
      <c r="G3388" s="62" t="b">
        <v>1</v>
      </c>
      <c r="H3388" s="78" t="b">
        <f>IF(VLOOKUP(C3388,Projetos!A:L,12,false)=TRUE,TRUE,FALSE)</f>
        <v>1</v>
      </c>
      <c r="I3388" s="68">
        <v>87.89016574074073</v>
      </c>
      <c r="J3388" s="68">
        <f t="shared" si="1"/>
        <v>307.6155801</v>
      </c>
      <c r="K3388" s="68" t="b">
        <v>1</v>
      </c>
    </row>
    <row r="3389">
      <c r="A3389" s="75">
        <v>3383.0</v>
      </c>
      <c r="B3389" s="62" t="s">
        <v>2090</v>
      </c>
      <c r="C3389" s="62" t="s">
        <v>104</v>
      </c>
      <c r="D3389" s="62" t="s">
        <v>2107</v>
      </c>
      <c r="E3389" s="76">
        <v>44057.0</v>
      </c>
      <c r="F3389" s="77">
        <v>0.23958333333333334</v>
      </c>
      <c r="G3389" s="62" t="b">
        <v>1</v>
      </c>
      <c r="H3389" s="78" t="b">
        <f>IF(VLOOKUP(C3389,Projetos!A:L,12,false)=TRUE,TRUE,FALSE)</f>
        <v>1</v>
      </c>
      <c r="I3389" s="68">
        <v>87.89016574074073</v>
      </c>
      <c r="J3389" s="68">
        <f t="shared" si="1"/>
        <v>505.368453</v>
      </c>
      <c r="K3389" s="68" t="b">
        <v>1</v>
      </c>
    </row>
    <row r="3390">
      <c r="A3390" s="75">
        <v>3384.0</v>
      </c>
      <c r="B3390" s="62" t="s">
        <v>2090</v>
      </c>
      <c r="C3390" s="62" t="s">
        <v>104</v>
      </c>
      <c r="D3390" s="62" t="s">
        <v>2107</v>
      </c>
      <c r="E3390" s="76">
        <v>44060.0</v>
      </c>
      <c r="F3390" s="77">
        <v>0.25</v>
      </c>
      <c r="G3390" s="62" t="b">
        <v>1</v>
      </c>
      <c r="H3390" s="78" t="b">
        <f>IF(VLOOKUP(C3390,Projetos!A:L,12,false)=TRUE,TRUE,FALSE)</f>
        <v>1</v>
      </c>
      <c r="I3390" s="68">
        <v>87.89016574074073</v>
      </c>
      <c r="J3390" s="68">
        <f t="shared" si="1"/>
        <v>527.3409944</v>
      </c>
      <c r="K3390" s="68" t="b">
        <v>1</v>
      </c>
    </row>
    <row r="3391">
      <c r="A3391" s="75">
        <v>3385.0</v>
      </c>
      <c r="B3391" s="62" t="s">
        <v>2090</v>
      </c>
      <c r="C3391" s="62" t="s">
        <v>104</v>
      </c>
      <c r="D3391" s="62" t="s">
        <v>2107</v>
      </c>
      <c r="E3391" s="76">
        <v>44061.0</v>
      </c>
      <c r="F3391" s="77">
        <v>0.23958333333333334</v>
      </c>
      <c r="G3391" s="62" t="b">
        <v>1</v>
      </c>
      <c r="H3391" s="78" t="b">
        <f>IF(VLOOKUP(C3391,Projetos!A:L,12,false)=TRUE,TRUE,FALSE)</f>
        <v>1</v>
      </c>
      <c r="I3391" s="68">
        <v>87.89016574074073</v>
      </c>
      <c r="J3391" s="68">
        <f t="shared" si="1"/>
        <v>505.368453</v>
      </c>
      <c r="K3391" s="68" t="b">
        <v>1</v>
      </c>
    </row>
    <row r="3392">
      <c r="A3392" s="75">
        <v>3386.0</v>
      </c>
      <c r="B3392" s="62" t="s">
        <v>2090</v>
      </c>
      <c r="C3392" s="62" t="s">
        <v>104</v>
      </c>
      <c r="D3392" s="62" t="s">
        <v>2107</v>
      </c>
      <c r="E3392" s="76">
        <v>44062.0</v>
      </c>
      <c r="F3392" s="77">
        <v>0.16666666666666666</v>
      </c>
      <c r="G3392" s="62" t="b">
        <v>1</v>
      </c>
      <c r="H3392" s="78" t="b">
        <f>IF(VLOOKUP(C3392,Projetos!A:L,12,false)=TRUE,TRUE,FALSE)</f>
        <v>1</v>
      </c>
      <c r="I3392" s="68">
        <v>87.89016574074073</v>
      </c>
      <c r="J3392" s="68">
        <f t="shared" si="1"/>
        <v>351.560663</v>
      </c>
      <c r="K3392" s="68" t="b">
        <v>1</v>
      </c>
    </row>
    <row r="3393">
      <c r="A3393" s="75">
        <v>3387.0</v>
      </c>
      <c r="B3393" s="62" t="s">
        <v>2090</v>
      </c>
      <c r="C3393" s="62" t="s">
        <v>110</v>
      </c>
      <c r="D3393" s="62" t="s">
        <v>745</v>
      </c>
      <c r="E3393" s="76">
        <v>44067.0</v>
      </c>
      <c r="F3393" s="77">
        <v>0.052083333333333336</v>
      </c>
      <c r="G3393" s="62" t="b">
        <v>1</v>
      </c>
      <c r="H3393" s="78" t="b">
        <f>IF(VLOOKUP(C3393,Projetos!A:L,12,false)=TRUE,TRUE,FALSE)</f>
        <v>1</v>
      </c>
      <c r="I3393" s="68">
        <v>87.89016574074073</v>
      </c>
      <c r="J3393" s="68">
        <f t="shared" si="1"/>
        <v>109.8627072</v>
      </c>
      <c r="K3393" s="68" t="b">
        <v>1</v>
      </c>
    </row>
    <row r="3394">
      <c r="A3394" s="75">
        <v>3388.0</v>
      </c>
      <c r="B3394" s="62" t="s">
        <v>2090</v>
      </c>
      <c r="C3394" s="62" t="s">
        <v>112</v>
      </c>
      <c r="D3394" s="62" t="s">
        <v>750</v>
      </c>
      <c r="E3394" s="76">
        <v>44067.0</v>
      </c>
      <c r="F3394" s="77">
        <v>0.08333333333333333</v>
      </c>
      <c r="G3394" s="62" t="b">
        <v>1</v>
      </c>
      <c r="H3394" s="78" t="b">
        <f>IF(VLOOKUP(C3394,Projetos!A:L,12,false)=TRUE,TRUE,FALSE)</f>
        <v>1</v>
      </c>
      <c r="I3394" s="68">
        <v>87.89016574074073</v>
      </c>
      <c r="J3394" s="68">
        <f t="shared" si="1"/>
        <v>175.7803315</v>
      </c>
      <c r="K3394" s="68" t="b">
        <v>1</v>
      </c>
    </row>
    <row r="3395">
      <c r="A3395" s="75">
        <v>3389.0</v>
      </c>
      <c r="B3395" s="62" t="s">
        <v>2090</v>
      </c>
      <c r="C3395" s="62" t="s">
        <v>104</v>
      </c>
      <c r="D3395" s="62" t="s">
        <v>2107</v>
      </c>
      <c r="E3395" s="76">
        <v>44068.0</v>
      </c>
      <c r="F3395" s="77">
        <v>0.08333333333333333</v>
      </c>
      <c r="G3395" s="62" t="b">
        <v>1</v>
      </c>
      <c r="H3395" s="78" t="b">
        <f>IF(VLOOKUP(C3395,Projetos!A:L,12,false)=TRUE,TRUE,FALSE)</f>
        <v>1</v>
      </c>
      <c r="I3395" s="68">
        <v>87.89016574074073</v>
      </c>
      <c r="J3395" s="68">
        <f t="shared" si="1"/>
        <v>175.7803315</v>
      </c>
      <c r="K3395" s="68" t="b">
        <v>1</v>
      </c>
    </row>
    <row r="3396">
      <c r="A3396" s="75">
        <v>3390.0</v>
      </c>
      <c r="B3396" s="62" t="s">
        <v>2090</v>
      </c>
      <c r="C3396" s="62" t="s">
        <v>110</v>
      </c>
      <c r="D3396" s="62" t="s">
        <v>745</v>
      </c>
      <c r="E3396" s="76">
        <v>44069.0</v>
      </c>
      <c r="F3396" s="77">
        <v>0.052083333333333336</v>
      </c>
      <c r="G3396" s="62" t="b">
        <v>1</v>
      </c>
      <c r="H3396" s="78" t="b">
        <f>IF(VLOOKUP(C3396,Projetos!A:L,12,false)=TRUE,TRUE,FALSE)</f>
        <v>1</v>
      </c>
      <c r="I3396" s="68">
        <v>87.89016574074073</v>
      </c>
      <c r="J3396" s="68">
        <f t="shared" si="1"/>
        <v>109.8627072</v>
      </c>
      <c r="K3396" s="68" t="b">
        <v>1</v>
      </c>
    </row>
    <row r="3397">
      <c r="A3397" s="75">
        <v>3391.0</v>
      </c>
      <c r="B3397" s="62" t="s">
        <v>2090</v>
      </c>
      <c r="C3397" s="62" t="s">
        <v>104</v>
      </c>
      <c r="D3397" s="62" t="s">
        <v>2108</v>
      </c>
      <c r="E3397" s="76">
        <v>44069.0</v>
      </c>
      <c r="F3397" s="77">
        <v>0.125</v>
      </c>
      <c r="G3397" s="62" t="b">
        <v>1</v>
      </c>
      <c r="H3397" s="78" t="b">
        <f>IF(VLOOKUP(C3397,Projetos!A:L,12,false)=TRUE,TRUE,FALSE)</f>
        <v>1</v>
      </c>
      <c r="I3397" s="68">
        <v>87.89016574074073</v>
      </c>
      <c r="J3397" s="68">
        <f t="shared" si="1"/>
        <v>263.6704972</v>
      </c>
      <c r="K3397" s="68" t="b">
        <v>1</v>
      </c>
    </row>
    <row r="3398">
      <c r="A3398" s="75">
        <v>3392.0</v>
      </c>
      <c r="B3398" s="62" t="s">
        <v>2090</v>
      </c>
      <c r="C3398" s="62" t="s">
        <v>104</v>
      </c>
      <c r="D3398" s="62" t="s">
        <v>2108</v>
      </c>
      <c r="E3398" s="76">
        <v>44070.0</v>
      </c>
      <c r="F3398" s="77">
        <v>0.07291666666666667</v>
      </c>
      <c r="G3398" s="62" t="b">
        <v>1</v>
      </c>
      <c r="H3398" s="78" t="b">
        <f>IF(VLOOKUP(C3398,Projetos!A:L,12,false)=TRUE,TRUE,FALSE)</f>
        <v>1</v>
      </c>
      <c r="I3398" s="68">
        <v>87.89016574074073</v>
      </c>
      <c r="J3398" s="68">
        <f t="shared" si="1"/>
        <v>153.80779</v>
      </c>
      <c r="K3398" s="68" t="b">
        <v>1</v>
      </c>
    </row>
    <row r="3399">
      <c r="A3399" s="75">
        <v>3393.0</v>
      </c>
      <c r="B3399" s="62" t="s">
        <v>2090</v>
      </c>
      <c r="C3399" s="62" t="s">
        <v>110</v>
      </c>
      <c r="D3399" s="62" t="s">
        <v>745</v>
      </c>
      <c r="E3399" s="76">
        <v>44070.0</v>
      </c>
      <c r="F3399" s="77">
        <v>0.0625</v>
      </c>
      <c r="G3399" s="62" t="b">
        <v>1</v>
      </c>
      <c r="H3399" s="78" t="b">
        <f>IF(VLOOKUP(C3399,Projetos!A:L,12,false)=TRUE,TRUE,FALSE)</f>
        <v>1</v>
      </c>
      <c r="I3399" s="68">
        <v>87.89016574074073</v>
      </c>
      <c r="J3399" s="68">
        <f t="shared" si="1"/>
        <v>131.8352486</v>
      </c>
      <c r="K3399" s="68" t="b">
        <v>1</v>
      </c>
    </row>
    <row r="3400">
      <c r="A3400" s="75">
        <v>3394.0</v>
      </c>
      <c r="B3400" s="62" t="s">
        <v>2090</v>
      </c>
      <c r="C3400" s="62" t="s">
        <v>104</v>
      </c>
      <c r="D3400" s="62" t="s">
        <v>2108</v>
      </c>
      <c r="E3400" s="76">
        <v>44074.0</v>
      </c>
      <c r="F3400" s="77">
        <v>0.40625</v>
      </c>
      <c r="G3400" s="62" t="b">
        <v>1</v>
      </c>
      <c r="H3400" s="78" t="b">
        <f>IF(VLOOKUP(C3400,Projetos!A:L,12,false)=TRUE,TRUE,FALSE)</f>
        <v>1</v>
      </c>
      <c r="I3400" s="68">
        <v>87.89016574074073</v>
      </c>
      <c r="J3400" s="68">
        <f t="shared" si="1"/>
        <v>856.929116</v>
      </c>
      <c r="K3400" s="68" t="b">
        <v>1</v>
      </c>
    </row>
    <row r="3401">
      <c r="A3401" s="75">
        <v>3395.0</v>
      </c>
      <c r="B3401" s="62" t="s">
        <v>2090</v>
      </c>
      <c r="C3401" s="62" t="s">
        <v>84</v>
      </c>
      <c r="D3401" s="62" t="s">
        <v>1289</v>
      </c>
      <c r="E3401" s="76">
        <v>44046.0</v>
      </c>
      <c r="F3401" s="77">
        <v>0.041666666666666664</v>
      </c>
      <c r="G3401" s="62" t="b">
        <v>1</v>
      </c>
      <c r="H3401" s="78" t="b">
        <f>IF(VLOOKUP(C3401,Projetos!A:L,12,false)=TRUE,TRUE,FALSE)</f>
        <v>1</v>
      </c>
      <c r="I3401" s="68">
        <v>87.89016574074073</v>
      </c>
      <c r="J3401" s="68">
        <f t="shared" si="1"/>
        <v>87.89016574</v>
      </c>
      <c r="K3401" s="68" t="b">
        <v>1</v>
      </c>
    </row>
    <row r="3402">
      <c r="A3402" s="75">
        <v>3396.0</v>
      </c>
      <c r="B3402" s="62" t="s">
        <v>2090</v>
      </c>
      <c r="C3402" s="62" t="s">
        <v>84</v>
      </c>
      <c r="D3402" s="62" t="s">
        <v>1289</v>
      </c>
      <c r="E3402" s="76">
        <v>44047.0</v>
      </c>
      <c r="F3402" s="77">
        <v>0.041666666666666664</v>
      </c>
      <c r="G3402" s="62" t="b">
        <v>1</v>
      </c>
      <c r="H3402" s="78" t="b">
        <f>IF(VLOOKUP(C3402,Projetos!A:L,12,false)=TRUE,TRUE,FALSE)</f>
        <v>1</v>
      </c>
      <c r="I3402" s="68">
        <v>87.89016574074073</v>
      </c>
      <c r="J3402" s="68">
        <f t="shared" si="1"/>
        <v>87.89016574</v>
      </c>
      <c r="K3402" s="68" t="b">
        <v>1</v>
      </c>
    </row>
    <row r="3403">
      <c r="A3403" s="75">
        <v>3397.0</v>
      </c>
      <c r="B3403" s="62" t="s">
        <v>2090</v>
      </c>
      <c r="C3403" s="62" t="s">
        <v>84</v>
      </c>
      <c r="D3403" s="62" t="s">
        <v>1289</v>
      </c>
      <c r="E3403" s="76">
        <v>44048.0</v>
      </c>
      <c r="F3403" s="77">
        <v>0.041666666666666664</v>
      </c>
      <c r="G3403" s="62" t="b">
        <v>1</v>
      </c>
      <c r="H3403" s="78" t="b">
        <f>IF(VLOOKUP(C3403,Projetos!A:L,12,false)=TRUE,TRUE,FALSE)</f>
        <v>1</v>
      </c>
      <c r="I3403" s="68">
        <v>87.89016574074073</v>
      </c>
      <c r="J3403" s="68">
        <f t="shared" si="1"/>
        <v>87.89016574</v>
      </c>
      <c r="K3403" s="68" t="b">
        <v>1</v>
      </c>
    </row>
    <row r="3404">
      <c r="A3404" s="75">
        <v>3398.0</v>
      </c>
      <c r="B3404" s="62" t="s">
        <v>2090</v>
      </c>
      <c r="C3404" s="62" t="s">
        <v>101</v>
      </c>
      <c r="D3404" s="62" t="s">
        <v>1294</v>
      </c>
      <c r="E3404" s="76">
        <v>44048.0</v>
      </c>
      <c r="F3404" s="77">
        <v>0.10416666666666667</v>
      </c>
      <c r="G3404" s="62" t="b">
        <v>1</v>
      </c>
      <c r="H3404" s="78" t="b">
        <f>IF(VLOOKUP(C3404,Projetos!A:L,12,false)=TRUE,TRUE,FALSE)</f>
        <v>1</v>
      </c>
      <c r="I3404" s="68">
        <v>87.89016574074073</v>
      </c>
      <c r="J3404" s="68">
        <f t="shared" si="1"/>
        <v>219.7254144</v>
      </c>
      <c r="K3404" s="68" t="b">
        <v>1</v>
      </c>
    </row>
    <row r="3405">
      <c r="A3405" s="75">
        <v>3399.0</v>
      </c>
      <c r="B3405" s="62" t="s">
        <v>2090</v>
      </c>
      <c r="C3405" s="62" t="s">
        <v>84</v>
      </c>
      <c r="D3405" s="62" t="s">
        <v>1289</v>
      </c>
      <c r="E3405" s="76">
        <v>44049.0</v>
      </c>
      <c r="F3405" s="77">
        <v>0.041666666666666664</v>
      </c>
      <c r="G3405" s="62" t="b">
        <v>1</v>
      </c>
      <c r="H3405" s="78" t="b">
        <f>IF(VLOOKUP(C3405,Projetos!A:L,12,false)=TRUE,TRUE,FALSE)</f>
        <v>1</v>
      </c>
      <c r="I3405" s="68">
        <v>87.89016574074073</v>
      </c>
      <c r="J3405" s="68">
        <f t="shared" si="1"/>
        <v>87.89016574</v>
      </c>
      <c r="K3405" s="68" t="b">
        <v>1</v>
      </c>
    </row>
    <row r="3406" hidden="1">
      <c r="A3406" s="75">
        <v>3400.0</v>
      </c>
      <c r="B3406" s="62" t="s">
        <v>2090</v>
      </c>
      <c r="C3406" s="62" t="s">
        <v>111</v>
      </c>
      <c r="D3406" s="62" t="s">
        <v>1295</v>
      </c>
      <c r="E3406" s="76">
        <v>44054.0</v>
      </c>
      <c r="F3406" s="77">
        <v>0.08333333333333333</v>
      </c>
      <c r="G3406" s="62" t="b">
        <v>0</v>
      </c>
      <c r="H3406" s="78" t="b">
        <f>IF(VLOOKUP(C3406,Projetos!A:L,12,false)=TRUE,TRUE,FALSE)</f>
        <v>0</v>
      </c>
      <c r="I3406" s="68">
        <v>87.89016574074073</v>
      </c>
      <c r="J3406" s="68">
        <f t="shared" si="1"/>
        <v>0</v>
      </c>
      <c r="K3406" s="68" t="b">
        <v>0</v>
      </c>
    </row>
    <row r="3407">
      <c r="A3407" s="75">
        <v>3401.0</v>
      </c>
      <c r="B3407" s="62" t="s">
        <v>2090</v>
      </c>
      <c r="C3407" s="62" t="s">
        <v>84</v>
      </c>
      <c r="D3407" s="62" t="s">
        <v>1289</v>
      </c>
      <c r="E3407" s="76">
        <v>44055.0</v>
      </c>
      <c r="F3407" s="77">
        <v>0.041666666666666664</v>
      </c>
      <c r="G3407" s="62" t="b">
        <v>1</v>
      </c>
      <c r="H3407" s="78" t="b">
        <f>IF(VLOOKUP(C3407,Projetos!A:L,12,false)=TRUE,TRUE,FALSE)</f>
        <v>1</v>
      </c>
      <c r="I3407" s="68">
        <v>87.89016574074073</v>
      </c>
      <c r="J3407" s="68">
        <f t="shared" si="1"/>
        <v>87.89016574</v>
      </c>
      <c r="K3407" s="68" t="b">
        <v>1</v>
      </c>
    </row>
    <row r="3408">
      <c r="A3408" s="75">
        <v>3402.0</v>
      </c>
      <c r="B3408" s="62" t="s">
        <v>2090</v>
      </c>
      <c r="C3408" s="62" t="s">
        <v>112</v>
      </c>
      <c r="D3408" s="62" t="s">
        <v>1289</v>
      </c>
      <c r="E3408" s="76">
        <v>44061.0</v>
      </c>
      <c r="F3408" s="77">
        <v>0.0625</v>
      </c>
      <c r="G3408" s="62" t="b">
        <v>1</v>
      </c>
      <c r="H3408" s="78" t="b">
        <f>IF(VLOOKUP(C3408,Projetos!A:L,12,false)=TRUE,TRUE,FALSE)</f>
        <v>1</v>
      </c>
      <c r="I3408" s="68">
        <v>87.89016574074073</v>
      </c>
      <c r="J3408" s="68">
        <f t="shared" si="1"/>
        <v>131.8352486</v>
      </c>
      <c r="K3408" s="68" t="b">
        <v>1</v>
      </c>
    </row>
    <row r="3409">
      <c r="A3409" s="75">
        <v>3403.0</v>
      </c>
      <c r="B3409" s="62" t="s">
        <v>2090</v>
      </c>
      <c r="C3409" s="62" t="s">
        <v>86</v>
      </c>
      <c r="D3409" s="62" t="s">
        <v>751</v>
      </c>
      <c r="E3409" s="76">
        <v>44075.0</v>
      </c>
      <c r="F3409" s="77">
        <v>0.2916666666666667</v>
      </c>
      <c r="G3409" s="62" t="b">
        <v>1</v>
      </c>
      <c r="H3409" s="78" t="b">
        <f>IF(VLOOKUP(C3409,Projetos!A:L,12,false)=TRUE,TRUE,FALSE)</f>
        <v>1</v>
      </c>
      <c r="I3409" s="68">
        <v>101.93749081439391</v>
      </c>
      <c r="J3409" s="68">
        <f t="shared" si="1"/>
        <v>713.5624357</v>
      </c>
      <c r="K3409" s="68" t="b">
        <v>1</v>
      </c>
    </row>
    <row r="3410">
      <c r="A3410" s="75">
        <v>3404.0</v>
      </c>
      <c r="B3410" s="62" t="s">
        <v>2090</v>
      </c>
      <c r="C3410" s="62" t="s">
        <v>86</v>
      </c>
      <c r="D3410" s="62" t="s">
        <v>751</v>
      </c>
      <c r="E3410" s="76">
        <v>44076.0</v>
      </c>
      <c r="F3410" s="77">
        <v>0.08333333333333333</v>
      </c>
      <c r="G3410" s="62" t="b">
        <v>1</v>
      </c>
      <c r="H3410" s="78" t="b">
        <f>IF(VLOOKUP(C3410,Projetos!A:L,12,false)=TRUE,TRUE,FALSE)</f>
        <v>1</v>
      </c>
      <c r="I3410" s="68">
        <v>101.93749081439391</v>
      </c>
      <c r="J3410" s="68">
        <f t="shared" si="1"/>
        <v>203.8749816</v>
      </c>
      <c r="K3410" s="68" t="b">
        <v>1</v>
      </c>
    </row>
    <row r="3411">
      <c r="A3411" s="75">
        <v>3405.0</v>
      </c>
      <c r="B3411" s="62" t="s">
        <v>2090</v>
      </c>
      <c r="C3411" s="62" t="s">
        <v>86</v>
      </c>
      <c r="D3411" s="62" t="s">
        <v>751</v>
      </c>
      <c r="E3411" s="76">
        <v>44077.0</v>
      </c>
      <c r="F3411" s="77">
        <v>0.08333333333333333</v>
      </c>
      <c r="G3411" s="62" t="b">
        <v>1</v>
      </c>
      <c r="H3411" s="78" t="b">
        <f>IF(VLOOKUP(C3411,Projetos!A:L,12,false)=TRUE,TRUE,FALSE)</f>
        <v>1</v>
      </c>
      <c r="I3411" s="68">
        <v>101.93749081439391</v>
      </c>
      <c r="J3411" s="68">
        <f t="shared" si="1"/>
        <v>203.8749816</v>
      </c>
      <c r="K3411" s="68" t="b">
        <v>1</v>
      </c>
    </row>
    <row r="3412">
      <c r="A3412" s="75">
        <v>3406.0</v>
      </c>
      <c r="B3412" s="62" t="s">
        <v>2090</v>
      </c>
      <c r="C3412" s="62" t="s">
        <v>86</v>
      </c>
      <c r="D3412" s="62" t="s">
        <v>2109</v>
      </c>
      <c r="E3412" s="76">
        <v>44081.0</v>
      </c>
      <c r="F3412" s="77">
        <v>0.4527777777777778</v>
      </c>
      <c r="G3412" s="62" t="b">
        <v>1</v>
      </c>
      <c r="H3412" s="78" t="b">
        <f>IF(VLOOKUP(C3412,Projetos!A:L,12,false)=TRUE,TRUE,FALSE)</f>
        <v>1</v>
      </c>
      <c r="I3412" s="68">
        <v>101.93749081439391</v>
      </c>
      <c r="J3412" s="68">
        <f t="shared" si="1"/>
        <v>1107.720734</v>
      </c>
      <c r="K3412" s="68" t="b">
        <v>1</v>
      </c>
    </row>
    <row r="3413">
      <c r="A3413" s="75">
        <v>3407.0</v>
      </c>
      <c r="B3413" s="62" t="s">
        <v>2090</v>
      </c>
      <c r="C3413" s="62" t="s">
        <v>86</v>
      </c>
      <c r="D3413" s="62" t="s">
        <v>2109</v>
      </c>
      <c r="E3413" s="76">
        <v>44082.0</v>
      </c>
      <c r="F3413" s="77">
        <v>0.4236111111111111</v>
      </c>
      <c r="G3413" s="62" t="b">
        <v>1</v>
      </c>
      <c r="H3413" s="78" t="b">
        <f>IF(VLOOKUP(C3413,Projetos!A:L,12,false)=TRUE,TRUE,FALSE)</f>
        <v>1</v>
      </c>
      <c r="I3413" s="68">
        <v>101.93749081439391</v>
      </c>
      <c r="J3413" s="68">
        <f t="shared" si="1"/>
        <v>1036.36449</v>
      </c>
      <c r="K3413" s="68" t="b">
        <v>1</v>
      </c>
    </row>
    <row r="3414">
      <c r="A3414" s="75">
        <v>3408.0</v>
      </c>
      <c r="B3414" s="62" t="s">
        <v>2090</v>
      </c>
      <c r="C3414" s="62" t="s">
        <v>85</v>
      </c>
      <c r="D3414" s="62" t="s">
        <v>2110</v>
      </c>
      <c r="E3414" s="76">
        <v>44091.0</v>
      </c>
      <c r="F3414" s="77">
        <v>0.35347222222222224</v>
      </c>
      <c r="G3414" s="62" t="b">
        <v>1</v>
      </c>
      <c r="H3414" s="78" t="b">
        <f>IF(VLOOKUP(C3414,Projetos!A:L,12,false)=TRUE,TRUE,FALSE)</f>
        <v>1</v>
      </c>
      <c r="I3414" s="68">
        <v>101.93749081439391</v>
      </c>
      <c r="J3414" s="68">
        <f t="shared" si="1"/>
        <v>864.7697137</v>
      </c>
      <c r="K3414" s="68" t="b">
        <v>1</v>
      </c>
    </row>
    <row r="3415">
      <c r="A3415" s="75">
        <v>3409.0</v>
      </c>
      <c r="B3415" s="62" t="s">
        <v>2090</v>
      </c>
      <c r="C3415" s="62" t="s">
        <v>85</v>
      </c>
      <c r="D3415" s="62" t="s">
        <v>1299</v>
      </c>
      <c r="E3415" s="76">
        <v>44093.0</v>
      </c>
      <c r="F3415" s="77">
        <v>0.4527777777777778</v>
      </c>
      <c r="G3415" s="62" t="b">
        <v>1</v>
      </c>
      <c r="H3415" s="78" t="b">
        <f>IF(VLOOKUP(C3415,Projetos!A:L,12,false)=TRUE,TRUE,FALSE)</f>
        <v>1</v>
      </c>
      <c r="I3415" s="68">
        <v>101.93749081439391</v>
      </c>
      <c r="J3415" s="68">
        <f t="shared" si="1"/>
        <v>1107.720734</v>
      </c>
      <c r="K3415" s="68" t="b">
        <v>1</v>
      </c>
    </row>
    <row r="3416">
      <c r="A3416" s="75">
        <v>3410.0</v>
      </c>
      <c r="B3416" s="62" t="s">
        <v>2090</v>
      </c>
      <c r="C3416" s="62" t="s">
        <v>85</v>
      </c>
      <c r="D3416" s="62" t="s">
        <v>1299</v>
      </c>
      <c r="E3416" s="76">
        <v>44094.0</v>
      </c>
      <c r="F3416" s="77">
        <v>0.4236111111111111</v>
      </c>
      <c r="G3416" s="62" t="b">
        <v>1</v>
      </c>
      <c r="H3416" s="78" t="b">
        <f>IF(VLOOKUP(C3416,Projetos!A:L,12,false)=TRUE,TRUE,FALSE)</f>
        <v>1</v>
      </c>
      <c r="I3416" s="68">
        <v>101.93749081439391</v>
      </c>
      <c r="J3416" s="68">
        <f t="shared" si="1"/>
        <v>1036.36449</v>
      </c>
      <c r="K3416" s="68" t="b">
        <v>1</v>
      </c>
    </row>
    <row r="3417">
      <c r="A3417" s="75">
        <v>3411.0</v>
      </c>
      <c r="B3417" s="62" t="s">
        <v>2090</v>
      </c>
      <c r="C3417" s="62" t="s">
        <v>85</v>
      </c>
      <c r="D3417" s="62" t="s">
        <v>1299</v>
      </c>
      <c r="E3417" s="76">
        <v>44095.0</v>
      </c>
      <c r="F3417" s="77">
        <v>0.35347222222222224</v>
      </c>
      <c r="G3417" s="62" t="b">
        <v>1</v>
      </c>
      <c r="H3417" s="78" t="b">
        <f>IF(VLOOKUP(C3417,Projetos!A:L,12,false)=TRUE,TRUE,FALSE)</f>
        <v>1</v>
      </c>
      <c r="I3417" s="68">
        <v>101.93749081439391</v>
      </c>
      <c r="J3417" s="68">
        <f t="shared" si="1"/>
        <v>864.7697137</v>
      </c>
      <c r="K3417" s="68" t="b">
        <v>1</v>
      </c>
    </row>
    <row r="3418">
      <c r="A3418" s="75">
        <v>3412.0</v>
      </c>
      <c r="B3418" s="62" t="s">
        <v>2090</v>
      </c>
      <c r="C3418" s="62" t="s">
        <v>85</v>
      </c>
      <c r="D3418" s="62" t="s">
        <v>2109</v>
      </c>
      <c r="E3418" s="76">
        <v>44096.0</v>
      </c>
      <c r="F3418" s="77">
        <v>0.15625</v>
      </c>
      <c r="G3418" s="62" t="b">
        <v>1</v>
      </c>
      <c r="H3418" s="78" t="b">
        <f>IF(VLOOKUP(C3418,Projetos!A:L,12,false)=TRUE,TRUE,FALSE)</f>
        <v>1</v>
      </c>
      <c r="I3418" s="68">
        <v>101.93749081439391</v>
      </c>
      <c r="J3418" s="68">
        <f t="shared" si="1"/>
        <v>382.2655906</v>
      </c>
      <c r="K3418" s="68" t="b">
        <v>1</v>
      </c>
    </row>
    <row r="3419">
      <c r="A3419" s="75">
        <v>3413.0</v>
      </c>
      <c r="B3419" s="62" t="s">
        <v>2090</v>
      </c>
      <c r="C3419" s="62" t="s">
        <v>104</v>
      </c>
      <c r="D3419" s="62" t="s">
        <v>2111</v>
      </c>
      <c r="E3419" s="76">
        <v>44097.0</v>
      </c>
      <c r="F3419" s="77">
        <v>0.4583333333333333</v>
      </c>
      <c r="G3419" s="62" t="b">
        <v>1</v>
      </c>
      <c r="H3419" s="78" t="b">
        <f>IF(VLOOKUP(C3419,Projetos!A:L,12,false)=TRUE,TRUE,FALSE)</f>
        <v>1</v>
      </c>
      <c r="I3419" s="68">
        <v>101.93749081439391</v>
      </c>
      <c r="J3419" s="68">
        <f t="shared" si="1"/>
        <v>1121.312399</v>
      </c>
      <c r="K3419" s="68" t="b">
        <v>1</v>
      </c>
    </row>
    <row r="3420">
      <c r="A3420" s="75">
        <v>3414.0</v>
      </c>
      <c r="B3420" s="62" t="s">
        <v>2090</v>
      </c>
      <c r="C3420" s="62" t="s">
        <v>85</v>
      </c>
      <c r="D3420" s="62" t="s">
        <v>2109</v>
      </c>
      <c r="E3420" s="76">
        <v>44097.0</v>
      </c>
      <c r="F3420" s="77">
        <v>0.15625</v>
      </c>
      <c r="G3420" s="62" t="b">
        <v>1</v>
      </c>
      <c r="H3420" s="78" t="b">
        <f>IF(VLOOKUP(C3420,Projetos!A:L,12,false)=TRUE,TRUE,FALSE)</f>
        <v>1</v>
      </c>
      <c r="I3420" s="68">
        <v>101.93749081439391</v>
      </c>
      <c r="J3420" s="68">
        <f t="shared" si="1"/>
        <v>382.2655906</v>
      </c>
      <c r="K3420" s="68" t="b">
        <v>1</v>
      </c>
    </row>
    <row r="3421">
      <c r="A3421" s="75">
        <v>3415.0</v>
      </c>
      <c r="B3421" s="62" t="s">
        <v>2090</v>
      </c>
      <c r="C3421" s="62" t="s">
        <v>85</v>
      </c>
      <c r="D3421" s="62" t="s">
        <v>2109</v>
      </c>
      <c r="E3421" s="76">
        <v>44097.0</v>
      </c>
      <c r="F3421" s="77">
        <v>0.15625</v>
      </c>
      <c r="G3421" s="62" t="b">
        <v>1</v>
      </c>
      <c r="H3421" s="78" t="b">
        <f>IF(VLOOKUP(C3421,Projetos!A:L,12,false)=TRUE,TRUE,FALSE)</f>
        <v>1</v>
      </c>
      <c r="I3421" s="68">
        <v>101.93749081439391</v>
      </c>
      <c r="J3421" s="68">
        <f t="shared" si="1"/>
        <v>382.2655906</v>
      </c>
      <c r="K3421" s="68" t="b">
        <v>1</v>
      </c>
    </row>
    <row r="3422">
      <c r="A3422" s="75">
        <v>3416.0</v>
      </c>
      <c r="B3422" s="62" t="s">
        <v>2090</v>
      </c>
      <c r="C3422" s="62" t="s">
        <v>85</v>
      </c>
      <c r="D3422" s="62" t="s">
        <v>2109</v>
      </c>
      <c r="E3422" s="76">
        <v>44098.0</v>
      </c>
      <c r="F3422" s="77">
        <v>0.15625</v>
      </c>
      <c r="G3422" s="62" t="b">
        <v>1</v>
      </c>
      <c r="H3422" s="78" t="b">
        <f>IF(VLOOKUP(C3422,Projetos!A:L,12,false)=TRUE,TRUE,FALSE)</f>
        <v>1</v>
      </c>
      <c r="I3422" s="68">
        <v>101.93749081439391</v>
      </c>
      <c r="J3422" s="68">
        <f t="shared" si="1"/>
        <v>382.2655906</v>
      </c>
      <c r="K3422" s="68" t="b">
        <v>1</v>
      </c>
    </row>
    <row r="3423">
      <c r="A3423" s="75">
        <v>3417.0</v>
      </c>
      <c r="B3423" s="62" t="s">
        <v>2090</v>
      </c>
      <c r="C3423" s="62" t="s">
        <v>85</v>
      </c>
      <c r="D3423" s="62" t="s">
        <v>2109</v>
      </c>
      <c r="E3423" s="76">
        <v>44099.0</v>
      </c>
      <c r="F3423" s="77">
        <v>0.15625</v>
      </c>
      <c r="G3423" s="62" t="b">
        <v>1</v>
      </c>
      <c r="H3423" s="78" t="b">
        <f>IF(VLOOKUP(C3423,Projetos!A:L,12,false)=TRUE,TRUE,FALSE)</f>
        <v>1</v>
      </c>
      <c r="I3423" s="68">
        <v>101.93749081439391</v>
      </c>
      <c r="J3423" s="68">
        <f t="shared" si="1"/>
        <v>382.2655906</v>
      </c>
      <c r="K3423" s="68" t="b">
        <v>1</v>
      </c>
    </row>
    <row r="3424">
      <c r="A3424" s="75">
        <v>3418.0</v>
      </c>
      <c r="B3424" s="62" t="s">
        <v>2090</v>
      </c>
      <c r="C3424" s="62" t="s">
        <v>85</v>
      </c>
      <c r="D3424" s="62" t="s">
        <v>2109</v>
      </c>
      <c r="E3424" s="76">
        <v>44102.0</v>
      </c>
      <c r="F3424" s="77">
        <v>0.15625</v>
      </c>
      <c r="G3424" s="62" t="b">
        <v>1</v>
      </c>
      <c r="H3424" s="78" t="b">
        <f>IF(VLOOKUP(C3424,Projetos!A:L,12,false)=TRUE,TRUE,FALSE)</f>
        <v>1</v>
      </c>
      <c r="I3424" s="68">
        <v>101.93749081439391</v>
      </c>
      <c r="J3424" s="68">
        <f t="shared" si="1"/>
        <v>382.2655906</v>
      </c>
      <c r="K3424" s="68" t="b">
        <v>1</v>
      </c>
    </row>
    <row r="3425">
      <c r="A3425" s="75">
        <v>3419.0</v>
      </c>
      <c r="B3425" s="62" t="s">
        <v>2090</v>
      </c>
      <c r="C3425" s="62" t="s">
        <v>85</v>
      </c>
      <c r="D3425" s="62" t="s">
        <v>2109</v>
      </c>
      <c r="E3425" s="76">
        <v>44103.0</v>
      </c>
      <c r="F3425" s="77">
        <v>0.15625</v>
      </c>
      <c r="G3425" s="62" t="b">
        <v>1</v>
      </c>
      <c r="H3425" s="78" t="b">
        <f>IF(VLOOKUP(C3425,Projetos!A:L,12,false)=TRUE,TRUE,FALSE)</f>
        <v>1</v>
      </c>
      <c r="I3425" s="68">
        <v>101.93749081439391</v>
      </c>
      <c r="J3425" s="68">
        <f t="shared" si="1"/>
        <v>382.2655906</v>
      </c>
      <c r="K3425" s="68" t="b">
        <v>1</v>
      </c>
    </row>
    <row r="3426">
      <c r="A3426" s="75">
        <v>3420.0</v>
      </c>
      <c r="B3426" s="62" t="s">
        <v>2090</v>
      </c>
      <c r="C3426" s="62" t="s">
        <v>85</v>
      </c>
      <c r="D3426" s="62" t="s">
        <v>2109</v>
      </c>
      <c r="E3426" s="76">
        <v>44103.0</v>
      </c>
      <c r="F3426" s="77">
        <v>0.15625</v>
      </c>
      <c r="G3426" s="62" t="b">
        <v>1</v>
      </c>
      <c r="H3426" s="78" t="b">
        <f>IF(VLOOKUP(C3426,Projetos!A:L,12,false)=TRUE,TRUE,FALSE)</f>
        <v>1</v>
      </c>
      <c r="I3426" s="68">
        <v>101.93749081439391</v>
      </c>
      <c r="J3426" s="68">
        <f t="shared" si="1"/>
        <v>382.2655906</v>
      </c>
      <c r="K3426" s="68" t="b">
        <v>1</v>
      </c>
    </row>
    <row r="3427">
      <c r="A3427" s="75">
        <v>3421.0</v>
      </c>
      <c r="B3427" s="62" t="s">
        <v>2090</v>
      </c>
      <c r="C3427" s="62" t="s">
        <v>85</v>
      </c>
      <c r="D3427" s="62" t="s">
        <v>2109</v>
      </c>
      <c r="E3427" s="76">
        <v>44104.0</v>
      </c>
      <c r="F3427" s="77">
        <v>0.19791666666666666</v>
      </c>
      <c r="G3427" s="62" t="b">
        <v>1</v>
      </c>
      <c r="H3427" s="78" t="b">
        <f>IF(VLOOKUP(C3427,Projetos!A:L,12,false)=TRUE,TRUE,FALSE)</f>
        <v>1</v>
      </c>
      <c r="I3427" s="68">
        <v>101.93749081439391</v>
      </c>
      <c r="J3427" s="68">
        <f t="shared" si="1"/>
        <v>484.2030814</v>
      </c>
      <c r="K3427" s="68" t="b">
        <v>1</v>
      </c>
    </row>
    <row r="3428">
      <c r="A3428" s="75">
        <v>3422.0</v>
      </c>
      <c r="B3428" s="62" t="s">
        <v>2090</v>
      </c>
      <c r="C3428" s="62" t="s">
        <v>85</v>
      </c>
      <c r="D3428" s="62" t="s">
        <v>2109</v>
      </c>
      <c r="E3428" s="76">
        <v>44105.0</v>
      </c>
      <c r="F3428" s="77">
        <v>0.15625</v>
      </c>
      <c r="G3428" s="62" t="b">
        <v>1</v>
      </c>
      <c r="H3428" s="78" t="b">
        <f>IF(VLOOKUP(C3428,Projetos!A:L,12,false)=TRUE,TRUE,FALSE)</f>
        <v>1</v>
      </c>
      <c r="I3428" s="68">
        <v>106.79165704365077</v>
      </c>
      <c r="J3428" s="68">
        <f t="shared" si="1"/>
        <v>400.4687139</v>
      </c>
      <c r="K3428" s="68" t="b">
        <v>1</v>
      </c>
    </row>
    <row r="3429">
      <c r="A3429" s="75">
        <v>3423.0</v>
      </c>
      <c r="B3429" s="62" t="s">
        <v>2090</v>
      </c>
      <c r="C3429" s="62" t="s">
        <v>85</v>
      </c>
      <c r="D3429" s="62" t="s">
        <v>2109</v>
      </c>
      <c r="E3429" s="76">
        <v>44106.0</v>
      </c>
      <c r="F3429" s="77">
        <v>0.15625</v>
      </c>
      <c r="G3429" s="62" t="b">
        <v>1</v>
      </c>
      <c r="H3429" s="78" t="b">
        <f>IF(VLOOKUP(C3429,Projetos!A:L,12,false)=TRUE,TRUE,FALSE)</f>
        <v>1</v>
      </c>
      <c r="I3429" s="68">
        <v>106.79165704365077</v>
      </c>
      <c r="J3429" s="68">
        <f t="shared" si="1"/>
        <v>400.4687139</v>
      </c>
      <c r="K3429" s="68" t="b">
        <v>1</v>
      </c>
    </row>
    <row r="3430">
      <c r="A3430" s="75">
        <v>3424.0</v>
      </c>
      <c r="B3430" s="62" t="s">
        <v>2090</v>
      </c>
      <c r="C3430" s="62" t="s">
        <v>85</v>
      </c>
      <c r="D3430" s="62" t="s">
        <v>2109</v>
      </c>
      <c r="E3430" s="76">
        <v>44109.0</v>
      </c>
      <c r="F3430" s="77">
        <v>0.15625</v>
      </c>
      <c r="G3430" s="62" t="b">
        <v>1</v>
      </c>
      <c r="H3430" s="78" t="b">
        <f>IF(VLOOKUP(C3430,Projetos!A:L,12,false)=TRUE,TRUE,FALSE)</f>
        <v>1</v>
      </c>
      <c r="I3430" s="68">
        <v>106.79165704365077</v>
      </c>
      <c r="J3430" s="68">
        <f t="shared" si="1"/>
        <v>400.4687139</v>
      </c>
      <c r="K3430" s="68" t="b">
        <v>1</v>
      </c>
    </row>
    <row r="3431">
      <c r="A3431" s="75">
        <v>3425.0</v>
      </c>
      <c r="B3431" s="62" t="s">
        <v>2090</v>
      </c>
      <c r="C3431" s="62" t="s">
        <v>85</v>
      </c>
      <c r="D3431" s="62" t="s">
        <v>2109</v>
      </c>
      <c r="E3431" s="76">
        <v>44110.0</v>
      </c>
      <c r="F3431" s="77">
        <v>0.15625</v>
      </c>
      <c r="G3431" s="62" t="b">
        <v>1</v>
      </c>
      <c r="H3431" s="78" t="b">
        <f>IF(VLOOKUP(C3431,Projetos!A:L,12,false)=TRUE,TRUE,FALSE)</f>
        <v>1</v>
      </c>
      <c r="I3431" s="68">
        <v>106.79165704365077</v>
      </c>
      <c r="J3431" s="68">
        <f t="shared" si="1"/>
        <v>400.4687139</v>
      </c>
      <c r="K3431" s="68" t="b">
        <v>1</v>
      </c>
    </row>
    <row r="3432">
      <c r="A3432" s="75">
        <v>3426.0</v>
      </c>
      <c r="B3432" s="62" t="s">
        <v>2090</v>
      </c>
      <c r="C3432" s="62" t="s">
        <v>104</v>
      </c>
      <c r="D3432" s="62" t="s">
        <v>2112</v>
      </c>
      <c r="E3432" s="76">
        <v>44111.0</v>
      </c>
      <c r="F3432" s="77">
        <v>0.15625</v>
      </c>
      <c r="G3432" s="62" t="b">
        <v>1</v>
      </c>
      <c r="H3432" s="78" t="b">
        <f>IF(VLOOKUP(C3432,Projetos!A:L,12,false)=TRUE,TRUE,FALSE)</f>
        <v>1</v>
      </c>
      <c r="I3432" s="68">
        <v>106.79165704365077</v>
      </c>
      <c r="J3432" s="68">
        <f t="shared" si="1"/>
        <v>400.4687139</v>
      </c>
      <c r="K3432" s="68" t="b">
        <v>1</v>
      </c>
    </row>
    <row r="3433">
      <c r="A3433" s="75">
        <v>3427.0</v>
      </c>
      <c r="B3433" s="62" t="s">
        <v>2090</v>
      </c>
      <c r="C3433" s="62" t="s">
        <v>85</v>
      </c>
      <c r="D3433" s="62" t="s">
        <v>2109</v>
      </c>
      <c r="E3433" s="76">
        <v>44112.0</v>
      </c>
      <c r="F3433" s="77">
        <v>0.15625</v>
      </c>
      <c r="G3433" s="62" t="b">
        <v>1</v>
      </c>
      <c r="H3433" s="78" t="b">
        <f>IF(VLOOKUP(C3433,Projetos!A:L,12,false)=TRUE,TRUE,FALSE)</f>
        <v>1</v>
      </c>
      <c r="I3433" s="68">
        <v>106.79165704365077</v>
      </c>
      <c r="J3433" s="68">
        <f t="shared" si="1"/>
        <v>400.4687139</v>
      </c>
      <c r="K3433" s="68" t="b">
        <v>1</v>
      </c>
    </row>
    <row r="3434">
      <c r="A3434" s="75">
        <v>3428.0</v>
      </c>
      <c r="B3434" s="62" t="s">
        <v>2090</v>
      </c>
      <c r="C3434" s="62" t="s">
        <v>85</v>
      </c>
      <c r="D3434" s="62" t="s">
        <v>2109</v>
      </c>
      <c r="E3434" s="76">
        <v>44113.0</v>
      </c>
      <c r="F3434" s="77">
        <v>0.15625</v>
      </c>
      <c r="G3434" s="62" t="b">
        <v>1</v>
      </c>
      <c r="H3434" s="78" t="b">
        <f>IF(VLOOKUP(C3434,Projetos!A:L,12,false)=TRUE,TRUE,FALSE)</f>
        <v>1</v>
      </c>
      <c r="I3434" s="68">
        <v>106.79165704365077</v>
      </c>
      <c r="J3434" s="68">
        <f t="shared" si="1"/>
        <v>400.4687139</v>
      </c>
      <c r="K3434" s="68" t="b">
        <v>1</v>
      </c>
    </row>
    <row r="3435">
      <c r="A3435" s="75">
        <v>3429.0</v>
      </c>
      <c r="B3435" s="62" t="s">
        <v>2090</v>
      </c>
      <c r="C3435" s="62" t="s">
        <v>85</v>
      </c>
      <c r="D3435" s="62" t="s">
        <v>2109</v>
      </c>
      <c r="E3435" s="76">
        <v>44116.0</v>
      </c>
      <c r="F3435" s="77">
        <v>0.15625</v>
      </c>
      <c r="G3435" s="62" t="b">
        <v>1</v>
      </c>
      <c r="H3435" s="78" t="b">
        <f>IF(VLOOKUP(C3435,Projetos!A:L,12,false)=TRUE,TRUE,FALSE)</f>
        <v>1</v>
      </c>
      <c r="I3435" s="68">
        <v>106.79165704365077</v>
      </c>
      <c r="J3435" s="68">
        <f t="shared" si="1"/>
        <v>400.4687139</v>
      </c>
      <c r="K3435" s="68" t="b">
        <v>1</v>
      </c>
    </row>
    <row r="3436">
      <c r="A3436" s="75">
        <v>3430.0</v>
      </c>
      <c r="B3436" s="62" t="s">
        <v>2090</v>
      </c>
      <c r="C3436" s="62" t="s">
        <v>85</v>
      </c>
      <c r="D3436" s="62" t="s">
        <v>2109</v>
      </c>
      <c r="E3436" s="76">
        <v>44117.0</v>
      </c>
      <c r="F3436" s="77">
        <v>0.15625</v>
      </c>
      <c r="G3436" s="62" t="b">
        <v>1</v>
      </c>
      <c r="H3436" s="78" t="b">
        <f>IF(VLOOKUP(C3436,Projetos!A:L,12,false)=TRUE,TRUE,FALSE)</f>
        <v>1</v>
      </c>
      <c r="I3436" s="68">
        <v>106.79165704365077</v>
      </c>
      <c r="J3436" s="68">
        <f t="shared" si="1"/>
        <v>400.4687139</v>
      </c>
      <c r="K3436" s="68" t="b">
        <v>1</v>
      </c>
    </row>
    <row r="3437">
      <c r="A3437" s="75">
        <v>3431.0</v>
      </c>
      <c r="B3437" s="62" t="s">
        <v>2090</v>
      </c>
      <c r="C3437" s="62" t="s">
        <v>85</v>
      </c>
      <c r="D3437" s="62" t="s">
        <v>2109</v>
      </c>
      <c r="E3437" s="76">
        <v>44118.0</v>
      </c>
      <c r="F3437" s="77">
        <v>0.15625</v>
      </c>
      <c r="G3437" s="62" t="b">
        <v>1</v>
      </c>
      <c r="H3437" s="78" t="b">
        <f>IF(VLOOKUP(C3437,Projetos!A:L,12,false)=TRUE,TRUE,FALSE)</f>
        <v>1</v>
      </c>
      <c r="I3437" s="68">
        <v>106.79165704365077</v>
      </c>
      <c r="J3437" s="68">
        <f t="shared" si="1"/>
        <v>400.4687139</v>
      </c>
      <c r="K3437" s="68" t="b">
        <v>1</v>
      </c>
    </row>
    <row r="3438">
      <c r="A3438" s="75">
        <v>3432.0</v>
      </c>
      <c r="B3438" s="62" t="s">
        <v>2090</v>
      </c>
      <c r="C3438" s="62" t="s">
        <v>104</v>
      </c>
      <c r="D3438" s="62" t="s">
        <v>2112</v>
      </c>
      <c r="E3438" s="76">
        <v>44119.0</v>
      </c>
      <c r="F3438" s="77">
        <v>0.15625</v>
      </c>
      <c r="G3438" s="62" t="b">
        <v>1</v>
      </c>
      <c r="H3438" s="78" t="b">
        <f>IF(VLOOKUP(C3438,Projetos!A:L,12,false)=TRUE,TRUE,FALSE)</f>
        <v>1</v>
      </c>
      <c r="I3438" s="68">
        <v>106.79165704365077</v>
      </c>
      <c r="J3438" s="68">
        <f t="shared" si="1"/>
        <v>400.4687139</v>
      </c>
      <c r="K3438" s="68" t="b">
        <v>1</v>
      </c>
    </row>
    <row r="3439">
      <c r="A3439" s="75">
        <v>3433.0</v>
      </c>
      <c r="B3439" s="62" t="s">
        <v>2090</v>
      </c>
      <c r="C3439" s="62" t="s">
        <v>85</v>
      </c>
      <c r="D3439" s="62" t="s">
        <v>2109</v>
      </c>
      <c r="E3439" s="76">
        <v>44120.0</v>
      </c>
      <c r="F3439" s="77">
        <v>0.15625</v>
      </c>
      <c r="G3439" s="62" t="b">
        <v>1</v>
      </c>
      <c r="H3439" s="78" t="b">
        <f>IF(VLOOKUP(C3439,Projetos!A:L,12,false)=TRUE,TRUE,FALSE)</f>
        <v>1</v>
      </c>
      <c r="I3439" s="68">
        <v>106.79165704365077</v>
      </c>
      <c r="J3439" s="68">
        <f t="shared" si="1"/>
        <v>400.4687139</v>
      </c>
      <c r="K3439" s="68" t="b">
        <v>1</v>
      </c>
    </row>
    <row r="3440">
      <c r="A3440" s="75">
        <v>3434.0</v>
      </c>
      <c r="B3440" s="62" t="s">
        <v>2090</v>
      </c>
      <c r="C3440" s="62" t="s">
        <v>85</v>
      </c>
      <c r="D3440" s="62" t="s">
        <v>2109</v>
      </c>
      <c r="E3440" s="76">
        <v>44123.0</v>
      </c>
      <c r="F3440" s="77">
        <v>0.15625</v>
      </c>
      <c r="G3440" s="62" t="b">
        <v>1</v>
      </c>
      <c r="H3440" s="78" t="b">
        <f>IF(VLOOKUP(C3440,Projetos!A:L,12,false)=TRUE,TRUE,FALSE)</f>
        <v>1</v>
      </c>
      <c r="I3440" s="68">
        <v>106.79165704365077</v>
      </c>
      <c r="J3440" s="68">
        <f t="shared" si="1"/>
        <v>400.4687139</v>
      </c>
      <c r="K3440" s="68" t="b">
        <v>1</v>
      </c>
    </row>
    <row r="3441">
      <c r="A3441" s="75">
        <v>3435.0</v>
      </c>
      <c r="B3441" s="62" t="s">
        <v>2090</v>
      </c>
      <c r="C3441" s="62" t="s">
        <v>104</v>
      </c>
      <c r="D3441" s="62" t="s">
        <v>2113</v>
      </c>
      <c r="E3441" s="76">
        <v>44124.0</v>
      </c>
      <c r="F3441" s="77">
        <v>0.15625</v>
      </c>
      <c r="G3441" s="62" t="b">
        <v>1</v>
      </c>
      <c r="H3441" s="78" t="b">
        <f>IF(VLOOKUP(C3441,Projetos!A:L,12,false)=TRUE,TRUE,FALSE)</f>
        <v>1</v>
      </c>
      <c r="I3441" s="68">
        <v>106.79165704365077</v>
      </c>
      <c r="J3441" s="68">
        <f t="shared" si="1"/>
        <v>400.4687139</v>
      </c>
      <c r="K3441" s="68" t="b">
        <v>1</v>
      </c>
    </row>
    <row r="3442">
      <c r="A3442" s="75">
        <v>3436.0</v>
      </c>
      <c r="B3442" s="62" t="s">
        <v>2090</v>
      </c>
      <c r="C3442" s="62" t="s">
        <v>85</v>
      </c>
      <c r="D3442" s="62" t="s">
        <v>2109</v>
      </c>
      <c r="E3442" s="76">
        <v>44125.0</v>
      </c>
      <c r="F3442" s="77">
        <v>0.15625</v>
      </c>
      <c r="G3442" s="62" t="b">
        <v>1</v>
      </c>
      <c r="H3442" s="78" t="b">
        <f>IF(VLOOKUP(C3442,Projetos!A:L,12,false)=TRUE,TRUE,FALSE)</f>
        <v>1</v>
      </c>
      <c r="I3442" s="68">
        <v>106.79165704365077</v>
      </c>
      <c r="J3442" s="68">
        <f t="shared" si="1"/>
        <v>400.4687139</v>
      </c>
      <c r="K3442" s="68" t="b">
        <v>1</v>
      </c>
    </row>
    <row r="3443">
      <c r="A3443" s="75">
        <v>3437.0</v>
      </c>
      <c r="B3443" s="62" t="s">
        <v>2090</v>
      </c>
      <c r="C3443" s="62" t="s">
        <v>85</v>
      </c>
      <c r="D3443" s="62" t="s">
        <v>2109</v>
      </c>
      <c r="E3443" s="76">
        <v>44126.0</v>
      </c>
      <c r="F3443" s="77">
        <v>0.15625</v>
      </c>
      <c r="G3443" s="62" t="b">
        <v>1</v>
      </c>
      <c r="H3443" s="78" t="b">
        <f>IF(VLOOKUP(C3443,Projetos!A:L,12,false)=TRUE,TRUE,FALSE)</f>
        <v>1</v>
      </c>
      <c r="I3443" s="68">
        <v>106.79165704365077</v>
      </c>
      <c r="J3443" s="68">
        <f t="shared" si="1"/>
        <v>400.4687139</v>
      </c>
      <c r="K3443" s="68" t="b">
        <v>1</v>
      </c>
    </row>
    <row r="3444">
      <c r="A3444" s="75">
        <v>3438.0</v>
      </c>
      <c r="B3444" s="62" t="s">
        <v>2090</v>
      </c>
      <c r="C3444" s="62" t="s">
        <v>85</v>
      </c>
      <c r="D3444" s="62" t="s">
        <v>2109</v>
      </c>
      <c r="E3444" s="76">
        <v>44127.0</v>
      </c>
      <c r="F3444" s="77">
        <v>0.15625</v>
      </c>
      <c r="G3444" s="62" t="b">
        <v>1</v>
      </c>
      <c r="H3444" s="78" t="b">
        <f>IF(VLOOKUP(C3444,Projetos!A:L,12,false)=TRUE,TRUE,FALSE)</f>
        <v>1</v>
      </c>
      <c r="I3444" s="68">
        <v>106.79165704365077</v>
      </c>
      <c r="J3444" s="68">
        <f t="shared" si="1"/>
        <v>400.4687139</v>
      </c>
      <c r="K3444" s="68" t="b">
        <v>1</v>
      </c>
    </row>
    <row r="3445">
      <c r="A3445" s="75">
        <v>3439.0</v>
      </c>
      <c r="B3445" s="62" t="s">
        <v>2090</v>
      </c>
      <c r="C3445" s="62" t="s">
        <v>110</v>
      </c>
      <c r="D3445" s="62" t="s">
        <v>753</v>
      </c>
      <c r="E3445" s="76">
        <v>44131.0</v>
      </c>
      <c r="F3445" s="77">
        <v>0.041666666666666664</v>
      </c>
      <c r="G3445" s="62" t="b">
        <v>1</v>
      </c>
      <c r="H3445" s="78" t="b">
        <f>IF(VLOOKUP(C3445,Projetos!A:L,12,false)=TRUE,TRUE,FALSE)</f>
        <v>1</v>
      </c>
      <c r="I3445" s="68">
        <v>106.79165704365077</v>
      </c>
      <c r="J3445" s="68">
        <f t="shared" si="1"/>
        <v>106.791657</v>
      </c>
      <c r="K3445" s="68" t="b">
        <v>1</v>
      </c>
    </row>
    <row r="3446">
      <c r="A3446" s="75">
        <v>3440.0</v>
      </c>
      <c r="B3446" s="62" t="s">
        <v>2090</v>
      </c>
      <c r="C3446" s="62" t="s">
        <v>97</v>
      </c>
      <c r="D3446" s="62" t="s">
        <v>1301</v>
      </c>
      <c r="E3446" s="76">
        <v>44131.0</v>
      </c>
      <c r="F3446" s="77">
        <v>0.041666666666666664</v>
      </c>
      <c r="G3446" s="62" t="b">
        <v>1</v>
      </c>
      <c r="H3446" s="78" t="b">
        <f>IF(VLOOKUP(C3446,Projetos!A:L,12,false)=TRUE,TRUE,FALSE)</f>
        <v>1</v>
      </c>
      <c r="I3446" s="68">
        <v>106.79165704365077</v>
      </c>
      <c r="J3446" s="68">
        <f t="shared" si="1"/>
        <v>106.791657</v>
      </c>
      <c r="K3446" s="68" t="b">
        <v>1</v>
      </c>
    </row>
    <row r="3447">
      <c r="A3447" s="75">
        <v>3441.0</v>
      </c>
      <c r="B3447" s="62" t="s">
        <v>2090</v>
      </c>
      <c r="C3447" s="62" t="s">
        <v>100</v>
      </c>
      <c r="D3447" s="62" t="s">
        <v>1301</v>
      </c>
      <c r="E3447" s="76">
        <v>44132.0</v>
      </c>
      <c r="F3447" s="77">
        <v>0.08333333333333333</v>
      </c>
      <c r="G3447" s="62" t="b">
        <v>1</v>
      </c>
      <c r="H3447" s="78" t="b">
        <f>IF(VLOOKUP(C3447,Projetos!A:L,12,false)=TRUE,TRUE,FALSE)</f>
        <v>1</v>
      </c>
      <c r="I3447" s="68">
        <v>106.79165704365077</v>
      </c>
      <c r="J3447" s="68">
        <f t="shared" si="1"/>
        <v>213.5833141</v>
      </c>
      <c r="K3447" s="68" t="b">
        <v>1</v>
      </c>
    </row>
    <row r="3448">
      <c r="A3448" s="75">
        <v>3442.0</v>
      </c>
      <c r="B3448" s="62" t="s">
        <v>2090</v>
      </c>
      <c r="C3448" s="62" t="s">
        <v>100</v>
      </c>
      <c r="D3448" s="62" t="s">
        <v>1301</v>
      </c>
      <c r="E3448" s="76">
        <v>44133.0</v>
      </c>
      <c r="F3448" s="77">
        <v>0.10416666666666667</v>
      </c>
      <c r="G3448" s="62" t="b">
        <v>1</v>
      </c>
      <c r="H3448" s="78" t="b">
        <f>IF(VLOOKUP(C3448,Projetos!A:L,12,false)=TRUE,TRUE,FALSE)</f>
        <v>1</v>
      </c>
      <c r="I3448" s="68">
        <v>106.79165704365077</v>
      </c>
      <c r="J3448" s="68">
        <f t="shared" si="1"/>
        <v>266.9791426</v>
      </c>
      <c r="K3448" s="68" t="b">
        <v>1</v>
      </c>
    </row>
    <row r="3449">
      <c r="A3449" s="75">
        <v>3443.0</v>
      </c>
      <c r="B3449" s="62" t="s">
        <v>2090</v>
      </c>
      <c r="C3449" s="62" t="s">
        <v>97</v>
      </c>
      <c r="D3449" s="62" t="s">
        <v>1301</v>
      </c>
      <c r="E3449" s="76">
        <v>44134.0</v>
      </c>
      <c r="F3449" s="77">
        <v>0.0625</v>
      </c>
      <c r="G3449" s="62" t="b">
        <v>1</v>
      </c>
      <c r="H3449" s="78" t="b">
        <f>IF(VLOOKUP(C3449,Projetos!A:L,12,false)=TRUE,TRUE,FALSE)</f>
        <v>1</v>
      </c>
      <c r="I3449" s="68">
        <v>106.79165704365077</v>
      </c>
      <c r="J3449" s="68">
        <f t="shared" si="1"/>
        <v>160.1874856</v>
      </c>
      <c r="K3449" s="68" t="b">
        <v>1</v>
      </c>
    </row>
    <row r="3450">
      <c r="A3450" s="75">
        <v>3444.0</v>
      </c>
      <c r="B3450" s="62" t="s">
        <v>2090</v>
      </c>
      <c r="C3450" s="62" t="s">
        <v>106</v>
      </c>
      <c r="D3450" s="62" t="s">
        <v>2114</v>
      </c>
      <c r="E3450" s="76">
        <v>44137.0</v>
      </c>
      <c r="F3450" s="77">
        <v>0.125</v>
      </c>
      <c r="G3450" s="62" t="b">
        <v>1</v>
      </c>
      <c r="H3450" s="78" t="b">
        <f>IF(VLOOKUP(C3450,Projetos!A:L,12,false)=TRUE,TRUE,FALSE)</f>
        <v>1</v>
      </c>
      <c r="I3450" s="68">
        <v>103.60923104912762</v>
      </c>
      <c r="J3450" s="68">
        <f t="shared" si="1"/>
        <v>310.8276931</v>
      </c>
      <c r="K3450" s="68" t="b">
        <v>1</v>
      </c>
    </row>
    <row r="3451">
      <c r="A3451" s="75">
        <v>3445.0</v>
      </c>
      <c r="B3451" s="62" t="s">
        <v>2090</v>
      </c>
      <c r="C3451" s="62" t="s">
        <v>106</v>
      </c>
      <c r="D3451" s="62" t="s">
        <v>2114</v>
      </c>
      <c r="E3451" s="76">
        <v>44138.0</v>
      </c>
      <c r="F3451" s="77">
        <v>0.125</v>
      </c>
      <c r="G3451" s="62" t="b">
        <v>1</v>
      </c>
      <c r="H3451" s="78" t="b">
        <f>IF(VLOOKUP(C3451,Projetos!A:L,12,false)=TRUE,TRUE,FALSE)</f>
        <v>1</v>
      </c>
      <c r="I3451" s="68">
        <v>103.60923104912762</v>
      </c>
      <c r="J3451" s="68">
        <f t="shared" si="1"/>
        <v>310.8276931</v>
      </c>
      <c r="K3451" s="68" t="b">
        <v>1</v>
      </c>
    </row>
    <row r="3452">
      <c r="A3452" s="75">
        <v>3446.0</v>
      </c>
      <c r="B3452" s="62" t="s">
        <v>2090</v>
      </c>
      <c r="C3452" s="62" t="s">
        <v>106</v>
      </c>
      <c r="D3452" s="62" t="s">
        <v>2114</v>
      </c>
      <c r="E3452" s="76">
        <v>44139.0</v>
      </c>
      <c r="F3452" s="77">
        <v>0.125</v>
      </c>
      <c r="G3452" s="62" t="b">
        <v>1</v>
      </c>
      <c r="H3452" s="78" t="b">
        <f>IF(VLOOKUP(C3452,Projetos!A:L,12,false)=TRUE,TRUE,FALSE)</f>
        <v>1</v>
      </c>
      <c r="I3452" s="68">
        <v>103.60923104912762</v>
      </c>
      <c r="J3452" s="68">
        <f t="shared" si="1"/>
        <v>310.8276931</v>
      </c>
      <c r="K3452" s="68" t="b">
        <v>1</v>
      </c>
    </row>
    <row r="3453">
      <c r="A3453" s="75">
        <v>3447.0</v>
      </c>
      <c r="B3453" s="62" t="s">
        <v>2090</v>
      </c>
      <c r="C3453" s="62" t="s">
        <v>106</v>
      </c>
      <c r="D3453" s="62" t="s">
        <v>2114</v>
      </c>
      <c r="E3453" s="76">
        <v>44140.0</v>
      </c>
      <c r="F3453" s="77">
        <v>0.125</v>
      </c>
      <c r="G3453" s="62" t="b">
        <v>1</v>
      </c>
      <c r="H3453" s="78" t="b">
        <f>IF(VLOOKUP(C3453,Projetos!A:L,12,false)=TRUE,TRUE,FALSE)</f>
        <v>1</v>
      </c>
      <c r="I3453" s="68">
        <v>103.60923104912762</v>
      </c>
      <c r="J3453" s="68">
        <f t="shared" si="1"/>
        <v>310.8276931</v>
      </c>
      <c r="K3453" s="68" t="b">
        <v>1</v>
      </c>
    </row>
    <row r="3454">
      <c r="A3454" s="75">
        <v>3448.0</v>
      </c>
      <c r="B3454" s="62" t="s">
        <v>2090</v>
      </c>
      <c r="C3454" s="62" t="s">
        <v>106</v>
      </c>
      <c r="D3454" s="62" t="s">
        <v>2114</v>
      </c>
      <c r="E3454" s="76">
        <v>44141.0</v>
      </c>
      <c r="F3454" s="77">
        <v>0.125</v>
      </c>
      <c r="G3454" s="62" t="b">
        <v>1</v>
      </c>
      <c r="H3454" s="78" t="b">
        <f>IF(VLOOKUP(C3454,Projetos!A:L,12,false)=TRUE,TRUE,FALSE)</f>
        <v>1</v>
      </c>
      <c r="I3454" s="68">
        <v>103.60923104912762</v>
      </c>
      <c r="J3454" s="68">
        <f t="shared" si="1"/>
        <v>310.8276931</v>
      </c>
      <c r="K3454" s="68" t="b">
        <v>1</v>
      </c>
    </row>
    <row r="3455">
      <c r="A3455" s="75">
        <v>3449.0</v>
      </c>
      <c r="B3455" s="62" t="s">
        <v>2090</v>
      </c>
      <c r="C3455" s="62" t="s">
        <v>106</v>
      </c>
      <c r="D3455" s="62" t="s">
        <v>2114</v>
      </c>
      <c r="E3455" s="76">
        <v>44144.0</v>
      </c>
      <c r="F3455" s="77">
        <v>0.125</v>
      </c>
      <c r="G3455" s="62" t="b">
        <v>1</v>
      </c>
      <c r="H3455" s="78" t="b">
        <f>IF(VLOOKUP(C3455,Projetos!A:L,12,false)=TRUE,TRUE,FALSE)</f>
        <v>1</v>
      </c>
      <c r="I3455" s="68">
        <v>103.60923104912762</v>
      </c>
      <c r="J3455" s="68">
        <f t="shared" si="1"/>
        <v>310.8276931</v>
      </c>
      <c r="K3455" s="68" t="b">
        <v>1</v>
      </c>
    </row>
    <row r="3456">
      <c r="A3456" s="75">
        <v>3450.0</v>
      </c>
      <c r="B3456" s="62" t="s">
        <v>2090</v>
      </c>
      <c r="C3456" s="62" t="s">
        <v>106</v>
      </c>
      <c r="D3456" s="62" t="s">
        <v>2114</v>
      </c>
      <c r="E3456" s="76">
        <v>44145.0</v>
      </c>
      <c r="F3456" s="77">
        <v>0.125</v>
      </c>
      <c r="G3456" s="62" t="b">
        <v>1</v>
      </c>
      <c r="H3456" s="78" t="b">
        <f>IF(VLOOKUP(C3456,Projetos!A:L,12,false)=TRUE,TRUE,FALSE)</f>
        <v>1</v>
      </c>
      <c r="I3456" s="68">
        <v>103.60923104912762</v>
      </c>
      <c r="J3456" s="68">
        <f t="shared" si="1"/>
        <v>310.8276931</v>
      </c>
      <c r="K3456" s="68" t="b">
        <v>1</v>
      </c>
    </row>
    <row r="3457">
      <c r="A3457" s="75">
        <v>3451.0</v>
      </c>
      <c r="B3457" s="62" t="s">
        <v>2090</v>
      </c>
      <c r="C3457" s="62" t="s">
        <v>138</v>
      </c>
      <c r="D3457" s="62" t="s">
        <v>1372</v>
      </c>
      <c r="E3457" s="76">
        <v>44148.0</v>
      </c>
      <c r="F3457" s="77">
        <v>0.041666666666666664</v>
      </c>
      <c r="G3457" s="62" t="b">
        <v>1</v>
      </c>
      <c r="H3457" s="78" t="b">
        <f>IF(VLOOKUP(C3457,Projetos!A:L,12,false)=TRUE,TRUE,FALSE)</f>
        <v>1</v>
      </c>
      <c r="I3457" s="68">
        <v>103.60923104912762</v>
      </c>
      <c r="J3457" s="68">
        <f t="shared" si="1"/>
        <v>103.609231</v>
      </c>
      <c r="K3457" s="68" t="b">
        <v>1</v>
      </c>
    </row>
    <row r="3458">
      <c r="A3458" s="75">
        <v>3452.0</v>
      </c>
      <c r="B3458" s="62" t="s">
        <v>2090</v>
      </c>
      <c r="C3458" s="62" t="s">
        <v>106</v>
      </c>
      <c r="D3458" s="62" t="s">
        <v>2114</v>
      </c>
      <c r="E3458" s="76">
        <v>44152.0</v>
      </c>
      <c r="F3458" s="77">
        <v>0.08333333333333333</v>
      </c>
      <c r="G3458" s="62" t="b">
        <v>1</v>
      </c>
      <c r="H3458" s="78" t="b">
        <f>IF(VLOOKUP(C3458,Projetos!A:L,12,false)=TRUE,TRUE,FALSE)</f>
        <v>1</v>
      </c>
      <c r="I3458" s="68">
        <v>103.60923104912762</v>
      </c>
      <c r="J3458" s="68">
        <f t="shared" si="1"/>
        <v>207.2184621</v>
      </c>
      <c r="K3458" s="68" t="b">
        <v>1</v>
      </c>
    </row>
    <row r="3459">
      <c r="A3459" s="75">
        <v>3453.0</v>
      </c>
      <c r="B3459" s="62" t="s">
        <v>2090</v>
      </c>
      <c r="C3459" s="62" t="s">
        <v>104</v>
      </c>
      <c r="D3459" s="62" t="s">
        <v>2112</v>
      </c>
      <c r="E3459" s="76">
        <v>44153.0</v>
      </c>
      <c r="F3459" s="77">
        <v>0.20833333333333334</v>
      </c>
      <c r="G3459" s="62" t="b">
        <v>1</v>
      </c>
      <c r="H3459" s="78" t="b">
        <f>IF(VLOOKUP(C3459,Projetos!A:L,12,false)=TRUE,TRUE,FALSE)</f>
        <v>1</v>
      </c>
      <c r="I3459" s="68">
        <v>103.60923104912762</v>
      </c>
      <c r="J3459" s="68">
        <f t="shared" si="1"/>
        <v>518.0461552</v>
      </c>
      <c r="K3459" s="68" t="b">
        <v>1</v>
      </c>
    </row>
    <row r="3460">
      <c r="A3460" s="75">
        <v>3454.0</v>
      </c>
      <c r="B3460" s="62" t="s">
        <v>2090</v>
      </c>
      <c r="C3460" s="62" t="s">
        <v>104</v>
      </c>
      <c r="D3460" s="62" t="s">
        <v>2115</v>
      </c>
      <c r="E3460" s="76">
        <v>44154.0</v>
      </c>
      <c r="F3460" s="77">
        <v>0.14583333333333334</v>
      </c>
      <c r="G3460" s="62" t="b">
        <v>1</v>
      </c>
      <c r="H3460" s="78" t="b">
        <f>IF(VLOOKUP(C3460,Projetos!A:L,12,false)=TRUE,TRUE,FALSE)</f>
        <v>1</v>
      </c>
      <c r="I3460" s="68">
        <v>103.60923104912762</v>
      </c>
      <c r="J3460" s="68">
        <f t="shared" si="1"/>
        <v>362.6323087</v>
      </c>
      <c r="K3460" s="68" t="b">
        <v>1</v>
      </c>
    </row>
    <row r="3461">
      <c r="A3461" s="75">
        <v>3455.0</v>
      </c>
      <c r="B3461" s="62" t="s">
        <v>2090</v>
      </c>
      <c r="C3461" s="62" t="s">
        <v>106</v>
      </c>
      <c r="D3461" s="62" t="s">
        <v>2116</v>
      </c>
      <c r="E3461" s="76">
        <v>44155.0</v>
      </c>
      <c r="F3461" s="77">
        <v>0.08333333333333333</v>
      </c>
      <c r="G3461" s="62" t="b">
        <v>1</v>
      </c>
      <c r="H3461" s="78" t="b">
        <f>IF(VLOOKUP(C3461,Projetos!A:L,12,false)=TRUE,TRUE,FALSE)</f>
        <v>1</v>
      </c>
      <c r="I3461" s="68">
        <v>103.60923104912762</v>
      </c>
      <c r="J3461" s="68">
        <f t="shared" si="1"/>
        <v>207.2184621</v>
      </c>
      <c r="K3461" s="68" t="b">
        <v>1</v>
      </c>
    </row>
    <row r="3462">
      <c r="A3462" s="75">
        <v>3456.0</v>
      </c>
      <c r="B3462" s="62" t="s">
        <v>2090</v>
      </c>
      <c r="C3462" s="62" t="s">
        <v>116</v>
      </c>
      <c r="D3462" s="62" t="s">
        <v>2117</v>
      </c>
      <c r="E3462" s="76">
        <v>44158.0</v>
      </c>
      <c r="F3462" s="77">
        <v>0.125</v>
      </c>
      <c r="G3462" s="62" t="b">
        <v>1</v>
      </c>
      <c r="H3462" s="78" t="b">
        <f>IF(VLOOKUP(C3462,Projetos!A:L,12,false)=TRUE,TRUE,FALSE)</f>
        <v>1</v>
      </c>
      <c r="I3462" s="68">
        <v>103.60923104912762</v>
      </c>
      <c r="J3462" s="68">
        <f t="shared" si="1"/>
        <v>310.8276931</v>
      </c>
      <c r="K3462" s="68" t="b">
        <v>1</v>
      </c>
    </row>
    <row r="3463">
      <c r="A3463" s="75">
        <v>3457.0</v>
      </c>
      <c r="B3463" s="62" t="s">
        <v>2090</v>
      </c>
      <c r="C3463" s="62" t="s">
        <v>104</v>
      </c>
      <c r="D3463" s="62" t="s">
        <v>2115</v>
      </c>
      <c r="E3463" s="76">
        <v>44160.0</v>
      </c>
      <c r="F3463" s="77">
        <v>0.08333333333333333</v>
      </c>
      <c r="G3463" s="62" t="b">
        <v>1</v>
      </c>
      <c r="H3463" s="78" t="b">
        <f>IF(VLOOKUP(C3463,Projetos!A:L,12,false)=TRUE,TRUE,FALSE)</f>
        <v>1</v>
      </c>
      <c r="I3463" s="68">
        <v>103.60923104912762</v>
      </c>
      <c r="J3463" s="68">
        <f t="shared" si="1"/>
        <v>207.2184621</v>
      </c>
      <c r="K3463" s="68" t="b">
        <v>1</v>
      </c>
    </row>
    <row r="3464">
      <c r="A3464" s="75">
        <v>3458.0</v>
      </c>
      <c r="B3464" s="62" t="s">
        <v>2090</v>
      </c>
      <c r="C3464" s="62" t="s">
        <v>106</v>
      </c>
      <c r="D3464" s="62" t="s">
        <v>2114</v>
      </c>
      <c r="E3464" s="76">
        <v>44160.0</v>
      </c>
      <c r="F3464" s="77">
        <v>0.08333333333333333</v>
      </c>
      <c r="G3464" s="62" t="b">
        <v>1</v>
      </c>
      <c r="H3464" s="78" t="b">
        <f>IF(VLOOKUP(C3464,Projetos!A:L,12,false)=TRUE,TRUE,FALSE)</f>
        <v>1</v>
      </c>
      <c r="I3464" s="68">
        <v>103.60923104912762</v>
      </c>
      <c r="J3464" s="68">
        <f t="shared" si="1"/>
        <v>207.2184621</v>
      </c>
      <c r="K3464" s="68" t="b">
        <v>1</v>
      </c>
    </row>
    <row r="3465">
      <c r="A3465" s="75">
        <v>3459.0</v>
      </c>
      <c r="B3465" s="62" t="s">
        <v>2090</v>
      </c>
      <c r="C3465" s="62" t="s">
        <v>87</v>
      </c>
      <c r="D3465" s="62" t="s">
        <v>2118</v>
      </c>
      <c r="E3465" s="76">
        <v>44163.0</v>
      </c>
      <c r="F3465" s="77">
        <v>0.375</v>
      </c>
      <c r="G3465" s="62" t="b">
        <v>1</v>
      </c>
      <c r="H3465" s="78" t="b">
        <f>IF(VLOOKUP(C3465,Projetos!A:L,12,false)=TRUE,TRUE,FALSE)</f>
        <v>1</v>
      </c>
      <c r="I3465" s="68">
        <v>103.60923104912762</v>
      </c>
      <c r="J3465" s="68">
        <f t="shared" si="1"/>
        <v>932.4830794</v>
      </c>
      <c r="K3465" s="68" t="b">
        <v>1</v>
      </c>
    </row>
    <row r="3466">
      <c r="A3466" s="75">
        <v>3460.0</v>
      </c>
      <c r="B3466" s="62" t="s">
        <v>2090</v>
      </c>
      <c r="C3466" s="62" t="s">
        <v>87</v>
      </c>
      <c r="D3466" s="62" t="s">
        <v>2118</v>
      </c>
      <c r="E3466" s="76">
        <v>44164.0</v>
      </c>
      <c r="F3466" s="77">
        <v>0.375</v>
      </c>
      <c r="G3466" s="62" t="b">
        <v>1</v>
      </c>
      <c r="H3466" s="78" t="b">
        <f>IF(VLOOKUP(C3466,Projetos!A:L,12,false)=TRUE,TRUE,FALSE)</f>
        <v>1</v>
      </c>
      <c r="I3466" s="68">
        <v>103.60923104912762</v>
      </c>
      <c r="J3466" s="68">
        <f t="shared" si="1"/>
        <v>932.4830794</v>
      </c>
      <c r="K3466" s="68" t="b">
        <v>1</v>
      </c>
    </row>
    <row r="3467">
      <c r="A3467" s="75">
        <v>3461.0</v>
      </c>
      <c r="B3467" s="62" t="s">
        <v>2090</v>
      </c>
      <c r="C3467" s="62" t="s">
        <v>87</v>
      </c>
      <c r="D3467" s="62" t="s">
        <v>2118</v>
      </c>
      <c r="E3467" s="76">
        <v>44165.0</v>
      </c>
      <c r="F3467" s="77">
        <v>0.16666666666666666</v>
      </c>
      <c r="G3467" s="62" t="b">
        <v>1</v>
      </c>
      <c r="H3467" s="78" t="b">
        <f>IF(VLOOKUP(C3467,Projetos!A:L,12,false)=TRUE,TRUE,FALSE)</f>
        <v>1</v>
      </c>
      <c r="I3467" s="68">
        <v>103.60923104912762</v>
      </c>
      <c r="J3467" s="68">
        <f t="shared" si="1"/>
        <v>414.4369242</v>
      </c>
      <c r="K3467" s="68" t="b">
        <v>1</v>
      </c>
    </row>
    <row r="3468">
      <c r="A3468" s="75">
        <v>3462.0</v>
      </c>
      <c r="B3468" s="62" t="s">
        <v>2090</v>
      </c>
      <c r="C3468" s="62" t="s">
        <v>87</v>
      </c>
      <c r="D3468" s="62" t="s">
        <v>2119</v>
      </c>
      <c r="E3468" s="76">
        <v>44165.0</v>
      </c>
      <c r="F3468" s="77">
        <v>0.18055555555555555</v>
      </c>
      <c r="G3468" s="62" t="b">
        <v>1</v>
      </c>
      <c r="H3468" s="78" t="b">
        <f>IF(VLOOKUP(C3468,Projetos!A:L,12,false)=TRUE,TRUE,FALSE)</f>
        <v>1</v>
      </c>
      <c r="I3468" s="68">
        <v>103.60923104912762</v>
      </c>
      <c r="J3468" s="68">
        <f t="shared" si="1"/>
        <v>448.9733345</v>
      </c>
      <c r="K3468" s="68" t="b">
        <v>1</v>
      </c>
    </row>
    <row r="3469">
      <c r="A3469" s="75">
        <v>3463.0</v>
      </c>
      <c r="B3469" s="62" t="s">
        <v>2090</v>
      </c>
      <c r="C3469" s="62" t="s">
        <v>100</v>
      </c>
      <c r="D3469" s="62" t="s">
        <v>2119</v>
      </c>
      <c r="E3469" s="76">
        <v>44139.0</v>
      </c>
      <c r="F3469" s="77">
        <v>0.041666666666666664</v>
      </c>
      <c r="G3469" s="62" t="b">
        <v>1</v>
      </c>
      <c r="H3469" s="78" t="b">
        <f>IF(VLOOKUP(C3469,Projetos!A:L,12,false)=TRUE,TRUE,FALSE)</f>
        <v>1</v>
      </c>
      <c r="I3469" s="68">
        <v>103.60923104912762</v>
      </c>
      <c r="J3469" s="68">
        <f t="shared" si="1"/>
        <v>103.609231</v>
      </c>
      <c r="K3469" s="68" t="b">
        <v>1</v>
      </c>
    </row>
    <row r="3470">
      <c r="A3470" s="75">
        <v>3464.0</v>
      </c>
      <c r="B3470" s="62" t="s">
        <v>2090</v>
      </c>
      <c r="C3470" s="62" t="s">
        <v>104</v>
      </c>
      <c r="D3470" s="62" t="s">
        <v>1372</v>
      </c>
      <c r="E3470" s="76">
        <v>44144.0</v>
      </c>
      <c r="F3470" s="77">
        <v>0.041666666666666664</v>
      </c>
      <c r="G3470" s="62" t="b">
        <v>1</v>
      </c>
      <c r="H3470" s="78" t="b">
        <f>IF(VLOOKUP(C3470,Projetos!A:L,12,false)=TRUE,TRUE,FALSE)</f>
        <v>1</v>
      </c>
      <c r="I3470" s="68">
        <v>103.60923104912762</v>
      </c>
      <c r="J3470" s="68">
        <f t="shared" si="1"/>
        <v>103.609231</v>
      </c>
      <c r="K3470" s="68" t="b">
        <v>1</v>
      </c>
    </row>
    <row r="3471">
      <c r="A3471" s="75">
        <v>3465.0</v>
      </c>
      <c r="B3471" s="62" t="s">
        <v>2090</v>
      </c>
      <c r="C3471" s="62" t="s">
        <v>106</v>
      </c>
      <c r="D3471" s="62" t="s">
        <v>2120</v>
      </c>
      <c r="E3471" s="76">
        <v>44144.0</v>
      </c>
      <c r="F3471" s="77">
        <v>0.041666666666666664</v>
      </c>
      <c r="G3471" s="62" t="b">
        <v>1</v>
      </c>
      <c r="H3471" s="78" t="b">
        <f>IF(VLOOKUP(C3471,Projetos!A:L,12,false)=TRUE,TRUE,FALSE)</f>
        <v>1</v>
      </c>
      <c r="I3471" s="68">
        <v>103.60923104912762</v>
      </c>
      <c r="J3471" s="68">
        <f t="shared" si="1"/>
        <v>103.609231</v>
      </c>
      <c r="K3471" s="68" t="b">
        <v>1</v>
      </c>
    </row>
    <row r="3472">
      <c r="A3472" s="75">
        <v>3466.0</v>
      </c>
      <c r="B3472" s="62" t="s">
        <v>2090</v>
      </c>
      <c r="C3472" s="62" t="s">
        <v>106</v>
      </c>
      <c r="D3472" s="62" t="s">
        <v>2121</v>
      </c>
      <c r="E3472" s="76">
        <v>44141.0</v>
      </c>
      <c r="F3472" s="77">
        <v>0.20833333333333334</v>
      </c>
      <c r="G3472" s="62" t="b">
        <v>1</v>
      </c>
      <c r="H3472" s="78" t="b">
        <f>IF(VLOOKUP(C3472,Projetos!A:L,12,false)=TRUE,TRUE,FALSE)</f>
        <v>1</v>
      </c>
      <c r="I3472" s="68">
        <v>103.60923104912762</v>
      </c>
      <c r="J3472" s="68">
        <f t="shared" si="1"/>
        <v>518.0461552</v>
      </c>
      <c r="K3472" s="68" t="b">
        <v>1</v>
      </c>
    </row>
    <row r="3473">
      <c r="A3473" s="75">
        <v>3467.0</v>
      </c>
      <c r="B3473" s="62" t="s">
        <v>2090</v>
      </c>
      <c r="C3473" s="62" t="s">
        <v>104</v>
      </c>
      <c r="D3473" s="62" t="s">
        <v>2122</v>
      </c>
      <c r="E3473" s="76">
        <v>44147.0</v>
      </c>
      <c r="F3473" s="77">
        <v>0.041666666666666664</v>
      </c>
      <c r="G3473" s="62" t="b">
        <v>1</v>
      </c>
      <c r="H3473" s="78" t="b">
        <f>IF(VLOOKUP(C3473,Projetos!A:L,12,false)=TRUE,TRUE,FALSE)</f>
        <v>1</v>
      </c>
      <c r="I3473" s="68">
        <v>103.60923104912762</v>
      </c>
      <c r="J3473" s="68">
        <f t="shared" si="1"/>
        <v>103.609231</v>
      </c>
      <c r="K3473" s="68" t="b">
        <v>1</v>
      </c>
    </row>
    <row r="3474" hidden="1">
      <c r="A3474" s="75">
        <v>3468.0</v>
      </c>
      <c r="B3474" s="62" t="s">
        <v>2090</v>
      </c>
      <c r="C3474" s="62" t="s">
        <v>108</v>
      </c>
      <c r="D3474" s="62" t="s">
        <v>2123</v>
      </c>
      <c r="E3474" s="76">
        <v>44145.0</v>
      </c>
      <c r="F3474" s="77">
        <v>0.041666666666666664</v>
      </c>
      <c r="G3474" s="62" t="b">
        <v>0</v>
      </c>
      <c r="H3474" s="78" t="b">
        <f>IF(VLOOKUP(C3474,Projetos!A:L,12,false)=TRUE,TRUE,FALSE)</f>
        <v>1</v>
      </c>
      <c r="I3474" s="68">
        <v>103.60923104912762</v>
      </c>
      <c r="J3474" s="68">
        <f t="shared" si="1"/>
        <v>0</v>
      </c>
      <c r="K3474" s="68" t="b">
        <v>1</v>
      </c>
    </row>
    <row r="3475">
      <c r="A3475" s="75">
        <v>3469.0</v>
      </c>
      <c r="B3475" s="62" t="s">
        <v>2090</v>
      </c>
      <c r="C3475" s="62" t="s">
        <v>89</v>
      </c>
      <c r="D3475" s="62" t="s">
        <v>2124</v>
      </c>
      <c r="E3475" s="76">
        <v>44145.0</v>
      </c>
      <c r="F3475" s="77">
        <v>0.041666666666666664</v>
      </c>
      <c r="G3475" s="62" t="b">
        <v>1</v>
      </c>
      <c r="H3475" s="78" t="b">
        <f>IF(VLOOKUP(C3475,Projetos!A:L,12,false)=TRUE,TRUE,FALSE)</f>
        <v>1</v>
      </c>
      <c r="I3475" s="68">
        <v>103.60923104912762</v>
      </c>
      <c r="J3475" s="68">
        <f t="shared" si="1"/>
        <v>103.609231</v>
      </c>
      <c r="K3475" s="68" t="b">
        <v>1</v>
      </c>
    </row>
    <row r="3476">
      <c r="A3476" s="75">
        <v>3470.0</v>
      </c>
      <c r="B3476" s="62" t="s">
        <v>2090</v>
      </c>
      <c r="C3476" s="62" t="s">
        <v>110</v>
      </c>
      <c r="D3476" s="62" t="s">
        <v>2125</v>
      </c>
      <c r="E3476" s="76">
        <v>44159.0</v>
      </c>
      <c r="F3476" s="77">
        <v>0.16666666666666666</v>
      </c>
      <c r="G3476" s="62" t="b">
        <v>1</v>
      </c>
      <c r="H3476" s="78" t="b">
        <f>IF(VLOOKUP(C3476,Projetos!A:L,12,false)=TRUE,TRUE,FALSE)</f>
        <v>1</v>
      </c>
      <c r="I3476" s="68">
        <v>103.60923104912762</v>
      </c>
      <c r="J3476" s="68">
        <f t="shared" si="1"/>
        <v>414.4369242</v>
      </c>
      <c r="K3476" s="68" t="b">
        <v>1</v>
      </c>
    </row>
    <row r="3477">
      <c r="A3477" s="75">
        <v>3471.0</v>
      </c>
      <c r="B3477" s="62" t="s">
        <v>2090</v>
      </c>
      <c r="C3477" s="62" t="s">
        <v>104</v>
      </c>
      <c r="D3477" s="62" t="s">
        <v>2126</v>
      </c>
      <c r="E3477" s="76">
        <v>44166.0</v>
      </c>
      <c r="F3477" s="77">
        <v>0.08333333333333333</v>
      </c>
      <c r="G3477" s="62" t="b">
        <v>1</v>
      </c>
      <c r="H3477" s="78" t="b">
        <f>IF(VLOOKUP(C3477,Projetos!A:L,12,false)=TRUE,TRUE,FALSE)</f>
        <v>1</v>
      </c>
      <c r="I3477" s="68">
        <v>108.54300395622893</v>
      </c>
      <c r="J3477" s="68">
        <f t="shared" si="1"/>
        <v>217.0860079</v>
      </c>
      <c r="K3477" s="68" t="b">
        <v>1</v>
      </c>
    </row>
    <row r="3478">
      <c r="A3478" s="75">
        <v>3472.0</v>
      </c>
      <c r="B3478" s="62" t="s">
        <v>2090</v>
      </c>
      <c r="C3478" s="62" t="s">
        <v>104</v>
      </c>
      <c r="D3478" s="62" t="s">
        <v>2126</v>
      </c>
      <c r="E3478" s="76">
        <v>44167.0</v>
      </c>
      <c r="F3478" s="77">
        <v>0.08333333333333333</v>
      </c>
      <c r="G3478" s="62" t="b">
        <v>1</v>
      </c>
      <c r="H3478" s="78" t="b">
        <f>IF(VLOOKUP(C3478,Projetos!A:L,12,false)=TRUE,TRUE,FALSE)</f>
        <v>1</v>
      </c>
      <c r="I3478" s="68">
        <v>108.54300395622893</v>
      </c>
      <c r="J3478" s="68">
        <f t="shared" si="1"/>
        <v>217.0860079</v>
      </c>
      <c r="K3478" s="68" t="b">
        <v>1</v>
      </c>
    </row>
    <row r="3479">
      <c r="A3479" s="75">
        <v>3473.0</v>
      </c>
      <c r="B3479" s="62" t="s">
        <v>2090</v>
      </c>
      <c r="C3479" s="62" t="s">
        <v>104</v>
      </c>
      <c r="D3479" s="62" t="s">
        <v>2127</v>
      </c>
      <c r="E3479" s="76">
        <v>44168.0</v>
      </c>
      <c r="F3479" s="77">
        <v>0.08333333333333333</v>
      </c>
      <c r="G3479" s="62" t="b">
        <v>1</v>
      </c>
      <c r="H3479" s="78" t="b">
        <f>IF(VLOOKUP(C3479,Projetos!A:L,12,false)=TRUE,TRUE,FALSE)</f>
        <v>1</v>
      </c>
      <c r="I3479" s="68">
        <v>108.54300395622893</v>
      </c>
      <c r="J3479" s="68">
        <f t="shared" si="1"/>
        <v>217.0860079</v>
      </c>
      <c r="K3479" s="68" t="b">
        <v>1</v>
      </c>
    </row>
    <row r="3480">
      <c r="A3480" s="75">
        <v>3474.0</v>
      </c>
      <c r="B3480" s="62" t="s">
        <v>2090</v>
      </c>
      <c r="C3480" s="62" t="s">
        <v>104</v>
      </c>
      <c r="D3480" s="62" t="s">
        <v>2126</v>
      </c>
      <c r="E3480" s="76">
        <v>44169.0</v>
      </c>
      <c r="F3480" s="77">
        <v>0.08333333333333333</v>
      </c>
      <c r="G3480" s="62" t="b">
        <v>1</v>
      </c>
      <c r="H3480" s="78" t="b">
        <f>IF(VLOOKUP(C3480,Projetos!A:L,12,false)=TRUE,TRUE,FALSE)</f>
        <v>1</v>
      </c>
      <c r="I3480" s="68">
        <v>108.54300395622893</v>
      </c>
      <c r="J3480" s="68">
        <f t="shared" si="1"/>
        <v>217.0860079</v>
      </c>
      <c r="K3480" s="68" t="b">
        <v>1</v>
      </c>
    </row>
    <row r="3481">
      <c r="A3481" s="75">
        <v>3475.0</v>
      </c>
      <c r="B3481" s="62" t="s">
        <v>2090</v>
      </c>
      <c r="C3481" s="62" t="s">
        <v>104</v>
      </c>
      <c r="D3481" s="62" t="s">
        <v>2126</v>
      </c>
      <c r="E3481" s="76">
        <v>44172.0</v>
      </c>
      <c r="F3481" s="77">
        <v>0.08333333333333333</v>
      </c>
      <c r="G3481" s="62" t="b">
        <v>1</v>
      </c>
      <c r="H3481" s="78" t="b">
        <f>IF(VLOOKUP(C3481,Projetos!A:L,12,false)=TRUE,TRUE,FALSE)</f>
        <v>1</v>
      </c>
      <c r="I3481" s="68">
        <v>108.54300395622893</v>
      </c>
      <c r="J3481" s="68">
        <f t="shared" si="1"/>
        <v>217.0860079</v>
      </c>
      <c r="K3481" s="68" t="b">
        <v>1</v>
      </c>
    </row>
    <row r="3482">
      <c r="A3482" s="75">
        <v>3476.0</v>
      </c>
      <c r="B3482" s="62" t="s">
        <v>2090</v>
      </c>
      <c r="C3482" s="62" t="s">
        <v>104</v>
      </c>
      <c r="D3482" s="62" t="s">
        <v>2126</v>
      </c>
      <c r="E3482" s="76">
        <v>44173.0</v>
      </c>
      <c r="F3482" s="77">
        <v>0.08333333333333333</v>
      </c>
      <c r="G3482" s="62" t="b">
        <v>1</v>
      </c>
      <c r="H3482" s="78" t="b">
        <f>IF(VLOOKUP(C3482,Projetos!A:L,12,false)=TRUE,TRUE,FALSE)</f>
        <v>1</v>
      </c>
      <c r="I3482" s="68">
        <v>108.54300395622893</v>
      </c>
      <c r="J3482" s="68">
        <f t="shared" si="1"/>
        <v>217.0860079</v>
      </c>
      <c r="K3482" s="68" t="b">
        <v>1</v>
      </c>
    </row>
    <row r="3483">
      <c r="A3483" s="75">
        <v>3477.0</v>
      </c>
      <c r="B3483" s="62" t="s">
        <v>2090</v>
      </c>
      <c r="C3483" s="62" t="s">
        <v>104</v>
      </c>
      <c r="D3483" s="62" t="s">
        <v>2127</v>
      </c>
      <c r="E3483" s="76">
        <v>44174.0</v>
      </c>
      <c r="F3483" s="77">
        <v>0.08333333333333333</v>
      </c>
      <c r="G3483" s="62" t="b">
        <v>1</v>
      </c>
      <c r="H3483" s="78" t="b">
        <f>IF(VLOOKUP(C3483,Projetos!A:L,12,false)=TRUE,TRUE,FALSE)</f>
        <v>1</v>
      </c>
      <c r="I3483" s="68">
        <v>108.54300395622893</v>
      </c>
      <c r="J3483" s="68">
        <f t="shared" si="1"/>
        <v>217.0860079</v>
      </c>
      <c r="K3483" s="68" t="b">
        <v>1</v>
      </c>
    </row>
    <row r="3484">
      <c r="A3484" s="75">
        <v>3478.0</v>
      </c>
      <c r="B3484" s="62" t="s">
        <v>2090</v>
      </c>
      <c r="C3484" s="62" t="s">
        <v>104</v>
      </c>
      <c r="D3484" s="62" t="s">
        <v>2126</v>
      </c>
      <c r="E3484" s="76">
        <v>44175.0</v>
      </c>
      <c r="F3484" s="77">
        <v>0.08333333333333333</v>
      </c>
      <c r="G3484" s="62" t="b">
        <v>1</v>
      </c>
      <c r="H3484" s="78" t="b">
        <f>IF(VLOOKUP(C3484,Projetos!A:L,12,false)=TRUE,TRUE,FALSE)</f>
        <v>1</v>
      </c>
      <c r="I3484" s="68">
        <v>108.54300395622893</v>
      </c>
      <c r="J3484" s="68">
        <f t="shared" si="1"/>
        <v>217.0860079</v>
      </c>
      <c r="K3484" s="68" t="b">
        <v>1</v>
      </c>
    </row>
    <row r="3485">
      <c r="A3485" s="75">
        <v>3479.0</v>
      </c>
      <c r="B3485" s="62" t="s">
        <v>2090</v>
      </c>
      <c r="C3485" s="62" t="s">
        <v>104</v>
      </c>
      <c r="D3485" s="62" t="s">
        <v>2126</v>
      </c>
      <c r="E3485" s="76">
        <v>44179.0</v>
      </c>
      <c r="F3485" s="77">
        <v>0.08333333333333333</v>
      </c>
      <c r="G3485" s="62" t="b">
        <v>1</v>
      </c>
      <c r="H3485" s="78" t="b">
        <f>IF(VLOOKUP(C3485,Projetos!A:L,12,false)=TRUE,TRUE,FALSE)</f>
        <v>1</v>
      </c>
      <c r="I3485" s="68">
        <v>108.54300395622893</v>
      </c>
      <c r="J3485" s="68">
        <f t="shared" si="1"/>
        <v>217.0860079</v>
      </c>
      <c r="K3485" s="68" t="b">
        <v>1</v>
      </c>
    </row>
    <row r="3486">
      <c r="A3486" s="75">
        <v>3480.0</v>
      </c>
      <c r="B3486" s="62" t="s">
        <v>2090</v>
      </c>
      <c r="C3486" s="62" t="s">
        <v>104</v>
      </c>
      <c r="D3486" s="62" t="s">
        <v>2127</v>
      </c>
      <c r="E3486" s="76">
        <v>44180.0</v>
      </c>
      <c r="F3486" s="77">
        <v>0.08333333333333333</v>
      </c>
      <c r="G3486" s="62" t="b">
        <v>1</v>
      </c>
      <c r="H3486" s="78" t="b">
        <f>IF(VLOOKUP(C3486,Projetos!A:L,12,false)=TRUE,TRUE,FALSE)</f>
        <v>1</v>
      </c>
      <c r="I3486" s="68">
        <v>108.54300395622893</v>
      </c>
      <c r="J3486" s="68">
        <f t="shared" si="1"/>
        <v>217.0860079</v>
      </c>
      <c r="K3486" s="68" t="b">
        <v>1</v>
      </c>
    </row>
    <row r="3487">
      <c r="A3487" s="75">
        <v>3481.0</v>
      </c>
      <c r="B3487" s="62" t="s">
        <v>2090</v>
      </c>
      <c r="C3487" s="62" t="s">
        <v>104</v>
      </c>
      <c r="D3487" s="62" t="s">
        <v>2126</v>
      </c>
      <c r="E3487" s="76">
        <v>44181.0</v>
      </c>
      <c r="F3487" s="77">
        <v>0.08333333333333333</v>
      </c>
      <c r="G3487" s="62" t="b">
        <v>1</v>
      </c>
      <c r="H3487" s="78" t="b">
        <f>IF(VLOOKUP(C3487,Projetos!A:L,12,false)=TRUE,TRUE,FALSE)</f>
        <v>1</v>
      </c>
      <c r="I3487" s="68">
        <v>108.54300395622893</v>
      </c>
      <c r="J3487" s="68">
        <f t="shared" si="1"/>
        <v>217.0860079</v>
      </c>
      <c r="K3487" s="68" t="b">
        <v>1</v>
      </c>
    </row>
    <row r="3488">
      <c r="A3488" s="75">
        <v>3482.0</v>
      </c>
      <c r="B3488" s="62" t="s">
        <v>2090</v>
      </c>
      <c r="C3488" s="62" t="s">
        <v>104</v>
      </c>
      <c r="D3488" s="62" t="s">
        <v>2126</v>
      </c>
      <c r="E3488" s="76">
        <v>44182.0</v>
      </c>
      <c r="F3488" s="77">
        <v>0.08333333333333333</v>
      </c>
      <c r="G3488" s="62" t="b">
        <v>1</v>
      </c>
      <c r="H3488" s="78" t="b">
        <f>IF(VLOOKUP(C3488,Projetos!A:L,12,false)=TRUE,TRUE,FALSE)</f>
        <v>1</v>
      </c>
      <c r="I3488" s="68">
        <v>108.54300395622893</v>
      </c>
      <c r="J3488" s="68">
        <f t="shared" si="1"/>
        <v>217.0860079</v>
      </c>
      <c r="K3488" s="68" t="b">
        <v>1</v>
      </c>
    </row>
    <row r="3489">
      <c r="A3489" s="75">
        <v>3483.0</v>
      </c>
      <c r="B3489" s="62" t="s">
        <v>2090</v>
      </c>
      <c r="C3489" s="62" t="s">
        <v>116</v>
      </c>
      <c r="D3489" s="62" t="s">
        <v>2128</v>
      </c>
      <c r="E3489" s="76">
        <v>44172.0</v>
      </c>
      <c r="F3489" s="77">
        <v>0.0625</v>
      </c>
      <c r="G3489" s="62" t="b">
        <v>1</v>
      </c>
      <c r="H3489" s="78" t="b">
        <f>IF(VLOOKUP(C3489,Projetos!A:L,12,false)=TRUE,TRUE,FALSE)</f>
        <v>1</v>
      </c>
      <c r="I3489" s="68">
        <v>108.54300395622893</v>
      </c>
      <c r="J3489" s="68">
        <f t="shared" si="1"/>
        <v>162.8145059</v>
      </c>
      <c r="K3489" s="68" t="b">
        <v>1</v>
      </c>
    </row>
    <row r="3490">
      <c r="A3490" s="75">
        <v>3484.0</v>
      </c>
      <c r="B3490" s="62" t="s">
        <v>2090</v>
      </c>
      <c r="C3490" s="62" t="s">
        <v>116</v>
      </c>
      <c r="D3490" s="62" t="s">
        <v>2128</v>
      </c>
      <c r="E3490" s="76">
        <v>44173.0</v>
      </c>
      <c r="F3490" s="77">
        <v>0.0625</v>
      </c>
      <c r="G3490" s="62" t="b">
        <v>1</v>
      </c>
      <c r="H3490" s="78" t="b">
        <f>IF(VLOOKUP(C3490,Projetos!A:L,12,false)=TRUE,TRUE,FALSE)</f>
        <v>1</v>
      </c>
      <c r="I3490" s="68">
        <v>108.54300395622893</v>
      </c>
      <c r="J3490" s="68">
        <f t="shared" si="1"/>
        <v>162.8145059</v>
      </c>
      <c r="K3490" s="68" t="b">
        <v>1</v>
      </c>
    </row>
    <row r="3491">
      <c r="A3491" s="75">
        <v>3485.0</v>
      </c>
      <c r="B3491" s="62" t="s">
        <v>2090</v>
      </c>
      <c r="C3491" s="62" t="s">
        <v>116</v>
      </c>
      <c r="D3491" s="62" t="s">
        <v>2128</v>
      </c>
      <c r="E3491" s="76">
        <v>44174.0</v>
      </c>
      <c r="F3491" s="77">
        <v>0.0625</v>
      </c>
      <c r="G3491" s="62" t="b">
        <v>1</v>
      </c>
      <c r="H3491" s="78" t="b">
        <f>IF(VLOOKUP(C3491,Projetos!A:L,12,false)=TRUE,TRUE,FALSE)</f>
        <v>1</v>
      </c>
      <c r="I3491" s="68">
        <v>108.54300395622893</v>
      </c>
      <c r="J3491" s="68">
        <f t="shared" si="1"/>
        <v>162.8145059</v>
      </c>
      <c r="K3491" s="68" t="b">
        <v>1</v>
      </c>
    </row>
    <row r="3492">
      <c r="A3492" s="75">
        <v>3486.0</v>
      </c>
      <c r="B3492" s="62" t="s">
        <v>2090</v>
      </c>
      <c r="C3492" s="62" t="s">
        <v>116</v>
      </c>
      <c r="D3492" s="62" t="s">
        <v>2128</v>
      </c>
      <c r="E3492" s="76">
        <v>44175.0</v>
      </c>
      <c r="F3492" s="77">
        <v>0.0625</v>
      </c>
      <c r="G3492" s="62" t="b">
        <v>1</v>
      </c>
      <c r="H3492" s="78" t="b">
        <f>IF(VLOOKUP(C3492,Projetos!A:L,12,false)=TRUE,TRUE,FALSE)</f>
        <v>1</v>
      </c>
      <c r="I3492" s="68">
        <v>108.54300395622893</v>
      </c>
      <c r="J3492" s="68">
        <f t="shared" si="1"/>
        <v>162.8145059</v>
      </c>
      <c r="K3492" s="68" t="b">
        <v>1</v>
      </c>
    </row>
  </sheetData>
  <autoFilter ref="$A$6:$K$3492">
    <filterColumn colId="10">
      <filters>
        <filter val="TRUE"/>
      </filters>
    </filterColumn>
    <filterColumn colId="6">
      <filters>
        <filter val="TRUE"/>
      </filters>
    </filterColumn>
    <filterColumn colId="2">
      <filters>
        <filter val="EE - 2020"/>
        <filter val="Software P&amp;D"/>
        <filter val="Novos Produtos Turquia"/>
        <filter val="Trophic Soya 1.5 Fiber"/>
        <filter val="Sachê"/>
        <filter val="Pesquisas Clínicas"/>
        <filter val="Energyzip Sênior"/>
        <filter val="Centro de Inovação"/>
        <filter val="Sarcopenia"/>
        <filter val="Congresso Ganepão"/>
        <filter val="InstanTH NEO"/>
        <filter val="Bemmax Sabor Neutro"/>
        <filter val="InstanTH CLEAR (espessante)"/>
        <filter val="Trophic Junior Powder (China)"/>
        <filter val="Diamax IG"/>
        <filter val="Vulcano (pote jumbo e sachês a vácuo)"/>
        <filter val="Immax - etapa final da Pesquisa Clínica"/>
        <filter val="Trophic 1.5 250mL - Edge"/>
        <filter val="Cicatrização"/>
        <filter val="Congressos"/>
        <filter val="Estabilidade misturas secas"/>
        <filter val="Inovação industrial - misturas secas"/>
        <filter val="Energyzip Junior (Turquia)"/>
        <filter val="Suplemento hiperproteico líquido"/>
        <filter val="Congresso ESPEN"/>
        <filter val="HDmax 2.0"/>
        <filter val="Dieta artesanal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88"/>
    <col customWidth="1" min="2" max="2" width="21.38"/>
    <col customWidth="1" min="3" max="3" width="25.0"/>
    <col customWidth="1" min="4" max="4" width="73.88"/>
    <col customWidth="1" hidden="1" min="5" max="6" width="11.63"/>
    <col customWidth="1" min="7" max="7" width="15.88"/>
    <col customWidth="1" min="9" max="9" width="10.75"/>
    <col customWidth="1" min="10" max="11" width="11.75"/>
  </cols>
  <sheetData>
    <row r="1" ht="11.25" customHeight="1">
      <c r="A1" s="57"/>
      <c r="B1" s="57"/>
      <c r="C1" s="57"/>
      <c r="D1" s="37"/>
      <c r="E1" s="64"/>
      <c r="F1" s="65"/>
      <c r="G1" s="58"/>
      <c r="H1" s="58"/>
      <c r="I1" s="58"/>
      <c r="J1" s="58"/>
      <c r="K1" s="58"/>
    </row>
    <row r="2">
      <c r="A2" s="59" t="s">
        <v>79</v>
      </c>
      <c r="B2" s="58"/>
      <c r="C2" s="58"/>
      <c r="D2" s="58"/>
      <c r="E2" s="64"/>
      <c r="F2" s="65"/>
      <c r="G2" s="58"/>
      <c r="H2" s="58"/>
      <c r="I2" s="37"/>
      <c r="J2" s="37"/>
      <c r="K2" s="37"/>
    </row>
    <row r="3">
      <c r="A3" s="5" t="s">
        <v>68</v>
      </c>
      <c r="B3" s="58"/>
      <c r="C3" s="58"/>
      <c r="D3" s="58"/>
      <c r="E3" s="64"/>
      <c r="F3" s="65"/>
      <c r="G3" s="58"/>
      <c r="H3" s="58"/>
      <c r="I3" s="66" t="s">
        <v>119</v>
      </c>
      <c r="J3" s="67">
        <f>J5-J4</f>
        <v>312686.5612</v>
      </c>
      <c r="K3" s="58"/>
    </row>
    <row r="4">
      <c r="A4" s="60"/>
      <c r="B4" s="58"/>
      <c r="C4" s="58"/>
      <c r="D4" s="58"/>
      <c r="E4" s="64"/>
      <c r="F4" s="65"/>
      <c r="G4" s="58"/>
      <c r="H4" s="58"/>
      <c r="I4" s="66" t="s">
        <v>120</v>
      </c>
      <c r="J4" s="68">
        <f>IFERROR(__xludf.DUMMYFUNCTION("SUMIF($B$7:$B3492,FILTER(Pessoal!$A$10:$A$26,Pessoal!$U$10:$U$26 = ""Exclusivo"",MATCH(Pessoal!$A$10:$A$26,FILTER(Pessoal!$A$37:$A$57,Pessoal!$U$37:$U$57 = TRUE),0)),$J$7:$J3492)"),0.0)</f>
        <v>0</v>
      </c>
      <c r="K4" s="68"/>
    </row>
    <row r="5">
      <c r="A5" s="60"/>
      <c r="B5" s="58"/>
      <c r="C5" s="58"/>
      <c r="D5" s="58"/>
      <c r="E5" s="64"/>
      <c r="F5" s="65"/>
      <c r="G5" s="58"/>
      <c r="H5" s="58"/>
      <c r="I5" s="69" t="s">
        <v>121</v>
      </c>
      <c r="J5" s="70">
        <f>SUM(J7:J3492)</f>
        <v>312686.5612</v>
      </c>
      <c r="K5" s="71"/>
    </row>
    <row r="6">
      <c r="A6" s="61" t="s">
        <v>122</v>
      </c>
      <c r="B6" s="61" t="s">
        <v>123</v>
      </c>
      <c r="C6" s="61" t="s">
        <v>69</v>
      </c>
      <c r="D6" s="61" t="s">
        <v>77</v>
      </c>
      <c r="E6" s="72" t="s">
        <v>124</v>
      </c>
      <c r="F6" s="73" t="s">
        <v>125</v>
      </c>
      <c r="G6" s="61" t="s">
        <v>126</v>
      </c>
      <c r="H6" s="61" t="s">
        <v>78</v>
      </c>
      <c r="I6" s="74" t="s">
        <v>127</v>
      </c>
      <c r="J6" s="74" t="s">
        <v>128</v>
      </c>
      <c r="K6" s="74" t="s">
        <v>129</v>
      </c>
    </row>
    <row r="7" hidden="1">
      <c r="A7" s="75">
        <v>1.0</v>
      </c>
      <c r="B7" s="62" t="s">
        <v>130</v>
      </c>
      <c r="C7" s="62" t="s">
        <v>101</v>
      </c>
      <c r="D7" s="62" t="s">
        <v>131</v>
      </c>
      <c r="E7" s="76">
        <v>43846.0</v>
      </c>
      <c r="F7" s="77">
        <v>0.041666666666666664</v>
      </c>
      <c r="G7" s="62" t="b">
        <v>1</v>
      </c>
      <c r="H7" s="78" t="b">
        <f>IF(VLOOKUP(C7,Projetos!A:L,12,false)=TRUE,TRUE,FALSE)</f>
        <v>1</v>
      </c>
      <c r="I7" s="68">
        <f t="array" ref="I7:I3492">VLOOKUP(B7:B3492,Pessoal!$A$36:$R$57,MONTH(E7:E3492)+6,false)</f>
        <v>63.06587281</v>
      </c>
      <c r="J7" s="68">
        <f t="shared" ref="J7:J3492" si="1">IFERROR(IF(AND(G7=TRUE,YEAR(E7)&lt;2021),F7,"")*(I7*24),0)</f>
        <v>63.06587281</v>
      </c>
      <c r="K7" s="68" t="b">
        <f t="array" ref="K7:K3492">VLOOKUP(C7:C3492,Projetos!A6:L3492,12,false)</f>
        <v>1</v>
      </c>
    </row>
    <row r="8">
      <c r="A8" s="75">
        <v>2.0</v>
      </c>
      <c r="B8" s="62" t="s">
        <v>130</v>
      </c>
      <c r="C8" s="62" t="s">
        <v>104</v>
      </c>
      <c r="D8" s="62" t="s">
        <v>132</v>
      </c>
      <c r="E8" s="76">
        <v>43840.0</v>
      </c>
      <c r="F8" s="77">
        <v>0.08333333333333333</v>
      </c>
      <c r="G8" s="62" t="b">
        <v>1</v>
      </c>
      <c r="H8" s="78" t="b">
        <f>IF(VLOOKUP(C8,Projetos!A:L,12,false)=TRUE,TRUE,FALSE)</f>
        <v>1</v>
      </c>
      <c r="I8" s="68">
        <v>63.06587281144781</v>
      </c>
      <c r="J8" s="68">
        <f t="shared" si="1"/>
        <v>126.1317456</v>
      </c>
      <c r="K8" s="68" t="b">
        <v>1</v>
      </c>
    </row>
    <row r="9" hidden="1">
      <c r="A9" s="75">
        <v>3.0</v>
      </c>
      <c r="B9" s="62" t="s">
        <v>130</v>
      </c>
      <c r="C9" s="62" t="s">
        <v>103</v>
      </c>
      <c r="D9" s="62" t="s">
        <v>133</v>
      </c>
      <c r="E9" s="76">
        <v>43850.0</v>
      </c>
      <c r="F9" s="77">
        <v>0.40625</v>
      </c>
      <c r="G9" s="62" t="b">
        <v>1</v>
      </c>
      <c r="H9" s="78" t="b">
        <f>IF(VLOOKUP(C9,Projetos!A:L,12,false)=TRUE,TRUE,FALSE)</f>
        <v>1</v>
      </c>
      <c r="I9" s="68">
        <v>63.06587281144781</v>
      </c>
      <c r="J9" s="68">
        <f t="shared" si="1"/>
        <v>614.8922599</v>
      </c>
      <c r="K9" s="68" t="b">
        <v>1</v>
      </c>
    </row>
    <row r="10" hidden="1">
      <c r="A10" s="75">
        <v>4.0</v>
      </c>
      <c r="B10" s="62" t="s">
        <v>130</v>
      </c>
      <c r="C10" s="62" t="s">
        <v>102</v>
      </c>
      <c r="D10" s="62" t="s">
        <v>134</v>
      </c>
      <c r="E10" s="76">
        <v>43843.0</v>
      </c>
      <c r="F10" s="77">
        <v>0.40625</v>
      </c>
      <c r="G10" s="62" t="b">
        <v>0</v>
      </c>
      <c r="H10" s="78" t="b">
        <f>IF(VLOOKUP(C10,Projetos!A:L,12,false)=TRUE,TRUE,FALSE)</f>
        <v>0</v>
      </c>
      <c r="I10" s="68">
        <v>63.06587281144781</v>
      </c>
      <c r="J10" s="68">
        <f t="shared" si="1"/>
        <v>0</v>
      </c>
      <c r="K10" s="68" t="b">
        <v>0</v>
      </c>
    </row>
    <row r="11" hidden="1">
      <c r="A11" s="75">
        <v>5.0</v>
      </c>
      <c r="B11" s="62" t="s">
        <v>130</v>
      </c>
      <c r="C11" s="62" t="s">
        <v>102</v>
      </c>
      <c r="D11" s="62" t="s">
        <v>135</v>
      </c>
      <c r="E11" s="76">
        <v>43845.0</v>
      </c>
      <c r="F11" s="77">
        <v>0.23958333333333334</v>
      </c>
      <c r="G11" s="62" t="b">
        <v>0</v>
      </c>
      <c r="H11" s="78" t="b">
        <f>IF(VLOOKUP(C11,Projetos!A:L,12,false)=TRUE,TRUE,FALSE)</f>
        <v>0</v>
      </c>
      <c r="I11" s="68">
        <v>63.06587281144781</v>
      </c>
      <c r="J11" s="68">
        <f t="shared" si="1"/>
        <v>0</v>
      </c>
      <c r="K11" s="68" t="b">
        <v>0</v>
      </c>
    </row>
    <row r="12" hidden="1">
      <c r="A12" s="75">
        <v>6.0</v>
      </c>
      <c r="B12" s="62" t="s">
        <v>130</v>
      </c>
      <c r="C12" s="62" t="s">
        <v>103</v>
      </c>
      <c r="D12" s="62" t="s">
        <v>136</v>
      </c>
      <c r="E12" s="76">
        <v>43872.0</v>
      </c>
      <c r="F12" s="77">
        <v>0.08333333333333333</v>
      </c>
      <c r="G12" s="62" t="b">
        <v>1</v>
      </c>
      <c r="H12" s="78" t="b">
        <f>IF(VLOOKUP(C12,Projetos!A:L,12,false)=TRUE,TRUE,FALSE)</f>
        <v>1</v>
      </c>
      <c r="I12" s="68">
        <v>60.19924222910927</v>
      </c>
      <c r="J12" s="68">
        <f t="shared" si="1"/>
        <v>120.3984845</v>
      </c>
      <c r="K12" s="68" t="b">
        <v>1</v>
      </c>
    </row>
    <row r="13">
      <c r="A13" s="75">
        <v>7.0</v>
      </c>
      <c r="B13" s="62" t="s">
        <v>130</v>
      </c>
      <c r="C13" s="62" t="s">
        <v>104</v>
      </c>
      <c r="D13" s="62" t="s">
        <v>137</v>
      </c>
      <c r="E13" s="76">
        <v>43888.0</v>
      </c>
      <c r="F13" s="77">
        <v>0.08333333333333333</v>
      </c>
      <c r="G13" s="62" t="b">
        <v>0</v>
      </c>
      <c r="H13" s="78" t="b">
        <f>IF(VLOOKUP(C13,Projetos!A:L,12,false)=TRUE,TRUE,FALSE)</f>
        <v>1</v>
      </c>
      <c r="I13" s="68">
        <v>60.19924222910927</v>
      </c>
      <c r="J13" s="68">
        <f t="shared" si="1"/>
        <v>0</v>
      </c>
      <c r="K13" s="68" t="b">
        <v>1</v>
      </c>
    </row>
    <row r="14" hidden="1">
      <c r="A14" s="75">
        <v>8.0</v>
      </c>
      <c r="B14" s="62" t="s">
        <v>130</v>
      </c>
      <c r="C14" s="62" t="s">
        <v>138</v>
      </c>
      <c r="D14" s="62" t="s">
        <v>139</v>
      </c>
      <c r="E14" s="76">
        <v>43879.0</v>
      </c>
      <c r="F14" s="77">
        <v>0.10416666666666667</v>
      </c>
      <c r="G14" s="62" t="b">
        <v>1</v>
      </c>
      <c r="H14" s="78" t="b">
        <f>IF(VLOOKUP(C14,Projetos!A:L,12,false)=TRUE,TRUE,FALSE)</f>
        <v>1</v>
      </c>
      <c r="I14" s="68">
        <v>60.19924222910927</v>
      </c>
      <c r="J14" s="68">
        <f t="shared" si="1"/>
        <v>150.4981056</v>
      </c>
      <c r="K14" s="68" t="b">
        <v>1</v>
      </c>
    </row>
    <row r="15" hidden="1">
      <c r="A15" s="75">
        <v>9.0</v>
      </c>
      <c r="B15" s="62" t="s">
        <v>130</v>
      </c>
      <c r="C15" s="62" t="s">
        <v>108</v>
      </c>
      <c r="D15" s="62" t="s">
        <v>140</v>
      </c>
      <c r="E15" s="76">
        <v>43876.0</v>
      </c>
      <c r="F15" s="77">
        <v>0.08333333333333333</v>
      </c>
      <c r="G15" s="62" t="b">
        <v>0</v>
      </c>
      <c r="H15" s="78" t="b">
        <f>IF(VLOOKUP(C15,Projetos!A:L,12,false)=TRUE,TRUE,FALSE)</f>
        <v>1</v>
      </c>
      <c r="I15" s="68">
        <v>60.19924222910927</v>
      </c>
      <c r="J15" s="68">
        <f t="shared" si="1"/>
        <v>0</v>
      </c>
      <c r="K15" s="68" t="b">
        <v>1</v>
      </c>
    </row>
    <row r="16" hidden="1">
      <c r="A16" s="75">
        <v>10.0</v>
      </c>
      <c r="B16" s="62" t="s">
        <v>130</v>
      </c>
      <c r="C16" s="62" t="s">
        <v>100</v>
      </c>
      <c r="D16" s="62" t="s">
        <v>140</v>
      </c>
      <c r="E16" s="76">
        <v>43874.0</v>
      </c>
      <c r="F16" s="77">
        <v>0.08333333333333333</v>
      </c>
      <c r="G16" s="62" t="b">
        <v>1</v>
      </c>
      <c r="H16" s="78" t="b">
        <f>IF(VLOOKUP(C16,Projetos!A:L,12,false)=TRUE,TRUE,FALSE)</f>
        <v>1</v>
      </c>
      <c r="I16" s="68">
        <v>60.19924222910927</v>
      </c>
      <c r="J16" s="68">
        <f t="shared" si="1"/>
        <v>120.3984845</v>
      </c>
      <c r="K16" s="68" t="b">
        <v>1</v>
      </c>
    </row>
    <row r="17" hidden="1">
      <c r="A17" s="75">
        <v>11.0</v>
      </c>
      <c r="B17" s="62" t="s">
        <v>130</v>
      </c>
      <c r="C17" s="62" t="s">
        <v>102</v>
      </c>
      <c r="D17" s="62" t="s">
        <v>141</v>
      </c>
      <c r="E17" s="76">
        <v>43886.0</v>
      </c>
      <c r="F17" s="77">
        <v>0.08333333333333333</v>
      </c>
      <c r="G17" s="62" t="b">
        <v>0</v>
      </c>
      <c r="H17" s="78" t="b">
        <f>IF(VLOOKUP(C17,Projetos!A:L,12,false)=TRUE,TRUE,FALSE)</f>
        <v>0</v>
      </c>
      <c r="I17" s="68">
        <v>60.19924222910927</v>
      </c>
      <c r="J17" s="68">
        <f t="shared" si="1"/>
        <v>0</v>
      </c>
      <c r="K17" s="68" t="b">
        <v>0</v>
      </c>
    </row>
    <row r="18" hidden="1">
      <c r="A18" s="75">
        <v>12.0</v>
      </c>
      <c r="B18" s="62" t="s">
        <v>130</v>
      </c>
      <c r="C18" s="62" t="s">
        <v>102</v>
      </c>
      <c r="D18" s="62" t="s">
        <v>142</v>
      </c>
      <c r="E18" s="76">
        <v>43865.0</v>
      </c>
      <c r="F18" s="77">
        <v>0.041666666666666664</v>
      </c>
      <c r="G18" s="62" t="b">
        <v>0</v>
      </c>
      <c r="H18" s="78" t="b">
        <f>IF(VLOOKUP(C18,Projetos!A:L,12,false)=TRUE,TRUE,FALSE)</f>
        <v>0</v>
      </c>
      <c r="I18" s="68">
        <v>60.19924222910927</v>
      </c>
      <c r="J18" s="68">
        <f t="shared" si="1"/>
        <v>0</v>
      </c>
      <c r="K18" s="68" t="b">
        <v>0</v>
      </c>
    </row>
    <row r="19" hidden="1">
      <c r="A19" s="75">
        <v>13.0</v>
      </c>
      <c r="B19" s="62" t="s">
        <v>130</v>
      </c>
      <c r="C19" s="62" t="s">
        <v>102</v>
      </c>
      <c r="D19" s="62" t="s">
        <v>142</v>
      </c>
      <c r="E19" s="76">
        <v>43875.0</v>
      </c>
      <c r="F19" s="77">
        <v>0.08333333333333333</v>
      </c>
      <c r="G19" s="62" t="b">
        <v>0</v>
      </c>
      <c r="H19" s="78" t="b">
        <f>IF(VLOOKUP(C19,Projetos!A:L,12,false)=TRUE,TRUE,FALSE)</f>
        <v>0</v>
      </c>
      <c r="I19" s="68">
        <v>60.19924222910927</v>
      </c>
      <c r="J19" s="68">
        <f t="shared" si="1"/>
        <v>0</v>
      </c>
      <c r="K19" s="68" t="b">
        <v>0</v>
      </c>
    </row>
    <row r="20" hidden="1">
      <c r="A20" s="75">
        <v>14.0</v>
      </c>
      <c r="B20" s="62" t="s">
        <v>130</v>
      </c>
      <c r="C20" s="62" t="s">
        <v>103</v>
      </c>
      <c r="D20" s="62" t="s">
        <v>143</v>
      </c>
      <c r="E20" s="76">
        <v>43920.0</v>
      </c>
      <c r="F20" s="77">
        <v>0.08333333333333333</v>
      </c>
      <c r="G20" s="62" t="b">
        <v>1</v>
      </c>
      <c r="H20" s="78" t="b">
        <f>IF(VLOOKUP(C20,Projetos!A:L,12,false)=TRUE,TRUE,FALSE)</f>
        <v>1</v>
      </c>
      <c r="I20" s="68">
        <v>63.06587281144781</v>
      </c>
      <c r="J20" s="68">
        <f t="shared" si="1"/>
        <v>126.1317456</v>
      </c>
      <c r="K20" s="68" t="b">
        <v>1</v>
      </c>
    </row>
    <row r="21" hidden="1">
      <c r="A21" s="75">
        <v>15.0</v>
      </c>
      <c r="B21" s="62" t="s">
        <v>130</v>
      </c>
      <c r="C21" s="62" t="s">
        <v>138</v>
      </c>
      <c r="D21" s="62" t="s">
        <v>144</v>
      </c>
      <c r="E21" s="76">
        <v>43921.0</v>
      </c>
      <c r="F21" s="77">
        <v>0.041666666666666664</v>
      </c>
      <c r="G21" s="62" t="b">
        <v>1</v>
      </c>
      <c r="H21" s="78" t="b">
        <f>IF(VLOOKUP(C21,Projetos!A:L,12,false)=TRUE,TRUE,FALSE)</f>
        <v>1</v>
      </c>
      <c r="I21" s="68">
        <v>63.06587281144781</v>
      </c>
      <c r="J21" s="68">
        <f t="shared" si="1"/>
        <v>63.06587281</v>
      </c>
      <c r="K21" s="68" t="b">
        <v>1</v>
      </c>
    </row>
    <row r="22" hidden="1">
      <c r="A22" s="75">
        <v>16.0</v>
      </c>
      <c r="B22" s="62" t="s">
        <v>130</v>
      </c>
      <c r="C22" s="62" t="s">
        <v>102</v>
      </c>
      <c r="D22" s="62" t="s">
        <v>145</v>
      </c>
      <c r="E22" s="76">
        <v>43917.0</v>
      </c>
      <c r="F22" s="77">
        <v>0.07291666666666667</v>
      </c>
      <c r="G22" s="62" t="b">
        <v>0</v>
      </c>
      <c r="H22" s="78" t="b">
        <f>IF(VLOOKUP(C22,Projetos!A:L,12,false)=TRUE,TRUE,FALSE)</f>
        <v>0</v>
      </c>
      <c r="I22" s="68">
        <v>63.06587281144781</v>
      </c>
      <c r="J22" s="68">
        <f t="shared" si="1"/>
        <v>0</v>
      </c>
      <c r="K22" s="68" t="b">
        <v>0</v>
      </c>
    </row>
    <row r="23" hidden="1">
      <c r="A23" s="75">
        <v>17.0</v>
      </c>
      <c r="B23" s="62" t="s">
        <v>130</v>
      </c>
      <c r="C23" s="62" t="s">
        <v>101</v>
      </c>
      <c r="D23" s="62" t="s">
        <v>146</v>
      </c>
      <c r="E23" s="76">
        <v>43894.0</v>
      </c>
      <c r="F23" s="77">
        <v>0.041666666666666664</v>
      </c>
      <c r="G23" s="62" t="b">
        <v>1</v>
      </c>
      <c r="H23" s="78" t="b">
        <f>IF(VLOOKUP(C23,Projetos!A:L,12,false)=TRUE,TRUE,FALSE)</f>
        <v>1</v>
      </c>
      <c r="I23" s="68">
        <v>63.06587281144781</v>
      </c>
      <c r="J23" s="68">
        <f t="shared" si="1"/>
        <v>63.06587281</v>
      </c>
      <c r="K23" s="68" t="b">
        <v>1</v>
      </c>
    </row>
    <row r="24" hidden="1">
      <c r="A24" s="75">
        <v>18.0</v>
      </c>
      <c r="B24" s="62" t="s">
        <v>130</v>
      </c>
      <c r="C24" s="62" t="s">
        <v>101</v>
      </c>
      <c r="D24" s="62" t="s">
        <v>147</v>
      </c>
      <c r="E24" s="76">
        <v>43951.0</v>
      </c>
      <c r="F24" s="77">
        <v>0.027777777777777776</v>
      </c>
      <c r="G24" s="62" t="b">
        <v>1</v>
      </c>
      <c r="H24" s="78" t="b">
        <f>IF(VLOOKUP(C24,Projetos!A:L,12,false)=TRUE,TRUE,FALSE)</f>
        <v>1</v>
      </c>
      <c r="I24" s="68">
        <v>60.19924222910927</v>
      </c>
      <c r="J24" s="68">
        <f t="shared" si="1"/>
        <v>40.13282815</v>
      </c>
      <c r="K24" s="68" t="b">
        <v>1</v>
      </c>
    </row>
    <row r="25" hidden="1">
      <c r="A25" s="75">
        <v>19.0</v>
      </c>
      <c r="B25" s="62" t="s">
        <v>130</v>
      </c>
      <c r="C25" s="62" t="s">
        <v>101</v>
      </c>
      <c r="D25" s="62" t="s">
        <v>148</v>
      </c>
      <c r="E25" s="76">
        <v>43950.0</v>
      </c>
      <c r="F25" s="77">
        <v>0.10416666666666667</v>
      </c>
      <c r="G25" s="62" t="b">
        <v>1</v>
      </c>
      <c r="H25" s="78" t="b">
        <f>IF(VLOOKUP(C25,Projetos!A:L,12,false)=TRUE,TRUE,FALSE)</f>
        <v>1</v>
      </c>
      <c r="I25" s="68">
        <v>60.19924222910927</v>
      </c>
      <c r="J25" s="68">
        <f t="shared" si="1"/>
        <v>150.4981056</v>
      </c>
      <c r="K25" s="68" t="b">
        <v>1</v>
      </c>
    </row>
    <row r="26" hidden="1">
      <c r="A26" s="75">
        <v>20.0</v>
      </c>
      <c r="B26" s="62" t="s">
        <v>130</v>
      </c>
      <c r="C26" s="62" t="s">
        <v>138</v>
      </c>
      <c r="D26" s="62" t="s">
        <v>149</v>
      </c>
      <c r="E26" s="76">
        <v>43950.0</v>
      </c>
      <c r="F26" s="77">
        <v>0.052083333333333336</v>
      </c>
      <c r="G26" s="62" t="b">
        <v>1</v>
      </c>
      <c r="H26" s="78" t="b">
        <f>IF(VLOOKUP(C26,Projetos!A:L,12,false)=TRUE,TRUE,FALSE)</f>
        <v>1</v>
      </c>
      <c r="I26" s="68">
        <v>60.19924222910927</v>
      </c>
      <c r="J26" s="68">
        <f t="shared" si="1"/>
        <v>75.24905279</v>
      </c>
      <c r="K26" s="68" t="b">
        <v>1</v>
      </c>
    </row>
    <row r="27" hidden="1">
      <c r="A27" s="75">
        <v>21.0</v>
      </c>
      <c r="B27" s="62" t="s">
        <v>130</v>
      </c>
      <c r="C27" s="62" t="s">
        <v>101</v>
      </c>
      <c r="D27" s="62" t="s">
        <v>148</v>
      </c>
      <c r="E27" s="76">
        <v>43934.0</v>
      </c>
      <c r="F27" s="77">
        <v>0.09375</v>
      </c>
      <c r="G27" s="62" t="b">
        <v>1</v>
      </c>
      <c r="H27" s="78" t="b">
        <f>IF(VLOOKUP(C27,Projetos!A:L,12,false)=TRUE,TRUE,FALSE)</f>
        <v>1</v>
      </c>
      <c r="I27" s="68">
        <v>60.19924222910927</v>
      </c>
      <c r="J27" s="68">
        <f t="shared" si="1"/>
        <v>135.448295</v>
      </c>
      <c r="K27" s="68" t="b">
        <v>1</v>
      </c>
    </row>
    <row r="28" hidden="1">
      <c r="A28" s="75">
        <v>22.0</v>
      </c>
      <c r="B28" s="62" t="s">
        <v>130</v>
      </c>
      <c r="C28" s="62" t="s">
        <v>103</v>
      </c>
      <c r="D28" s="79" t="s">
        <v>150</v>
      </c>
      <c r="E28" s="76">
        <v>43950.0</v>
      </c>
      <c r="F28" s="77">
        <v>0.07291666666666667</v>
      </c>
      <c r="G28" s="62" t="b">
        <v>0</v>
      </c>
      <c r="H28" s="78" t="b">
        <f>IF(VLOOKUP(C28,Projetos!A:L,12,false)=TRUE,TRUE,FALSE)</f>
        <v>1</v>
      </c>
      <c r="I28" s="68">
        <v>60.19924222910927</v>
      </c>
      <c r="J28" s="68">
        <f t="shared" si="1"/>
        <v>0</v>
      </c>
      <c r="K28" s="68" t="b">
        <v>1</v>
      </c>
    </row>
    <row r="29" hidden="1">
      <c r="A29" s="75">
        <v>23.0</v>
      </c>
      <c r="B29" s="62" t="s">
        <v>130</v>
      </c>
      <c r="C29" s="62" t="s">
        <v>138</v>
      </c>
      <c r="D29" s="62" t="s">
        <v>151</v>
      </c>
      <c r="E29" s="76">
        <v>43973.0</v>
      </c>
      <c r="F29" s="77">
        <v>0.14583333333333334</v>
      </c>
      <c r="G29" s="62" t="b">
        <v>1</v>
      </c>
      <c r="H29" s="78" t="b">
        <f>IF(VLOOKUP(C29,Projetos!A:L,12,false)=TRUE,TRUE,FALSE)</f>
        <v>1</v>
      </c>
      <c r="I29" s="68">
        <v>63.06587281144781</v>
      </c>
      <c r="J29" s="68">
        <f t="shared" si="1"/>
        <v>220.7305548</v>
      </c>
      <c r="K29" s="68" t="b">
        <v>1</v>
      </c>
    </row>
    <row r="30" hidden="1">
      <c r="A30" s="75">
        <v>24.0</v>
      </c>
      <c r="B30" s="62" t="s">
        <v>130</v>
      </c>
      <c r="C30" s="62" t="s">
        <v>101</v>
      </c>
      <c r="D30" s="62" t="s">
        <v>152</v>
      </c>
      <c r="E30" s="76">
        <v>43966.0</v>
      </c>
      <c r="F30" s="77">
        <v>0.0625</v>
      </c>
      <c r="G30" s="62" t="b">
        <v>1</v>
      </c>
      <c r="H30" s="78" t="b">
        <f>IF(VLOOKUP(C30,Projetos!A:L,12,false)=TRUE,TRUE,FALSE)</f>
        <v>1</v>
      </c>
      <c r="I30" s="68">
        <v>63.06587281144781</v>
      </c>
      <c r="J30" s="68">
        <f t="shared" si="1"/>
        <v>94.59880922</v>
      </c>
      <c r="K30" s="68" t="b">
        <v>1</v>
      </c>
    </row>
    <row r="31">
      <c r="A31" s="75">
        <v>25.0</v>
      </c>
      <c r="B31" s="62" t="s">
        <v>130</v>
      </c>
      <c r="C31" s="62" t="s">
        <v>104</v>
      </c>
      <c r="D31" s="62" t="s">
        <v>153</v>
      </c>
      <c r="E31" s="76">
        <v>43962.0</v>
      </c>
      <c r="F31" s="77">
        <v>0.041666666666666664</v>
      </c>
      <c r="G31" s="62" t="b">
        <v>1</v>
      </c>
      <c r="H31" s="78" t="b">
        <f>IF(VLOOKUP(C31,Projetos!A:L,12,false)=TRUE,TRUE,FALSE)</f>
        <v>1</v>
      </c>
      <c r="I31" s="68">
        <v>63.06587281144781</v>
      </c>
      <c r="J31" s="68">
        <f t="shared" si="1"/>
        <v>63.06587281</v>
      </c>
      <c r="K31" s="68" t="b">
        <v>1</v>
      </c>
    </row>
    <row r="32">
      <c r="A32" s="75">
        <v>26.0</v>
      </c>
      <c r="B32" s="62" t="s">
        <v>130</v>
      </c>
      <c r="C32" s="62" t="s">
        <v>104</v>
      </c>
      <c r="D32" s="62" t="s">
        <v>154</v>
      </c>
      <c r="E32" s="76">
        <v>43965.0</v>
      </c>
      <c r="F32" s="77">
        <v>0.041666666666666664</v>
      </c>
      <c r="G32" s="62" t="b">
        <v>1</v>
      </c>
      <c r="H32" s="78" t="b">
        <f>IF(VLOOKUP(C32,Projetos!A:L,12,false)=TRUE,TRUE,FALSE)</f>
        <v>1</v>
      </c>
      <c r="I32" s="68">
        <v>63.06587281144781</v>
      </c>
      <c r="J32" s="68">
        <f t="shared" si="1"/>
        <v>63.06587281</v>
      </c>
      <c r="K32" s="68" t="b">
        <v>1</v>
      </c>
    </row>
    <row r="33" hidden="1">
      <c r="A33" s="75">
        <v>27.0</v>
      </c>
      <c r="B33" s="62" t="s">
        <v>130</v>
      </c>
      <c r="C33" s="62" t="s">
        <v>109</v>
      </c>
      <c r="D33" s="62" t="s">
        <v>155</v>
      </c>
      <c r="E33" s="76">
        <v>43978.0</v>
      </c>
      <c r="F33" s="77">
        <v>0.0625</v>
      </c>
      <c r="G33" s="62" t="b">
        <v>0</v>
      </c>
      <c r="H33" s="78" t="b">
        <f>IF(VLOOKUP(C33,Projetos!A:L,12,false)=TRUE,TRUE,FALSE)</f>
        <v>0</v>
      </c>
      <c r="I33" s="68">
        <v>63.06587281144781</v>
      </c>
      <c r="J33" s="68">
        <f t="shared" si="1"/>
        <v>0</v>
      </c>
      <c r="K33" s="68" t="b">
        <v>0</v>
      </c>
    </row>
    <row r="34" hidden="1">
      <c r="A34" s="75">
        <v>28.0</v>
      </c>
      <c r="B34" s="62" t="s">
        <v>130</v>
      </c>
      <c r="C34" s="62" t="s">
        <v>109</v>
      </c>
      <c r="D34" s="62" t="s">
        <v>156</v>
      </c>
      <c r="E34" s="76">
        <v>43971.0</v>
      </c>
      <c r="F34" s="77">
        <v>0.041666666666666664</v>
      </c>
      <c r="G34" s="62" t="b">
        <v>0</v>
      </c>
      <c r="H34" s="78" t="b">
        <f>IF(VLOOKUP(C34,Projetos!A:L,12,false)=TRUE,TRUE,FALSE)</f>
        <v>0</v>
      </c>
      <c r="I34" s="68">
        <v>63.06587281144781</v>
      </c>
      <c r="J34" s="68">
        <f t="shared" si="1"/>
        <v>0</v>
      </c>
      <c r="K34" s="68" t="b">
        <v>0</v>
      </c>
    </row>
    <row r="35">
      <c r="A35" s="75">
        <v>29.0</v>
      </c>
      <c r="B35" s="62" t="s">
        <v>130</v>
      </c>
      <c r="C35" s="62" t="s">
        <v>104</v>
      </c>
      <c r="D35" s="62" t="s">
        <v>157</v>
      </c>
      <c r="E35" s="76">
        <v>44004.0</v>
      </c>
      <c r="F35" s="77">
        <v>0.034027777777777775</v>
      </c>
      <c r="G35" s="62" t="b">
        <v>1</v>
      </c>
      <c r="H35" s="78" t="b">
        <f>IF(VLOOKUP(C35,Projetos!A:L,12,false)=TRUE,TRUE,FALSE)</f>
        <v>1</v>
      </c>
      <c r="I35" s="68">
        <v>60.19924222910927</v>
      </c>
      <c r="J35" s="68">
        <f t="shared" si="1"/>
        <v>49.16271449</v>
      </c>
      <c r="K35" s="68" t="b">
        <v>1</v>
      </c>
    </row>
    <row r="36">
      <c r="A36" s="75">
        <v>30.0</v>
      </c>
      <c r="B36" s="62" t="s">
        <v>130</v>
      </c>
      <c r="C36" s="62" t="s">
        <v>104</v>
      </c>
      <c r="D36" s="62" t="s">
        <v>158</v>
      </c>
      <c r="E36" s="76">
        <v>43997.0</v>
      </c>
      <c r="F36" s="77">
        <v>0.041666666666666664</v>
      </c>
      <c r="G36" s="62" t="b">
        <v>1</v>
      </c>
      <c r="H36" s="78" t="b">
        <f>IF(VLOOKUP(C36,Projetos!A:L,12,false)=TRUE,TRUE,FALSE)</f>
        <v>1</v>
      </c>
      <c r="I36" s="68">
        <v>60.19924222910927</v>
      </c>
      <c r="J36" s="68">
        <f t="shared" si="1"/>
        <v>60.19924223</v>
      </c>
      <c r="K36" s="68" t="b">
        <v>1</v>
      </c>
    </row>
    <row r="37" hidden="1">
      <c r="A37" s="75">
        <v>31.0</v>
      </c>
      <c r="B37" s="62" t="s">
        <v>130</v>
      </c>
      <c r="C37" s="62" t="s">
        <v>109</v>
      </c>
      <c r="D37" s="62" t="s">
        <v>159</v>
      </c>
      <c r="E37" s="76">
        <v>43983.0</v>
      </c>
      <c r="F37" s="77">
        <v>0.4166666666666667</v>
      </c>
      <c r="G37" s="62" t="b">
        <v>0</v>
      </c>
      <c r="H37" s="78" t="b">
        <f>IF(VLOOKUP(C37,Projetos!A:L,12,false)=TRUE,TRUE,FALSE)</f>
        <v>0</v>
      </c>
      <c r="I37" s="68">
        <v>60.19924222910927</v>
      </c>
      <c r="J37" s="68">
        <f t="shared" si="1"/>
        <v>0</v>
      </c>
      <c r="K37" s="68" t="b">
        <v>0</v>
      </c>
    </row>
    <row r="38" hidden="1">
      <c r="A38" s="75">
        <v>32.0</v>
      </c>
      <c r="B38" s="62" t="s">
        <v>130</v>
      </c>
      <c r="C38" s="62" t="s">
        <v>109</v>
      </c>
      <c r="D38" s="62" t="s">
        <v>160</v>
      </c>
      <c r="E38" s="76">
        <v>43985.0</v>
      </c>
      <c r="F38" s="77">
        <v>0.08333333333333333</v>
      </c>
      <c r="G38" s="62" t="b">
        <v>0</v>
      </c>
      <c r="H38" s="78" t="b">
        <f>IF(VLOOKUP(C38,Projetos!A:L,12,false)=TRUE,TRUE,FALSE)</f>
        <v>0</v>
      </c>
      <c r="I38" s="68">
        <v>60.19924222910927</v>
      </c>
      <c r="J38" s="68">
        <f t="shared" si="1"/>
        <v>0</v>
      </c>
      <c r="K38" s="68" t="b">
        <v>0</v>
      </c>
    </row>
    <row r="39" hidden="1">
      <c r="A39" s="75">
        <v>33.0</v>
      </c>
      <c r="B39" s="62" t="s">
        <v>130</v>
      </c>
      <c r="C39" s="62" t="s">
        <v>109</v>
      </c>
      <c r="D39" s="62" t="s">
        <v>161</v>
      </c>
      <c r="E39" s="76">
        <v>43992.0</v>
      </c>
      <c r="F39" s="77">
        <v>0.3333333333333333</v>
      </c>
      <c r="G39" s="62" t="b">
        <v>0</v>
      </c>
      <c r="H39" s="78" t="b">
        <f>IF(VLOOKUP(C39,Projetos!A:L,12,false)=TRUE,TRUE,FALSE)</f>
        <v>0</v>
      </c>
      <c r="I39" s="68">
        <v>60.19924222910927</v>
      </c>
      <c r="J39" s="68">
        <f t="shared" si="1"/>
        <v>0</v>
      </c>
      <c r="K39" s="68" t="b">
        <v>0</v>
      </c>
    </row>
    <row r="40" hidden="1">
      <c r="A40" s="75">
        <v>34.0</v>
      </c>
      <c r="B40" s="62" t="s">
        <v>130</v>
      </c>
      <c r="C40" s="62" t="s">
        <v>103</v>
      </c>
      <c r="D40" s="62" t="s">
        <v>162</v>
      </c>
      <c r="E40" s="76">
        <v>43999.0</v>
      </c>
      <c r="F40" s="77">
        <v>0.25</v>
      </c>
      <c r="G40" s="62" t="b">
        <v>1</v>
      </c>
      <c r="H40" s="78" t="b">
        <f>IF(VLOOKUP(C40,Projetos!A:L,12,false)=TRUE,TRUE,FALSE)</f>
        <v>1</v>
      </c>
      <c r="I40" s="68">
        <v>60.19924222910927</v>
      </c>
      <c r="J40" s="68">
        <f t="shared" si="1"/>
        <v>361.1954534</v>
      </c>
      <c r="K40" s="68" t="b">
        <v>1</v>
      </c>
    </row>
    <row r="41" hidden="1">
      <c r="A41" s="75">
        <v>35.0</v>
      </c>
      <c r="B41" s="62" t="s">
        <v>130</v>
      </c>
      <c r="C41" s="62" t="s">
        <v>101</v>
      </c>
      <c r="D41" s="62" t="s">
        <v>163</v>
      </c>
      <c r="E41" s="76">
        <v>44000.0</v>
      </c>
      <c r="F41" s="77">
        <v>0.041666666666666664</v>
      </c>
      <c r="G41" s="62" t="b">
        <v>1</v>
      </c>
      <c r="H41" s="78" t="b">
        <f>IF(VLOOKUP(C41,Projetos!A:L,12,false)=TRUE,TRUE,FALSE)</f>
        <v>1</v>
      </c>
      <c r="I41" s="68">
        <v>60.19924222910927</v>
      </c>
      <c r="J41" s="68">
        <f t="shared" si="1"/>
        <v>60.19924223</v>
      </c>
      <c r="K41" s="68" t="b">
        <v>1</v>
      </c>
    </row>
    <row r="42" hidden="1">
      <c r="A42" s="75">
        <v>36.0</v>
      </c>
      <c r="B42" s="62" t="s">
        <v>130</v>
      </c>
      <c r="C42" s="62" t="s">
        <v>109</v>
      </c>
      <c r="D42" s="62" t="s">
        <v>164</v>
      </c>
      <c r="E42" s="76">
        <v>44008.0</v>
      </c>
      <c r="F42" s="77">
        <v>0.041666666666666664</v>
      </c>
      <c r="G42" s="62" t="b">
        <v>0</v>
      </c>
      <c r="H42" s="78" t="b">
        <f>IF(VLOOKUP(C42,Projetos!A:L,12,false)=TRUE,TRUE,FALSE)</f>
        <v>0</v>
      </c>
      <c r="I42" s="68">
        <v>60.19924222910927</v>
      </c>
      <c r="J42" s="68">
        <f t="shared" si="1"/>
        <v>0</v>
      </c>
      <c r="K42" s="68" t="b">
        <v>0</v>
      </c>
    </row>
    <row r="43" hidden="1">
      <c r="A43" s="75">
        <v>37.0</v>
      </c>
      <c r="B43" s="62" t="s">
        <v>130</v>
      </c>
      <c r="C43" s="62" t="s">
        <v>109</v>
      </c>
      <c r="D43" s="62" t="s">
        <v>165</v>
      </c>
      <c r="E43" s="76">
        <v>44027.0</v>
      </c>
      <c r="F43" s="77">
        <v>0.125</v>
      </c>
      <c r="G43" s="62" t="b">
        <v>0</v>
      </c>
      <c r="H43" s="78" t="b">
        <f>IF(VLOOKUP(C43,Projetos!A:L,12,false)=TRUE,TRUE,FALSE)</f>
        <v>0</v>
      </c>
      <c r="I43" s="68">
        <v>63.06587281144781</v>
      </c>
      <c r="J43" s="68">
        <f t="shared" si="1"/>
        <v>0</v>
      </c>
      <c r="K43" s="68" t="b">
        <v>0</v>
      </c>
    </row>
    <row r="44" hidden="1">
      <c r="A44" s="75">
        <v>38.0</v>
      </c>
      <c r="B44" s="62" t="s">
        <v>130</v>
      </c>
      <c r="C44" s="62" t="s">
        <v>101</v>
      </c>
      <c r="D44" s="62" t="s">
        <v>152</v>
      </c>
      <c r="E44" s="76">
        <v>44028.0</v>
      </c>
      <c r="F44" s="77">
        <v>0.25</v>
      </c>
      <c r="G44" s="62" t="b">
        <v>1</v>
      </c>
      <c r="H44" s="78" t="b">
        <f>IF(VLOOKUP(C44,Projetos!A:L,12,false)=TRUE,TRUE,FALSE)</f>
        <v>1</v>
      </c>
      <c r="I44" s="68">
        <v>63.06587281144781</v>
      </c>
      <c r="J44" s="68">
        <f t="shared" si="1"/>
        <v>378.3952369</v>
      </c>
      <c r="K44" s="68" t="b">
        <v>1</v>
      </c>
    </row>
    <row r="45">
      <c r="A45" s="75">
        <v>39.0</v>
      </c>
      <c r="B45" s="62" t="s">
        <v>130</v>
      </c>
      <c r="C45" s="62" t="s">
        <v>104</v>
      </c>
      <c r="D45" s="62" t="s">
        <v>166</v>
      </c>
      <c r="E45" s="76">
        <v>44026.0</v>
      </c>
      <c r="F45" s="77">
        <v>0.08333333333333333</v>
      </c>
      <c r="G45" s="62" t="b">
        <v>1</v>
      </c>
      <c r="H45" s="78" t="b">
        <f>IF(VLOOKUP(C45,Projetos!A:L,12,false)=TRUE,TRUE,FALSE)</f>
        <v>1</v>
      </c>
      <c r="I45" s="68">
        <v>63.06587281144781</v>
      </c>
      <c r="J45" s="68">
        <f t="shared" si="1"/>
        <v>126.1317456</v>
      </c>
      <c r="K45" s="68" t="b">
        <v>1</v>
      </c>
    </row>
    <row r="46" hidden="1">
      <c r="A46" s="75">
        <v>40.0</v>
      </c>
      <c r="B46" s="62" t="s">
        <v>130</v>
      </c>
      <c r="C46" s="62" t="s">
        <v>102</v>
      </c>
      <c r="D46" s="62" t="s">
        <v>167</v>
      </c>
      <c r="E46" s="76">
        <v>44049.0</v>
      </c>
      <c r="F46" s="77">
        <v>0.0625</v>
      </c>
      <c r="G46" s="62" t="b">
        <v>0</v>
      </c>
      <c r="H46" s="78" t="b">
        <f>IF(VLOOKUP(C46,Projetos!A:L,12,false)=TRUE,TRUE,FALSE)</f>
        <v>0</v>
      </c>
      <c r="I46" s="68">
        <v>63.06587281144781</v>
      </c>
      <c r="J46" s="68">
        <f t="shared" si="1"/>
        <v>0</v>
      </c>
      <c r="K46" s="68" t="b">
        <v>0</v>
      </c>
    </row>
    <row r="47" hidden="1">
      <c r="A47" s="75">
        <v>41.0</v>
      </c>
      <c r="B47" s="62" t="s">
        <v>130</v>
      </c>
      <c r="C47" s="62" t="s">
        <v>98</v>
      </c>
      <c r="D47" s="62" t="s">
        <v>168</v>
      </c>
      <c r="E47" s="76">
        <v>44049.0</v>
      </c>
      <c r="F47" s="77">
        <v>0.0625</v>
      </c>
      <c r="G47" s="62" t="b">
        <v>1</v>
      </c>
      <c r="H47" s="78" t="b">
        <f>IF(VLOOKUP(C47,Projetos!A:L,12,false)=TRUE,TRUE,FALSE)</f>
        <v>1</v>
      </c>
      <c r="I47" s="68">
        <v>63.06587281144781</v>
      </c>
      <c r="J47" s="68">
        <f t="shared" si="1"/>
        <v>94.59880922</v>
      </c>
      <c r="K47" s="68" t="b">
        <v>1</v>
      </c>
    </row>
    <row r="48" hidden="1">
      <c r="A48" s="75">
        <v>42.0</v>
      </c>
      <c r="B48" s="62" t="s">
        <v>130</v>
      </c>
      <c r="C48" s="62" t="s">
        <v>102</v>
      </c>
      <c r="D48" s="62" t="s">
        <v>169</v>
      </c>
      <c r="E48" s="76">
        <v>44050.0</v>
      </c>
      <c r="F48" s="77">
        <v>0.2916666666666667</v>
      </c>
      <c r="G48" s="62" t="b">
        <v>0</v>
      </c>
      <c r="H48" s="78" t="b">
        <f>IF(VLOOKUP(C48,Projetos!A:L,12,false)=TRUE,TRUE,FALSE)</f>
        <v>0</v>
      </c>
      <c r="I48" s="68">
        <v>63.06587281144781</v>
      </c>
      <c r="J48" s="68">
        <f t="shared" si="1"/>
        <v>0</v>
      </c>
      <c r="K48" s="68" t="b">
        <v>0</v>
      </c>
    </row>
    <row r="49" hidden="1">
      <c r="A49" s="75">
        <v>43.0</v>
      </c>
      <c r="B49" s="62" t="s">
        <v>130</v>
      </c>
      <c r="C49" s="62" t="s">
        <v>102</v>
      </c>
      <c r="D49" s="62" t="s">
        <v>169</v>
      </c>
      <c r="E49" s="76">
        <v>44053.0</v>
      </c>
      <c r="F49" s="77">
        <v>0.25</v>
      </c>
      <c r="G49" s="62" t="b">
        <v>0</v>
      </c>
      <c r="H49" s="78" t="b">
        <f>IF(VLOOKUP(C49,Projetos!A:L,12,false)=TRUE,TRUE,FALSE)</f>
        <v>0</v>
      </c>
      <c r="I49" s="68">
        <v>63.06587281144781</v>
      </c>
      <c r="J49" s="68">
        <f t="shared" si="1"/>
        <v>0</v>
      </c>
      <c r="K49" s="68" t="b">
        <v>0</v>
      </c>
    </row>
    <row r="50" hidden="1">
      <c r="A50" s="75">
        <v>44.0</v>
      </c>
      <c r="B50" s="62" t="s">
        <v>130</v>
      </c>
      <c r="C50" s="62" t="s">
        <v>102</v>
      </c>
      <c r="D50" s="62" t="s">
        <v>169</v>
      </c>
      <c r="E50" s="76">
        <v>44054.0</v>
      </c>
      <c r="F50" s="77">
        <v>0.20833333333333334</v>
      </c>
      <c r="G50" s="62" t="b">
        <v>0</v>
      </c>
      <c r="H50" s="78" t="b">
        <f>IF(VLOOKUP(C50,Projetos!A:L,12,false)=TRUE,TRUE,FALSE)</f>
        <v>0</v>
      </c>
      <c r="I50" s="68">
        <v>63.06587281144781</v>
      </c>
      <c r="J50" s="68">
        <f t="shared" si="1"/>
        <v>0</v>
      </c>
      <c r="K50" s="68" t="b">
        <v>0</v>
      </c>
    </row>
    <row r="51" hidden="1">
      <c r="A51" s="75">
        <v>45.0</v>
      </c>
      <c r="B51" s="62" t="s">
        <v>130</v>
      </c>
      <c r="C51" s="62" t="s">
        <v>103</v>
      </c>
      <c r="D51" s="62" t="s">
        <v>170</v>
      </c>
      <c r="E51" s="76">
        <v>44077.0</v>
      </c>
      <c r="F51" s="77">
        <v>0.08333333333333333</v>
      </c>
      <c r="G51" s="62" t="b">
        <v>1</v>
      </c>
      <c r="H51" s="78" t="b">
        <f>IF(VLOOKUP(C51,Projetos!A:L,12,false)=TRUE,TRUE,FALSE)</f>
        <v>1</v>
      </c>
      <c r="I51" s="68">
        <v>63.20918774678603</v>
      </c>
      <c r="J51" s="68">
        <f t="shared" si="1"/>
        <v>126.4183755</v>
      </c>
      <c r="K51" s="68" t="b">
        <v>1</v>
      </c>
    </row>
    <row r="52" hidden="1">
      <c r="A52" s="75">
        <v>46.0</v>
      </c>
      <c r="B52" s="62" t="s">
        <v>130</v>
      </c>
      <c r="C52" s="62" t="s">
        <v>101</v>
      </c>
      <c r="D52" s="62" t="s">
        <v>171</v>
      </c>
      <c r="E52" s="76">
        <v>44078.0</v>
      </c>
      <c r="F52" s="77">
        <v>0.08333333333333333</v>
      </c>
      <c r="G52" s="62" t="b">
        <v>1</v>
      </c>
      <c r="H52" s="78" t="b">
        <f>IF(VLOOKUP(C52,Projetos!A:L,12,false)=TRUE,TRUE,FALSE)</f>
        <v>1</v>
      </c>
      <c r="I52" s="68">
        <v>63.20918774678603</v>
      </c>
      <c r="J52" s="68">
        <f t="shared" si="1"/>
        <v>126.4183755</v>
      </c>
      <c r="K52" s="68" t="b">
        <v>1</v>
      </c>
    </row>
    <row r="53" hidden="1">
      <c r="A53" s="75">
        <v>47.0</v>
      </c>
      <c r="B53" s="62" t="s">
        <v>130</v>
      </c>
      <c r="C53" s="62" t="s">
        <v>102</v>
      </c>
      <c r="D53" s="62" t="s">
        <v>172</v>
      </c>
      <c r="E53" s="76">
        <v>44090.0</v>
      </c>
      <c r="F53" s="77">
        <v>0.25</v>
      </c>
      <c r="G53" s="62" t="b">
        <v>0</v>
      </c>
      <c r="H53" s="78" t="b">
        <f>IF(VLOOKUP(C53,Projetos!A:L,12,false)=TRUE,TRUE,FALSE)</f>
        <v>0</v>
      </c>
      <c r="I53" s="68">
        <v>63.20918774678603</v>
      </c>
      <c r="J53" s="68">
        <f t="shared" si="1"/>
        <v>0</v>
      </c>
      <c r="K53" s="68" t="b">
        <v>0</v>
      </c>
    </row>
    <row r="54" hidden="1">
      <c r="A54" s="75">
        <v>48.0</v>
      </c>
      <c r="B54" s="62" t="s">
        <v>130</v>
      </c>
      <c r="C54" s="62" t="s">
        <v>101</v>
      </c>
      <c r="D54" s="62" t="s">
        <v>173</v>
      </c>
      <c r="E54" s="76">
        <v>43986.0</v>
      </c>
      <c r="F54" s="77">
        <v>0.041666666666666664</v>
      </c>
      <c r="G54" s="62" t="b">
        <v>1</v>
      </c>
      <c r="H54" s="78" t="b">
        <f>IF(VLOOKUP(C54,Projetos!A:L,12,false)=TRUE,TRUE,FALSE)</f>
        <v>1</v>
      </c>
      <c r="I54" s="68">
        <v>60.19924222910927</v>
      </c>
      <c r="J54" s="68">
        <f t="shared" si="1"/>
        <v>60.19924223</v>
      </c>
      <c r="K54" s="68" t="b">
        <v>1</v>
      </c>
    </row>
    <row r="55" hidden="1">
      <c r="A55" s="75">
        <v>49.0</v>
      </c>
      <c r="B55" s="62" t="s">
        <v>130</v>
      </c>
      <c r="C55" s="62" t="s">
        <v>101</v>
      </c>
      <c r="D55" s="62" t="s">
        <v>171</v>
      </c>
      <c r="E55" s="76">
        <v>44106.0</v>
      </c>
      <c r="F55" s="77">
        <v>0.08333333333333333</v>
      </c>
      <c r="G55" s="62" t="b">
        <v>1</v>
      </c>
      <c r="H55" s="78" t="b">
        <f>IF(VLOOKUP(C55,Projetos!A:L,12,false)=TRUE,TRUE,FALSE)</f>
        <v>1</v>
      </c>
      <c r="I55" s="68">
        <v>66.21914906806155</v>
      </c>
      <c r="J55" s="68">
        <f t="shared" si="1"/>
        <v>132.4382981</v>
      </c>
      <c r="K55" s="68" t="b">
        <v>1</v>
      </c>
    </row>
    <row r="56" hidden="1">
      <c r="A56" s="75">
        <v>50.0</v>
      </c>
      <c r="B56" s="62" t="s">
        <v>130</v>
      </c>
      <c r="C56" s="62" t="s">
        <v>102</v>
      </c>
      <c r="D56" s="62" t="s">
        <v>174</v>
      </c>
      <c r="E56" s="76">
        <v>44109.0</v>
      </c>
      <c r="F56" s="77">
        <v>0.125</v>
      </c>
      <c r="G56" s="62" t="b">
        <v>0</v>
      </c>
      <c r="H56" s="78" t="b">
        <f>IF(VLOOKUP(C56,Projetos!A:L,12,false)=TRUE,TRUE,FALSE)</f>
        <v>0</v>
      </c>
      <c r="I56" s="68">
        <v>66.21914906806155</v>
      </c>
      <c r="J56" s="68">
        <f t="shared" si="1"/>
        <v>0</v>
      </c>
      <c r="K56" s="68" t="b">
        <v>0</v>
      </c>
    </row>
    <row r="57" hidden="1">
      <c r="A57" s="75">
        <v>51.0</v>
      </c>
      <c r="B57" s="62" t="s">
        <v>130</v>
      </c>
      <c r="C57" s="62" t="s">
        <v>109</v>
      </c>
      <c r="D57" s="62" t="s">
        <v>175</v>
      </c>
      <c r="E57" s="76">
        <v>44112.0</v>
      </c>
      <c r="F57" s="77">
        <v>0.041666666666666664</v>
      </c>
      <c r="G57" s="62" t="b">
        <v>0</v>
      </c>
      <c r="H57" s="78" t="b">
        <f>IF(VLOOKUP(C57,Projetos!A:L,12,false)=TRUE,TRUE,FALSE)</f>
        <v>0</v>
      </c>
      <c r="I57" s="68">
        <v>66.21914906806155</v>
      </c>
      <c r="J57" s="68">
        <f t="shared" si="1"/>
        <v>0</v>
      </c>
      <c r="K57" s="68" t="b">
        <v>0</v>
      </c>
    </row>
    <row r="58" hidden="1">
      <c r="A58" s="75">
        <v>52.0</v>
      </c>
      <c r="B58" s="62" t="s">
        <v>130</v>
      </c>
      <c r="C58" s="62" t="s">
        <v>102</v>
      </c>
      <c r="D58" s="62" t="s">
        <v>176</v>
      </c>
      <c r="E58" s="76">
        <v>44110.0</v>
      </c>
      <c r="F58" s="77">
        <v>0.08333333333333333</v>
      </c>
      <c r="G58" s="62" t="b">
        <v>0</v>
      </c>
      <c r="H58" s="78" t="b">
        <f>IF(VLOOKUP(C58,Projetos!A:L,12,false)=TRUE,TRUE,FALSE)</f>
        <v>0</v>
      </c>
      <c r="I58" s="68">
        <v>66.21914906806155</v>
      </c>
      <c r="J58" s="68">
        <f t="shared" si="1"/>
        <v>0</v>
      </c>
      <c r="K58" s="68" t="b">
        <v>0</v>
      </c>
    </row>
    <row r="59" hidden="1">
      <c r="A59" s="75">
        <v>53.0</v>
      </c>
      <c r="B59" s="62" t="s">
        <v>130</v>
      </c>
      <c r="C59" s="62" t="s">
        <v>101</v>
      </c>
      <c r="D59" s="62" t="s">
        <v>177</v>
      </c>
      <c r="E59" s="76">
        <v>44147.0</v>
      </c>
      <c r="F59" s="77">
        <v>0.125</v>
      </c>
      <c r="G59" s="62" t="b">
        <v>1</v>
      </c>
      <c r="H59" s="78" t="b">
        <f>IF(VLOOKUP(C59,Projetos!A:L,12,false)=TRUE,TRUE,FALSE)</f>
        <v>1</v>
      </c>
      <c r="I59" s="68">
        <v>64.24580110192835</v>
      </c>
      <c r="J59" s="68">
        <f t="shared" si="1"/>
        <v>192.7374033</v>
      </c>
      <c r="K59" s="68" t="b">
        <v>1</v>
      </c>
    </row>
    <row r="60" hidden="1">
      <c r="A60" s="75">
        <v>54.0</v>
      </c>
      <c r="B60" s="62" t="s">
        <v>130</v>
      </c>
      <c r="C60" s="62" t="s">
        <v>101</v>
      </c>
      <c r="D60" s="62" t="s">
        <v>178</v>
      </c>
      <c r="E60" s="76">
        <v>44165.0</v>
      </c>
      <c r="F60" s="77">
        <v>0.05555555555555555</v>
      </c>
      <c r="G60" s="62" t="b">
        <v>1</v>
      </c>
      <c r="H60" s="78" t="b">
        <f>IF(VLOOKUP(C60,Projetos!A:L,12,false)=TRUE,TRUE,FALSE)</f>
        <v>1</v>
      </c>
      <c r="I60" s="68">
        <v>64.24580110192835</v>
      </c>
      <c r="J60" s="68">
        <f t="shared" si="1"/>
        <v>85.66106814</v>
      </c>
      <c r="K60" s="68" t="b">
        <v>1</v>
      </c>
    </row>
    <row r="61" hidden="1">
      <c r="A61" s="75">
        <v>55.0</v>
      </c>
      <c r="B61" s="62" t="s">
        <v>130</v>
      </c>
      <c r="C61" s="62" t="s">
        <v>103</v>
      </c>
      <c r="D61" s="62" t="s">
        <v>179</v>
      </c>
      <c r="E61" s="76">
        <v>44140.0</v>
      </c>
      <c r="F61" s="77">
        <v>0.10416666666666667</v>
      </c>
      <c r="G61" s="62" t="b">
        <v>1</v>
      </c>
      <c r="H61" s="78" t="b">
        <f>IF(VLOOKUP(C61,Projetos!A:L,12,false)=TRUE,TRUE,FALSE)</f>
        <v>1</v>
      </c>
      <c r="I61" s="68">
        <v>64.24580110192835</v>
      </c>
      <c r="J61" s="68">
        <f t="shared" si="1"/>
        <v>160.6145028</v>
      </c>
      <c r="K61" s="68" t="b">
        <v>1</v>
      </c>
    </row>
    <row r="62" hidden="1">
      <c r="A62" s="75">
        <v>56.0</v>
      </c>
      <c r="B62" s="62" t="s">
        <v>130</v>
      </c>
      <c r="C62" s="62" t="s">
        <v>102</v>
      </c>
      <c r="D62" s="62" t="s">
        <v>180</v>
      </c>
      <c r="E62" s="76">
        <v>44147.0</v>
      </c>
      <c r="F62" s="77">
        <v>0.041666666666666664</v>
      </c>
      <c r="G62" s="62" t="b">
        <v>0</v>
      </c>
      <c r="H62" s="78" t="b">
        <f>IF(VLOOKUP(C62,Projetos!A:L,12,false)=TRUE,TRUE,FALSE)</f>
        <v>0</v>
      </c>
      <c r="I62" s="68">
        <v>64.24580110192835</v>
      </c>
      <c r="J62" s="68">
        <f t="shared" si="1"/>
        <v>0</v>
      </c>
      <c r="K62" s="68" t="b">
        <v>0</v>
      </c>
    </row>
    <row r="63" hidden="1">
      <c r="A63" s="75">
        <v>57.0</v>
      </c>
      <c r="B63" s="62" t="s">
        <v>130</v>
      </c>
      <c r="C63" s="62" t="s">
        <v>102</v>
      </c>
      <c r="D63" s="62" t="s">
        <v>181</v>
      </c>
      <c r="E63" s="76">
        <v>44147.0</v>
      </c>
      <c r="F63" s="77">
        <v>0.125</v>
      </c>
      <c r="G63" s="62" t="b">
        <v>0</v>
      </c>
      <c r="H63" s="78" t="b">
        <f>IF(VLOOKUP(C63,Projetos!A:L,12,false)=TRUE,TRUE,FALSE)</f>
        <v>0</v>
      </c>
      <c r="I63" s="68">
        <v>64.24580110192835</v>
      </c>
      <c r="J63" s="68">
        <f t="shared" si="1"/>
        <v>0</v>
      </c>
      <c r="K63" s="68" t="b">
        <v>0</v>
      </c>
    </row>
    <row r="64" hidden="1">
      <c r="A64" s="75">
        <v>58.0</v>
      </c>
      <c r="B64" s="62" t="s">
        <v>130</v>
      </c>
      <c r="C64" s="62" t="s">
        <v>102</v>
      </c>
      <c r="D64" s="62" t="s">
        <v>182</v>
      </c>
      <c r="E64" s="76">
        <v>44155.0</v>
      </c>
      <c r="F64" s="77">
        <v>0.027777777777777776</v>
      </c>
      <c r="G64" s="62" t="b">
        <v>0</v>
      </c>
      <c r="H64" s="78" t="b">
        <f>IF(VLOOKUP(C64,Projetos!A:L,12,false)=TRUE,TRUE,FALSE)</f>
        <v>0</v>
      </c>
      <c r="I64" s="68">
        <v>64.24580110192835</v>
      </c>
      <c r="J64" s="68">
        <f t="shared" si="1"/>
        <v>0</v>
      </c>
      <c r="K64" s="68" t="b">
        <v>0</v>
      </c>
    </row>
    <row r="65" hidden="1">
      <c r="A65" s="75">
        <v>59.0</v>
      </c>
      <c r="B65" s="62" t="s">
        <v>130</v>
      </c>
      <c r="C65" s="62" t="s">
        <v>102</v>
      </c>
      <c r="D65" s="62" t="s">
        <v>183</v>
      </c>
      <c r="E65" s="76">
        <v>44152.0</v>
      </c>
      <c r="F65" s="77">
        <v>0.1111111111111111</v>
      </c>
      <c r="G65" s="62" t="b">
        <v>0</v>
      </c>
      <c r="H65" s="78" t="b">
        <f>IF(VLOOKUP(C65,Projetos!A:L,12,false)=TRUE,TRUE,FALSE)</f>
        <v>0</v>
      </c>
      <c r="I65" s="68">
        <v>64.24580110192835</v>
      </c>
      <c r="J65" s="68">
        <f t="shared" si="1"/>
        <v>0</v>
      </c>
      <c r="K65" s="68" t="b">
        <v>0</v>
      </c>
    </row>
    <row r="66" hidden="1">
      <c r="A66" s="75">
        <v>60.0</v>
      </c>
      <c r="B66" s="62" t="s">
        <v>130</v>
      </c>
      <c r="C66" s="62" t="s">
        <v>102</v>
      </c>
      <c r="D66" s="62" t="s">
        <v>184</v>
      </c>
      <c r="E66" s="76">
        <v>44153.0</v>
      </c>
      <c r="F66" s="77">
        <v>0.09722222222222222</v>
      </c>
      <c r="G66" s="62" t="b">
        <v>0</v>
      </c>
      <c r="H66" s="78" t="b">
        <f>IF(VLOOKUP(C66,Projetos!A:L,12,false)=TRUE,TRUE,FALSE)</f>
        <v>0</v>
      </c>
      <c r="I66" s="68">
        <v>64.24580110192835</v>
      </c>
      <c r="J66" s="68">
        <f t="shared" si="1"/>
        <v>0</v>
      </c>
      <c r="K66" s="68" t="b">
        <v>0</v>
      </c>
    </row>
    <row r="67" hidden="1">
      <c r="A67" s="75">
        <v>61.0</v>
      </c>
      <c r="B67" s="62" t="s">
        <v>130</v>
      </c>
      <c r="C67" s="62" t="s">
        <v>109</v>
      </c>
      <c r="D67" s="62" t="s">
        <v>185</v>
      </c>
      <c r="E67" s="76">
        <v>44154.0</v>
      </c>
      <c r="F67" s="77">
        <v>0.020833333333333332</v>
      </c>
      <c r="G67" s="62" t="b">
        <v>0</v>
      </c>
      <c r="H67" s="78" t="b">
        <f>IF(VLOOKUP(C67,Projetos!A:L,12,false)=TRUE,TRUE,FALSE)</f>
        <v>0</v>
      </c>
      <c r="I67" s="68">
        <v>64.24580110192835</v>
      </c>
      <c r="J67" s="68">
        <f t="shared" si="1"/>
        <v>0</v>
      </c>
      <c r="K67" s="68" t="b">
        <v>0</v>
      </c>
    </row>
    <row r="68" hidden="1">
      <c r="A68" s="75">
        <v>62.0</v>
      </c>
      <c r="B68" s="62" t="s">
        <v>130</v>
      </c>
      <c r="C68" s="62" t="s">
        <v>102</v>
      </c>
      <c r="D68" s="62" t="s">
        <v>186</v>
      </c>
      <c r="E68" s="76">
        <v>44161.0</v>
      </c>
      <c r="F68" s="77">
        <v>0.2520833333333333</v>
      </c>
      <c r="G68" s="62" t="b">
        <v>0</v>
      </c>
      <c r="H68" s="78" t="b">
        <f>IF(VLOOKUP(C68,Projetos!A:L,12,false)=TRUE,TRUE,FALSE)</f>
        <v>0</v>
      </c>
      <c r="I68" s="68">
        <v>64.24580110192835</v>
      </c>
      <c r="J68" s="68">
        <f t="shared" si="1"/>
        <v>0</v>
      </c>
      <c r="K68" s="68" t="b">
        <v>0</v>
      </c>
    </row>
    <row r="69" hidden="1">
      <c r="A69" s="75">
        <v>63.0</v>
      </c>
      <c r="B69" s="62" t="s">
        <v>130</v>
      </c>
      <c r="C69" s="62" t="s">
        <v>101</v>
      </c>
      <c r="D69" s="62" t="s">
        <v>187</v>
      </c>
      <c r="E69" s="76">
        <v>44166.0</v>
      </c>
      <c r="F69" s="77">
        <v>0.041666666666666664</v>
      </c>
      <c r="G69" s="62" t="b">
        <v>1</v>
      </c>
      <c r="H69" s="78" t="b">
        <f>IF(VLOOKUP(C69,Projetos!A:L,12,false)=TRUE,TRUE,FALSE)</f>
        <v>1</v>
      </c>
      <c r="I69" s="68">
        <v>67.30512496392495</v>
      </c>
      <c r="J69" s="68">
        <f t="shared" si="1"/>
        <v>67.30512496</v>
      </c>
      <c r="K69" s="68" t="b">
        <v>1</v>
      </c>
    </row>
    <row r="70" hidden="1">
      <c r="A70" s="75">
        <v>64.0</v>
      </c>
      <c r="B70" s="62" t="s">
        <v>130</v>
      </c>
      <c r="C70" s="62" t="s">
        <v>117</v>
      </c>
      <c r="D70" s="62" t="s">
        <v>188</v>
      </c>
      <c r="E70" s="76">
        <v>44166.0</v>
      </c>
      <c r="F70" s="77">
        <v>0.08333333333333333</v>
      </c>
      <c r="G70" s="62" t="b">
        <v>0</v>
      </c>
      <c r="H70" s="78" t="b">
        <f>IF(VLOOKUP(C70,Projetos!A:L,12,false)=TRUE,TRUE,FALSE)</f>
        <v>0</v>
      </c>
      <c r="I70" s="68">
        <v>67.30512496392495</v>
      </c>
      <c r="J70" s="68">
        <f t="shared" si="1"/>
        <v>0</v>
      </c>
      <c r="K70" s="68" t="b">
        <v>0</v>
      </c>
    </row>
    <row r="71" hidden="1">
      <c r="A71" s="75">
        <v>65.0</v>
      </c>
      <c r="B71" s="62" t="s">
        <v>130</v>
      </c>
      <c r="C71" s="62" t="s">
        <v>117</v>
      </c>
      <c r="D71" s="62" t="s">
        <v>189</v>
      </c>
      <c r="E71" s="76">
        <v>44172.0</v>
      </c>
      <c r="F71" s="77">
        <v>0.0625</v>
      </c>
      <c r="G71" s="62" t="b">
        <v>0</v>
      </c>
      <c r="H71" s="78" t="b">
        <f>IF(VLOOKUP(C71,Projetos!A:L,12,false)=TRUE,TRUE,FALSE)</f>
        <v>0</v>
      </c>
      <c r="I71" s="68">
        <v>67.30512496392495</v>
      </c>
      <c r="J71" s="68">
        <f t="shared" si="1"/>
        <v>0</v>
      </c>
      <c r="K71" s="68" t="b">
        <v>0</v>
      </c>
    </row>
    <row r="72" hidden="1">
      <c r="A72" s="75">
        <v>66.0</v>
      </c>
      <c r="B72" s="62" t="s">
        <v>130</v>
      </c>
      <c r="C72" s="62" t="s">
        <v>117</v>
      </c>
      <c r="D72" s="62" t="s">
        <v>190</v>
      </c>
      <c r="E72" s="76">
        <v>44183.0</v>
      </c>
      <c r="F72" s="77">
        <v>0.06944444444444445</v>
      </c>
      <c r="G72" s="62" t="b">
        <v>0</v>
      </c>
      <c r="H72" s="78" t="b">
        <f>IF(VLOOKUP(C72,Projetos!A:L,12,false)=TRUE,TRUE,FALSE)</f>
        <v>0</v>
      </c>
      <c r="I72" s="68">
        <v>67.30512496392495</v>
      </c>
      <c r="J72" s="68">
        <f t="shared" si="1"/>
        <v>0</v>
      </c>
      <c r="K72" s="68" t="b">
        <v>0</v>
      </c>
    </row>
    <row r="73">
      <c r="A73" s="75">
        <v>67.0</v>
      </c>
      <c r="B73" s="62" t="s">
        <v>130</v>
      </c>
      <c r="C73" s="62" t="s">
        <v>104</v>
      </c>
      <c r="D73" s="62" t="s">
        <v>191</v>
      </c>
      <c r="E73" s="76">
        <v>44174.0</v>
      </c>
      <c r="F73" s="77">
        <v>0.10416666666666667</v>
      </c>
      <c r="G73" s="62" t="b">
        <v>1</v>
      </c>
      <c r="H73" s="78" t="b">
        <f>IF(VLOOKUP(C73,Projetos!A:L,12,false)=TRUE,TRUE,FALSE)</f>
        <v>1</v>
      </c>
      <c r="I73" s="68">
        <v>67.30512496392495</v>
      </c>
      <c r="J73" s="68">
        <f t="shared" si="1"/>
        <v>168.2628124</v>
      </c>
      <c r="K73" s="68" t="b">
        <v>1</v>
      </c>
    </row>
    <row r="74" hidden="1">
      <c r="A74" s="75">
        <v>68.0</v>
      </c>
      <c r="B74" s="62" t="s">
        <v>130</v>
      </c>
      <c r="C74" s="62" t="s">
        <v>109</v>
      </c>
      <c r="D74" s="62" t="s">
        <v>192</v>
      </c>
      <c r="E74" s="76">
        <v>44175.0</v>
      </c>
      <c r="F74" s="77">
        <v>0.08333333333333333</v>
      </c>
      <c r="G74" s="62" t="b">
        <v>0</v>
      </c>
      <c r="H74" s="78" t="b">
        <f>IF(VLOOKUP(C74,Projetos!A:L,12,false)=TRUE,TRUE,FALSE)</f>
        <v>0</v>
      </c>
      <c r="I74" s="68">
        <v>67.30512496392495</v>
      </c>
      <c r="J74" s="68">
        <f t="shared" si="1"/>
        <v>0</v>
      </c>
      <c r="K74" s="68" t="b">
        <v>0</v>
      </c>
    </row>
    <row r="75" hidden="1">
      <c r="A75" s="75">
        <v>69.0</v>
      </c>
      <c r="B75" s="62" t="s">
        <v>130</v>
      </c>
      <c r="C75" s="62" t="s">
        <v>109</v>
      </c>
      <c r="D75" s="62" t="s">
        <v>193</v>
      </c>
      <c r="E75" s="76">
        <v>44180.0</v>
      </c>
      <c r="F75" s="77">
        <v>0.08333333333333333</v>
      </c>
      <c r="G75" s="62" t="b">
        <v>0</v>
      </c>
      <c r="H75" s="78" t="b">
        <f>IF(VLOOKUP(C75,Projetos!A:L,12,false)=TRUE,TRUE,FALSE)</f>
        <v>0</v>
      </c>
      <c r="I75" s="68">
        <v>67.30512496392495</v>
      </c>
      <c r="J75" s="68">
        <f t="shared" si="1"/>
        <v>0</v>
      </c>
      <c r="K75" s="68" t="b">
        <v>0</v>
      </c>
    </row>
    <row r="76" hidden="1">
      <c r="A76" s="75">
        <v>70.0</v>
      </c>
      <c r="B76" s="62" t="s">
        <v>194</v>
      </c>
      <c r="C76" s="62" t="s">
        <v>103</v>
      </c>
      <c r="D76" s="62" t="s">
        <v>195</v>
      </c>
      <c r="E76" s="76">
        <v>43850.0</v>
      </c>
      <c r="F76" s="77">
        <v>0.041666666666666664</v>
      </c>
      <c r="G76" s="62" t="b">
        <v>1</v>
      </c>
      <c r="H76" s="78" t="b">
        <f>IF(VLOOKUP(C76,Projetos!A:L,12,false)=TRUE,TRUE,FALSE)</f>
        <v>1</v>
      </c>
      <c r="I76" s="68">
        <v>68.4018789141414</v>
      </c>
      <c r="J76" s="68">
        <f t="shared" si="1"/>
        <v>68.40187891</v>
      </c>
      <c r="K76" s="68" t="b">
        <v>1</v>
      </c>
    </row>
    <row r="77" hidden="1">
      <c r="A77" s="75">
        <v>71.0</v>
      </c>
      <c r="B77" s="62" t="s">
        <v>194</v>
      </c>
      <c r="C77" s="62" t="s">
        <v>103</v>
      </c>
      <c r="D77" s="62" t="s">
        <v>196</v>
      </c>
      <c r="E77" s="76">
        <v>43852.0</v>
      </c>
      <c r="F77" s="77">
        <v>0.041666666666666664</v>
      </c>
      <c r="G77" s="62" t="b">
        <v>0</v>
      </c>
      <c r="H77" s="78" t="b">
        <f>IF(VLOOKUP(C77,Projetos!A:L,12,false)=TRUE,TRUE,FALSE)</f>
        <v>1</v>
      </c>
      <c r="I77" s="68">
        <v>68.4018789141414</v>
      </c>
      <c r="J77" s="68">
        <f t="shared" si="1"/>
        <v>0</v>
      </c>
      <c r="K77" s="68" t="b">
        <v>1</v>
      </c>
    </row>
    <row r="78" hidden="1">
      <c r="A78" s="75">
        <v>72.0</v>
      </c>
      <c r="B78" s="62" t="s">
        <v>194</v>
      </c>
      <c r="C78" s="62" t="s">
        <v>83</v>
      </c>
      <c r="D78" s="62" t="s">
        <v>197</v>
      </c>
      <c r="E78" s="76">
        <v>43853.0</v>
      </c>
      <c r="F78" s="77">
        <v>0.08333333333333333</v>
      </c>
      <c r="G78" s="62" t="b">
        <v>0</v>
      </c>
      <c r="H78" s="78" t="b">
        <f>IF(VLOOKUP(C78,Projetos!A:L,12,false)=TRUE,TRUE,FALSE)</f>
        <v>0</v>
      </c>
      <c r="I78" s="68">
        <v>68.4018789141414</v>
      </c>
      <c r="J78" s="68">
        <f t="shared" si="1"/>
        <v>0</v>
      </c>
      <c r="K78" s="68" t="b">
        <v>0</v>
      </c>
    </row>
    <row r="79">
      <c r="A79" s="75">
        <v>73.0</v>
      </c>
      <c r="B79" s="62" t="s">
        <v>194</v>
      </c>
      <c r="C79" s="62" t="s">
        <v>104</v>
      </c>
      <c r="D79" s="62" t="s">
        <v>198</v>
      </c>
      <c r="E79" s="76">
        <v>43835.0</v>
      </c>
      <c r="F79" s="77">
        <v>0.08333333333333333</v>
      </c>
      <c r="G79" s="62" t="b">
        <v>1</v>
      </c>
      <c r="H79" s="78" t="b">
        <f>IF(VLOOKUP(C79,Projetos!A:L,12,false)=TRUE,TRUE,FALSE)</f>
        <v>1</v>
      </c>
      <c r="I79" s="68">
        <v>68.4018789141414</v>
      </c>
      <c r="J79" s="68">
        <f t="shared" si="1"/>
        <v>136.8037578</v>
      </c>
      <c r="K79" s="68" t="b">
        <v>1</v>
      </c>
    </row>
    <row r="80">
      <c r="A80" s="75">
        <v>74.0</v>
      </c>
      <c r="B80" s="62" t="s">
        <v>194</v>
      </c>
      <c r="C80" s="62" t="s">
        <v>104</v>
      </c>
      <c r="D80" s="62" t="s">
        <v>199</v>
      </c>
      <c r="E80" s="76">
        <v>43872.0</v>
      </c>
      <c r="F80" s="77">
        <v>0.08333333333333333</v>
      </c>
      <c r="G80" s="62" t="b">
        <v>1</v>
      </c>
      <c r="H80" s="78" t="b">
        <f>IF(VLOOKUP(C80,Projetos!A:L,12,false)=TRUE,TRUE,FALSE)</f>
        <v>1</v>
      </c>
      <c r="I80" s="68">
        <v>65.29270259986224</v>
      </c>
      <c r="J80" s="68">
        <f t="shared" si="1"/>
        <v>130.5854052</v>
      </c>
      <c r="K80" s="68" t="b">
        <v>1</v>
      </c>
    </row>
    <row r="81">
      <c r="A81" s="75">
        <v>75.0</v>
      </c>
      <c r="B81" s="62" t="s">
        <v>194</v>
      </c>
      <c r="C81" s="62" t="s">
        <v>104</v>
      </c>
      <c r="D81" s="62" t="s">
        <v>199</v>
      </c>
      <c r="E81" s="76">
        <v>43879.0</v>
      </c>
      <c r="F81" s="77">
        <v>0.08333333333333333</v>
      </c>
      <c r="G81" s="62" t="b">
        <v>1</v>
      </c>
      <c r="H81" s="78" t="b">
        <f>IF(VLOOKUP(C81,Projetos!A:L,12,false)=TRUE,TRUE,FALSE)</f>
        <v>1</v>
      </c>
      <c r="I81" s="68">
        <v>65.29270259986224</v>
      </c>
      <c r="J81" s="68">
        <f t="shared" si="1"/>
        <v>130.5854052</v>
      </c>
      <c r="K81" s="68" t="b">
        <v>1</v>
      </c>
    </row>
    <row r="82" hidden="1">
      <c r="A82" s="75">
        <v>76.0</v>
      </c>
      <c r="B82" s="62" t="s">
        <v>194</v>
      </c>
      <c r="C82" s="62" t="s">
        <v>103</v>
      </c>
      <c r="D82" s="62" t="s">
        <v>200</v>
      </c>
      <c r="E82" s="76">
        <v>43873.0</v>
      </c>
      <c r="F82" s="77">
        <v>0.08333333333333333</v>
      </c>
      <c r="G82" s="62" t="b">
        <v>1</v>
      </c>
      <c r="H82" s="78" t="b">
        <f>IF(VLOOKUP(C82,Projetos!A:L,12,false)=TRUE,TRUE,FALSE)</f>
        <v>1</v>
      </c>
      <c r="I82" s="68">
        <v>65.29270259986224</v>
      </c>
      <c r="J82" s="68">
        <f t="shared" si="1"/>
        <v>130.5854052</v>
      </c>
      <c r="K82" s="68" t="b">
        <v>1</v>
      </c>
    </row>
    <row r="83" hidden="1">
      <c r="A83" s="75">
        <v>77.0</v>
      </c>
      <c r="B83" s="62" t="s">
        <v>194</v>
      </c>
      <c r="C83" s="62" t="s">
        <v>103</v>
      </c>
      <c r="D83" s="62" t="s">
        <v>201</v>
      </c>
      <c r="E83" s="76">
        <v>43880.0</v>
      </c>
      <c r="F83" s="77">
        <v>0.10416666666666667</v>
      </c>
      <c r="G83" s="62" t="b">
        <v>0</v>
      </c>
      <c r="H83" s="78" t="b">
        <f>IF(VLOOKUP(C83,Projetos!A:L,12,false)=TRUE,TRUE,FALSE)</f>
        <v>1</v>
      </c>
      <c r="I83" s="68">
        <v>65.29270259986224</v>
      </c>
      <c r="J83" s="68">
        <f t="shared" si="1"/>
        <v>0</v>
      </c>
      <c r="K83" s="68" t="b">
        <v>1</v>
      </c>
    </row>
    <row r="84">
      <c r="A84" s="75">
        <v>78.0</v>
      </c>
      <c r="B84" s="62" t="s">
        <v>194</v>
      </c>
      <c r="C84" s="62" t="s">
        <v>104</v>
      </c>
      <c r="D84" s="62" t="s">
        <v>201</v>
      </c>
      <c r="E84" s="76">
        <v>43894.0</v>
      </c>
      <c r="F84" s="77">
        <v>0.08333333333333333</v>
      </c>
      <c r="G84" s="62" t="b">
        <v>0</v>
      </c>
      <c r="H84" s="78" t="b">
        <f>IF(VLOOKUP(C84,Projetos!A:L,12,false)=TRUE,TRUE,FALSE)</f>
        <v>1</v>
      </c>
      <c r="I84" s="68">
        <v>68.4018789141414</v>
      </c>
      <c r="J84" s="68">
        <f t="shared" si="1"/>
        <v>0</v>
      </c>
      <c r="K84" s="68" t="b">
        <v>1</v>
      </c>
    </row>
    <row r="85" hidden="1">
      <c r="A85" s="75">
        <v>79.0</v>
      </c>
      <c r="B85" s="62" t="s">
        <v>194</v>
      </c>
      <c r="C85" s="62" t="s">
        <v>103</v>
      </c>
      <c r="D85" s="62" t="s">
        <v>201</v>
      </c>
      <c r="E85" s="76">
        <v>43900.0</v>
      </c>
      <c r="F85" s="77">
        <v>0.08333333333333333</v>
      </c>
      <c r="G85" s="62" t="b">
        <v>0</v>
      </c>
      <c r="H85" s="78" t="b">
        <f>IF(VLOOKUP(C85,Projetos!A:L,12,false)=TRUE,TRUE,FALSE)</f>
        <v>1</v>
      </c>
      <c r="I85" s="68">
        <v>68.4018789141414</v>
      </c>
      <c r="J85" s="68">
        <f t="shared" si="1"/>
        <v>0</v>
      </c>
      <c r="K85" s="68" t="b">
        <v>1</v>
      </c>
    </row>
    <row r="86" hidden="1">
      <c r="A86" s="75">
        <v>80.0</v>
      </c>
      <c r="B86" s="62" t="s">
        <v>194</v>
      </c>
      <c r="C86" s="62" t="s">
        <v>138</v>
      </c>
      <c r="D86" s="62" t="s">
        <v>201</v>
      </c>
      <c r="E86" s="76">
        <v>43901.0</v>
      </c>
      <c r="F86" s="77">
        <v>0.08333333333333333</v>
      </c>
      <c r="G86" s="62" t="b">
        <v>0</v>
      </c>
      <c r="H86" s="78" t="b">
        <f>IF(VLOOKUP(C86,Projetos!A:L,12,false)=TRUE,TRUE,FALSE)</f>
        <v>1</v>
      </c>
      <c r="I86" s="68">
        <v>68.4018789141414</v>
      </c>
      <c r="J86" s="68">
        <f t="shared" si="1"/>
        <v>0</v>
      </c>
      <c r="K86" s="68" t="b">
        <v>1</v>
      </c>
    </row>
    <row r="87" hidden="1">
      <c r="A87" s="75">
        <v>81.0</v>
      </c>
      <c r="B87" s="62" t="s">
        <v>194</v>
      </c>
      <c r="C87" s="62" t="s">
        <v>108</v>
      </c>
      <c r="D87" s="62" t="s">
        <v>202</v>
      </c>
      <c r="E87" s="76">
        <v>43903.0</v>
      </c>
      <c r="F87" s="77">
        <v>0.08333333333333333</v>
      </c>
      <c r="G87" s="62" t="b">
        <v>0</v>
      </c>
      <c r="H87" s="78" t="b">
        <f>IF(VLOOKUP(C87,Projetos!A:L,12,false)=TRUE,TRUE,FALSE)</f>
        <v>1</v>
      </c>
      <c r="I87" s="68">
        <v>68.4018789141414</v>
      </c>
      <c r="J87" s="68">
        <f t="shared" si="1"/>
        <v>0</v>
      </c>
      <c r="K87" s="68" t="b">
        <v>1</v>
      </c>
    </row>
    <row r="88">
      <c r="A88" s="75">
        <v>82.0</v>
      </c>
      <c r="B88" s="62" t="s">
        <v>194</v>
      </c>
      <c r="C88" s="62" t="s">
        <v>104</v>
      </c>
      <c r="D88" s="62" t="s">
        <v>203</v>
      </c>
      <c r="E88" s="76">
        <v>43928.0</v>
      </c>
      <c r="F88" s="77">
        <v>0.08333333333333333</v>
      </c>
      <c r="G88" s="62" t="b">
        <v>0</v>
      </c>
      <c r="H88" s="78" t="b">
        <f>IF(VLOOKUP(C88,Projetos!A:L,12,false)=TRUE,TRUE,FALSE)</f>
        <v>1</v>
      </c>
      <c r="I88" s="68">
        <v>65.29270259986224</v>
      </c>
      <c r="J88" s="68">
        <f t="shared" si="1"/>
        <v>0</v>
      </c>
      <c r="K88" s="68" t="b">
        <v>1</v>
      </c>
    </row>
    <row r="89" hidden="1">
      <c r="A89" s="75">
        <v>83.0</v>
      </c>
      <c r="B89" s="62" t="s">
        <v>194</v>
      </c>
      <c r="C89" s="62" t="s">
        <v>103</v>
      </c>
      <c r="D89" s="62" t="s">
        <v>201</v>
      </c>
      <c r="E89" s="76">
        <v>43935.0</v>
      </c>
      <c r="F89" s="77">
        <v>0.125</v>
      </c>
      <c r="G89" s="62" t="b">
        <v>0</v>
      </c>
      <c r="H89" s="78" t="b">
        <f>IF(VLOOKUP(C89,Projetos!A:L,12,false)=TRUE,TRUE,FALSE)</f>
        <v>1</v>
      </c>
      <c r="I89" s="68">
        <v>65.29270259986224</v>
      </c>
      <c r="J89" s="68">
        <f t="shared" si="1"/>
        <v>0</v>
      </c>
      <c r="K89" s="68" t="b">
        <v>1</v>
      </c>
    </row>
    <row r="90" hidden="1">
      <c r="A90" s="75">
        <v>84.0</v>
      </c>
      <c r="B90" s="62" t="s">
        <v>194</v>
      </c>
      <c r="C90" s="62" t="s">
        <v>138</v>
      </c>
      <c r="D90" s="62" t="s">
        <v>204</v>
      </c>
      <c r="E90" s="76">
        <v>43936.0</v>
      </c>
      <c r="F90" s="77">
        <v>0.16666666666666666</v>
      </c>
      <c r="G90" s="62" t="b">
        <v>1</v>
      </c>
      <c r="H90" s="78" t="b">
        <f>IF(VLOOKUP(C90,Projetos!A:L,12,false)=TRUE,TRUE,FALSE)</f>
        <v>1</v>
      </c>
      <c r="I90" s="68">
        <v>65.29270259986224</v>
      </c>
      <c r="J90" s="68">
        <f t="shared" si="1"/>
        <v>261.1708104</v>
      </c>
      <c r="K90" s="68" t="b">
        <v>1</v>
      </c>
    </row>
    <row r="91" hidden="1">
      <c r="A91" s="75">
        <v>85.0</v>
      </c>
      <c r="B91" s="62" t="s">
        <v>194</v>
      </c>
      <c r="C91" s="62" t="s">
        <v>109</v>
      </c>
      <c r="D91" s="62" t="s">
        <v>205</v>
      </c>
      <c r="E91" s="76">
        <v>43937.0</v>
      </c>
      <c r="F91" s="77">
        <v>0.08333333333333333</v>
      </c>
      <c r="G91" s="62" t="b">
        <v>0</v>
      </c>
      <c r="H91" s="78" t="b">
        <f>IF(VLOOKUP(C91,Projetos!A:L,12,false)=TRUE,TRUE,FALSE)</f>
        <v>0</v>
      </c>
      <c r="I91" s="68">
        <v>65.29270259986224</v>
      </c>
      <c r="J91" s="68">
        <f t="shared" si="1"/>
        <v>0</v>
      </c>
      <c r="K91" s="68" t="b">
        <v>0</v>
      </c>
    </row>
    <row r="92">
      <c r="A92" s="75">
        <v>86.0</v>
      </c>
      <c r="B92" s="62" t="s">
        <v>194</v>
      </c>
      <c r="C92" s="62" t="s">
        <v>104</v>
      </c>
      <c r="D92" s="79" t="s">
        <v>150</v>
      </c>
      <c r="E92" s="76">
        <v>43941.0</v>
      </c>
      <c r="F92" s="77">
        <v>0.125</v>
      </c>
      <c r="G92" s="62" t="b">
        <v>0</v>
      </c>
      <c r="H92" s="78" t="b">
        <f>IF(VLOOKUP(C92,Projetos!A:L,12,false)=TRUE,TRUE,FALSE)</f>
        <v>1</v>
      </c>
      <c r="I92" s="68">
        <v>65.29270259986224</v>
      </c>
      <c r="J92" s="68">
        <f t="shared" si="1"/>
        <v>0</v>
      </c>
      <c r="K92" s="68" t="b">
        <v>1</v>
      </c>
    </row>
    <row r="93">
      <c r="A93" s="75">
        <v>87.0</v>
      </c>
      <c r="B93" s="62" t="s">
        <v>194</v>
      </c>
      <c r="C93" s="62" t="s">
        <v>104</v>
      </c>
      <c r="D93" s="62" t="s">
        <v>201</v>
      </c>
      <c r="E93" s="76">
        <v>43956.0</v>
      </c>
      <c r="F93" s="77">
        <v>0.125</v>
      </c>
      <c r="G93" s="62" t="b">
        <v>0</v>
      </c>
      <c r="H93" s="78" t="b">
        <f>IF(VLOOKUP(C93,Projetos!A:L,12,false)=TRUE,TRUE,FALSE)</f>
        <v>1</v>
      </c>
      <c r="I93" s="68">
        <v>68.4018789141414</v>
      </c>
      <c r="J93" s="68">
        <f t="shared" si="1"/>
        <v>0</v>
      </c>
      <c r="K93" s="68" t="b">
        <v>1</v>
      </c>
    </row>
    <row r="94" hidden="1">
      <c r="A94" s="75">
        <v>88.0</v>
      </c>
      <c r="B94" s="62" t="s">
        <v>194</v>
      </c>
      <c r="C94" s="62" t="s">
        <v>103</v>
      </c>
      <c r="D94" s="62" t="s">
        <v>201</v>
      </c>
      <c r="E94" s="76">
        <v>43963.0</v>
      </c>
      <c r="F94" s="77">
        <v>0.125</v>
      </c>
      <c r="G94" s="62" t="b">
        <v>0</v>
      </c>
      <c r="H94" s="78" t="b">
        <f>IF(VLOOKUP(C94,Projetos!A:L,12,false)=TRUE,TRUE,FALSE)</f>
        <v>1</v>
      </c>
      <c r="I94" s="68">
        <v>68.4018789141414</v>
      </c>
      <c r="J94" s="68">
        <f t="shared" si="1"/>
        <v>0</v>
      </c>
      <c r="K94" s="68" t="b">
        <v>1</v>
      </c>
    </row>
    <row r="95" hidden="1">
      <c r="A95" s="75">
        <v>89.0</v>
      </c>
      <c r="B95" s="62" t="s">
        <v>194</v>
      </c>
      <c r="C95" s="62" t="s">
        <v>103</v>
      </c>
      <c r="D95" s="62" t="s">
        <v>206</v>
      </c>
      <c r="E95" s="76">
        <v>43971.0</v>
      </c>
      <c r="F95" s="77">
        <v>0.125</v>
      </c>
      <c r="G95" s="62" t="b">
        <v>1</v>
      </c>
      <c r="H95" s="78" t="b">
        <f>IF(VLOOKUP(C95,Projetos!A:L,12,false)=TRUE,TRUE,FALSE)</f>
        <v>1</v>
      </c>
      <c r="I95" s="68">
        <v>68.4018789141414</v>
      </c>
      <c r="J95" s="68">
        <f t="shared" si="1"/>
        <v>205.2056367</v>
      </c>
      <c r="K95" s="68" t="b">
        <v>1</v>
      </c>
    </row>
    <row r="96" hidden="1">
      <c r="A96" s="75">
        <v>90.0</v>
      </c>
      <c r="B96" s="62" t="s">
        <v>194</v>
      </c>
      <c r="C96" s="62" t="s">
        <v>138</v>
      </c>
      <c r="D96" s="62" t="s">
        <v>201</v>
      </c>
      <c r="E96" s="76">
        <v>43971.0</v>
      </c>
      <c r="F96" s="77">
        <v>0.08333333333333333</v>
      </c>
      <c r="G96" s="62" t="b">
        <v>0</v>
      </c>
      <c r="H96" s="78" t="b">
        <f>IF(VLOOKUP(C96,Projetos!A:L,12,false)=TRUE,TRUE,FALSE)</f>
        <v>1</v>
      </c>
      <c r="I96" s="68">
        <v>68.4018789141414</v>
      </c>
      <c r="J96" s="68">
        <f t="shared" si="1"/>
        <v>0</v>
      </c>
      <c r="K96" s="68" t="b">
        <v>1</v>
      </c>
    </row>
    <row r="97" hidden="1">
      <c r="A97" s="75">
        <v>91.0</v>
      </c>
      <c r="B97" s="62" t="s">
        <v>194</v>
      </c>
      <c r="C97" s="62" t="s">
        <v>138</v>
      </c>
      <c r="D97" s="62" t="s">
        <v>201</v>
      </c>
      <c r="E97" s="76">
        <v>43965.0</v>
      </c>
      <c r="F97" s="77">
        <v>0.125</v>
      </c>
      <c r="G97" s="62" t="b">
        <v>0</v>
      </c>
      <c r="H97" s="78" t="b">
        <f>IF(VLOOKUP(C97,Projetos!A:L,12,false)=TRUE,TRUE,FALSE)</f>
        <v>1</v>
      </c>
      <c r="I97" s="68">
        <v>68.4018789141414</v>
      </c>
      <c r="J97" s="68">
        <f t="shared" si="1"/>
        <v>0</v>
      </c>
      <c r="K97" s="68" t="b">
        <v>1</v>
      </c>
    </row>
    <row r="98" hidden="1">
      <c r="A98" s="75">
        <v>92.0</v>
      </c>
      <c r="B98" s="62" t="s">
        <v>194</v>
      </c>
      <c r="C98" s="62" t="s">
        <v>83</v>
      </c>
      <c r="D98" s="62" t="s">
        <v>207</v>
      </c>
      <c r="E98" s="76">
        <v>43972.0</v>
      </c>
      <c r="F98" s="77">
        <v>0.08333333333333333</v>
      </c>
      <c r="G98" s="62" t="b">
        <v>0</v>
      </c>
      <c r="H98" s="78" t="b">
        <f>IF(VLOOKUP(C98,Projetos!A:L,12,false)=TRUE,TRUE,FALSE)</f>
        <v>0</v>
      </c>
      <c r="I98" s="68">
        <v>68.4018789141414</v>
      </c>
      <c r="J98" s="68">
        <f t="shared" si="1"/>
        <v>0</v>
      </c>
      <c r="K98" s="68" t="b">
        <v>0</v>
      </c>
    </row>
    <row r="99">
      <c r="A99" s="75">
        <v>93.0</v>
      </c>
      <c r="B99" s="62" t="s">
        <v>194</v>
      </c>
      <c r="C99" s="62" t="s">
        <v>104</v>
      </c>
      <c r="D99" s="62" t="s">
        <v>208</v>
      </c>
      <c r="E99" s="76">
        <v>43991.0</v>
      </c>
      <c r="F99" s="77">
        <v>0.08333333333333333</v>
      </c>
      <c r="G99" s="62" t="b">
        <v>0</v>
      </c>
      <c r="H99" s="78" t="b">
        <f>IF(VLOOKUP(C99,Projetos!A:L,12,false)=TRUE,TRUE,FALSE)</f>
        <v>1</v>
      </c>
      <c r="I99" s="68">
        <v>65.29270259986224</v>
      </c>
      <c r="J99" s="68">
        <f t="shared" si="1"/>
        <v>0</v>
      </c>
      <c r="K99" s="68" t="b">
        <v>1</v>
      </c>
    </row>
    <row r="100">
      <c r="A100" s="75">
        <v>94.0</v>
      </c>
      <c r="B100" s="62" t="s">
        <v>194</v>
      </c>
      <c r="C100" s="62" t="s">
        <v>104</v>
      </c>
      <c r="D100" s="62" t="s">
        <v>208</v>
      </c>
      <c r="E100" s="76">
        <v>43999.0</v>
      </c>
      <c r="F100" s="77">
        <v>0.125</v>
      </c>
      <c r="G100" s="62" t="b">
        <v>0</v>
      </c>
      <c r="H100" s="78" t="b">
        <f>IF(VLOOKUP(C100,Projetos!A:L,12,false)=TRUE,TRUE,FALSE)</f>
        <v>1</v>
      </c>
      <c r="I100" s="68">
        <v>65.29270259986224</v>
      </c>
      <c r="J100" s="68">
        <f t="shared" si="1"/>
        <v>0</v>
      </c>
      <c r="K100" s="68" t="b">
        <v>1</v>
      </c>
    </row>
    <row r="101">
      <c r="A101" s="75">
        <v>95.0</v>
      </c>
      <c r="B101" s="62" t="s">
        <v>194</v>
      </c>
      <c r="C101" s="62" t="s">
        <v>104</v>
      </c>
      <c r="D101" s="62" t="s">
        <v>208</v>
      </c>
      <c r="E101" s="76">
        <v>44005.0</v>
      </c>
      <c r="F101" s="77">
        <v>0.125</v>
      </c>
      <c r="G101" s="62" t="b">
        <v>0</v>
      </c>
      <c r="H101" s="78" t="b">
        <f>IF(VLOOKUP(C101,Projetos!A:L,12,false)=TRUE,TRUE,FALSE)</f>
        <v>1</v>
      </c>
      <c r="I101" s="68">
        <v>65.29270259986224</v>
      </c>
      <c r="J101" s="68">
        <f t="shared" si="1"/>
        <v>0</v>
      </c>
      <c r="K101" s="68" t="b">
        <v>1</v>
      </c>
    </row>
    <row r="102" hidden="1">
      <c r="A102" s="75">
        <v>96.0</v>
      </c>
      <c r="B102" s="62" t="s">
        <v>194</v>
      </c>
      <c r="C102" s="62" t="s">
        <v>138</v>
      </c>
      <c r="D102" s="62" t="s">
        <v>209</v>
      </c>
      <c r="E102" s="76">
        <v>44006.0</v>
      </c>
      <c r="F102" s="77">
        <v>0.08333333333333333</v>
      </c>
      <c r="G102" s="62" t="b">
        <v>0</v>
      </c>
      <c r="H102" s="78" t="b">
        <f>IF(VLOOKUP(C102,Projetos!A:L,12,false)=TRUE,TRUE,FALSE)</f>
        <v>1</v>
      </c>
      <c r="I102" s="68">
        <v>65.29270259986224</v>
      </c>
      <c r="J102" s="68">
        <f t="shared" si="1"/>
        <v>0</v>
      </c>
      <c r="K102" s="68" t="b">
        <v>1</v>
      </c>
    </row>
    <row r="103" hidden="1">
      <c r="A103" s="75">
        <v>97.0</v>
      </c>
      <c r="B103" s="62" t="s">
        <v>194</v>
      </c>
      <c r="C103" s="62" t="s">
        <v>103</v>
      </c>
      <c r="D103" s="62" t="s">
        <v>201</v>
      </c>
      <c r="E103" s="76">
        <v>44000.0</v>
      </c>
      <c r="F103" s="77">
        <v>0.08333333333333333</v>
      </c>
      <c r="G103" s="62" t="b">
        <v>0</v>
      </c>
      <c r="H103" s="78" t="b">
        <f>IF(VLOOKUP(C103,Projetos!A:L,12,false)=TRUE,TRUE,FALSE)</f>
        <v>1</v>
      </c>
      <c r="I103" s="68">
        <v>65.29270259986224</v>
      </c>
      <c r="J103" s="68">
        <f t="shared" si="1"/>
        <v>0</v>
      </c>
      <c r="K103" s="68" t="b">
        <v>1</v>
      </c>
    </row>
    <row r="104">
      <c r="A104" s="75">
        <v>98.0</v>
      </c>
      <c r="B104" s="62" t="s">
        <v>194</v>
      </c>
      <c r="C104" s="62" t="s">
        <v>104</v>
      </c>
      <c r="D104" s="62" t="s">
        <v>208</v>
      </c>
      <c r="E104" s="76">
        <v>44019.0</v>
      </c>
      <c r="F104" s="77">
        <v>0.08333333333333333</v>
      </c>
      <c r="G104" s="62" t="b">
        <v>0</v>
      </c>
      <c r="H104" s="78" t="b">
        <f>IF(VLOOKUP(C104,Projetos!A:L,12,false)=TRUE,TRUE,FALSE)</f>
        <v>1</v>
      </c>
      <c r="I104" s="68">
        <v>68.4018789141414</v>
      </c>
      <c r="J104" s="68">
        <f t="shared" si="1"/>
        <v>0</v>
      </c>
      <c r="K104" s="68" t="b">
        <v>1</v>
      </c>
    </row>
    <row r="105" hidden="1">
      <c r="A105" s="75">
        <v>99.0</v>
      </c>
      <c r="B105" s="62" t="s">
        <v>194</v>
      </c>
      <c r="C105" s="62" t="s">
        <v>103</v>
      </c>
      <c r="D105" s="62" t="s">
        <v>208</v>
      </c>
      <c r="E105" s="76">
        <v>44026.0</v>
      </c>
      <c r="F105" s="77">
        <v>0.125</v>
      </c>
      <c r="G105" s="62" t="b">
        <v>0</v>
      </c>
      <c r="H105" s="78" t="b">
        <f>IF(VLOOKUP(C105,Projetos!A:L,12,false)=TRUE,TRUE,FALSE)</f>
        <v>1</v>
      </c>
      <c r="I105" s="68">
        <v>68.4018789141414</v>
      </c>
      <c r="J105" s="68">
        <f t="shared" si="1"/>
        <v>0</v>
      </c>
      <c r="K105" s="68" t="b">
        <v>1</v>
      </c>
    </row>
    <row r="106" hidden="1">
      <c r="A106" s="75">
        <v>100.0</v>
      </c>
      <c r="B106" s="62" t="s">
        <v>194</v>
      </c>
      <c r="C106" s="62" t="s">
        <v>103</v>
      </c>
      <c r="D106" s="62" t="s">
        <v>208</v>
      </c>
      <c r="E106" s="76">
        <v>44033.0</v>
      </c>
      <c r="F106" s="77">
        <v>0.125</v>
      </c>
      <c r="G106" s="62" t="b">
        <v>0</v>
      </c>
      <c r="H106" s="78" t="b">
        <f>IF(VLOOKUP(C106,Projetos!A:L,12,false)=TRUE,TRUE,FALSE)</f>
        <v>1</v>
      </c>
      <c r="I106" s="68">
        <v>68.4018789141414</v>
      </c>
      <c r="J106" s="68">
        <f t="shared" si="1"/>
        <v>0</v>
      </c>
      <c r="K106" s="68" t="b">
        <v>1</v>
      </c>
    </row>
    <row r="107" hidden="1">
      <c r="A107" s="75">
        <v>101.0</v>
      </c>
      <c r="B107" s="62" t="s">
        <v>194</v>
      </c>
      <c r="C107" s="62" t="s">
        <v>138</v>
      </c>
      <c r="D107" s="62" t="s">
        <v>209</v>
      </c>
      <c r="E107" s="76">
        <v>44034.0</v>
      </c>
      <c r="F107" s="77">
        <v>0.08333333333333333</v>
      </c>
      <c r="G107" s="62" t="b">
        <v>0</v>
      </c>
      <c r="H107" s="78" t="b">
        <f>IF(VLOOKUP(C107,Projetos!A:L,12,false)=TRUE,TRUE,FALSE)</f>
        <v>1</v>
      </c>
      <c r="I107" s="68">
        <v>68.4018789141414</v>
      </c>
      <c r="J107" s="68">
        <f t="shared" si="1"/>
        <v>0</v>
      </c>
      <c r="K107" s="68" t="b">
        <v>1</v>
      </c>
    </row>
    <row r="108" hidden="1">
      <c r="A108" s="75">
        <v>102.0</v>
      </c>
      <c r="B108" s="62" t="s">
        <v>194</v>
      </c>
      <c r="C108" s="62" t="s">
        <v>138</v>
      </c>
      <c r="D108" s="62" t="s">
        <v>201</v>
      </c>
      <c r="E108" s="76">
        <v>44035.0</v>
      </c>
      <c r="F108" s="77">
        <v>0.125</v>
      </c>
      <c r="G108" s="62" t="b">
        <v>0</v>
      </c>
      <c r="H108" s="78" t="b">
        <f>IF(VLOOKUP(C108,Projetos!A:L,12,false)=TRUE,TRUE,FALSE)</f>
        <v>1</v>
      </c>
      <c r="I108" s="68">
        <v>68.4018789141414</v>
      </c>
      <c r="J108" s="68">
        <f t="shared" si="1"/>
        <v>0</v>
      </c>
      <c r="K108" s="68" t="b">
        <v>1</v>
      </c>
    </row>
    <row r="109">
      <c r="A109" s="75">
        <v>103.0</v>
      </c>
      <c r="B109" s="62" t="s">
        <v>194</v>
      </c>
      <c r="C109" s="62" t="s">
        <v>104</v>
      </c>
      <c r="D109" s="62" t="s">
        <v>208</v>
      </c>
      <c r="E109" s="76">
        <v>44053.0</v>
      </c>
      <c r="F109" s="77">
        <v>0.125</v>
      </c>
      <c r="G109" s="62" t="b">
        <v>0</v>
      </c>
      <c r="H109" s="78" t="b">
        <f>IF(VLOOKUP(C109,Projetos!A:L,12,false)=TRUE,TRUE,FALSE)</f>
        <v>1</v>
      </c>
      <c r="I109" s="68">
        <v>68.4018789141414</v>
      </c>
      <c r="J109" s="68">
        <f t="shared" si="1"/>
        <v>0</v>
      </c>
      <c r="K109" s="68" t="b">
        <v>1</v>
      </c>
    </row>
    <row r="110" hidden="1">
      <c r="A110" s="75">
        <v>104.0</v>
      </c>
      <c r="B110" s="62" t="s">
        <v>194</v>
      </c>
      <c r="C110" s="62" t="s">
        <v>103</v>
      </c>
      <c r="D110" s="62" t="s">
        <v>208</v>
      </c>
      <c r="E110" s="76">
        <v>44055.0</v>
      </c>
      <c r="F110" s="77">
        <v>0.125</v>
      </c>
      <c r="G110" s="62" t="b">
        <v>0</v>
      </c>
      <c r="H110" s="78" t="b">
        <f>IF(VLOOKUP(C110,Projetos!A:L,12,false)=TRUE,TRUE,FALSE)</f>
        <v>1</v>
      </c>
      <c r="I110" s="68">
        <v>68.4018789141414</v>
      </c>
      <c r="J110" s="68">
        <f t="shared" si="1"/>
        <v>0</v>
      </c>
      <c r="K110" s="68" t="b">
        <v>1</v>
      </c>
    </row>
    <row r="111" hidden="1">
      <c r="A111" s="75">
        <v>105.0</v>
      </c>
      <c r="B111" s="62" t="s">
        <v>194</v>
      </c>
      <c r="C111" s="62" t="s">
        <v>103</v>
      </c>
      <c r="D111" s="62" t="s">
        <v>208</v>
      </c>
      <c r="E111" s="76">
        <v>44060.0</v>
      </c>
      <c r="F111" s="77">
        <v>0.125</v>
      </c>
      <c r="G111" s="62" t="b">
        <v>0</v>
      </c>
      <c r="H111" s="78" t="b">
        <f>IF(VLOOKUP(C111,Projetos!A:L,12,false)=TRUE,TRUE,FALSE)</f>
        <v>1</v>
      </c>
      <c r="I111" s="68">
        <v>68.4018789141414</v>
      </c>
      <c r="J111" s="68">
        <f t="shared" si="1"/>
        <v>0</v>
      </c>
      <c r="K111" s="68" t="b">
        <v>1</v>
      </c>
    </row>
    <row r="112" hidden="1">
      <c r="A112" s="75">
        <v>106.0</v>
      </c>
      <c r="B112" s="62" t="s">
        <v>194</v>
      </c>
      <c r="C112" s="62" t="s">
        <v>138</v>
      </c>
      <c r="D112" s="62" t="s">
        <v>209</v>
      </c>
      <c r="E112" s="76">
        <v>44062.0</v>
      </c>
      <c r="F112" s="77">
        <v>0.08333333333333333</v>
      </c>
      <c r="G112" s="62" t="b">
        <v>0</v>
      </c>
      <c r="H112" s="78" t="b">
        <f>IF(VLOOKUP(C112,Projetos!A:L,12,false)=TRUE,TRUE,FALSE)</f>
        <v>1</v>
      </c>
      <c r="I112" s="68">
        <v>68.4018789141414</v>
      </c>
      <c r="J112" s="68">
        <f t="shared" si="1"/>
        <v>0</v>
      </c>
      <c r="K112" s="68" t="b">
        <v>1</v>
      </c>
    </row>
    <row r="113" hidden="1">
      <c r="A113" s="75">
        <v>107.0</v>
      </c>
      <c r="B113" s="62" t="s">
        <v>194</v>
      </c>
      <c r="C113" s="62" t="s">
        <v>138</v>
      </c>
      <c r="D113" s="62" t="s">
        <v>201</v>
      </c>
      <c r="E113" s="76">
        <v>44067.0</v>
      </c>
      <c r="F113" s="77">
        <v>0.125</v>
      </c>
      <c r="G113" s="62" t="b">
        <v>0</v>
      </c>
      <c r="H113" s="78" t="b">
        <f>IF(VLOOKUP(C113,Projetos!A:L,12,false)=TRUE,TRUE,FALSE)</f>
        <v>1</v>
      </c>
      <c r="I113" s="68">
        <v>68.4018789141414</v>
      </c>
      <c r="J113" s="68">
        <f t="shared" si="1"/>
        <v>0</v>
      </c>
      <c r="K113" s="68" t="b">
        <v>1</v>
      </c>
    </row>
    <row r="114">
      <c r="A114" s="75">
        <v>108.0</v>
      </c>
      <c r="B114" s="62" t="s">
        <v>194</v>
      </c>
      <c r="C114" s="62" t="s">
        <v>104</v>
      </c>
      <c r="D114" s="62" t="s">
        <v>201</v>
      </c>
      <c r="E114" s="76">
        <v>44082.0</v>
      </c>
      <c r="F114" s="77">
        <v>0.08333333333333333</v>
      </c>
      <c r="G114" s="62" t="b">
        <v>0</v>
      </c>
      <c r="H114" s="78" t="b">
        <f>IF(VLOOKUP(C114,Projetos!A:L,12,false)=TRUE,TRUE,FALSE)</f>
        <v>1</v>
      </c>
      <c r="I114" s="68">
        <v>72.47490486398071</v>
      </c>
      <c r="J114" s="68">
        <f t="shared" si="1"/>
        <v>0</v>
      </c>
      <c r="K114" s="68" t="b">
        <v>1</v>
      </c>
    </row>
    <row r="115">
      <c r="A115" s="75">
        <v>109.0</v>
      </c>
      <c r="B115" s="62" t="s">
        <v>194</v>
      </c>
      <c r="C115" s="62" t="s">
        <v>104</v>
      </c>
      <c r="D115" s="62" t="s">
        <v>201</v>
      </c>
      <c r="E115" s="76">
        <v>44083.0</v>
      </c>
      <c r="F115" s="77">
        <v>0.08333333333333333</v>
      </c>
      <c r="G115" s="62" t="b">
        <v>0</v>
      </c>
      <c r="H115" s="78" t="b">
        <f>IF(VLOOKUP(C115,Projetos!A:L,12,false)=TRUE,TRUE,FALSE)</f>
        <v>1</v>
      </c>
      <c r="I115" s="68">
        <v>72.47490486398071</v>
      </c>
      <c r="J115" s="68">
        <f t="shared" si="1"/>
        <v>0</v>
      </c>
      <c r="K115" s="68" t="b">
        <v>1</v>
      </c>
    </row>
    <row r="116" hidden="1">
      <c r="A116" s="75">
        <v>110.0</v>
      </c>
      <c r="B116" s="62" t="s">
        <v>194</v>
      </c>
      <c r="C116" s="62" t="s">
        <v>103</v>
      </c>
      <c r="D116" s="62" t="s">
        <v>206</v>
      </c>
      <c r="E116" s="76">
        <v>44090.0</v>
      </c>
      <c r="F116" s="77">
        <v>0.125</v>
      </c>
      <c r="G116" s="62" t="b">
        <v>1</v>
      </c>
      <c r="H116" s="78" t="b">
        <f>IF(VLOOKUP(C116,Projetos!A:L,12,false)=TRUE,TRUE,FALSE)</f>
        <v>1</v>
      </c>
      <c r="I116" s="68">
        <v>72.47490486398071</v>
      </c>
      <c r="J116" s="68">
        <f t="shared" si="1"/>
        <v>217.4247146</v>
      </c>
      <c r="K116" s="68" t="b">
        <v>1</v>
      </c>
    </row>
    <row r="117" hidden="1">
      <c r="A117" s="75">
        <v>111.0</v>
      </c>
      <c r="B117" s="62" t="s">
        <v>194</v>
      </c>
      <c r="C117" s="62" t="s">
        <v>138</v>
      </c>
      <c r="D117" s="62" t="s">
        <v>201</v>
      </c>
      <c r="E117" s="76">
        <v>44097.0</v>
      </c>
      <c r="F117" s="77">
        <v>0.125</v>
      </c>
      <c r="G117" s="62" t="b">
        <v>0</v>
      </c>
      <c r="H117" s="78" t="b">
        <f>IF(VLOOKUP(C117,Projetos!A:L,12,false)=TRUE,TRUE,FALSE)</f>
        <v>1</v>
      </c>
      <c r="I117" s="68">
        <v>72.47490486398071</v>
      </c>
      <c r="J117" s="68">
        <f t="shared" si="1"/>
        <v>0</v>
      </c>
      <c r="K117" s="68" t="b">
        <v>1</v>
      </c>
    </row>
    <row r="118" hidden="1">
      <c r="A118" s="75">
        <v>112.0</v>
      </c>
      <c r="B118" s="62" t="s">
        <v>194</v>
      </c>
      <c r="C118" s="62" t="s">
        <v>109</v>
      </c>
      <c r="D118" s="62" t="s">
        <v>201</v>
      </c>
      <c r="E118" s="76">
        <v>44098.0</v>
      </c>
      <c r="F118" s="77">
        <v>0.08333333333333333</v>
      </c>
      <c r="G118" s="62" t="b">
        <v>0</v>
      </c>
      <c r="H118" s="78" t="b">
        <f>IF(VLOOKUP(C118,Projetos!A:L,12,false)=TRUE,TRUE,FALSE)</f>
        <v>0</v>
      </c>
      <c r="I118" s="68">
        <v>72.47490486398071</v>
      </c>
      <c r="J118" s="68">
        <f t="shared" si="1"/>
        <v>0</v>
      </c>
      <c r="K118" s="68" t="b">
        <v>0</v>
      </c>
    </row>
    <row r="119" hidden="1">
      <c r="A119" s="75">
        <v>113.0</v>
      </c>
      <c r="B119" s="62" t="s">
        <v>194</v>
      </c>
      <c r="C119" s="62" t="s">
        <v>109</v>
      </c>
      <c r="D119" s="62" t="s">
        <v>207</v>
      </c>
      <c r="E119" s="76">
        <v>44102.0</v>
      </c>
      <c r="F119" s="77">
        <v>0.16666666666666666</v>
      </c>
      <c r="G119" s="62" t="b">
        <v>0</v>
      </c>
      <c r="H119" s="78" t="b">
        <f>IF(VLOOKUP(C119,Projetos!A:L,12,false)=TRUE,TRUE,FALSE)</f>
        <v>0</v>
      </c>
      <c r="I119" s="68">
        <v>72.47490486398071</v>
      </c>
      <c r="J119" s="68">
        <f t="shared" si="1"/>
        <v>0</v>
      </c>
      <c r="K119" s="68" t="b">
        <v>0</v>
      </c>
    </row>
    <row r="120">
      <c r="A120" s="75">
        <v>114.0</v>
      </c>
      <c r="B120" s="62" t="s">
        <v>194</v>
      </c>
      <c r="C120" s="62" t="s">
        <v>104</v>
      </c>
      <c r="D120" s="62" t="s">
        <v>210</v>
      </c>
      <c r="E120" s="76">
        <v>44110.0</v>
      </c>
      <c r="F120" s="77">
        <v>0.08333333333333333</v>
      </c>
      <c r="G120" s="62" t="b">
        <v>1</v>
      </c>
      <c r="H120" s="78" t="b">
        <f>IF(VLOOKUP(C120,Projetos!A:L,12,false)=TRUE,TRUE,FALSE)</f>
        <v>1</v>
      </c>
      <c r="I120" s="68">
        <v>75.92609080988456</v>
      </c>
      <c r="J120" s="68">
        <f t="shared" si="1"/>
        <v>151.8521816</v>
      </c>
      <c r="K120" s="68" t="b">
        <v>1</v>
      </c>
    </row>
    <row r="121">
      <c r="A121" s="75">
        <v>115.0</v>
      </c>
      <c r="B121" s="62" t="s">
        <v>194</v>
      </c>
      <c r="C121" s="62" t="s">
        <v>104</v>
      </c>
      <c r="D121" s="62" t="s">
        <v>210</v>
      </c>
      <c r="E121" s="76">
        <v>44111.0</v>
      </c>
      <c r="F121" s="77">
        <v>0.08333333333333333</v>
      </c>
      <c r="G121" s="62" t="b">
        <v>1</v>
      </c>
      <c r="H121" s="78" t="b">
        <f>IF(VLOOKUP(C121,Projetos!A:L,12,false)=TRUE,TRUE,FALSE)</f>
        <v>1</v>
      </c>
      <c r="I121" s="68">
        <v>75.92609080988456</v>
      </c>
      <c r="J121" s="68">
        <f t="shared" si="1"/>
        <v>151.8521816</v>
      </c>
      <c r="K121" s="68" t="b">
        <v>1</v>
      </c>
    </row>
    <row r="122" hidden="1">
      <c r="A122" s="75">
        <v>116.0</v>
      </c>
      <c r="B122" s="62" t="s">
        <v>194</v>
      </c>
      <c r="C122" s="62" t="s">
        <v>97</v>
      </c>
      <c r="D122" s="62" t="s">
        <v>211</v>
      </c>
      <c r="E122" s="76">
        <v>44117.0</v>
      </c>
      <c r="F122" s="77">
        <v>0.125</v>
      </c>
      <c r="G122" s="62" t="b">
        <v>1</v>
      </c>
      <c r="H122" s="78" t="b">
        <f>IF(VLOOKUP(C122,Projetos!A:L,12,false)=TRUE,TRUE,FALSE)</f>
        <v>1</v>
      </c>
      <c r="I122" s="68">
        <v>75.92609080988456</v>
      </c>
      <c r="J122" s="68">
        <f t="shared" si="1"/>
        <v>227.7782724</v>
      </c>
      <c r="K122" s="68" t="b">
        <v>1</v>
      </c>
    </row>
    <row r="123" hidden="1">
      <c r="A123" s="75">
        <v>117.0</v>
      </c>
      <c r="B123" s="62" t="s">
        <v>194</v>
      </c>
      <c r="C123" s="62" t="s">
        <v>108</v>
      </c>
      <c r="D123" s="62" t="s">
        <v>212</v>
      </c>
      <c r="E123" s="76">
        <v>44118.0</v>
      </c>
      <c r="F123" s="77">
        <v>0.08333333333333333</v>
      </c>
      <c r="G123" s="62" t="b">
        <v>0</v>
      </c>
      <c r="H123" s="78" t="b">
        <f>IF(VLOOKUP(C123,Projetos!A:L,12,false)=TRUE,TRUE,FALSE)</f>
        <v>1</v>
      </c>
      <c r="I123" s="68">
        <v>75.92609080988456</v>
      </c>
      <c r="J123" s="68">
        <f t="shared" si="1"/>
        <v>0</v>
      </c>
      <c r="K123" s="68" t="b">
        <v>1</v>
      </c>
    </row>
    <row r="124" hidden="1">
      <c r="A124" s="75">
        <v>118.0</v>
      </c>
      <c r="B124" s="62" t="s">
        <v>194</v>
      </c>
      <c r="C124" s="62" t="s">
        <v>109</v>
      </c>
      <c r="D124" s="62" t="s">
        <v>212</v>
      </c>
      <c r="E124" s="76">
        <v>44119.0</v>
      </c>
      <c r="F124" s="77">
        <v>0.08333333333333333</v>
      </c>
      <c r="G124" s="62" t="b">
        <v>0</v>
      </c>
      <c r="H124" s="78" t="b">
        <f>IF(VLOOKUP(C124,Projetos!A:L,12,false)=TRUE,TRUE,FALSE)</f>
        <v>0</v>
      </c>
      <c r="I124" s="68">
        <v>75.92609080988456</v>
      </c>
      <c r="J124" s="68">
        <f t="shared" si="1"/>
        <v>0</v>
      </c>
      <c r="K124" s="68" t="b">
        <v>0</v>
      </c>
    </row>
    <row r="125" hidden="1">
      <c r="A125" s="75">
        <v>119.0</v>
      </c>
      <c r="B125" s="62" t="s">
        <v>194</v>
      </c>
      <c r="C125" s="62" t="s">
        <v>109</v>
      </c>
      <c r="D125" s="62" t="s">
        <v>212</v>
      </c>
      <c r="E125" s="76">
        <v>44124.0</v>
      </c>
      <c r="F125" s="77">
        <v>0.08333333333333333</v>
      </c>
      <c r="G125" s="62" t="b">
        <v>0</v>
      </c>
      <c r="H125" s="78" t="b">
        <f>IF(VLOOKUP(C125,Projetos!A:L,12,false)=TRUE,TRUE,FALSE)</f>
        <v>0</v>
      </c>
      <c r="I125" s="68">
        <v>75.92609080988456</v>
      </c>
      <c r="J125" s="68">
        <f t="shared" si="1"/>
        <v>0</v>
      </c>
      <c r="K125" s="68" t="b">
        <v>0</v>
      </c>
    </row>
    <row r="126">
      <c r="A126" s="75">
        <v>120.0</v>
      </c>
      <c r="B126" s="62" t="s">
        <v>194</v>
      </c>
      <c r="C126" s="62" t="s">
        <v>104</v>
      </c>
      <c r="D126" s="62" t="s">
        <v>201</v>
      </c>
      <c r="E126" s="76">
        <v>44151.0</v>
      </c>
      <c r="F126" s="77">
        <v>0.08333333333333333</v>
      </c>
      <c r="G126" s="62" t="b">
        <v>0</v>
      </c>
      <c r="H126" s="78" t="b">
        <f>IF(VLOOKUP(C126,Projetos!A:L,12,false)=TRUE,TRUE,FALSE)</f>
        <v>1</v>
      </c>
      <c r="I126" s="68">
        <v>73.66351723197887</v>
      </c>
      <c r="J126" s="68">
        <f t="shared" si="1"/>
        <v>0</v>
      </c>
      <c r="K126" s="68" t="b">
        <v>1</v>
      </c>
    </row>
    <row r="127">
      <c r="A127" s="75">
        <v>121.0</v>
      </c>
      <c r="B127" s="62" t="s">
        <v>194</v>
      </c>
      <c r="C127" s="62" t="s">
        <v>104</v>
      </c>
      <c r="D127" s="62" t="s">
        <v>201</v>
      </c>
      <c r="E127" s="76">
        <v>44152.0</v>
      </c>
      <c r="F127" s="77">
        <v>0.08333333333333333</v>
      </c>
      <c r="G127" s="62" t="b">
        <v>0</v>
      </c>
      <c r="H127" s="78" t="b">
        <f>IF(VLOOKUP(C127,Projetos!A:L,12,false)=TRUE,TRUE,FALSE)</f>
        <v>1</v>
      </c>
      <c r="I127" s="68">
        <v>73.66351723197887</v>
      </c>
      <c r="J127" s="68">
        <f t="shared" si="1"/>
        <v>0</v>
      </c>
      <c r="K127" s="68" t="b">
        <v>1</v>
      </c>
    </row>
    <row r="128">
      <c r="A128" s="75">
        <v>122.0</v>
      </c>
      <c r="B128" s="62" t="s">
        <v>194</v>
      </c>
      <c r="C128" s="62" t="s">
        <v>104</v>
      </c>
      <c r="D128" s="62" t="s">
        <v>206</v>
      </c>
      <c r="E128" s="76">
        <v>44153.0</v>
      </c>
      <c r="F128" s="77">
        <v>0.125</v>
      </c>
      <c r="G128" s="62" t="b">
        <v>1</v>
      </c>
      <c r="H128" s="78" t="b">
        <f>IF(VLOOKUP(C128,Projetos!A:L,12,false)=TRUE,TRUE,FALSE)</f>
        <v>1</v>
      </c>
      <c r="I128" s="68">
        <v>73.66351723197887</v>
      </c>
      <c r="J128" s="68">
        <f t="shared" si="1"/>
        <v>220.9905517</v>
      </c>
      <c r="K128" s="68" t="b">
        <v>1</v>
      </c>
    </row>
    <row r="129" hidden="1">
      <c r="A129" s="75">
        <v>123.0</v>
      </c>
      <c r="B129" s="62" t="s">
        <v>194</v>
      </c>
      <c r="C129" s="62" t="s">
        <v>138</v>
      </c>
      <c r="D129" s="62" t="s">
        <v>201</v>
      </c>
      <c r="E129" s="76">
        <v>44158.0</v>
      </c>
      <c r="F129" s="77">
        <v>0.125</v>
      </c>
      <c r="G129" s="62" t="b">
        <v>0</v>
      </c>
      <c r="H129" s="78" t="b">
        <f>IF(VLOOKUP(C129,Projetos!A:L,12,false)=TRUE,TRUE,FALSE)</f>
        <v>1</v>
      </c>
      <c r="I129" s="68">
        <v>73.66351723197887</v>
      </c>
      <c r="J129" s="68">
        <f t="shared" si="1"/>
        <v>0</v>
      </c>
      <c r="K129" s="68" t="b">
        <v>1</v>
      </c>
    </row>
    <row r="130" hidden="1">
      <c r="A130" s="75">
        <v>124.0</v>
      </c>
      <c r="B130" s="62" t="s">
        <v>194</v>
      </c>
      <c r="C130" s="62" t="s">
        <v>108</v>
      </c>
      <c r="D130" s="62" t="s">
        <v>201</v>
      </c>
      <c r="E130" s="76">
        <v>44159.0</v>
      </c>
      <c r="F130" s="77">
        <v>0.08333333333333333</v>
      </c>
      <c r="G130" s="62" t="b">
        <v>0</v>
      </c>
      <c r="H130" s="78" t="b">
        <f>IF(VLOOKUP(C130,Projetos!A:L,12,false)=TRUE,TRUE,FALSE)</f>
        <v>1</v>
      </c>
      <c r="I130" s="68">
        <v>73.66351723197887</v>
      </c>
      <c r="J130" s="68">
        <f t="shared" si="1"/>
        <v>0</v>
      </c>
      <c r="K130" s="68" t="b">
        <v>1</v>
      </c>
    </row>
    <row r="131" hidden="1">
      <c r="A131" s="75">
        <v>125.0</v>
      </c>
      <c r="B131" s="62" t="s">
        <v>194</v>
      </c>
      <c r="C131" s="62" t="s">
        <v>138</v>
      </c>
      <c r="D131" s="62" t="s">
        <v>207</v>
      </c>
      <c r="E131" s="76">
        <v>44160.0</v>
      </c>
      <c r="F131" s="77">
        <v>0.041666666666666664</v>
      </c>
      <c r="G131" s="62" t="b">
        <v>1</v>
      </c>
      <c r="H131" s="78" t="b">
        <f>IF(VLOOKUP(C131,Projetos!A:L,12,false)=TRUE,TRUE,FALSE)</f>
        <v>1</v>
      </c>
      <c r="I131" s="68">
        <v>73.66351723197887</v>
      </c>
      <c r="J131" s="68">
        <f t="shared" si="1"/>
        <v>73.66351723</v>
      </c>
      <c r="K131" s="68" t="b">
        <v>1</v>
      </c>
    </row>
    <row r="132">
      <c r="A132" s="75">
        <v>126.0</v>
      </c>
      <c r="B132" s="62" t="s">
        <v>194</v>
      </c>
      <c r="C132" s="62" t="s">
        <v>104</v>
      </c>
      <c r="D132" s="62" t="s">
        <v>208</v>
      </c>
      <c r="E132" s="76">
        <v>44173.0</v>
      </c>
      <c r="F132" s="77">
        <v>0.125</v>
      </c>
      <c r="G132" s="62" t="b">
        <v>0</v>
      </c>
      <c r="H132" s="78" t="b">
        <f>IF(VLOOKUP(C132,Projetos!A:L,12,false)=TRUE,TRUE,FALSE)</f>
        <v>1</v>
      </c>
      <c r="I132" s="68">
        <v>77.17130376683501</v>
      </c>
      <c r="J132" s="68">
        <f t="shared" si="1"/>
        <v>0</v>
      </c>
      <c r="K132" s="68" t="b">
        <v>1</v>
      </c>
    </row>
    <row r="133" hidden="1">
      <c r="A133" s="75">
        <v>127.0</v>
      </c>
      <c r="B133" s="62" t="s">
        <v>194</v>
      </c>
      <c r="C133" s="62" t="s">
        <v>103</v>
      </c>
      <c r="D133" s="62" t="s">
        <v>208</v>
      </c>
      <c r="E133" s="76">
        <v>44174.0</v>
      </c>
      <c r="F133" s="77">
        <v>0.125</v>
      </c>
      <c r="G133" s="62" t="b">
        <v>0</v>
      </c>
      <c r="H133" s="78" t="b">
        <f>IF(VLOOKUP(C133,Projetos!A:L,12,false)=TRUE,TRUE,FALSE)</f>
        <v>1</v>
      </c>
      <c r="I133" s="68">
        <v>77.17130376683501</v>
      </c>
      <c r="J133" s="68">
        <f t="shared" si="1"/>
        <v>0</v>
      </c>
      <c r="K133" s="68" t="b">
        <v>1</v>
      </c>
    </row>
    <row r="134" hidden="1">
      <c r="A134" s="75">
        <v>128.0</v>
      </c>
      <c r="B134" s="62" t="s">
        <v>194</v>
      </c>
      <c r="C134" s="62" t="s">
        <v>103</v>
      </c>
      <c r="D134" s="62" t="s">
        <v>208</v>
      </c>
      <c r="E134" s="76">
        <v>44180.0</v>
      </c>
      <c r="F134" s="77">
        <v>0.125</v>
      </c>
      <c r="G134" s="62" t="b">
        <v>0</v>
      </c>
      <c r="H134" s="78" t="b">
        <f>IF(VLOOKUP(C134,Projetos!A:L,12,false)=TRUE,TRUE,FALSE)</f>
        <v>1</v>
      </c>
      <c r="I134" s="68">
        <v>77.17130376683501</v>
      </c>
      <c r="J134" s="68">
        <f t="shared" si="1"/>
        <v>0</v>
      </c>
      <c r="K134" s="68" t="b">
        <v>1</v>
      </c>
    </row>
    <row r="135" hidden="1">
      <c r="A135" s="75">
        <v>129.0</v>
      </c>
      <c r="B135" s="62" t="s">
        <v>194</v>
      </c>
      <c r="C135" s="62" t="s">
        <v>138</v>
      </c>
      <c r="D135" s="62" t="s">
        <v>209</v>
      </c>
      <c r="E135" s="76">
        <v>44181.0</v>
      </c>
      <c r="F135" s="77">
        <v>0.08333333333333333</v>
      </c>
      <c r="G135" s="62" t="b">
        <v>0</v>
      </c>
      <c r="H135" s="78" t="b">
        <f>IF(VLOOKUP(C135,Projetos!A:L,12,false)=TRUE,TRUE,FALSE)</f>
        <v>1</v>
      </c>
      <c r="I135" s="68">
        <v>77.17130376683501</v>
      </c>
      <c r="J135" s="68">
        <f t="shared" si="1"/>
        <v>0</v>
      </c>
      <c r="K135" s="68" t="b">
        <v>1</v>
      </c>
    </row>
    <row r="136" hidden="1">
      <c r="A136" s="75">
        <v>130.0</v>
      </c>
      <c r="B136" s="62" t="s">
        <v>194</v>
      </c>
      <c r="C136" s="62" t="s">
        <v>138</v>
      </c>
      <c r="D136" s="62" t="s">
        <v>201</v>
      </c>
      <c r="E136" s="76">
        <v>44182.0</v>
      </c>
      <c r="F136" s="77">
        <v>0.125</v>
      </c>
      <c r="G136" s="62" t="b">
        <v>0</v>
      </c>
      <c r="H136" s="78" t="b">
        <f>IF(VLOOKUP(C136,Projetos!A:L,12,false)=TRUE,TRUE,FALSE)</f>
        <v>1</v>
      </c>
      <c r="I136" s="68">
        <v>77.17130376683501</v>
      </c>
      <c r="J136" s="68">
        <f t="shared" si="1"/>
        <v>0</v>
      </c>
      <c r="K136" s="68" t="b">
        <v>1</v>
      </c>
    </row>
    <row r="137" hidden="1">
      <c r="A137" s="75">
        <v>131.0</v>
      </c>
      <c r="B137" s="62" t="s">
        <v>213</v>
      </c>
      <c r="C137" s="62" t="s">
        <v>100</v>
      </c>
      <c r="D137" s="62" t="s">
        <v>214</v>
      </c>
      <c r="E137" s="76">
        <v>43839.0</v>
      </c>
      <c r="F137" s="77">
        <v>0.34375</v>
      </c>
      <c r="G137" s="62" t="b">
        <v>1</v>
      </c>
      <c r="H137" s="78" t="b">
        <f>IF(VLOOKUP(C137,Projetos!A:L,12,false)=TRUE,TRUE,FALSE)</f>
        <v>1</v>
      </c>
      <c r="I137" s="68">
        <v>43.55498683862433</v>
      </c>
      <c r="J137" s="68">
        <f t="shared" si="1"/>
        <v>359.3286414</v>
      </c>
      <c r="K137" s="68" t="b">
        <v>1</v>
      </c>
    </row>
    <row r="138" hidden="1">
      <c r="A138" s="75">
        <v>132.0</v>
      </c>
      <c r="B138" s="62" t="s">
        <v>213</v>
      </c>
      <c r="C138" s="62" t="s">
        <v>103</v>
      </c>
      <c r="D138" s="62" t="s">
        <v>215</v>
      </c>
      <c r="E138" s="76">
        <v>43873.0</v>
      </c>
      <c r="F138" s="77">
        <v>0.020833333333333332</v>
      </c>
      <c r="G138" s="62" t="b">
        <v>1</v>
      </c>
      <c r="H138" s="78" t="b">
        <f>IF(VLOOKUP(C138,Projetos!A:L,12,false)=TRUE,TRUE,FALSE)</f>
        <v>1</v>
      </c>
      <c r="I138" s="68">
        <v>41.57521470959595</v>
      </c>
      <c r="J138" s="68">
        <f t="shared" si="1"/>
        <v>20.78760735</v>
      </c>
      <c r="K138" s="68" t="b">
        <v>1</v>
      </c>
    </row>
    <row r="139" hidden="1">
      <c r="A139" s="75">
        <v>133.0</v>
      </c>
      <c r="B139" s="62" t="s">
        <v>213</v>
      </c>
      <c r="C139" s="62" t="s">
        <v>103</v>
      </c>
      <c r="D139" s="62" t="s">
        <v>216</v>
      </c>
      <c r="E139" s="76">
        <v>43879.0</v>
      </c>
      <c r="F139" s="77">
        <v>0.020833333333333332</v>
      </c>
      <c r="G139" s="62" t="b">
        <v>1</v>
      </c>
      <c r="H139" s="78" t="b">
        <f>IF(VLOOKUP(C139,Projetos!A:L,12,false)=TRUE,TRUE,FALSE)</f>
        <v>1</v>
      </c>
      <c r="I139" s="68">
        <v>41.57521470959595</v>
      </c>
      <c r="J139" s="68">
        <f t="shared" si="1"/>
        <v>20.78760735</v>
      </c>
      <c r="K139" s="68" t="b">
        <v>1</v>
      </c>
    </row>
    <row r="140" hidden="1">
      <c r="A140" s="75">
        <v>134.0</v>
      </c>
      <c r="B140" s="62" t="s">
        <v>213</v>
      </c>
      <c r="C140" s="62" t="s">
        <v>138</v>
      </c>
      <c r="D140" s="62" t="s">
        <v>217</v>
      </c>
      <c r="E140" s="76">
        <v>43879.0</v>
      </c>
      <c r="F140" s="77">
        <v>0.006944444444444444</v>
      </c>
      <c r="G140" s="62" t="b">
        <v>1</v>
      </c>
      <c r="H140" s="78" t="b">
        <f>IF(VLOOKUP(C140,Projetos!A:L,12,false)=TRUE,TRUE,FALSE)</f>
        <v>1</v>
      </c>
      <c r="I140" s="68">
        <v>41.57521470959595</v>
      </c>
      <c r="J140" s="68">
        <f t="shared" si="1"/>
        <v>6.929202452</v>
      </c>
      <c r="K140" s="68" t="b">
        <v>1</v>
      </c>
    </row>
    <row r="141" hidden="1">
      <c r="A141" s="75">
        <v>135.0</v>
      </c>
      <c r="B141" s="62" t="s">
        <v>213</v>
      </c>
      <c r="C141" s="62" t="s">
        <v>138</v>
      </c>
      <c r="D141" s="62" t="s">
        <v>218</v>
      </c>
      <c r="E141" s="76">
        <v>43908.0</v>
      </c>
      <c r="F141" s="77">
        <v>0.041666666666666664</v>
      </c>
      <c r="G141" s="62" t="b">
        <v>1</v>
      </c>
      <c r="H141" s="78" t="b">
        <f>IF(VLOOKUP(C141,Projetos!A:L,12,false)=TRUE,TRUE,FALSE)</f>
        <v>1</v>
      </c>
      <c r="I141" s="68">
        <v>43.55498683862433</v>
      </c>
      <c r="J141" s="68">
        <f t="shared" si="1"/>
        <v>43.55498684</v>
      </c>
      <c r="K141" s="68" t="b">
        <v>1</v>
      </c>
    </row>
    <row r="142" hidden="1">
      <c r="A142" s="75">
        <v>136.0</v>
      </c>
      <c r="B142" s="62" t="s">
        <v>213</v>
      </c>
      <c r="C142" s="62" t="s">
        <v>138</v>
      </c>
      <c r="D142" s="62" t="s">
        <v>218</v>
      </c>
      <c r="E142" s="76">
        <v>43908.0</v>
      </c>
      <c r="F142" s="77">
        <v>0.041666666666666664</v>
      </c>
      <c r="G142" s="62" t="b">
        <v>1</v>
      </c>
      <c r="H142" s="78" t="b">
        <f>IF(VLOOKUP(C142,Projetos!A:L,12,false)=TRUE,TRUE,FALSE)</f>
        <v>1</v>
      </c>
      <c r="I142" s="68">
        <v>43.55498683862433</v>
      </c>
      <c r="J142" s="68">
        <f t="shared" si="1"/>
        <v>43.55498684</v>
      </c>
      <c r="K142" s="68" t="b">
        <v>1</v>
      </c>
    </row>
    <row r="143" hidden="1">
      <c r="A143" s="75">
        <v>137.0</v>
      </c>
      <c r="B143" s="62" t="s">
        <v>213</v>
      </c>
      <c r="C143" s="62" t="s">
        <v>138</v>
      </c>
      <c r="D143" s="62" t="s">
        <v>218</v>
      </c>
      <c r="E143" s="76">
        <v>43917.0</v>
      </c>
      <c r="F143" s="77">
        <v>0.041666666666666664</v>
      </c>
      <c r="G143" s="62" t="b">
        <v>1</v>
      </c>
      <c r="H143" s="78" t="b">
        <f>IF(VLOOKUP(C143,Projetos!A:L,12,false)=TRUE,TRUE,FALSE)</f>
        <v>1</v>
      </c>
      <c r="I143" s="68">
        <v>43.55498683862433</v>
      </c>
      <c r="J143" s="68">
        <f t="shared" si="1"/>
        <v>43.55498684</v>
      </c>
      <c r="K143" s="68" t="b">
        <v>1</v>
      </c>
    </row>
    <row r="144" hidden="1">
      <c r="A144" s="75">
        <v>138.0</v>
      </c>
      <c r="B144" s="62" t="s">
        <v>213</v>
      </c>
      <c r="C144" s="62" t="s">
        <v>98</v>
      </c>
      <c r="D144" s="62" t="s">
        <v>219</v>
      </c>
      <c r="E144" s="76">
        <v>43917.0</v>
      </c>
      <c r="F144" s="77">
        <v>0.041666666666666664</v>
      </c>
      <c r="G144" s="62" t="b">
        <v>1</v>
      </c>
      <c r="H144" s="78" t="b">
        <f>IF(VLOOKUP(C144,Projetos!A:L,12,false)=TRUE,TRUE,FALSE)</f>
        <v>1</v>
      </c>
      <c r="I144" s="68">
        <v>43.55498683862433</v>
      </c>
      <c r="J144" s="68">
        <f t="shared" si="1"/>
        <v>43.55498684</v>
      </c>
      <c r="K144" s="68" t="b">
        <v>1</v>
      </c>
    </row>
    <row r="145" hidden="1">
      <c r="A145" s="75">
        <v>139.0</v>
      </c>
      <c r="B145" s="62" t="s">
        <v>213</v>
      </c>
      <c r="C145" s="62" t="s">
        <v>138</v>
      </c>
      <c r="D145" s="62" t="s">
        <v>218</v>
      </c>
      <c r="E145" s="76">
        <v>43924.0</v>
      </c>
      <c r="F145" s="77">
        <v>0.041666666666666664</v>
      </c>
      <c r="G145" s="62" t="b">
        <v>1</v>
      </c>
      <c r="H145" s="78" t="b">
        <f>IF(VLOOKUP(C145,Projetos!A:L,12,false)=TRUE,TRUE,FALSE)</f>
        <v>1</v>
      </c>
      <c r="I145" s="68">
        <v>41.57521470959595</v>
      </c>
      <c r="J145" s="68">
        <f t="shared" si="1"/>
        <v>41.57521471</v>
      </c>
      <c r="K145" s="68" t="b">
        <v>1</v>
      </c>
    </row>
    <row r="146" hidden="1">
      <c r="A146" s="75">
        <v>140.0</v>
      </c>
      <c r="B146" s="62" t="s">
        <v>213</v>
      </c>
      <c r="C146" s="62" t="s">
        <v>138</v>
      </c>
      <c r="D146" s="62" t="s">
        <v>218</v>
      </c>
      <c r="E146" s="76">
        <v>43937.0</v>
      </c>
      <c r="F146" s="77">
        <v>0.041666666666666664</v>
      </c>
      <c r="G146" s="62" t="b">
        <v>1</v>
      </c>
      <c r="H146" s="78" t="b">
        <f>IF(VLOOKUP(C146,Projetos!A:L,12,false)=TRUE,TRUE,FALSE)</f>
        <v>1</v>
      </c>
      <c r="I146" s="68">
        <v>41.57521470959595</v>
      </c>
      <c r="J146" s="68">
        <f t="shared" si="1"/>
        <v>41.57521471</v>
      </c>
      <c r="K146" s="68" t="b">
        <v>1</v>
      </c>
    </row>
    <row r="147" hidden="1">
      <c r="A147" s="75">
        <v>141.0</v>
      </c>
      <c r="B147" s="62" t="s">
        <v>213</v>
      </c>
      <c r="C147" s="62" t="s">
        <v>90</v>
      </c>
      <c r="D147" s="62" t="s">
        <v>220</v>
      </c>
      <c r="E147" s="76">
        <v>43955.0</v>
      </c>
      <c r="F147" s="77">
        <v>0.020833333333333332</v>
      </c>
      <c r="G147" s="62" t="b">
        <v>1</v>
      </c>
      <c r="H147" s="78" t="b">
        <f>IF(VLOOKUP(C147,Projetos!A:L,12,false)=TRUE,TRUE,FALSE)</f>
        <v>1</v>
      </c>
      <c r="I147" s="68">
        <v>43.55498683862433</v>
      </c>
      <c r="J147" s="68">
        <f t="shared" si="1"/>
        <v>21.77749342</v>
      </c>
      <c r="K147" s="68" t="b">
        <v>1</v>
      </c>
    </row>
    <row r="148" hidden="1">
      <c r="A148" s="75">
        <v>142.0</v>
      </c>
      <c r="B148" s="62" t="s">
        <v>213</v>
      </c>
      <c r="C148" s="62" t="s">
        <v>138</v>
      </c>
      <c r="D148" s="62" t="s">
        <v>221</v>
      </c>
      <c r="E148" s="76">
        <v>43956.0</v>
      </c>
      <c r="F148" s="77">
        <v>0.041666666666666664</v>
      </c>
      <c r="G148" s="62" t="b">
        <v>1</v>
      </c>
      <c r="H148" s="78" t="b">
        <f>IF(VLOOKUP(C148,Projetos!A:L,12,false)=TRUE,TRUE,FALSE)</f>
        <v>1</v>
      </c>
      <c r="I148" s="68">
        <v>43.55498683862433</v>
      </c>
      <c r="J148" s="68">
        <f t="shared" si="1"/>
        <v>43.55498684</v>
      </c>
      <c r="K148" s="68" t="b">
        <v>1</v>
      </c>
    </row>
    <row r="149" hidden="1">
      <c r="A149" s="75">
        <v>143.0</v>
      </c>
      <c r="B149" s="62" t="s">
        <v>213</v>
      </c>
      <c r="C149" s="62" t="s">
        <v>90</v>
      </c>
      <c r="D149" s="62" t="s">
        <v>222</v>
      </c>
      <c r="E149" s="76">
        <v>43957.0</v>
      </c>
      <c r="F149" s="77">
        <v>0.041666666666666664</v>
      </c>
      <c r="G149" s="62" t="b">
        <v>1</v>
      </c>
      <c r="H149" s="78" t="b">
        <f>IF(VLOOKUP(C149,Projetos!A:L,12,false)=TRUE,TRUE,FALSE)</f>
        <v>1</v>
      </c>
      <c r="I149" s="68">
        <v>43.55498683862433</v>
      </c>
      <c r="J149" s="68">
        <f t="shared" si="1"/>
        <v>43.55498684</v>
      </c>
      <c r="K149" s="68" t="b">
        <v>1</v>
      </c>
    </row>
    <row r="150" hidden="1">
      <c r="A150" s="75">
        <v>144.0</v>
      </c>
      <c r="B150" s="62" t="s">
        <v>213</v>
      </c>
      <c r="C150" s="62" t="s">
        <v>90</v>
      </c>
      <c r="D150" s="62" t="s">
        <v>223</v>
      </c>
      <c r="E150" s="76">
        <v>43970.0</v>
      </c>
      <c r="F150" s="77">
        <v>0.041666666666666664</v>
      </c>
      <c r="G150" s="62" t="b">
        <v>1</v>
      </c>
      <c r="H150" s="78" t="b">
        <f>IF(VLOOKUP(C150,Projetos!A:L,12,false)=TRUE,TRUE,FALSE)</f>
        <v>1</v>
      </c>
      <c r="I150" s="68">
        <v>43.55498683862433</v>
      </c>
      <c r="J150" s="68">
        <f t="shared" si="1"/>
        <v>43.55498684</v>
      </c>
      <c r="K150" s="68" t="b">
        <v>1</v>
      </c>
    </row>
    <row r="151" hidden="1">
      <c r="A151" s="75">
        <v>145.0</v>
      </c>
      <c r="B151" s="62" t="s">
        <v>213</v>
      </c>
      <c r="C151" s="62" t="s">
        <v>90</v>
      </c>
      <c r="D151" s="62" t="s">
        <v>224</v>
      </c>
      <c r="E151" s="76">
        <v>43980.0</v>
      </c>
      <c r="F151" s="77">
        <v>0.041666666666666664</v>
      </c>
      <c r="G151" s="62" t="b">
        <v>1</v>
      </c>
      <c r="H151" s="78" t="b">
        <f>IF(VLOOKUP(C151,Projetos!A:L,12,false)=TRUE,TRUE,FALSE)</f>
        <v>1</v>
      </c>
      <c r="I151" s="68">
        <v>43.55498683862433</v>
      </c>
      <c r="J151" s="68">
        <f t="shared" si="1"/>
        <v>43.55498684</v>
      </c>
      <c r="K151" s="68" t="b">
        <v>1</v>
      </c>
    </row>
    <row r="152" hidden="1">
      <c r="A152" s="75">
        <v>146.0</v>
      </c>
      <c r="B152" s="62" t="s">
        <v>213</v>
      </c>
      <c r="C152" s="62" t="s">
        <v>90</v>
      </c>
      <c r="D152" s="62" t="s">
        <v>225</v>
      </c>
      <c r="E152" s="76">
        <v>43980.0</v>
      </c>
      <c r="F152" s="77">
        <v>0.041666666666666664</v>
      </c>
      <c r="G152" s="62" t="b">
        <v>1</v>
      </c>
      <c r="H152" s="78" t="b">
        <f>IF(VLOOKUP(C152,Projetos!A:L,12,false)=TRUE,TRUE,FALSE)</f>
        <v>1</v>
      </c>
      <c r="I152" s="68">
        <v>43.55498683862433</v>
      </c>
      <c r="J152" s="68">
        <f t="shared" si="1"/>
        <v>43.55498684</v>
      </c>
      <c r="K152" s="68" t="b">
        <v>1</v>
      </c>
    </row>
    <row r="153" hidden="1">
      <c r="A153" s="75">
        <v>147.0</v>
      </c>
      <c r="B153" s="62" t="s">
        <v>213</v>
      </c>
      <c r="C153" s="62" t="s">
        <v>98</v>
      </c>
      <c r="D153" s="62" t="s">
        <v>226</v>
      </c>
      <c r="E153" s="76">
        <v>44053.0</v>
      </c>
      <c r="F153" s="77">
        <v>0.041666666666666664</v>
      </c>
      <c r="G153" s="62" t="b">
        <v>1</v>
      </c>
      <c r="H153" s="78" t="b">
        <f>IF(VLOOKUP(C153,Projetos!A:L,12,false)=TRUE,TRUE,FALSE)</f>
        <v>1</v>
      </c>
      <c r="I153" s="68">
        <v>43.55498683862433</v>
      </c>
      <c r="J153" s="68">
        <f t="shared" si="1"/>
        <v>43.55498684</v>
      </c>
      <c r="K153" s="68" t="b">
        <v>1</v>
      </c>
    </row>
    <row r="154" hidden="1">
      <c r="A154" s="75">
        <v>148.0</v>
      </c>
      <c r="B154" s="62" t="s">
        <v>213</v>
      </c>
      <c r="C154" s="62" t="s">
        <v>102</v>
      </c>
      <c r="D154" s="62" t="s">
        <v>227</v>
      </c>
      <c r="E154" s="76">
        <v>44061.0</v>
      </c>
      <c r="F154" s="77">
        <v>0.041666666666666664</v>
      </c>
      <c r="G154" s="62" t="b">
        <v>0</v>
      </c>
      <c r="H154" s="78" t="b">
        <f>IF(VLOOKUP(C154,Projetos!A:L,12,false)=TRUE,TRUE,FALSE)</f>
        <v>0</v>
      </c>
      <c r="I154" s="68">
        <v>43.55498683862433</v>
      </c>
      <c r="J154" s="68">
        <f t="shared" si="1"/>
        <v>0</v>
      </c>
      <c r="K154" s="68" t="b">
        <v>0</v>
      </c>
    </row>
    <row r="155" hidden="1">
      <c r="A155" s="75">
        <v>149.0</v>
      </c>
      <c r="B155" s="62" t="s">
        <v>213</v>
      </c>
      <c r="C155" s="62" t="s">
        <v>102</v>
      </c>
      <c r="D155" s="62" t="s">
        <v>228</v>
      </c>
      <c r="E155" s="76">
        <v>44061.0</v>
      </c>
      <c r="F155" s="77">
        <v>0.041666666666666664</v>
      </c>
      <c r="G155" s="62" t="b">
        <v>0</v>
      </c>
      <c r="H155" s="78" t="b">
        <f>IF(VLOOKUP(C155,Projetos!A:L,12,false)=TRUE,TRUE,FALSE)</f>
        <v>0</v>
      </c>
      <c r="I155" s="68">
        <v>43.55498683862433</v>
      </c>
      <c r="J155" s="68">
        <f t="shared" si="1"/>
        <v>0</v>
      </c>
      <c r="K155" s="68" t="b">
        <v>0</v>
      </c>
    </row>
    <row r="156" hidden="1">
      <c r="A156" s="75">
        <v>150.0</v>
      </c>
      <c r="B156" s="62" t="s">
        <v>213</v>
      </c>
      <c r="C156" s="62" t="s">
        <v>102</v>
      </c>
      <c r="D156" s="62" t="s">
        <v>229</v>
      </c>
      <c r="E156" s="76">
        <v>44090.0</v>
      </c>
      <c r="F156" s="77">
        <v>0.2916666666666667</v>
      </c>
      <c r="G156" s="62" t="b">
        <v>0</v>
      </c>
      <c r="H156" s="78" t="b">
        <f>IF(VLOOKUP(C156,Projetos!A:L,12,false)=TRUE,TRUE,FALSE)</f>
        <v>0</v>
      </c>
      <c r="I156" s="68">
        <v>41.57521470959595</v>
      </c>
      <c r="J156" s="68">
        <f t="shared" si="1"/>
        <v>0</v>
      </c>
      <c r="K156" s="68" t="b">
        <v>0</v>
      </c>
    </row>
    <row r="157" hidden="1">
      <c r="A157" s="75">
        <v>151.0</v>
      </c>
      <c r="B157" s="62" t="s">
        <v>213</v>
      </c>
      <c r="C157" s="62" t="s">
        <v>102</v>
      </c>
      <c r="D157" s="62" t="s">
        <v>230</v>
      </c>
      <c r="E157" s="76">
        <v>44098.0</v>
      </c>
      <c r="F157" s="77">
        <v>0.041666666666666664</v>
      </c>
      <c r="G157" s="62" t="b">
        <v>0</v>
      </c>
      <c r="H157" s="78" t="b">
        <f>IF(VLOOKUP(C157,Projetos!A:L,12,false)=TRUE,TRUE,FALSE)</f>
        <v>0</v>
      </c>
      <c r="I157" s="68">
        <v>41.57521470959595</v>
      </c>
      <c r="J157" s="68">
        <f t="shared" si="1"/>
        <v>0</v>
      </c>
      <c r="K157" s="68" t="b">
        <v>0</v>
      </c>
    </row>
    <row r="158" hidden="1">
      <c r="A158" s="75">
        <v>152.0</v>
      </c>
      <c r="B158" s="62" t="s">
        <v>213</v>
      </c>
      <c r="C158" s="62" t="s">
        <v>98</v>
      </c>
      <c r="D158" s="62" t="s">
        <v>231</v>
      </c>
      <c r="E158" s="76">
        <v>44146.0</v>
      </c>
      <c r="F158" s="77">
        <v>0.041666666666666664</v>
      </c>
      <c r="G158" s="62" t="b">
        <v>1</v>
      </c>
      <c r="H158" s="78" t="b">
        <f>IF(VLOOKUP(C158,Projetos!A:L,12,false)=TRUE,TRUE,FALSE)</f>
        <v>1</v>
      </c>
      <c r="I158" s="68">
        <v>42.25705307621671</v>
      </c>
      <c r="J158" s="68">
        <f t="shared" si="1"/>
        <v>42.25705308</v>
      </c>
      <c r="K158" s="68" t="b">
        <v>1</v>
      </c>
    </row>
    <row r="159" hidden="1">
      <c r="A159" s="75">
        <v>153.0</v>
      </c>
      <c r="B159" s="62" t="s">
        <v>213</v>
      </c>
      <c r="C159" s="62" t="s">
        <v>138</v>
      </c>
      <c r="D159" s="62" t="s">
        <v>232</v>
      </c>
      <c r="E159" s="76">
        <v>44154.0</v>
      </c>
      <c r="F159" s="77">
        <v>0.041666666666666664</v>
      </c>
      <c r="G159" s="62" t="b">
        <v>1</v>
      </c>
      <c r="H159" s="78" t="b">
        <f>IF(VLOOKUP(C159,Projetos!A:L,12,false)=TRUE,TRUE,FALSE)</f>
        <v>1</v>
      </c>
      <c r="I159" s="68">
        <v>42.25705307621671</v>
      </c>
      <c r="J159" s="68">
        <f t="shared" si="1"/>
        <v>42.25705308</v>
      </c>
      <c r="K159" s="68" t="b">
        <v>1</v>
      </c>
    </row>
    <row r="160" hidden="1">
      <c r="A160" s="75">
        <v>154.0</v>
      </c>
      <c r="B160" s="62" t="s">
        <v>233</v>
      </c>
      <c r="C160" s="62" t="s">
        <v>108</v>
      </c>
      <c r="D160" s="62" t="s">
        <v>234</v>
      </c>
      <c r="E160" s="76">
        <v>43892.0</v>
      </c>
      <c r="F160" s="77">
        <v>0.10416666666666667</v>
      </c>
      <c r="G160" s="62" t="b">
        <v>0</v>
      </c>
      <c r="H160" s="78" t="b">
        <f>IF(VLOOKUP(C160,Projetos!A:L,12,false)=TRUE,TRUE,FALSE)</f>
        <v>1</v>
      </c>
      <c r="I160" s="68">
        <v>54.026996599927834</v>
      </c>
      <c r="J160" s="68">
        <f t="shared" si="1"/>
        <v>0</v>
      </c>
      <c r="K160" s="68" t="b">
        <v>1</v>
      </c>
    </row>
    <row r="161" hidden="1">
      <c r="A161" s="75">
        <v>155.0</v>
      </c>
      <c r="B161" s="62" t="s">
        <v>233</v>
      </c>
      <c r="C161" s="62" t="s">
        <v>108</v>
      </c>
      <c r="D161" s="62" t="s">
        <v>235</v>
      </c>
      <c r="E161" s="76">
        <v>43892.0</v>
      </c>
      <c r="F161" s="77">
        <v>0.0625</v>
      </c>
      <c r="G161" s="62" t="b">
        <v>0</v>
      </c>
      <c r="H161" s="78" t="b">
        <f>IF(VLOOKUP(C161,Projetos!A:L,12,false)=TRUE,TRUE,FALSE)</f>
        <v>1</v>
      </c>
      <c r="I161" s="68">
        <v>54.026996599927834</v>
      </c>
      <c r="J161" s="68">
        <f t="shared" si="1"/>
        <v>0</v>
      </c>
      <c r="K161" s="68" t="b">
        <v>1</v>
      </c>
    </row>
    <row r="162" hidden="1">
      <c r="A162" s="75">
        <v>156.0</v>
      </c>
      <c r="B162" s="62" t="s">
        <v>233</v>
      </c>
      <c r="C162" s="62" t="s">
        <v>108</v>
      </c>
      <c r="D162" s="62" t="s">
        <v>234</v>
      </c>
      <c r="E162" s="76">
        <v>43908.0</v>
      </c>
      <c r="F162" s="77">
        <v>0.013888888888888888</v>
      </c>
      <c r="G162" s="62" t="b">
        <v>0</v>
      </c>
      <c r="H162" s="78" t="b">
        <f>IF(VLOOKUP(C162,Projetos!A:L,12,false)=TRUE,TRUE,FALSE)</f>
        <v>1</v>
      </c>
      <c r="I162" s="68">
        <v>54.026996599927834</v>
      </c>
      <c r="J162" s="68">
        <f t="shared" si="1"/>
        <v>0</v>
      </c>
      <c r="K162" s="68" t="b">
        <v>1</v>
      </c>
    </row>
    <row r="163" hidden="1">
      <c r="A163" s="75">
        <v>157.0</v>
      </c>
      <c r="B163" s="62" t="s">
        <v>233</v>
      </c>
      <c r="C163" s="62" t="s">
        <v>83</v>
      </c>
      <c r="D163" s="62" t="s">
        <v>234</v>
      </c>
      <c r="E163" s="76">
        <v>43901.0</v>
      </c>
      <c r="F163" s="77">
        <v>0.041666666666666664</v>
      </c>
      <c r="G163" s="62" t="b">
        <v>0</v>
      </c>
      <c r="H163" s="78" t="b">
        <f>IF(VLOOKUP(C163,Projetos!A:L,12,false)=TRUE,TRUE,FALSE)</f>
        <v>0</v>
      </c>
      <c r="I163" s="68">
        <v>54.026996599927834</v>
      </c>
      <c r="J163" s="68">
        <f t="shared" si="1"/>
        <v>0</v>
      </c>
      <c r="K163" s="68" t="b">
        <v>0</v>
      </c>
    </row>
    <row r="164" hidden="1">
      <c r="A164" s="75">
        <v>158.0</v>
      </c>
      <c r="B164" s="62" t="s">
        <v>233</v>
      </c>
      <c r="C164" s="62" t="s">
        <v>108</v>
      </c>
      <c r="D164" s="62" t="s">
        <v>235</v>
      </c>
      <c r="E164" s="76">
        <v>43903.0</v>
      </c>
      <c r="F164" s="77">
        <v>0.041666666666666664</v>
      </c>
      <c r="G164" s="62" t="b">
        <v>0</v>
      </c>
      <c r="H164" s="78" t="b">
        <f>IF(VLOOKUP(C164,Projetos!A:L,12,false)=TRUE,TRUE,FALSE)</f>
        <v>1</v>
      </c>
      <c r="I164" s="68">
        <v>54.026996599927834</v>
      </c>
      <c r="J164" s="68">
        <f t="shared" si="1"/>
        <v>0</v>
      </c>
      <c r="K164" s="68" t="b">
        <v>1</v>
      </c>
    </row>
    <row r="165">
      <c r="A165" s="75">
        <v>159.0</v>
      </c>
      <c r="B165" s="62" t="s">
        <v>233</v>
      </c>
      <c r="C165" s="62" t="s">
        <v>104</v>
      </c>
      <c r="D165" s="62" t="s">
        <v>236</v>
      </c>
      <c r="E165" s="76">
        <v>43917.0</v>
      </c>
      <c r="F165" s="77">
        <v>0.08333333333333333</v>
      </c>
      <c r="G165" s="62" t="b">
        <v>1</v>
      </c>
      <c r="H165" s="78" t="b">
        <f>IF(VLOOKUP(C165,Projetos!A:L,12,false)=TRUE,TRUE,FALSE)</f>
        <v>1</v>
      </c>
      <c r="I165" s="68">
        <v>54.026996599927834</v>
      </c>
      <c r="J165" s="68">
        <f t="shared" si="1"/>
        <v>108.0539932</v>
      </c>
      <c r="K165" s="68" t="b">
        <v>1</v>
      </c>
    </row>
    <row r="166" hidden="1">
      <c r="A166" s="75">
        <v>160.0</v>
      </c>
      <c r="B166" s="62" t="s">
        <v>233</v>
      </c>
      <c r="C166" s="62" t="s">
        <v>108</v>
      </c>
      <c r="D166" s="62" t="s">
        <v>235</v>
      </c>
      <c r="E166" s="76">
        <v>43917.0</v>
      </c>
      <c r="F166" s="77">
        <v>0.041666666666666664</v>
      </c>
      <c r="G166" s="62" t="b">
        <v>0</v>
      </c>
      <c r="H166" s="78" t="b">
        <f>IF(VLOOKUP(C166,Projetos!A:L,12,false)=TRUE,TRUE,FALSE)</f>
        <v>1</v>
      </c>
      <c r="I166" s="68">
        <v>54.026996599927834</v>
      </c>
      <c r="J166" s="68">
        <f t="shared" si="1"/>
        <v>0</v>
      </c>
      <c r="K166" s="68" t="b">
        <v>1</v>
      </c>
    </row>
    <row r="167">
      <c r="A167" s="75">
        <v>161.0</v>
      </c>
      <c r="B167" s="62" t="s">
        <v>233</v>
      </c>
      <c r="C167" s="62" t="s">
        <v>104</v>
      </c>
      <c r="D167" s="62" t="s">
        <v>236</v>
      </c>
      <c r="E167" s="76">
        <v>43920.0</v>
      </c>
      <c r="F167" s="77">
        <v>0.020833333333333332</v>
      </c>
      <c r="G167" s="62" t="b">
        <v>1</v>
      </c>
      <c r="H167" s="78" t="b">
        <f>IF(VLOOKUP(C167,Projetos!A:L,12,false)=TRUE,TRUE,FALSE)</f>
        <v>1</v>
      </c>
      <c r="I167" s="68">
        <v>54.026996599927834</v>
      </c>
      <c r="J167" s="68">
        <f t="shared" si="1"/>
        <v>27.0134983</v>
      </c>
      <c r="K167" s="68" t="b">
        <v>1</v>
      </c>
    </row>
    <row r="168">
      <c r="A168" s="75">
        <v>162.0</v>
      </c>
      <c r="B168" s="62" t="s">
        <v>233</v>
      </c>
      <c r="C168" s="62" t="s">
        <v>104</v>
      </c>
      <c r="D168" s="62" t="s">
        <v>237</v>
      </c>
      <c r="E168" s="76">
        <v>43924.0</v>
      </c>
      <c r="F168" s="77">
        <v>0.020833333333333332</v>
      </c>
      <c r="G168" s="62" t="b">
        <v>1</v>
      </c>
      <c r="H168" s="78" t="b">
        <f>IF(VLOOKUP(C168,Projetos!A:L,12,false)=TRUE,TRUE,FALSE)</f>
        <v>1</v>
      </c>
      <c r="I168" s="68">
        <v>51.57122402720384</v>
      </c>
      <c r="J168" s="68">
        <f t="shared" si="1"/>
        <v>25.78561201</v>
      </c>
      <c r="K168" s="68" t="b">
        <v>1</v>
      </c>
    </row>
    <row r="169">
      <c r="A169" s="75">
        <v>163.0</v>
      </c>
      <c r="B169" s="62" t="s">
        <v>233</v>
      </c>
      <c r="C169" s="62" t="s">
        <v>104</v>
      </c>
      <c r="D169" s="62" t="s">
        <v>237</v>
      </c>
      <c r="E169" s="76">
        <v>43928.0</v>
      </c>
      <c r="F169" s="77">
        <v>0.041666666666666664</v>
      </c>
      <c r="G169" s="62" t="b">
        <v>1</v>
      </c>
      <c r="H169" s="78" t="b">
        <f>IF(VLOOKUP(C169,Projetos!A:L,12,false)=TRUE,TRUE,FALSE)</f>
        <v>1</v>
      </c>
      <c r="I169" s="68">
        <v>51.57122402720384</v>
      </c>
      <c r="J169" s="68">
        <f t="shared" si="1"/>
        <v>51.57122403</v>
      </c>
      <c r="K169" s="68" t="b">
        <v>1</v>
      </c>
    </row>
    <row r="170" hidden="1">
      <c r="A170" s="75">
        <v>164.0</v>
      </c>
      <c r="B170" s="62" t="s">
        <v>233</v>
      </c>
      <c r="C170" s="62" t="s">
        <v>108</v>
      </c>
      <c r="D170" s="62" t="s">
        <v>234</v>
      </c>
      <c r="E170" s="76">
        <v>43924.0</v>
      </c>
      <c r="F170" s="77">
        <v>0.020833333333333332</v>
      </c>
      <c r="G170" s="62" t="b">
        <v>0</v>
      </c>
      <c r="H170" s="78" t="b">
        <f>IF(VLOOKUP(C170,Projetos!A:L,12,false)=TRUE,TRUE,FALSE)</f>
        <v>1</v>
      </c>
      <c r="I170" s="68">
        <v>51.57122402720384</v>
      </c>
      <c r="J170" s="68">
        <f t="shared" si="1"/>
        <v>0</v>
      </c>
      <c r="K170" s="68" t="b">
        <v>1</v>
      </c>
    </row>
    <row r="171" hidden="1">
      <c r="A171" s="75">
        <v>165.0</v>
      </c>
      <c r="B171" s="62" t="s">
        <v>233</v>
      </c>
      <c r="C171" s="62" t="s">
        <v>108</v>
      </c>
      <c r="D171" s="62" t="s">
        <v>235</v>
      </c>
      <c r="E171" s="76">
        <v>43929.0</v>
      </c>
      <c r="F171" s="77">
        <v>0.14583333333333334</v>
      </c>
      <c r="G171" s="62" t="b">
        <v>0</v>
      </c>
      <c r="H171" s="78" t="b">
        <f>IF(VLOOKUP(C171,Projetos!A:L,12,false)=TRUE,TRUE,FALSE)</f>
        <v>1</v>
      </c>
      <c r="I171" s="68">
        <v>51.57122402720384</v>
      </c>
      <c r="J171" s="68">
        <f t="shared" si="1"/>
        <v>0</v>
      </c>
      <c r="K171" s="68" t="b">
        <v>1</v>
      </c>
    </row>
    <row r="172" hidden="1">
      <c r="A172" s="75">
        <v>166.0</v>
      </c>
      <c r="B172" s="62" t="s">
        <v>233</v>
      </c>
      <c r="C172" s="62" t="s">
        <v>108</v>
      </c>
      <c r="D172" s="62" t="s">
        <v>235</v>
      </c>
      <c r="E172" s="76">
        <v>43930.0</v>
      </c>
      <c r="F172" s="77">
        <v>0.0625</v>
      </c>
      <c r="G172" s="62" t="b">
        <v>0</v>
      </c>
      <c r="H172" s="78" t="b">
        <f>IF(VLOOKUP(C172,Projetos!A:L,12,false)=TRUE,TRUE,FALSE)</f>
        <v>1</v>
      </c>
      <c r="I172" s="68">
        <v>51.57122402720384</v>
      </c>
      <c r="J172" s="68">
        <f t="shared" si="1"/>
        <v>0</v>
      </c>
      <c r="K172" s="68" t="b">
        <v>1</v>
      </c>
    </row>
    <row r="173" hidden="1">
      <c r="A173" s="75">
        <v>167.0</v>
      </c>
      <c r="B173" s="62" t="s">
        <v>233</v>
      </c>
      <c r="C173" s="62" t="s">
        <v>108</v>
      </c>
      <c r="D173" s="62" t="s">
        <v>236</v>
      </c>
      <c r="E173" s="76">
        <v>43934.0</v>
      </c>
      <c r="F173" s="77">
        <v>0.041666666666666664</v>
      </c>
      <c r="G173" s="62" t="b">
        <v>0</v>
      </c>
      <c r="H173" s="78" t="b">
        <f>IF(VLOOKUP(C173,Projetos!A:L,12,false)=TRUE,TRUE,FALSE)</f>
        <v>1</v>
      </c>
      <c r="I173" s="68">
        <v>51.57122402720384</v>
      </c>
      <c r="J173" s="68">
        <f t="shared" si="1"/>
        <v>0</v>
      </c>
      <c r="K173" s="68" t="b">
        <v>1</v>
      </c>
    </row>
    <row r="174" hidden="1">
      <c r="A174" s="75">
        <v>168.0</v>
      </c>
      <c r="B174" s="62" t="s">
        <v>233</v>
      </c>
      <c r="C174" s="62" t="s">
        <v>108</v>
      </c>
      <c r="D174" s="62" t="s">
        <v>235</v>
      </c>
      <c r="E174" s="76">
        <v>43936.0</v>
      </c>
      <c r="F174" s="77">
        <v>0.0625</v>
      </c>
      <c r="G174" s="62" t="b">
        <v>0</v>
      </c>
      <c r="H174" s="78" t="b">
        <f>IF(VLOOKUP(C174,Projetos!A:L,12,false)=TRUE,TRUE,FALSE)</f>
        <v>1</v>
      </c>
      <c r="I174" s="68">
        <v>51.57122402720384</v>
      </c>
      <c r="J174" s="68">
        <f t="shared" si="1"/>
        <v>0</v>
      </c>
      <c r="K174" s="68" t="b">
        <v>1</v>
      </c>
    </row>
    <row r="175" hidden="1">
      <c r="A175" s="75">
        <v>169.0</v>
      </c>
      <c r="B175" s="62" t="s">
        <v>233</v>
      </c>
      <c r="C175" s="62" t="s">
        <v>108</v>
      </c>
      <c r="D175" s="62" t="s">
        <v>235</v>
      </c>
      <c r="E175" s="76">
        <v>43937.0</v>
      </c>
      <c r="F175" s="77">
        <v>0.041666666666666664</v>
      </c>
      <c r="G175" s="62" t="b">
        <v>0</v>
      </c>
      <c r="H175" s="78" t="b">
        <f>IF(VLOOKUP(C175,Projetos!A:L,12,false)=TRUE,TRUE,FALSE)</f>
        <v>1</v>
      </c>
      <c r="I175" s="68">
        <v>51.57122402720384</v>
      </c>
      <c r="J175" s="68">
        <f t="shared" si="1"/>
        <v>0</v>
      </c>
      <c r="K175" s="68" t="b">
        <v>1</v>
      </c>
    </row>
    <row r="176" hidden="1">
      <c r="A176" s="75">
        <v>170.0</v>
      </c>
      <c r="B176" s="62" t="s">
        <v>233</v>
      </c>
      <c r="C176" s="62" t="s">
        <v>108</v>
      </c>
      <c r="D176" s="62" t="s">
        <v>234</v>
      </c>
      <c r="E176" s="76">
        <v>43937.0</v>
      </c>
      <c r="F176" s="77">
        <v>0.0625</v>
      </c>
      <c r="G176" s="62" t="b">
        <v>0</v>
      </c>
      <c r="H176" s="78" t="b">
        <f>IF(VLOOKUP(C176,Projetos!A:L,12,false)=TRUE,TRUE,FALSE)</f>
        <v>1</v>
      </c>
      <c r="I176" s="68">
        <v>51.57122402720384</v>
      </c>
      <c r="J176" s="68">
        <f t="shared" si="1"/>
        <v>0</v>
      </c>
      <c r="K176" s="68" t="b">
        <v>1</v>
      </c>
    </row>
    <row r="177" hidden="1">
      <c r="A177" s="75">
        <v>171.0</v>
      </c>
      <c r="B177" s="62" t="s">
        <v>233</v>
      </c>
      <c r="C177" s="62" t="s">
        <v>108</v>
      </c>
      <c r="D177" s="62" t="s">
        <v>235</v>
      </c>
      <c r="E177" s="76">
        <v>43938.0</v>
      </c>
      <c r="F177" s="77">
        <v>0.08333333333333333</v>
      </c>
      <c r="G177" s="62" t="b">
        <v>0</v>
      </c>
      <c r="H177" s="78" t="b">
        <f>IF(VLOOKUP(C177,Projetos!A:L,12,false)=TRUE,TRUE,FALSE)</f>
        <v>1</v>
      </c>
      <c r="I177" s="68">
        <v>51.57122402720384</v>
      </c>
      <c r="J177" s="68">
        <f t="shared" si="1"/>
        <v>0</v>
      </c>
      <c r="K177" s="68" t="b">
        <v>1</v>
      </c>
    </row>
    <row r="178" hidden="1">
      <c r="A178" s="75">
        <v>172.0</v>
      </c>
      <c r="B178" s="62" t="s">
        <v>233</v>
      </c>
      <c r="C178" s="62" t="s">
        <v>108</v>
      </c>
      <c r="D178" s="62" t="s">
        <v>234</v>
      </c>
      <c r="E178" s="76">
        <v>43941.0</v>
      </c>
      <c r="F178" s="77">
        <v>0.041666666666666664</v>
      </c>
      <c r="G178" s="62" t="b">
        <v>0</v>
      </c>
      <c r="H178" s="78" t="b">
        <f>IF(VLOOKUP(C178,Projetos!A:L,12,false)=TRUE,TRUE,FALSE)</f>
        <v>1</v>
      </c>
      <c r="I178" s="68">
        <v>51.57122402720384</v>
      </c>
      <c r="J178" s="68">
        <f t="shared" si="1"/>
        <v>0</v>
      </c>
      <c r="K178" s="68" t="b">
        <v>1</v>
      </c>
    </row>
    <row r="179" hidden="1">
      <c r="A179" s="75">
        <v>173.0</v>
      </c>
      <c r="B179" s="62" t="s">
        <v>233</v>
      </c>
      <c r="C179" s="62" t="s">
        <v>108</v>
      </c>
      <c r="D179" s="62" t="s">
        <v>238</v>
      </c>
      <c r="E179" s="76">
        <v>43944.0</v>
      </c>
      <c r="F179" s="77">
        <v>0.041666666666666664</v>
      </c>
      <c r="G179" s="62" t="b">
        <v>0</v>
      </c>
      <c r="H179" s="78" t="b">
        <f>IF(VLOOKUP(C179,Projetos!A:L,12,false)=TRUE,TRUE,FALSE)</f>
        <v>1</v>
      </c>
      <c r="I179" s="68">
        <v>51.57122402720384</v>
      </c>
      <c r="J179" s="68">
        <f t="shared" si="1"/>
        <v>0</v>
      </c>
      <c r="K179" s="68" t="b">
        <v>1</v>
      </c>
    </row>
    <row r="180" hidden="1">
      <c r="A180" s="75">
        <v>174.0</v>
      </c>
      <c r="B180" s="62" t="s">
        <v>233</v>
      </c>
      <c r="C180" s="62" t="s">
        <v>108</v>
      </c>
      <c r="D180" s="62" t="s">
        <v>235</v>
      </c>
      <c r="E180" s="76">
        <v>43945.0</v>
      </c>
      <c r="F180" s="77">
        <v>0.041666666666666664</v>
      </c>
      <c r="G180" s="62" t="b">
        <v>0</v>
      </c>
      <c r="H180" s="78" t="b">
        <f>IF(VLOOKUP(C180,Projetos!A:L,12,false)=TRUE,TRUE,FALSE)</f>
        <v>1</v>
      </c>
      <c r="I180" s="68">
        <v>51.57122402720384</v>
      </c>
      <c r="J180" s="68">
        <f t="shared" si="1"/>
        <v>0</v>
      </c>
      <c r="K180" s="68" t="b">
        <v>1</v>
      </c>
    </row>
    <row r="181" hidden="1">
      <c r="A181" s="75">
        <v>175.0</v>
      </c>
      <c r="B181" s="62" t="s">
        <v>233</v>
      </c>
      <c r="C181" s="62" t="s">
        <v>108</v>
      </c>
      <c r="D181" s="62" t="s">
        <v>235</v>
      </c>
      <c r="E181" s="76">
        <v>43949.0</v>
      </c>
      <c r="F181" s="77">
        <v>0.020833333333333332</v>
      </c>
      <c r="G181" s="62" t="b">
        <v>0</v>
      </c>
      <c r="H181" s="78" t="b">
        <f>IF(VLOOKUP(C181,Projetos!A:L,12,false)=TRUE,TRUE,FALSE)</f>
        <v>1</v>
      </c>
      <c r="I181" s="68">
        <v>51.57122402720384</v>
      </c>
      <c r="J181" s="68">
        <f t="shared" si="1"/>
        <v>0</v>
      </c>
      <c r="K181" s="68" t="b">
        <v>1</v>
      </c>
    </row>
    <row r="182" hidden="1">
      <c r="A182" s="75">
        <v>176.0</v>
      </c>
      <c r="B182" s="62" t="s">
        <v>233</v>
      </c>
      <c r="C182" s="62" t="s">
        <v>108</v>
      </c>
      <c r="D182" s="62" t="s">
        <v>236</v>
      </c>
      <c r="E182" s="76">
        <v>43949.0</v>
      </c>
      <c r="F182" s="77">
        <v>0.013888888888888888</v>
      </c>
      <c r="G182" s="62" t="b">
        <v>0</v>
      </c>
      <c r="H182" s="78" t="b">
        <f>IF(VLOOKUP(C182,Projetos!A:L,12,false)=TRUE,TRUE,FALSE)</f>
        <v>1</v>
      </c>
      <c r="I182" s="68">
        <v>51.57122402720384</v>
      </c>
      <c r="J182" s="68">
        <f t="shared" si="1"/>
        <v>0</v>
      </c>
      <c r="K182" s="68" t="b">
        <v>1</v>
      </c>
    </row>
    <row r="183" hidden="1">
      <c r="A183" s="75">
        <v>177.0</v>
      </c>
      <c r="B183" s="62" t="s">
        <v>233</v>
      </c>
      <c r="C183" s="62" t="s">
        <v>108</v>
      </c>
      <c r="D183" s="62" t="s">
        <v>235</v>
      </c>
      <c r="E183" s="76">
        <v>43950.0</v>
      </c>
      <c r="F183" s="77">
        <v>0.041666666666666664</v>
      </c>
      <c r="G183" s="62" t="b">
        <v>0</v>
      </c>
      <c r="H183" s="78" t="b">
        <f>IF(VLOOKUP(C183,Projetos!A:L,12,false)=TRUE,TRUE,FALSE)</f>
        <v>1</v>
      </c>
      <c r="I183" s="68">
        <v>51.57122402720384</v>
      </c>
      <c r="J183" s="68">
        <f t="shared" si="1"/>
        <v>0</v>
      </c>
      <c r="K183" s="68" t="b">
        <v>1</v>
      </c>
    </row>
    <row r="184" hidden="1">
      <c r="A184" s="75">
        <v>178.0</v>
      </c>
      <c r="B184" s="62" t="s">
        <v>233</v>
      </c>
      <c r="C184" s="62" t="s">
        <v>108</v>
      </c>
      <c r="D184" s="62" t="s">
        <v>236</v>
      </c>
      <c r="E184" s="76">
        <v>43955.0</v>
      </c>
      <c r="F184" s="77">
        <v>0.020833333333333332</v>
      </c>
      <c r="G184" s="62" t="b">
        <v>0</v>
      </c>
      <c r="H184" s="78" t="b">
        <f>IF(VLOOKUP(C184,Projetos!A:L,12,false)=TRUE,TRUE,FALSE)</f>
        <v>1</v>
      </c>
      <c r="I184" s="68">
        <v>54.026996599927834</v>
      </c>
      <c r="J184" s="68">
        <f t="shared" si="1"/>
        <v>0</v>
      </c>
      <c r="K184" s="68" t="b">
        <v>1</v>
      </c>
    </row>
    <row r="185" hidden="1">
      <c r="A185" s="75">
        <v>179.0</v>
      </c>
      <c r="B185" s="62" t="s">
        <v>233</v>
      </c>
      <c r="C185" s="62" t="s">
        <v>108</v>
      </c>
      <c r="D185" s="62" t="s">
        <v>238</v>
      </c>
      <c r="E185" s="76">
        <v>43957.0</v>
      </c>
      <c r="F185" s="77">
        <v>0.020833333333333332</v>
      </c>
      <c r="G185" s="62" t="b">
        <v>0</v>
      </c>
      <c r="H185" s="78" t="b">
        <f>IF(VLOOKUP(C185,Projetos!A:L,12,false)=TRUE,TRUE,FALSE)</f>
        <v>1</v>
      </c>
      <c r="I185" s="68">
        <v>54.026996599927834</v>
      </c>
      <c r="J185" s="68">
        <f t="shared" si="1"/>
        <v>0</v>
      </c>
      <c r="K185" s="68" t="b">
        <v>1</v>
      </c>
    </row>
    <row r="186" hidden="1">
      <c r="A186" s="75">
        <v>180.0</v>
      </c>
      <c r="B186" s="62" t="s">
        <v>233</v>
      </c>
      <c r="C186" s="62" t="s">
        <v>108</v>
      </c>
      <c r="D186" s="62" t="s">
        <v>236</v>
      </c>
      <c r="E186" s="76">
        <v>43962.0</v>
      </c>
      <c r="F186" s="77">
        <v>0.020833333333333332</v>
      </c>
      <c r="G186" s="62" t="b">
        <v>0</v>
      </c>
      <c r="H186" s="78" t="b">
        <f>IF(VLOOKUP(C186,Projetos!A:L,12,false)=TRUE,TRUE,FALSE)</f>
        <v>1</v>
      </c>
      <c r="I186" s="68">
        <v>54.026996599927834</v>
      </c>
      <c r="J186" s="68">
        <f t="shared" si="1"/>
        <v>0</v>
      </c>
      <c r="K186" s="68" t="b">
        <v>1</v>
      </c>
    </row>
    <row r="187" hidden="1">
      <c r="A187" s="75">
        <v>181.0</v>
      </c>
      <c r="B187" s="62" t="s">
        <v>233</v>
      </c>
      <c r="C187" s="62" t="s">
        <v>108</v>
      </c>
      <c r="D187" s="62" t="s">
        <v>238</v>
      </c>
      <c r="E187" s="76">
        <v>43962.0</v>
      </c>
      <c r="F187" s="77">
        <v>0.041666666666666664</v>
      </c>
      <c r="G187" s="62" t="b">
        <v>0</v>
      </c>
      <c r="H187" s="78" t="b">
        <f>IF(VLOOKUP(C187,Projetos!A:L,12,false)=TRUE,TRUE,FALSE)</f>
        <v>1</v>
      </c>
      <c r="I187" s="68">
        <v>54.026996599927834</v>
      </c>
      <c r="J187" s="68">
        <f t="shared" si="1"/>
        <v>0</v>
      </c>
      <c r="K187" s="68" t="b">
        <v>1</v>
      </c>
    </row>
    <row r="188" hidden="1">
      <c r="A188" s="75">
        <v>182.0</v>
      </c>
      <c r="B188" s="62" t="s">
        <v>233</v>
      </c>
      <c r="C188" s="62" t="s">
        <v>108</v>
      </c>
      <c r="D188" s="62" t="s">
        <v>235</v>
      </c>
      <c r="E188" s="76">
        <v>43963.0</v>
      </c>
      <c r="F188" s="77">
        <v>0.0625</v>
      </c>
      <c r="G188" s="62" t="b">
        <v>0</v>
      </c>
      <c r="H188" s="78" t="b">
        <f>IF(VLOOKUP(C188,Projetos!A:L,12,false)=TRUE,TRUE,FALSE)</f>
        <v>1</v>
      </c>
      <c r="I188" s="68">
        <v>54.026996599927834</v>
      </c>
      <c r="J188" s="68">
        <f t="shared" si="1"/>
        <v>0</v>
      </c>
      <c r="K188" s="68" t="b">
        <v>1</v>
      </c>
    </row>
    <row r="189" hidden="1">
      <c r="A189" s="75">
        <v>183.0</v>
      </c>
      <c r="B189" s="62" t="s">
        <v>233</v>
      </c>
      <c r="C189" s="62" t="s">
        <v>110</v>
      </c>
      <c r="D189" s="62" t="s">
        <v>235</v>
      </c>
      <c r="E189" s="76">
        <v>43965.0</v>
      </c>
      <c r="F189" s="77">
        <v>0.020833333333333332</v>
      </c>
      <c r="G189" s="62" t="b">
        <v>1</v>
      </c>
      <c r="H189" s="78" t="b">
        <f>IF(VLOOKUP(C189,Projetos!A:L,12,false)=TRUE,TRUE,FALSE)</f>
        <v>1</v>
      </c>
      <c r="I189" s="68">
        <v>54.026996599927834</v>
      </c>
      <c r="J189" s="68">
        <f t="shared" si="1"/>
        <v>27.0134983</v>
      </c>
      <c r="K189" s="68" t="b">
        <v>1</v>
      </c>
    </row>
    <row r="190" hidden="1">
      <c r="A190" s="75">
        <v>184.0</v>
      </c>
      <c r="B190" s="62" t="s">
        <v>233</v>
      </c>
      <c r="C190" s="62" t="s">
        <v>110</v>
      </c>
      <c r="D190" s="62" t="s">
        <v>235</v>
      </c>
      <c r="E190" s="76">
        <v>43966.0</v>
      </c>
      <c r="F190" s="77">
        <v>0.10416666666666667</v>
      </c>
      <c r="G190" s="62" t="b">
        <v>1</v>
      </c>
      <c r="H190" s="78" t="b">
        <f>IF(VLOOKUP(C190,Projetos!A:L,12,false)=TRUE,TRUE,FALSE)</f>
        <v>1</v>
      </c>
      <c r="I190" s="68">
        <v>54.026996599927834</v>
      </c>
      <c r="J190" s="68">
        <f t="shared" si="1"/>
        <v>135.0674915</v>
      </c>
      <c r="K190" s="68" t="b">
        <v>1</v>
      </c>
    </row>
    <row r="191" hidden="1">
      <c r="A191" s="75">
        <v>185.0</v>
      </c>
      <c r="B191" s="62" t="s">
        <v>233</v>
      </c>
      <c r="C191" s="62" t="s">
        <v>108</v>
      </c>
      <c r="D191" s="62" t="s">
        <v>238</v>
      </c>
      <c r="E191" s="76">
        <v>43969.0</v>
      </c>
      <c r="F191" s="77">
        <v>0.020833333333333332</v>
      </c>
      <c r="G191" s="62" t="b">
        <v>0</v>
      </c>
      <c r="H191" s="78" t="b">
        <f>IF(VLOOKUP(C191,Projetos!A:L,12,false)=TRUE,TRUE,FALSE)</f>
        <v>1</v>
      </c>
      <c r="I191" s="68">
        <v>54.026996599927834</v>
      </c>
      <c r="J191" s="68">
        <f t="shared" si="1"/>
        <v>0</v>
      </c>
      <c r="K191" s="68" t="b">
        <v>1</v>
      </c>
    </row>
    <row r="192" hidden="1">
      <c r="A192" s="75">
        <v>186.0</v>
      </c>
      <c r="B192" s="62" t="s">
        <v>233</v>
      </c>
      <c r="C192" s="62" t="s">
        <v>108</v>
      </c>
      <c r="D192" s="62" t="s">
        <v>238</v>
      </c>
      <c r="E192" s="76">
        <v>43977.0</v>
      </c>
      <c r="F192" s="77">
        <v>0.020833333333333332</v>
      </c>
      <c r="G192" s="62" t="b">
        <v>0</v>
      </c>
      <c r="H192" s="78" t="b">
        <f>IF(VLOOKUP(C192,Projetos!A:L,12,false)=TRUE,TRUE,FALSE)</f>
        <v>1</v>
      </c>
      <c r="I192" s="68">
        <v>54.026996599927834</v>
      </c>
      <c r="J192" s="68">
        <f t="shared" si="1"/>
        <v>0</v>
      </c>
      <c r="K192" s="68" t="b">
        <v>1</v>
      </c>
    </row>
    <row r="193">
      <c r="A193" s="75">
        <v>187.0</v>
      </c>
      <c r="B193" s="62" t="s">
        <v>233</v>
      </c>
      <c r="C193" s="62" t="s">
        <v>104</v>
      </c>
      <c r="D193" s="62" t="s">
        <v>236</v>
      </c>
      <c r="E193" s="76">
        <v>43986.0</v>
      </c>
      <c r="F193" s="77">
        <v>0.041666666666666664</v>
      </c>
      <c r="G193" s="62" t="b">
        <v>1</v>
      </c>
      <c r="H193" s="78" t="b">
        <f>IF(VLOOKUP(C193,Projetos!A:L,12,false)=TRUE,TRUE,FALSE)</f>
        <v>1</v>
      </c>
      <c r="I193" s="68">
        <v>51.57122402720384</v>
      </c>
      <c r="J193" s="68">
        <f t="shared" si="1"/>
        <v>51.57122403</v>
      </c>
      <c r="K193" s="68" t="b">
        <v>1</v>
      </c>
    </row>
    <row r="194">
      <c r="A194" s="75">
        <v>188.0</v>
      </c>
      <c r="B194" s="62" t="s">
        <v>233</v>
      </c>
      <c r="C194" s="62" t="s">
        <v>104</v>
      </c>
      <c r="D194" s="62" t="s">
        <v>238</v>
      </c>
      <c r="E194" s="76">
        <v>43991.0</v>
      </c>
      <c r="F194" s="77">
        <v>0.041666666666666664</v>
      </c>
      <c r="G194" s="62" t="b">
        <v>1</v>
      </c>
      <c r="H194" s="78" t="b">
        <f>IF(VLOOKUP(C194,Projetos!A:L,12,false)=TRUE,TRUE,FALSE)</f>
        <v>1</v>
      </c>
      <c r="I194" s="68">
        <v>51.57122402720384</v>
      </c>
      <c r="J194" s="68">
        <f t="shared" si="1"/>
        <v>51.57122403</v>
      </c>
      <c r="K194" s="68" t="b">
        <v>1</v>
      </c>
    </row>
    <row r="195">
      <c r="A195" s="75">
        <v>189.0</v>
      </c>
      <c r="B195" s="62" t="s">
        <v>233</v>
      </c>
      <c r="C195" s="62" t="s">
        <v>104</v>
      </c>
      <c r="D195" s="62" t="s">
        <v>236</v>
      </c>
      <c r="E195" s="76">
        <v>43994.0</v>
      </c>
      <c r="F195" s="77">
        <v>0.08333333333333333</v>
      </c>
      <c r="G195" s="62" t="b">
        <v>1</v>
      </c>
      <c r="H195" s="78" t="b">
        <f>IF(VLOOKUP(C195,Projetos!A:L,12,false)=TRUE,TRUE,FALSE)</f>
        <v>1</v>
      </c>
      <c r="I195" s="68">
        <v>51.57122402720384</v>
      </c>
      <c r="J195" s="68">
        <f t="shared" si="1"/>
        <v>103.1424481</v>
      </c>
      <c r="K195" s="68" t="b">
        <v>1</v>
      </c>
    </row>
    <row r="196">
      <c r="A196" s="75">
        <v>190.0</v>
      </c>
      <c r="B196" s="62" t="s">
        <v>233</v>
      </c>
      <c r="C196" s="62" t="s">
        <v>104</v>
      </c>
      <c r="D196" s="62" t="s">
        <v>236</v>
      </c>
      <c r="E196" s="76">
        <v>43997.0</v>
      </c>
      <c r="F196" s="77">
        <v>0.08333333333333333</v>
      </c>
      <c r="G196" s="62" t="b">
        <v>1</v>
      </c>
      <c r="H196" s="78" t="b">
        <f>IF(VLOOKUP(C196,Projetos!A:L,12,false)=TRUE,TRUE,FALSE)</f>
        <v>1</v>
      </c>
      <c r="I196" s="68">
        <v>51.57122402720384</v>
      </c>
      <c r="J196" s="68">
        <f t="shared" si="1"/>
        <v>103.1424481</v>
      </c>
      <c r="K196" s="68" t="b">
        <v>1</v>
      </c>
    </row>
    <row r="197">
      <c r="A197" s="75">
        <v>191.0</v>
      </c>
      <c r="B197" s="62" t="s">
        <v>233</v>
      </c>
      <c r="C197" s="62" t="s">
        <v>104</v>
      </c>
      <c r="D197" s="62" t="s">
        <v>238</v>
      </c>
      <c r="E197" s="76">
        <v>43998.0</v>
      </c>
      <c r="F197" s="77">
        <v>0.041666666666666664</v>
      </c>
      <c r="G197" s="62" t="b">
        <v>1</v>
      </c>
      <c r="H197" s="78" t="b">
        <f>IF(VLOOKUP(C197,Projetos!A:L,12,false)=TRUE,TRUE,FALSE)</f>
        <v>1</v>
      </c>
      <c r="I197" s="68">
        <v>51.57122402720384</v>
      </c>
      <c r="J197" s="68">
        <f t="shared" si="1"/>
        <v>51.57122403</v>
      </c>
      <c r="K197" s="68" t="b">
        <v>1</v>
      </c>
    </row>
    <row r="198">
      <c r="A198" s="75">
        <v>192.0</v>
      </c>
      <c r="B198" s="62" t="s">
        <v>233</v>
      </c>
      <c r="C198" s="62" t="s">
        <v>104</v>
      </c>
      <c r="D198" s="62" t="s">
        <v>236</v>
      </c>
      <c r="E198" s="76">
        <v>43998.0</v>
      </c>
      <c r="F198" s="77">
        <v>0.041666666666666664</v>
      </c>
      <c r="G198" s="62" t="b">
        <v>1</v>
      </c>
      <c r="H198" s="78" t="b">
        <f>IF(VLOOKUP(C198,Projetos!A:L,12,false)=TRUE,TRUE,FALSE)</f>
        <v>1</v>
      </c>
      <c r="I198" s="68">
        <v>51.57122402720384</v>
      </c>
      <c r="J198" s="68">
        <f t="shared" si="1"/>
        <v>51.57122403</v>
      </c>
      <c r="K198" s="68" t="b">
        <v>1</v>
      </c>
    </row>
    <row r="199">
      <c r="A199" s="75">
        <v>193.0</v>
      </c>
      <c r="B199" s="62" t="s">
        <v>233</v>
      </c>
      <c r="C199" s="62" t="s">
        <v>104</v>
      </c>
      <c r="D199" s="62" t="s">
        <v>236</v>
      </c>
      <c r="E199" s="76">
        <v>43999.0</v>
      </c>
      <c r="F199" s="77">
        <v>0.0625</v>
      </c>
      <c r="G199" s="62" t="b">
        <v>1</v>
      </c>
      <c r="H199" s="78" t="b">
        <f>IF(VLOOKUP(C199,Projetos!A:L,12,false)=TRUE,TRUE,FALSE)</f>
        <v>1</v>
      </c>
      <c r="I199" s="68">
        <v>51.57122402720384</v>
      </c>
      <c r="J199" s="68">
        <f t="shared" si="1"/>
        <v>77.35683604</v>
      </c>
      <c r="K199" s="68" t="b">
        <v>1</v>
      </c>
    </row>
    <row r="200">
      <c r="A200" s="75">
        <v>194.0</v>
      </c>
      <c r="B200" s="62" t="s">
        <v>233</v>
      </c>
      <c r="C200" s="62" t="s">
        <v>104</v>
      </c>
      <c r="D200" s="62" t="s">
        <v>236</v>
      </c>
      <c r="E200" s="76">
        <v>44000.0</v>
      </c>
      <c r="F200" s="77">
        <v>0.041666666666666664</v>
      </c>
      <c r="G200" s="62" t="b">
        <v>1</v>
      </c>
      <c r="H200" s="78" t="b">
        <f>IF(VLOOKUP(C200,Projetos!A:L,12,false)=TRUE,TRUE,FALSE)</f>
        <v>1</v>
      </c>
      <c r="I200" s="68">
        <v>51.57122402720384</v>
      </c>
      <c r="J200" s="68">
        <f t="shared" si="1"/>
        <v>51.57122403</v>
      </c>
      <c r="K200" s="68" t="b">
        <v>1</v>
      </c>
    </row>
    <row r="201">
      <c r="A201" s="75">
        <v>195.0</v>
      </c>
      <c r="B201" s="62" t="s">
        <v>233</v>
      </c>
      <c r="C201" s="62" t="s">
        <v>104</v>
      </c>
      <c r="D201" s="62" t="s">
        <v>236</v>
      </c>
      <c r="E201" s="76">
        <v>44004.0</v>
      </c>
      <c r="F201" s="77">
        <v>0.041666666666666664</v>
      </c>
      <c r="G201" s="62" t="b">
        <v>1</v>
      </c>
      <c r="H201" s="78" t="b">
        <f>IF(VLOOKUP(C201,Projetos!A:L,12,false)=TRUE,TRUE,FALSE)</f>
        <v>1</v>
      </c>
      <c r="I201" s="68">
        <v>51.57122402720384</v>
      </c>
      <c r="J201" s="68">
        <f t="shared" si="1"/>
        <v>51.57122403</v>
      </c>
      <c r="K201" s="68" t="b">
        <v>1</v>
      </c>
    </row>
    <row r="202">
      <c r="A202" s="75">
        <v>196.0</v>
      </c>
      <c r="B202" s="62" t="s">
        <v>233</v>
      </c>
      <c r="C202" s="62" t="s">
        <v>104</v>
      </c>
      <c r="D202" s="62" t="s">
        <v>238</v>
      </c>
      <c r="E202" s="76">
        <v>44007.0</v>
      </c>
      <c r="F202" s="77">
        <v>0.03125</v>
      </c>
      <c r="G202" s="62" t="b">
        <v>1</v>
      </c>
      <c r="H202" s="78" t="b">
        <f>IF(VLOOKUP(C202,Projetos!A:L,12,false)=TRUE,TRUE,FALSE)</f>
        <v>1</v>
      </c>
      <c r="I202" s="68">
        <v>51.57122402720384</v>
      </c>
      <c r="J202" s="68">
        <f t="shared" si="1"/>
        <v>38.67841802</v>
      </c>
      <c r="K202" s="68" t="b">
        <v>1</v>
      </c>
    </row>
    <row r="203" hidden="1">
      <c r="A203" s="75">
        <v>197.0</v>
      </c>
      <c r="B203" s="62" t="s">
        <v>233</v>
      </c>
      <c r="C203" s="62" t="s">
        <v>108</v>
      </c>
      <c r="D203" s="62" t="s">
        <v>234</v>
      </c>
      <c r="E203" s="76">
        <v>44005.0</v>
      </c>
      <c r="F203" s="77">
        <v>0.041666666666666664</v>
      </c>
      <c r="G203" s="62" t="b">
        <v>0</v>
      </c>
      <c r="H203" s="78" t="b">
        <f>IF(VLOOKUP(C203,Projetos!A:L,12,false)=TRUE,TRUE,FALSE)</f>
        <v>1</v>
      </c>
      <c r="I203" s="68">
        <v>51.57122402720384</v>
      </c>
      <c r="J203" s="68">
        <f t="shared" si="1"/>
        <v>0</v>
      </c>
      <c r="K203" s="68" t="b">
        <v>1</v>
      </c>
    </row>
    <row r="204" hidden="1">
      <c r="A204" s="75">
        <v>198.0</v>
      </c>
      <c r="B204" s="62" t="s">
        <v>233</v>
      </c>
      <c r="C204" s="62" t="s">
        <v>108</v>
      </c>
      <c r="D204" s="62" t="s">
        <v>238</v>
      </c>
      <c r="E204" s="76">
        <v>44006.0</v>
      </c>
      <c r="F204" s="77">
        <v>0.041666666666666664</v>
      </c>
      <c r="G204" s="62" t="b">
        <v>0</v>
      </c>
      <c r="H204" s="78" t="b">
        <f>IF(VLOOKUP(C204,Projetos!A:L,12,false)=TRUE,TRUE,FALSE)</f>
        <v>1</v>
      </c>
      <c r="I204" s="68">
        <v>51.57122402720384</v>
      </c>
      <c r="J204" s="68">
        <f t="shared" si="1"/>
        <v>0</v>
      </c>
      <c r="K204" s="68" t="b">
        <v>1</v>
      </c>
    </row>
    <row r="205">
      <c r="A205" s="75">
        <v>199.0</v>
      </c>
      <c r="B205" s="62" t="s">
        <v>233</v>
      </c>
      <c r="C205" s="62" t="s">
        <v>104</v>
      </c>
      <c r="D205" s="62" t="s">
        <v>234</v>
      </c>
      <c r="E205" s="76">
        <v>44014.0</v>
      </c>
      <c r="F205" s="77">
        <v>0.041666666666666664</v>
      </c>
      <c r="G205" s="62" t="b">
        <v>1</v>
      </c>
      <c r="H205" s="78" t="b">
        <f>IF(VLOOKUP(C205,Projetos!A:L,12,false)=TRUE,TRUE,FALSE)</f>
        <v>1</v>
      </c>
      <c r="I205" s="68">
        <v>54.026996599927834</v>
      </c>
      <c r="J205" s="68">
        <f t="shared" si="1"/>
        <v>54.0269966</v>
      </c>
      <c r="K205" s="68" t="b">
        <v>1</v>
      </c>
    </row>
    <row r="206">
      <c r="A206" s="75">
        <v>200.0</v>
      </c>
      <c r="B206" s="62" t="s">
        <v>233</v>
      </c>
      <c r="C206" s="62" t="s">
        <v>104</v>
      </c>
      <c r="D206" s="62" t="s">
        <v>238</v>
      </c>
      <c r="E206" s="76">
        <v>44015.0</v>
      </c>
      <c r="F206" s="77">
        <v>0.041666666666666664</v>
      </c>
      <c r="G206" s="62" t="b">
        <v>1</v>
      </c>
      <c r="H206" s="78" t="b">
        <f>IF(VLOOKUP(C206,Projetos!A:L,12,false)=TRUE,TRUE,FALSE)</f>
        <v>1</v>
      </c>
      <c r="I206" s="68">
        <v>54.026996599927834</v>
      </c>
      <c r="J206" s="68">
        <f t="shared" si="1"/>
        <v>54.0269966</v>
      </c>
      <c r="K206" s="68" t="b">
        <v>1</v>
      </c>
    </row>
    <row r="207">
      <c r="A207" s="75">
        <v>201.0</v>
      </c>
      <c r="B207" s="62" t="s">
        <v>233</v>
      </c>
      <c r="C207" s="62" t="s">
        <v>104</v>
      </c>
      <c r="D207" s="62" t="s">
        <v>238</v>
      </c>
      <c r="E207" s="76">
        <v>44018.0</v>
      </c>
      <c r="F207" s="77">
        <v>0.08333333333333333</v>
      </c>
      <c r="G207" s="62" t="b">
        <v>1</v>
      </c>
      <c r="H207" s="78" t="b">
        <f>IF(VLOOKUP(C207,Projetos!A:L,12,false)=TRUE,TRUE,FALSE)</f>
        <v>1</v>
      </c>
      <c r="I207" s="68">
        <v>54.026996599927834</v>
      </c>
      <c r="J207" s="68">
        <f t="shared" si="1"/>
        <v>108.0539932</v>
      </c>
      <c r="K207" s="68" t="b">
        <v>1</v>
      </c>
    </row>
    <row r="208">
      <c r="A208" s="75">
        <v>202.0</v>
      </c>
      <c r="B208" s="62" t="s">
        <v>233</v>
      </c>
      <c r="C208" s="62" t="s">
        <v>104</v>
      </c>
      <c r="D208" s="62" t="s">
        <v>239</v>
      </c>
      <c r="E208" s="76">
        <v>44019.0</v>
      </c>
      <c r="F208" s="77">
        <v>0.041666666666666664</v>
      </c>
      <c r="G208" s="62" t="b">
        <v>1</v>
      </c>
      <c r="H208" s="78" t="b">
        <f>IF(VLOOKUP(C208,Projetos!A:L,12,false)=TRUE,TRUE,FALSE)</f>
        <v>1</v>
      </c>
      <c r="I208" s="68">
        <v>54.026996599927834</v>
      </c>
      <c r="J208" s="68">
        <f t="shared" si="1"/>
        <v>54.0269966</v>
      </c>
      <c r="K208" s="68" t="b">
        <v>1</v>
      </c>
    </row>
    <row r="209">
      <c r="A209" s="75">
        <v>203.0</v>
      </c>
      <c r="B209" s="62" t="s">
        <v>233</v>
      </c>
      <c r="C209" s="62" t="s">
        <v>104</v>
      </c>
      <c r="D209" s="62" t="s">
        <v>236</v>
      </c>
      <c r="E209" s="76">
        <v>44022.0</v>
      </c>
      <c r="F209" s="77">
        <v>0.041666666666666664</v>
      </c>
      <c r="G209" s="62" t="b">
        <v>1</v>
      </c>
      <c r="H209" s="78" t="b">
        <f>IF(VLOOKUP(C209,Projetos!A:L,12,false)=TRUE,TRUE,FALSE)</f>
        <v>1</v>
      </c>
      <c r="I209" s="68">
        <v>54.026996599927834</v>
      </c>
      <c r="J209" s="68">
        <f t="shared" si="1"/>
        <v>54.0269966</v>
      </c>
      <c r="K209" s="68" t="b">
        <v>1</v>
      </c>
    </row>
    <row r="210">
      <c r="A210" s="75">
        <v>204.0</v>
      </c>
      <c r="B210" s="62" t="s">
        <v>233</v>
      </c>
      <c r="C210" s="62" t="s">
        <v>104</v>
      </c>
      <c r="D210" s="62" t="s">
        <v>239</v>
      </c>
      <c r="E210" s="76">
        <v>44028.0</v>
      </c>
      <c r="F210" s="77">
        <v>0.041666666666666664</v>
      </c>
      <c r="G210" s="62" t="b">
        <v>1</v>
      </c>
      <c r="H210" s="78" t="b">
        <f>IF(VLOOKUP(C210,Projetos!A:L,12,false)=TRUE,TRUE,FALSE)</f>
        <v>1</v>
      </c>
      <c r="I210" s="68">
        <v>54.026996599927834</v>
      </c>
      <c r="J210" s="68">
        <f t="shared" si="1"/>
        <v>54.0269966</v>
      </c>
      <c r="K210" s="68" t="b">
        <v>1</v>
      </c>
    </row>
    <row r="211">
      <c r="A211" s="75">
        <v>205.0</v>
      </c>
      <c r="B211" s="62" t="s">
        <v>233</v>
      </c>
      <c r="C211" s="62" t="s">
        <v>104</v>
      </c>
      <c r="D211" s="62" t="s">
        <v>236</v>
      </c>
      <c r="E211" s="76">
        <v>44028.0</v>
      </c>
      <c r="F211" s="77">
        <v>0.08333333333333333</v>
      </c>
      <c r="G211" s="62" t="b">
        <v>1</v>
      </c>
      <c r="H211" s="78" t="b">
        <f>IF(VLOOKUP(C211,Projetos!A:L,12,false)=TRUE,TRUE,FALSE)</f>
        <v>1</v>
      </c>
      <c r="I211" s="68">
        <v>54.026996599927834</v>
      </c>
      <c r="J211" s="68">
        <f t="shared" si="1"/>
        <v>108.0539932</v>
      </c>
      <c r="K211" s="68" t="b">
        <v>1</v>
      </c>
    </row>
    <row r="212">
      <c r="A212" s="75">
        <v>206.0</v>
      </c>
      <c r="B212" s="62" t="s">
        <v>233</v>
      </c>
      <c r="C212" s="62" t="s">
        <v>104</v>
      </c>
      <c r="D212" s="62" t="s">
        <v>234</v>
      </c>
      <c r="E212" s="76">
        <v>44029.0</v>
      </c>
      <c r="F212" s="77">
        <v>0.041666666666666664</v>
      </c>
      <c r="G212" s="62" t="b">
        <v>1</v>
      </c>
      <c r="H212" s="78" t="b">
        <f>IF(VLOOKUP(C212,Projetos!A:L,12,false)=TRUE,TRUE,FALSE)</f>
        <v>1</v>
      </c>
      <c r="I212" s="68">
        <v>54.026996599927834</v>
      </c>
      <c r="J212" s="68">
        <f t="shared" si="1"/>
        <v>54.0269966</v>
      </c>
      <c r="K212" s="68" t="b">
        <v>1</v>
      </c>
    </row>
    <row r="213">
      <c r="A213" s="75">
        <v>207.0</v>
      </c>
      <c r="B213" s="62" t="s">
        <v>233</v>
      </c>
      <c r="C213" s="62" t="s">
        <v>104</v>
      </c>
      <c r="D213" s="62" t="s">
        <v>234</v>
      </c>
      <c r="E213" s="76">
        <v>44034.0</v>
      </c>
      <c r="F213" s="77">
        <v>0.041666666666666664</v>
      </c>
      <c r="G213" s="62" t="b">
        <v>1</v>
      </c>
      <c r="H213" s="78" t="b">
        <f>IF(VLOOKUP(C213,Projetos!A:L,12,false)=TRUE,TRUE,FALSE)</f>
        <v>1</v>
      </c>
      <c r="I213" s="68">
        <v>54.026996599927834</v>
      </c>
      <c r="J213" s="68">
        <f t="shared" si="1"/>
        <v>54.0269966</v>
      </c>
      <c r="K213" s="68" t="b">
        <v>1</v>
      </c>
    </row>
    <row r="214">
      <c r="A214" s="75">
        <v>208.0</v>
      </c>
      <c r="B214" s="62" t="s">
        <v>233</v>
      </c>
      <c r="C214" s="62" t="s">
        <v>104</v>
      </c>
      <c r="D214" s="62" t="s">
        <v>239</v>
      </c>
      <c r="E214" s="76">
        <v>44040.0</v>
      </c>
      <c r="F214" s="77">
        <v>0.052083333333333336</v>
      </c>
      <c r="G214" s="62" t="b">
        <v>1</v>
      </c>
      <c r="H214" s="78" t="b">
        <f>IF(VLOOKUP(C214,Projetos!A:L,12,false)=TRUE,TRUE,FALSE)</f>
        <v>1</v>
      </c>
      <c r="I214" s="68">
        <v>54.026996599927834</v>
      </c>
      <c r="J214" s="68">
        <f t="shared" si="1"/>
        <v>67.53374575</v>
      </c>
      <c r="K214" s="68" t="b">
        <v>1</v>
      </c>
    </row>
    <row r="215" hidden="1">
      <c r="A215" s="75">
        <v>209.0</v>
      </c>
      <c r="B215" s="62" t="s">
        <v>233</v>
      </c>
      <c r="C215" s="62" t="s">
        <v>108</v>
      </c>
      <c r="D215" s="62" t="s">
        <v>236</v>
      </c>
      <c r="E215" s="76">
        <v>44013.0</v>
      </c>
      <c r="F215" s="77">
        <v>0.041666666666666664</v>
      </c>
      <c r="G215" s="62" t="b">
        <v>0</v>
      </c>
      <c r="H215" s="78" t="b">
        <f>IF(VLOOKUP(C215,Projetos!A:L,12,false)=TRUE,TRUE,FALSE)</f>
        <v>1</v>
      </c>
      <c r="I215" s="68">
        <v>54.026996599927834</v>
      </c>
      <c r="J215" s="68">
        <f t="shared" si="1"/>
        <v>0</v>
      </c>
      <c r="K215" s="68" t="b">
        <v>1</v>
      </c>
    </row>
    <row r="216" hidden="1">
      <c r="A216" s="75">
        <v>210.0</v>
      </c>
      <c r="B216" s="62" t="s">
        <v>233</v>
      </c>
      <c r="C216" s="62" t="s">
        <v>108</v>
      </c>
      <c r="D216" s="62" t="s">
        <v>239</v>
      </c>
      <c r="E216" s="76">
        <v>44025.0</v>
      </c>
      <c r="F216" s="77">
        <v>0.0625</v>
      </c>
      <c r="G216" s="62" t="b">
        <v>0</v>
      </c>
      <c r="H216" s="78" t="b">
        <f>IF(VLOOKUP(C216,Projetos!A:L,12,false)=TRUE,TRUE,FALSE)</f>
        <v>1</v>
      </c>
      <c r="I216" s="68">
        <v>54.026996599927834</v>
      </c>
      <c r="J216" s="68">
        <f t="shared" si="1"/>
        <v>0</v>
      </c>
      <c r="K216" s="68" t="b">
        <v>1</v>
      </c>
    </row>
    <row r="217" hidden="1">
      <c r="A217" s="75">
        <v>211.0</v>
      </c>
      <c r="B217" s="62" t="s">
        <v>233</v>
      </c>
      <c r="C217" s="62" t="s">
        <v>108</v>
      </c>
      <c r="D217" s="62" t="s">
        <v>234</v>
      </c>
      <c r="E217" s="76">
        <v>44033.0</v>
      </c>
      <c r="F217" s="77">
        <v>0.041666666666666664</v>
      </c>
      <c r="G217" s="62" t="b">
        <v>0</v>
      </c>
      <c r="H217" s="78" t="b">
        <f>IF(VLOOKUP(C217,Projetos!A:L,12,false)=TRUE,TRUE,FALSE)</f>
        <v>1</v>
      </c>
      <c r="I217" s="68">
        <v>54.026996599927834</v>
      </c>
      <c r="J217" s="68">
        <f t="shared" si="1"/>
        <v>0</v>
      </c>
      <c r="K217" s="68" t="b">
        <v>1</v>
      </c>
    </row>
    <row r="218" hidden="1">
      <c r="A218" s="75">
        <v>212.0</v>
      </c>
      <c r="B218" s="62" t="s">
        <v>233</v>
      </c>
      <c r="C218" s="62" t="s">
        <v>108</v>
      </c>
      <c r="D218" s="62" t="s">
        <v>238</v>
      </c>
      <c r="E218" s="76">
        <v>44047.0</v>
      </c>
      <c r="F218" s="77">
        <v>0.041666666666666664</v>
      </c>
      <c r="G218" s="62" t="b">
        <v>0</v>
      </c>
      <c r="H218" s="78" t="b">
        <f>IF(VLOOKUP(C218,Projetos!A:L,12,false)=TRUE,TRUE,FALSE)</f>
        <v>1</v>
      </c>
      <c r="I218" s="68">
        <v>54.026996599927834</v>
      </c>
      <c r="J218" s="68">
        <f t="shared" si="1"/>
        <v>0</v>
      </c>
      <c r="K218" s="68" t="b">
        <v>1</v>
      </c>
    </row>
    <row r="219" hidden="1">
      <c r="A219" s="75">
        <v>213.0</v>
      </c>
      <c r="B219" s="62" t="s">
        <v>233</v>
      </c>
      <c r="C219" s="62" t="s">
        <v>108</v>
      </c>
      <c r="D219" s="62" t="s">
        <v>238</v>
      </c>
      <c r="E219" s="76">
        <v>44064.0</v>
      </c>
      <c r="F219" s="77">
        <v>0.020833333333333332</v>
      </c>
      <c r="G219" s="62" t="b">
        <v>0</v>
      </c>
      <c r="H219" s="78" t="b">
        <f>IF(VLOOKUP(C219,Projetos!A:L,12,false)=TRUE,TRUE,FALSE)</f>
        <v>1</v>
      </c>
      <c r="I219" s="68">
        <v>54.026996599927834</v>
      </c>
      <c r="J219" s="68">
        <f t="shared" si="1"/>
        <v>0</v>
      </c>
      <c r="K219" s="68" t="b">
        <v>1</v>
      </c>
    </row>
    <row r="220" hidden="1">
      <c r="A220" s="75">
        <v>214.0</v>
      </c>
      <c r="B220" s="62" t="s">
        <v>233</v>
      </c>
      <c r="C220" s="62" t="s">
        <v>108</v>
      </c>
      <c r="D220" s="62" t="s">
        <v>238</v>
      </c>
      <c r="E220" s="76">
        <v>44067.0</v>
      </c>
      <c r="F220" s="77">
        <v>0.010416666666666666</v>
      </c>
      <c r="G220" s="62" t="b">
        <v>0</v>
      </c>
      <c r="H220" s="78" t="b">
        <f>IF(VLOOKUP(C220,Projetos!A:L,12,false)=TRUE,TRUE,FALSE)</f>
        <v>1</v>
      </c>
      <c r="I220" s="68">
        <v>54.026996599927834</v>
      </c>
      <c r="J220" s="68">
        <f t="shared" si="1"/>
        <v>0</v>
      </c>
      <c r="K220" s="68" t="b">
        <v>1</v>
      </c>
    </row>
    <row r="221">
      <c r="A221" s="75">
        <v>215.0</v>
      </c>
      <c r="B221" s="62" t="s">
        <v>233</v>
      </c>
      <c r="C221" s="62" t="s">
        <v>104</v>
      </c>
      <c r="D221" s="62" t="s">
        <v>234</v>
      </c>
      <c r="E221" s="76">
        <v>44063.0</v>
      </c>
      <c r="F221" s="77">
        <v>0.041666666666666664</v>
      </c>
      <c r="G221" s="62" t="b">
        <v>1</v>
      </c>
      <c r="H221" s="78" t="b">
        <f>IF(VLOOKUP(C221,Projetos!A:L,12,false)=TRUE,TRUE,FALSE)</f>
        <v>1</v>
      </c>
      <c r="I221" s="68">
        <v>54.026996599927834</v>
      </c>
      <c r="J221" s="68">
        <f t="shared" si="1"/>
        <v>54.0269966</v>
      </c>
      <c r="K221" s="68" t="b">
        <v>1</v>
      </c>
    </row>
    <row r="222">
      <c r="A222" s="75">
        <v>216.0</v>
      </c>
      <c r="B222" s="62" t="s">
        <v>233</v>
      </c>
      <c r="C222" s="62" t="s">
        <v>104</v>
      </c>
      <c r="D222" s="62" t="s">
        <v>234</v>
      </c>
      <c r="E222" s="76">
        <v>44054.0</v>
      </c>
      <c r="F222" s="77">
        <v>0.041666666666666664</v>
      </c>
      <c r="G222" s="62" t="b">
        <v>1</v>
      </c>
      <c r="H222" s="78" t="b">
        <f>IF(VLOOKUP(C222,Projetos!A:L,12,false)=TRUE,TRUE,FALSE)</f>
        <v>1</v>
      </c>
      <c r="I222" s="68">
        <v>54.026996599927834</v>
      </c>
      <c r="J222" s="68">
        <f t="shared" si="1"/>
        <v>54.0269966</v>
      </c>
      <c r="K222" s="68" t="b">
        <v>1</v>
      </c>
    </row>
    <row r="223">
      <c r="A223" s="75">
        <v>217.0</v>
      </c>
      <c r="B223" s="62" t="s">
        <v>233</v>
      </c>
      <c r="C223" s="62" t="s">
        <v>104</v>
      </c>
      <c r="D223" s="62" t="s">
        <v>238</v>
      </c>
      <c r="E223" s="76">
        <v>44055.0</v>
      </c>
      <c r="F223" s="77">
        <v>0.08333333333333333</v>
      </c>
      <c r="G223" s="62" t="b">
        <v>1</v>
      </c>
      <c r="H223" s="78" t="b">
        <f>IF(VLOOKUP(C223,Projetos!A:L,12,false)=TRUE,TRUE,FALSE)</f>
        <v>1</v>
      </c>
      <c r="I223" s="68">
        <v>54.026996599927834</v>
      </c>
      <c r="J223" s="68">
        <f t="shared" si="1"/>
        <v>108.0539932</v>
      </c>
      <c r="K223" s="68" t="b">
        <v>1</v>
      </c>
    </row>
    <row r="224">
      <c r="A224" s="75">
        <v>218.0</v>
      </c>
      <c r="B224" s="62" t="s">
        <v>233</v>
      </c>
      <c r="C224" s="62" t="s">
        <v>104</v>
      </c>
      <c r="D224" s="62" t="s">
        <v>238</v>
      </c>
      <c r="E224" s="76">
        <v>44056.0</v>
      </c>
      <c r="F224" s="77">
        <v>0.0625</v>
      </c>
      <c r="G224" s="62" t="b">
        <v>1</v>
      </c>
      <c r="H224" s="78" t="b">
        <f>IF(VLOOKUP(C224,Projetos!A:L,12,false)=TRUE,TRUE,FALSE)</f>
        <v>1</v>
      </c>
      <c r="I224" s="68">
        <v>54.026996599927834</v>
      </c>
      <c r="J224" s="68">
        <f t="shared" si="1"/>
        <v>81.0404949</v>
      </c>
      <c r="K224" s="68" t="b">
        <v>1</v>
      </c>
    </row>
    <row r="225">
      <c r="A225" s="75">
        <v>219.0</v>
      </c>
      <c r="B225" s="62" t="s">
        <v>233</v>
      </c>
      <c r="C225" s="62" t="s">
        <v>104</v>
      </c>
      <c r="D225" s="62" t="s">
        <v>234</v>
      </c>
      <c r="E225" s="76">
        <v>44063.0</v>
      </c>
      <c r="F225" s="77">
        <v>0.0625</v>
      </c>
      <c r="G225" s="62" t="b">
        <v>1</v>
      </c>
      <c r="H225" s="78" t="b">
        <f>IF(VLOOKUP(C225,Projetos!A:L,12,false)=TRUE,TRUE,FALSE)</f>
        <v>1</v>
      </c>
      <c r="I225" s="68">
        <v>54.026996599927834</v>
      </c>
      <c r="J225" s="68">
        <f t="shared" si="1"/>
        <v>81.0404949</v>
      </c>
      <c r="K225" s="68" t="b">
        <v>1</v>
      </c>
    </row>
    <row r="226">
      <c r="A226" s="75">
        <v>220.0</v>
      </c>
      <c r="B226" s="62" t="s">
        <v>233</v>
      </c>
      <c r="C226" s="62" t="s">
        <v>104</v>
      </c>
      <c r="D226" s="62" t="s">
        <v>238</v>
      </c>
      <c r="E226" s="76">
        <v>44064.0</v>
      </c>
      <c r="F226" s="77">
        <v>0.041666666666666664</v>
      </c>
      <c r="G226" s="62" t="b">
        <v>1</v>
      </c>
      <c r="H226" s="78" t="b">
        <f>IF(VLOOKUP(C226,Projetos!A:L,12,false)=TRUE,TRUE,FALSE)</f>
        <v>1</v>
      </c>
      <c r="I226" s="68">
        <v>54.026996599927834</v>
      </c>
      <c r="J226" s="68">
        <f t="shared" si="1"/>
        <v>54.0269966</v>
      </c>
      <c r="K226" s="68" t="b">
        <v>1</v>
      </c>
    </row>
    <row r="227">
      <c r="A227" s="75">
        <v>221.0</v>
      </c>
      <c r="B227" s="62" t="s">
        <v>233</v>
      </c>
      <c r="C227" s="62" t="s">
        <v>104</v>
      </c>
      <c r="D227" s="62" t="s">
        <v>238</v>
      </c>
      <c r="E227" s="76">
        <v>44067.0</v>
      </c>
      <c r="F227" s="77">
        <v>0.020833333333333332</v>
      </c>
      <c r="G227" s="62" t="b">
        <v>1</v>
      </c>
      <c r="H227" s="78" t="b">
        <f>IF(VLOOKUP(C227,Projetos!A:L,12,false)=TRUE,TRUE,FALSE)</f>
        <v>1</v>
      </c>
      <c r="I227" s="68">
        <v>54.026996599927834</v>
      </c>
      <c r="J227" s="68">
        <f t="shared" si="1"/>
        <v>27.0134983</v>
      </c>
      <c r="K227" s="68" t="b">
        <v>1</v>
      </c>
    </row>
    <row r="228" hidden="1">
      <c r="A228" s="75">
        <v>222.0</v>
      </c>
      <c r="B228" s="62" t="s">
        <v>233</v>
      </c>
      <c r="C228" s="62" t="s">
        <v>138</v>
      </c>
      <c r="D228" s="62" t="s">
        <v>234</v>
      </c>
      <c r="E228" s="76">
        <v>44077.0</v>
      </c>
      <c r="F228" s="77">
        <v>0.041666666666666664</v>
      </c>
      <c r="G228" s="62" t="b">
        <v>1</v>
      </c>
      <c r="H228" s="78" t="b">
        <f>IF(VLOOKUP(C228,Projetos!A:L,12,false)=TRUE,TRUE,FALSE)</f>
        <v>1</v>
      </c>
      <c r="I228" s="68">
        <v>51.57122402720384</v>
      </c>
      <c r="J228" s="68">
        <f t="shared" si="1"/>
        <v>51.57122403</v>
      </c>
      <c r="K228" s="68" t="b">
        <v>1</v>
      </c>
    </row>
    <row r="229" hidden="1">
      <c r="A229" s="75">
        <v>223.0</v>
      </c>
      <c r="B229" s="62" t="s">
        <v>233</v>
      </c>
      <c r="C229" s="62" t="s">
        <v>138</v>
      </c>
      <c r="D229" s="62" t="s">
        <v>238</v>
      </c>
      <c r="E229" s="76">
        <v>44083.0</v>
      </c>
      <c r="F229" s="77">
        <v>0.041666666666666664</v>
      </c>
      <c r="G229" s="62" t="b">
        <v>1</v>
      </c>
      <c r="H229" s="78" t="b">
        <f>IF(VLOOKUP(C229,Projetos!A:L,12,false)=TRUE,TRUE,FALSE)</f>
        <v>1</v>
      </c>
      <c r="I229" s="68">
        <v>51.57122402720384</v>
      </c>
      <c r="J229" s="68">
        <f t="shared" si="1"/>
        <v>51.57122403</v>
      </c>
      <c r="K229" s="68" t="b">
        <v>1</v>
      </c>
    </row>
    <row r="230" hidden="1">
      <c r="A230" s="75">
        <v>224.0</v>
      </c>
      <c r="B230" s="62" t="s">
        <v>233</v>
      </c>
      <c r="C230" s="62" t="s">
        <v>138</v>
      </c>
      <c r="D230" s="62" t="s">
        <v>239</v>
      </c>
      <c r="E230" s="76">
        <v>44085.0</v>
      </c>
      <c r="F230" s="77">
        <v>0.041666666666666664</v>
      </c>
      <c r="G230" s="62" t="b">
        <v>1</v>
      </c>
      <c r="H230" s="78" t="b">
        <f>IF(VLOOKUP(C230,Projetos!A:L,12,false)=TRUE,TRUE,FALSE)</f>
        <v>1</v>
      </c>
      <c r="I230" s="68">
        <v>51.57122402720384</v>
      </c>
      <c r="J230" s="68">
        <f t="shared" si="1"/>
        <v>51.57122403</v>
      </c>
      <c r="K230" s="68" t="b">
        <v>1</v>
      </c>
    </row>
    <row r="231" hidden="1">
      <c r="A231" s="75">
        <v>225.0</v>
      </c>
      <c r="B231" s="62" t="s">
        <v>233</v>
      </c>
      <c r="C231" s="62" t="s">
        <v>138</v>
      </c>
      <c r="D231" s="62" t="s">
        <v>238</v>
      </c>
      <c r="E231" s="76">
        <v>44088.0</v>
      </c>
      <c r="F231" s="77">
        <v>0.020833333333333332</v>
      </c>
      <c r="G231" s="62" t="b">
        <v>1</v>
      </c>
      <c r="H231" s="78" t="b">
        <f>IF(VLOOKUP(C231,Projetos!A:L,12,false)=TRUE,TRUE,FALSE)</f>
        <v>1</v>
      </c>
      <c r="I231" s="68">
        <v>51.57122402720384</v>
      </c>
      <c r="J231" s="68">
        <f t="shared" si="1"/>
        <v>25.78561201</v>
      </c>
      <c r="K231" s="68" t="b">
        <v>1</v>
      </c>
    </row>
    <row r="232" hidden="1">
      <c r="A232" s="75">
        <v>226.0</v>
      </c>
      <c r="B232" s="62" t="s">
        <v>233</v>
      </c>
      <c r="C232" s="62" t="s">
        <v>138</v>
      </c>
      <c r="D232" s="62" t="s">
        <v>238</v>
      </c>
      <c r="E232" s="76">
        <v>44090.0</v>
      </c>
      <c r="F232" s="77">
        <v>0.020833333333333332</v>
      </c>
      <c r="G232" s="62" t="b">
        <v>1</v>
      </c>
      <c r="H232" s="78" t="b">
        <f>IF(VLOOKUP(C232,Projetos!A:L,12,false)=TRUE,TRUE,FALSE)</f>
        <v>1</v>
      </c>
      <c r="I232" s="68">
        <v>51.57122402720384</v>
      </c>
      <c r="J232" s="68">
        <f t="shared" si="1"/>
        <v>25.78561201</v>
      </c>
      <c r="K232" s="68" t="b">
        <v>1</v>
      </c>
    </row>
    <row r="233" hidden="1">
      <c r="A233" s="75">
        <v>227.0</v>
      </c>
      <c r="B233" s="62" t="s">
        <v>233</v>
      </c>
      <c r="C233" s="62" t="s">
        <v>138</v>
      </c>
      <c r="D233" s="62" t="s">
        <v>238</v>
      </c>
      <c r="E233" s="76">
        <v>44098.0</v>
      </c>
      <c r="F233" s="77">
        <v>0.020833333333333332</v>
      </c>
      <c r="G233" s="62" t="b">
        <v>1</v>
      </c>
      <c r="H233" s="78" t="b">
        <f>IF(VLOOKUP(C233,Projetos!A:L,12,false)=TRUE,TRUE,FALSE)</f>
        <v>1</v>
      </c>
      <c r="I233" s="68">
        <v>51.57122402720384</v>
      </c>
      <c r="J233" s="68">
        <f t="shared" si="1"/>
        <v>25.78561201</v>
      </c>
      <c r="K233" s="68" t="b">
        <v>1</v>
      </c>
    </row>
    <row r="234" hidden="1">
      <c r="A234" s="75">
        <v>228.0</v>
      </c>
      <c r="B234" s="62" t="s">
        <v>233</v>
      </c>
      <c r="C234" s="62" t="s">
        <v>138</v>
      </c>
      <c r="D234" s="62" t="s">
        <v>234</v>
      </c>
      <c r="E234" s="76">
        <v>44104.0</v>
      </c>
      <c r="F234" s="77">
        <v>0.020833333333333332</v>
      </c>
      <c r="G234" s="62" t="b">
        <v>1</v>
      </c>
      <c r="H234" s="78" t="b">
        <f>IF(VLOOKUP(C234,Projetos!A:L,12,false)=TRUE,TRUE,FALSE)</f>
        <v>1</v>
      </c>
      <c r="I234" s="68">
        <v>51.57122402720384</v>
      </c>
      <c r="J234" s="68">
        <f t="shared" si="1"/>
        <v>25.78561201</v>
      </c>
      <c r="K234" s="68" t="b">
        <v>1</v>
      </c>
    </row>
    <row r="235" hidden="1">
      <c r="A235" s="75">
        <v>229.0</v>
      </c>
      <c r="B235" s="62" t="s">
        <v>233</v>
      </c>
      <c r="C235" s="62" t="s">
        <v>108</v>
      </c>
      <c r="D235" s="62" t="s">
        <v>234</v>
      </c>
      <c r="E235" s="76">
        <v>44083.0</v>
      </c>
      <c r="F235" s="77">
        <v>0.041666666666666664</v>
      </c>
      <c r="G235" s="62" t="b">
        <v>0</v>
      </c>
      <c r="H235" s="78" t="b">
        <f>IF(VLOOKUP(C235,Projetos!A:L,12,false)=TRUE,TRUE,FALSE)</f>
        <v>1</v>
      </c>
      <c r="I235" s="68">
        <v>51.57122402720384</v>
      </c>
      <c r="J235" s="68">
        <f t="shared" si="1"/>
        <v>0</v>
      </c>
      <c r="K235" s="68" t="b">
        <v>1</v>
      </c>
    </row>
    <row r="236" hidden="1">
      <c r="A236" s="75">
        <v>230.0</v>
      </c>
      <c r="B236" s="62" t="s">
        <v>233</v>
      </c>
      <c r="C236" s="62" t="s">
        <v>108</v>
      </c>
      <c r="D236" s="62" t="s">
        <v>238</v>
      </c>
      <c r="E236" s="76">
        <v>44092.0</v>
      </c>
      <c r="F236" s="77">
        <v>0.041666666666666664</v>
      </c>
      <c r="G236" s="62" t="b">
        <v>0</v>
      </c>
      <c r="H236" s="78" t="b">
        <f>IF(VLOOKUP(C236,Projetos!A:L,12,false)=TRUE,TRUE,FALSE)</f>
        <v>1</v>
      </c>
      <c r="I236" s="68">
        <v>51.57122402720384</v>
      </c>
      <c r="J236" s="68">
        <f t="shared" si="1"/>
        <v>0</v>
      </c>
      <c r="K236" s="68" t="b">
        <v>1</v>
      </c>
    </row>
    <row r="237" hidden="1">
      <c r="A237" s="75">
        <v>231.0</v>
      </c>
      <c r="B237" s="62" t="s">
        <v>233</v>
      </c>
      <c r="C237" s="62" t="s">
        <v>108</v>
      </c>
      <c r="D237" s="62" t="s">
        <v>238</v>
      </c>
      <c r="E237" s="76">
        <v>44095.0</v>
      </c>
      <c r="F237" s="77">
        <v>0.03125</v>
      </c>
      <c r="G237" s="62" t="b">
        <v>0</v>
      </c>
      <c r="H237" s="78" t="b">
        <f>IF(VLOOKUP(C237,Projetos!A:L,12,false)=TRUE,TRUE,FALSE)</f>
        <v>1</v>
      </c>
      <c r="I237" s="68">
        <v>51.57122402720384</v>
      </c>
      <c r="J237" s="68">
        <f t="shared" si="1"/>
        <v>0</v>
      </c>
      <c r="K237" s="68" t="b">
        <v>1</v>
      </c>
    </row>
    <row r="238">
      <c r="A238" s="75">
        <v>232.0</v>
      </c>
      <c r="B238" s="62" t="s">
        <v>233</v>
      </c>
      <c r="C238" s="62" t="s">
        <v>104</v>
      </c>
      <c r="D238" s="62" t="s">
        <v>239</v>
      </c>
      <c r="E238" s="76">
        <v>44083.0</v>
      </c>
      <c r="F238" s="77">
        <v>0.08333333333333333</v>
      </c>
      <c r="G238" s="62" t="b">
        <v>1</v>
      </c>
      <c r="H238" s="78" t="b">
        <f>IF(VLOOKUP(C238,Projetos!A:L,12,false)=TRUE,TRUE,FALSE)</f>
        <v>1</v>
      </c>
      <c r="I238" s="68">
        <v>51.57122402720384</v>
      </c>
      <c r="J238" s="68">
        <f t="shared" si="1"/>
        <v>103.1424481</v>
      </c>
      <c r="K238" s="68" t="b">
        <v>1</v>
      </c>
    </row>
    <row r="239">
      <c r="A239" s="75">
        <v>233.0</v>
      </c>
      <c r="B239" s="62" t="s">
        <v>233</v>
      </c>
      <c r="C239" s="62" t="s">
        <v>104</v>
      </c>
      <c r="D239" s="62" t="s">
        <v>239</v>
      </c>
      <c r="E239" s="76">
        <v>44085.0</v>
      </c>
      <c r="F239" s="77">
        <v>0.041666666666666664</v>
      </c>
      <c r="G239" s="62" t="b">
        <v>1</v>
      </c>
      <c r="H239" s="78" t="b">
        <f>IF(VLOOKUP(C239,Projetos!A:L,12,false)=TRUE,TRUE,FALSE)</f>
        <v>1</v>
      </c>
      <c r="I239" s="68">
        <v>51.57122402720384</v>
      </c>
      <c r="J239" s="68">
        <f t="shared" si="1"/>
        <v>51.57122403</v>
      </c>
      <c r="K239" s="68" t="b">
        <v>1</v>
      </c>
    </row>
    <row r="240">
      <c r="A240" s="75">
        <v>234.0</v>
      </c>
      <c r="B240" s="62" t="s">
        <v>233</v>
      </c>
      <c r="C240" s="62" t="s">
        <v>104</v>
      </c>
      <c r="D240" s="62" t="s">
        <v>238</v>
      </c>
      <c r="E240" s="76">
        <v>44085.0</v>
      </c>
      <c r="F240" s="77">
        <v>0.041666666666666664</v>
      </c>
      <c r="G240" s="62" t="b">
        <v>1</v>
      </c>
      <c r="H240" s="78" t="b">
        <f>IF(VLOOKUP(C240,Projetos!A:L,12,false)=TRUE,TRUE,FALSE)</f>
        <v>1</v>
      </c>
      <c r="I240" s="68">
        <v>51.57122402720384</v>
      </c>
      <c r="J240" s="68">
        <f t="shared" si="1"/>
        <v>51.57122403</v>
      </c>
      <c r="K240" s="68" t="b">
        <v>1</v>
      </c>
    </row>
    <row r="241">
      <c r="A241" s="75">
        <v>235.0</v>
      </c>
      <c r="B241" s="62" t="s">
        <v>233</v>
      </c>
      <c r="C241" s="62" t="s">
        <v>104</v>
      </c>
      <c r="D241" s="62" t="s">
        <v>234</v>
      </c>
      <c r="E241" s="76">
        <v>44088.0</v>
      </c>
      <c r="F241" s="77">
        <v>0.0625</v>
      </c>
      <c r="G241" s="62" t="b">
        <v>1</v>
      </c>
      <c r="H241" s="78" t="b">
        <f>IF(VLOOKUP(C241,Projetos!A:L,12,false)=TRUE,TRUE,FALSE)</f>
        <v>1</v>
      </c>
      <c r="I241" s="68">
        <v>51.57122402720384</v>
      </c>
      <c r="J241" s="68">
        <f t="shared" si="1"/>
        <v>77.35683604</v>
      </c>
      <c r="K241" s="68" t="b">
        <v>1</v>
      </c>
    </row>
    <row r="242">
      <c r="A242" s="75">
        <v>236.0</v>
      </c>
      <c r="B242" s="62" t="s">
        <v>233</v>
      </c>
      <c r="C242" s="62" t="s">
        <v>104</v>
      </c>
      <c r="D242" s="62" t="s">
        <v>234</v>
      </c>
      <c r="E242" s="76">
        <v>44089.0</v>
      </c>
      <c r="F242" s="77">
        <v>0.041666666666666664</v>
      </c>
      <c r="G242" s="62" t="b">
        <v>1</v>
      </c>
      <c r="H242" s="78" t="b">
        <f>IF(VLOOKUP(C242,Projetos!A:L,12,false)=TRUE,TRUE,FALSE)</f>
        <v>1</v>
      </c>
      <c r="I242" s="68">
        <v>51.57122402720384</v>
      </c>
      <c r="J242" s="68">
        <f t="shared" si="1"/>
        <v>51.57122403</v>
      </c>
      <c r="K242" s="68" t="b">
        <v>1</v>
      </c>
    </row>
    <row r="243">
      <c r="A243" s="75">
        <v>237.0</v>
      </c>
      <c r="B243" s="62" t="s">
        <v>233</v>
      </c>
      <c r="C243" s="62" t="s">
        <v>104</v>
      </c>
      <c r="D243" s="62" t="s">
        <v>238</v>
      </c>
      <c r="E243" s="76">
        <v>44090.0</v>
      </c>
      <c r="F243" s="77">
        <v>0.041666666666666664</v>
      </c>
      <c r="G243" s="62" t="b">
        <v>1</v>
      </c>
      <c r="H243" s="78" t="b">
        <f>IF(VLOOKUP(C243,Projetos!A:L,12,false)=TRUE,TRUE,FALSE)</f>
        <v>1</v>
      </c>
      <c r="I243" s="68">
        <v>51.57122402720384</v>
      </c>
      <c r="J243" s="68">
        <f t="shared" si="1"/>
        <v>51.57122403</v>
      </c>
      <c r="K243" s="68" t="b">
        <v>1</v>
      </c>
    </row>
    <row r="244">
      <c r="A244" s="75">
        <v>238.0</v>
      </c>
      <c r="B244" s="62" t="s">
        <v>233</v>
      </c>
      <c r="C244" s="62" t="s">
        <v>104</v>
      </c>
      <c r="D244" s="62" t="s">
        <v>238</v>
      </c>
      <c r="E244" s="76">
        <v>44091.0</v>
      </c>
      <c r="F244" s="77">
        <v>0.041666666666666664</v>
      </c>
      <c r="G244" s="62" t="b">
        <v>1</v>
      </c>
      <c r="H244" s="78" t="b">
        <f>IF(VLOOKUP(C244,Projetos!A:L,12,false)=TRUE,TRUE,FALSE)</f>
        <v>1</v>
      </c>
      <c r="I244" s="68">
        <v>51.57122402720384</v>
      </c>
      <c r="J244" s="68">
        <f t="shared" si="1"/>
        <v>51.57122403</v>
      </c>
      <c r="K244" s="68" t="b">
        <v>1</v>
      </c>
    </row>
    <row r="245">
      <c r="A245" s="75">
        <v>239.0</v>
      </c>
      <c r="B245" s="62" t="s">
        <v>233</v>
      </c>
      <c r="C245" s="62" t="s">
        <v>104</v>
      </c>
      <c r="D245" s="62" t="s">
        <v>239</v>
      </c>
      <c r="E245" s="76">
        <v>44104.0</v>
      </c>
      <c r="F245" s="77">
        <v>0.041666666666666664</v>
      </c>
      <c r="G245" s="62" t="b">
        <v>0</v>
      </c>
      <c r="H245" s="78" t="b">
        <f>IF(VLOOKUP(C245,Projetos!A:L,12,false)=TRUE,TRUE,FALSE)</f>
        <v>1</v>
      </c>
      <c r="I245" s="68">
        <v>51.57122402720384</v>
      </c>
      <c r="J245" s="68">
        <f t="shared" si="1"/>
        <v>0</v>
      </c>
      <c r="K245" s="68" t="b">
        <v>1</v>
      </c>
    </row>
    <row r="246" hidden="1">
      <c r="A246" s="75">
        <v>240.0</v>
      </c>
      <c r="B246" s="62" t="s">
        <v>233</v>
      </c>
      <c r="C246" s="62" t="s">
        <v>110</v>
      </c>
      <c r="D246" s="62" t="s">
        <v>240</v>
      </c>
      <c r="E246" s="76">
        <v>44109.0</v>
      </c>
      <c r="F246" s="77">
        <v>0.041666666666666664</v>
      </c>
      <c r="G246" s="62" t="b">
        <v>1</v>
      </c>
      <c r="H246" s="78" t="b">
        <f>IF(VLOOKUP(C246,Projetos!A:L,12,false)=TRUE,TRUE,FALSE)</f>
        <v>1</v>
      </c>
      <c r="I246" s="68">
        <v>54.026996599927834</v>
      </c>
      <c r="J246" s="68">
        <f t="shared" si="1"/>
        <v>54.0269966</v>
      </c>
      <c r="K246" s="68" t="b">
        <v>1</v>
      </c>
    </row>
    <row r="247" hidden="1">
      <c r="A247" s="75">
        <v>241.0</v>
      </c>
      <c r="B247" s="62" t="s">
        <v>233</v>
      </c>
      <c r="C247" s="62" t="s">
        <v>110</v>
      </c>
      <c r="D247" s="62" t="s">
        <v>241</v>
      </c>
      <c r="E247" s="76">
        <v>44124.0</v>
      </c>
      <c r="F247" s="77">
        <v>0.041666666666666664</v>
      </c>
      <c r="G247" s="62" t="b">
        <v>1</v>
      </c>
      <c r="H247" s="78" t="b">
        <f>IF(VLOOKUP(C247,Projetos!A:L,12,false)=TRUE,TRUE,FALSE)</f>
        <v>1</v>
      </c>
      <c r="I247" s="68">
        <v>54.026996599927834</v>
      </c>
      <c r="J247" s="68">
        <f t="shared" si="1"/>
        <v>54.0269966</v>
      </c>
      <c r="K247" s="68" t="b">
        <v>1</v>
      </c>
    </row>
    <row r="248" hidden="1">
      <c r="A248" s="75">
        <v>242.0</v>
      </c>
      <c r="B248" s="62" t="s">
        <v>233</v>
      </c>
      <c r="C248" s="62" t="s">
        <v>110</v>
      </c>
      <c r="D248" s="62" t="s">
        <v>241</v>
      </c>
      <c r="E248" s="76">
        <v>44125.0</v>
      </c>
      <c r="F248" s="77">
        <v>0.041666666666666664</v>
      </c>
      <c r="G248" s="62" t="b">
        <v>1</v>
      </c>
      <c r="H248" s="78" t="b">
        <f>IF(VLOOKUP(C248,Projetos!A:L,12,false)=TRUE,TRUE,FALSE)</f>
        <v>1</v>
      </c>
      <c r="I248" s="68">
        <v>54.026996599927834</v>
      </c>
      <c r="J248" s="68">
        <f t="shared" si="1"/>
        <v>54.0269966</v>
      </c>
      <c r="K248" s="68" t="b">
        <v>1</v>
      </c>
    </row>
    <row r="249" hidden="1">
      <c r="A249" s="75">
        <v>243.0</v>
      </c>
      <c r="B249" s="62" t="s">
        <v>233</v>
      </c>
      <c r="C249" s="62" t="s">
        <v>109</v>
      </c>
      <c r="D249" s="62" t="s">
        <v>241</v>
      </c>
      <c r="E249" s="76">
        <v>44134.0</v>
      </c>
      <c r="F249" s="77">
        <v>0.041666666666666664</v>
      </c>
      <c r="G249" s="62" t="b">
        <v>0</v>
      </c>
      <c r="H249" s="78" t="b">
        <f>IF(VLOOKUP(C249,Projetos!A:L,12,false)=TRUE,TRUE,FALSE)</f>
        <v>0</v>
      </c>
      <c r="I249" s="68">
        <v>54.026996599927834</v>
      </c>
      <c r="J249" s="68">
        <f t="shared" si="1"/>
        <v>0</v>
      </c>
      <c r="K249" s="68" t="b">
        <v>0</v>
      </c>
    </row>
    <row r="250">
      <c r="A250" s="75">
        <v>244.0</v>
      </c>
      <c r="B250" s="62" t="s">
        <v>233</v>
      </c>
      <c r="C250" s="62" t="s">
        <v>104</v>
      </c>
      <c r="D250" s="62" t="s">
        <v>241</v>
      </c>
      <c r="E250" s="76">
        <v>44110.0</v>
      </c>
      <c r="F250" s="77">
        <v>0.08333333333333333</v>
      </c>
      <c r="G250" s="62" t="b">
        <v>1</v>
      </c>
      <c r="H250" s="78" t="b">
        <f>IF(VLOOKUP(C250,Projetos!A:L,12,false)=TRUE,TRUE,FALSE)</f>
        <v>1</v>
      </c>
      <c r="I250" s="68">
        <v>54.026996599927834</v>
      </c>
      <c r="J250" s="68">
        <f t="shared" si="1"/>
        <v>108.0539932</v>
      </c>
      <c r="K250" s="68" t="b">
        <v>1</v>
      </c>
    </row>
    <row r="251">
      <c r="A251" s="75">
        <v>245.0</v>
      </c>
      <c r="B251" s="62" t="s">
        <v>233</v>
      </c>
      <c r="C251" s="62" t="s">
        <v>104</v>
      </c>
      <c r="D251" s="62" t="s">
        <v>240</v>
      </c>
      <c r="E251" s="76">
        <v>44112.0</v>
      </c>
      <c r="F251" s="77">
        <v>0.0625</v>
      </c>
      <c r="G251" s="62" t="b">
        <v>1</v>
      </c>
      <c r="H251" s="78" t="b">
        <f>IF(VLOOKUP(C251,Projetos!A:L,12,false)=TRUE,TRUE,FALSE)</f>
        <v>1</v>
      </c>
      <c r="I251" s="68">
        <v>54.026996599927834</v>
      </c>
      <c r="J251" s="68">
        <f t="shared" si="1"/>
        <v>81.0404949</v>
      </c>
      <c r="K251" s="68" t="b">
        <v>1</v>
      </c>
    </row>
    <row r="252">
      <c r="A252" s="75">
        <v>246.0</v>
      </c>
      <c r="B252" s="62" t="s">
        <v>233</v>
      </c>
      <c r="C252" s="62" t="s">
        <v>104</v>
      </c>
      <c r="D252" s="62" t="s">
        <v>241</v>
      </c>
      <c r="E252" s="76">
        <v>44112.0</v>
      </c>
      <c r="F252" s="77">
        <v>0.0625</v>
      </c>
      <c r="G252" s="62" t="b">
        <v>1</v>
      </c>
      <c r="H252" s="78" t="b">
        <f>IF(VLOOKUP(C252,Projetos!A:L,12,false)=TRUE,TRUE,FALSE)</f>
        <v>1</v>
      </c>
      <c r="I252" s="68">
        <v>54.026996599927834</v>
      </c>
      <c r="J252" s="68">
        <f t="shared" si="1"/>
        <v>81.0404949</v>
      </c>
      <c r="K252" s="68" t="b">
        <v>1</v>
      </c>
    </row>
    <row r="253">
      <c r="A253" s="75">
        <v>247.0</v>
      </c>
      <c r="B253" s="62" t="s">
        <v>233</v>
      </c>
      <c r="C253" s="62" t="s">
        <v>104</v>
      </c>
      <c r="D253" s="62" t="s">
        <v>240</v>
      </c>
      <c r="E253" s="76">
        <v>44117.0</v>
      </c>
      <c r="F253" s="77">
        <v>0.041666666666666664</v>
      </c>
      <c r="G253" s="62" t="b">
        <v>1</v>
      </c>
      <c r="H253" s="78" t="b">
        <f>IF(VLOOKUP(C253,Projetos!A:L,12,false)=TRUE,TRUE,FALSE)</f>
        <v>1</v>
      </c>
      <c r="I253" s="68">
        <v>54.026996599927834</v>
      </c>
      <c r="J253" s="68">
        <f t="shared" si="1"/>
        <v>54.0269966</v>
      </c>
      <c r="K253" s="68" t="b">
        <v>1</v>
      </c>
    </row>
    <row r="254">
      <c r="A254" s="75">
        <v>248.0</v>
      </c>
      <c r="B254" s="62" t="s">
        <v>233</v>
      </c>
      <c r="C254" s="62" t="s">
        <v>104</v>
      </c>
      <c r="D254" s="62" t="s">
        <v>241</v>
      </c>
      <c r="E254" s="76">
        <v>44120.0</v>
      </c>
      <c r="F254" s="77">
        <v>0.052083333333333336</v>
      </c>
      <c r="G254" s="62" t="b">
        <v>1</v>
      </c>
      <c r="H254" s="78" t="b">
        <f>IF(VLOOKUP(C254,Projetos!A:L,12,false)=TRUE,TRUE,FALSE)</f>
        <v>1</v>
      </c>
      <c r="I254" s="68">
        <v>54.026996599927834</v>
      </c>
      <c r="J254" s="68">
        <f t="shared" si="1"/>
        <v>67.53374575</v>
      </c>
      <c r="K254" s="68" t="b">
        <v>1</v>
      </c>
    </row>
    <row r="255">
      <c r="A255" s="75">
        <v>249.0</v>
      </c>
      <c r="B255" s="62" t="s">
        <v>233</v>
      </c>
      <c r="C255" s="62" t="s">
        <v>104</v>
      </c>
      <c r="D255" s="62" t="s">
        <v>240</v>
      </c>
      <c r="E255" s="76">
        <v>44126.0</v>
      </c>
      <c r="F255" s="77">
        <v>0.041666666666666664</v>
      </c>
      <c r="G255" s="62" t="b">
        <v>1</v>
      </c>
      <c r="H255" s="78" t="b">
        <f>IF(VLOOKUP(C255,Projetos!A:L,12,false)=TRUE,TRUE,FALSE)</f>
        <v>1</v>
      </c>
      <c r="I255" s="68">
        <v>54.026996599927834</v>
      </c>
      <c r="J255" s="68">
        <f t="shared" si="1"/>
        <v>54.0269966</v>
      </c>
      <c r="K255" s="68" t="b">
        <v>1</v>
      </c>
    </row>
    <row r="256">
      <c r="A256" s="75">
        <v>250.0</v>
      </c>
      <c r="B256" s="62" t="s">
        <v>233</v>
      </c>
      <c r="C256" s="62" t="s">
        <v>104</v>
      </c>
      <c r="D256" s="62" t="s">
        <v>240</v>
      </c>
      <c r="E256" s="76">
        <v>44127.0</v>
      </c>
      <c r="F256" s="77">
        <v>0.041666666666666664</v>
      </c>
      <c r="G256" s="62" t="b">
        <v>1</v>
      </c>
      <c r="H256" s="78" t="b">
        <f>IF(VLOOKUP(C256,Projetos!A:L,12,false)=TRUE,TRUE,FALSE)</f>
        <v>1</v>
      </c>
      <c r="I256" s="68">
        <v>54.026996599927834</v>
      </c>
      <c r="J256" s="68">
        <f t="shared" si="1"/>
        <v>54.0269966</v>
      </c>
      <c r="K256" s="68" t="b">
        <v>1</v>
      </c>
    </row>
    <row r="257">
      <c r="A257" s="75">
        <v>251.0</v>
      </c>
      <c r="B257" s="62" t="s">
        <v>233</v>
      </c>
      <c r="C257" s="62" t="s">
        <v>104</v>
      </c>
      <c r="D257" s="62" t="s">
        <v>242</v>
      </c>
      <c r="E257" s="76">
        <v>44140.0</v>
      </c>
      <c r="F257" s="77">
        <v>0.08333333333333333</v>
      </c>
      <c r="G257" s="62" t="b">
        <v>1</v>
      </c>
      <c r="H257" s="78" t="b">
        <f>IF(VLOOKUP(C257,Projetos!A:L,12,false)=TRUE,TRUE,FALSE)</f>
        <v>1</v>
      </c>
      <c r="I257" s="68">
        <v>57.65865174185031</v>
      </c>
      <c r="J257" s="68">
        <f t="shared" si="1"/>
        <v>115.3173035</v>
      </c>
      <c r="K257" s="68" t="b">
        <v>1</v>
      </c>
    </row>
    <row r="258">
      <c r="A258" s="75">
        <v>252.0</v>
      </c>
      <c r="B258" s="62" t="s">
        <v>233</v>
      </c>
      <c r="C258" s="62" t="s">
        <v>104</v>
      </c>
      <c r="D258" s="62" t="s">
        <v>242</v>
      </c>
      <c r="E258" s="76">
        <v>44144.0</v>
      </c>
      <c r="F258" s="77">
        <v>0.0625</v>
      </c>
      <c r="G258" s="62" t="b">
        <v>1</v>
      </c>
      <c r="H258" s="78" t="b">
        <f>IF(VLOOKUP(C258,Projetos!A:L,12,false)=TRUE,TRUE,FALSE)</f>
        <v>1</v>
      </c>
      <c r="I258" s="68">
        <v>57.65865174185031</v>
      </c>
      <c r="J258" s="68">
        <f t="shared" si="1"/>
        <v>86.48797761</v>
      </c>
      <c r="K258" s="68" t="b">
        <v>1</v>
      </c>
    </row>
    <row r="259">
      <c r="A259" s="75">
        <v>253.0</v>
      </c>
      <c r="B259" s="62" t="s">
        <v>233</v>
      </c>
      <c r="C259" s="62" t="s">
        <v>104</v>
      </c>
      <c r="D259" s="62" t="s">
        <v>242</v>
      </c>
      <c r="E259" s="76">
        <v>44145.0</v>
      </c>
      <c r="F259" s="77">
        <v>0.0625</v>
      </c>
      <c r="G259" s="62" t="b">
        <v>1</v>
      </c>
      <c r="H259" s="78" t="b">
        <f>IF(VLOOKUP(C259,Projetos!A:L,12,false)=TRUE,TRUE,FALSE)</f>
        <v>1</v>
      </c>
      <c r="I259" s="68">
        <v>57.65865174185031</v>
      </c>
      <c r="J259" s="68">
        <f t="shared" si="1"/>
        <v>86.48797761</v>
      </c>
      <c r="K259" s="68" t="b">
        <v>1</v>
      </c>
    </row>
    <row r="260">
      <c r="A260" s="75">
        <v>254.0</v>
      </c>
      <c r="B260" s="62" t="s">
        <v>233</v>
      </c>
      <c r="C260" s="62" t="s">
        <v>104</v>
      </c>
      <c r="D260" s="62" t="s">
        <v>243</v>
      </c>
      <c r="E260" s="76">
        <v>44146.0</v>
      </c>
      <c r="F260" s="77">
        <v>0.07291666666666667</v>
      </c>
      <c r="G260" s="62" t="b">
        <v>1</v>
      </c>
      <c r="H260" s="78" t="b">
        <f>IF(VLOOKUP(C260,Projetos!A:L,12,false)=TRUE,TRUE,FALSE)</f>
        <v>1</v>
      </c>
      <c r="I260" s="68">
        <v>57.65865174185031</v>
      </c>
      <c r="J260" s="68">
        <f t="shared" si="1"/>
        <v>100.9026405</v>
      </c>
      <c r="K260" s="68" t="b">
        <v>1</v>
      </c>
    </row>
    <row r="261">
      <c r="A261" s="75">
        <v>255.0</v>
      </c>
      <c r="B261" s="62" t="s">
        <v>233</v>
      </c>
      <c r="C261" s="62" t="s">
        <v>104</v>
      </c>
      <c r="D261" s="62" t="s">
        <v>243</v>
      </c>
      <c r="E261" s="76">
        <v>44147.0</v>
      </c>
      <c r="F261" s="77">
        <v>0.10416666666666667</v>
      </c>
      <c r="G261" s="62" t="b">
        <v>1</v>
      </c>
      <c r="H261" s="78" t="b">
        <f>IF(VLOOKUP(C261,Projetos!A:L,12,false)=TRUE,TRUE,FALSE)</f>
        <v>1</v>
      </c>
      <c r="I261" s="68">
        <v>57.65865174185031</v>
      </c>
      <c r="J261" s="68">
        <f t="shared" si="1"/>
        <v>144.1466294</v>
      </c>
      <c r="K261" s="68" t="b">
        <v>1</v>
      </c>
    </row>
    <row r="262" hidden="1">
      <c r="A262" s="75">
        <v>256.0</v>
      </c>
      <c r="B262" s="62" t="s">
        <v>233</v>
      </c>
      <c r="C262" s="62" t="s">
        <v>109</v>
      </c>
      <c r="D262" s="62" t="s">
        <v>242</v>
      </c>
      <c r="E262" s="76">
        <v>44148.0</v>
      </c>
      <c r="F262" s="77">
        <v>0.041666666666666664</v>
      </c>
      <c r="G262" s="62" t="b">
        <v>0</v>
      </c>
      <c r="H262" s="78" t="b">
        <f>IF(VLOOKUP(C262,Projetos!A:L,12,false)=TRUE,TRUE,FALSE)</f>
        <v>0</v>
      </c>
      <c r="I262" s="68">
        <v>57.65865174185031</v>
      </c>
      <c r="J262" s="68">
        <f t="shared" si="1"/>
        <v>0</v>
      </c>
      <c r="K262" s="68" t="b">
        <v>0</v>
      </c>
    </row>
    <row r="263" hidden="1">
      <c r="A263" s="75">
        <v>257.0</v>
      </c>
      <c r="B263" s="62" t="s">
        <v>233</v>
      </c>
      <c r="C263" s="62" t="s">
        <v>109</v>
      </c>
      <c r="D263" s="62" t="s">
        <v>243</v>
      </c>
      <c r="E263" s="76">
        <v>44152.0</v>
      </c>
      <c r="F263" s="77">
        <v>0.08333333333333333</v>
      </c>
      <c r="G263" s="62" t="b">
        <v>0</v>
      </c>
      <c r="H263" s="78" t="b">
        <f>IF(VLOOKUP(C263,Projetos!A:L,12,false)=TRUE,TRUE,FALSE)</f>
        <v>0</v>
      </c>
      <c r="I263" s="68">
        <v>57.65865174185031</v>
      </c>
      <c r="J263" s="68">
        <f t="shared" si="1"/>
        <v>0</v>
      </c>
      <c r="K263" s="68" t="b">
        <v>0</v>
      </c>
    </row>
    <row r="264" hidden="1">
      <c r="A264" s="75">
        <v>258.0</v>
      </c>
      <c r="B264" s="62" t="s">
        <v>233</v>
      </c>
      <c r="C264" s="62" t="s">
        <v>113</v>
      </c>
      <c r="D264" s="62" t="s">
        <v>243</v>
      </c>
      <c r="E264" s="76">
        <v>44159.0</v>
      </c>
      <c r="F264" s="77">
        <v>0.041666666666666664</v>
      </c>
      <c r="G264" s="62" t="b">
        <v>1</v>
      </c>
      <c r="H264" s="78" t="b">
        <f>IF(VLOOKUP(C264,Projetos!A:L,12,false)=TRUE,TRUE,FALSE)</f>
        <v>1</v>
      </c>
      <c r="I264" s="68">
        <v>57.65865174185031</v>
      </c>
      <c r="J264" s="68">
        <f t="shared" si="1"/>
        <v>57.65865174</v>
      </c>
      <c r="K264" s="68" t="b">
        <v>1</v>
      </c>
    </row>
    <row r="265" hidden="1">
      <c r="A265" s="75">
        <v>259.0</v>
      </c>
      <c r="B265" s="62" t="s">
        <v>233</v>
      </c>
      <c r="C265" s="62" t="s">
        <v>88</v>
      </c>
      <c r="D265" s="62" t="s">
        <v>242</v>
      </c>
      <c r="E265" s="76">
        <v>44146.0</v>
      </c>
      <c r="F265" s="77">
        <v>0.041666666666666664</v>
      </c>
      <c r="G265" s="62" t="b">
        <v>1</v>
      </c>
      <c r="H265" s="78" t="b">
        <f>IF(VLOOKUP(C265,Projetos!A:L,12,false)=TRUE,TRUE,FALSE)</f>
        <v>1</v>
      </c>
      <c r="I265" s="68">
        <v>57.65865174185031</v>
      </c>
      <c r="J265" s="68">
        <f t="shared" si="1"/>
        <v>57.65865174</v>
      </c>
      <c r="K265" s="68" t="b">
        <v>1</v>
      </c>
    </row>
    <row r="266" hidden="1">
      <c r="A266" s="75">
        <v>260.0</v>
      </c>
      <c r="B266" s="62" t="s">
        <v>233</v>
      </c>
      <c r="C266" s="62" t="s">
        <v>90</v>
      </c>
      <c r="D266" s="62" t="s">
        <v>242</v>
      </c>
      <c r="E266" s="76">
        <v>44151.0</v>
      </c>
      <c r="F266" s="77">
        <v>0.041666666666666664</v>
      </c>
      <c r="G266" s="62" t="b">
        <v>1</v>
      </c>
      <c r="H266" s="78" t="b">
        <f>IF(VLOOKUP(C266,Projetos!A:L,12,false)=TRUE,TRUE,FALSE)</f>
        <v>1</v>
      </c>
      <c r="I266" s="68">
        <v>57.65865174185031</v>
      </c>
      <c r="J266" s="68">
        <f t="shared" si="1"/>
        <v>57.65865174</v>
      </c>
      <c r="K266" s="68" t="b">
        <v>1</v>
      </c>
    </row>
    <row r="267" hidden="1">
      <c r="A267" s="75">
        <v>261.0</v>
      </c>
      <c r="B267" s="62" t="s">
        <v>233</v>
      </c>
      <c r="C267" s="62" t="s">
        <v>90</v>
      </c>
      <c r="D267" s="62" t="s">
        <v>242</v>
      </c>
      <c r="E267" s="76">
        <v>44162.0</v>
      </c>
      <c r="F267" s="77">
        <v>0.041666666666666664</v>
      </c>
      <c r="G267" s="62" t="b">
        <v>1</v>
      </c>
      <c r="H267" s="78" t="b">
        <f>IF(VLOOKUP(C267,Projetos!A:L,12,false)=TRUE,TRUE,FALSE)</f>
        <v>1</v>
      </c>
      <c r="I267" s="68">
        <v>57.65865174185031</v>
      </c>
      <c r="J267" s="68">
        <f t="shared" si="1"/>
        <v>57.65865174</v>
      </c>
      <c r="K267" s="68" t="b">
        <v>1</v>
      </c>
    </row>
    <row r="268" hidden="1">
      <c r="A268" s="75">
        <v>262.0</v>
      </c>
      <c r="B268" s="62" t="s">
        <v>233</v>
      </c>
      <c r="C268" s="62" t="s">
        <v>138</v>
      </c>
      <c r="D268" s="62" t="s">
        <v>241</v>
      </c>
      <c r="E268" s="76">
        <v>44146.0</v>
      </c>
      <c r="F268" s="77">
        <v>0.0625</v>
      </c>
      <c r="G268" s="62" t="b">
        <v>1</v>
      </c>
      <c r="H268" s="78" t="b">
        <f>IF(VLOOKUP(C268,Projetos!A:L,12,false)=TRUE,TRUE,FALSE)</f>
        <v>1</v>
      </c>
      <c r="I268" s="68">
        <v>57.65865174185031</v>
      </c>
      <c r="J268" s="68">
        <f t="shared" si="1"/>
        <v>86.48797761</v>
      </c>
      <c r="K268" s="68" t="b">
        <v>1</v>
      </c>
    </row>
    <row r="269">
      <c r="A269" s="75">
        <v>263.0</v>
      </c>
      <c r="B269" s="62" t="s">
        <v>244</v>
      </c>
      <c r="C269" s="62" t="s">
        <v>104</v>
      </c>
      <c r="D269" s="62" t="s">
        <v>245</v>
      </c>
      <c r="E269" s="76">
        <v>43853.0</v>
      </c>
      <c r="F269" s="77">
        <v>0.4166666666666667</v>
      </c>
      <c r="G269" s="62" t="b">
        <v>1</v>
      </c>
      <c r="H269" s="78" t="b">
        <f>IF(VLOOKUP(C269,Projetos!A:L,12,false)=TRUE,TRUE,FALSE)</f>
        <v>1</v>
      </c>
      <c r="I269" s="68">
        <v>48.38711890031264</v>
      </c>
      <c r="J269" s="68">
        <f t="shared" si="1"/>
        <v>483.871189</v>
      </c>
      <c r="K269" s="68" t="b">
        <v>1</v>
      </c>
    </row>
    <row r="270" hidden="1">
      <c r="A270" s="75">
        <v>264.0</v>
      </c>
      <c r="B270" s="62" t="s">
        <v>244</v>
      </c>
      <c r="C270" s="62" t="s">
        <v>109</v>
      </c>
      <c r="D270" s="62" t="s">
        <v>246</v>
      </c>
      <c r="E270" s="76">
        <v>43858.0</v>
      </c>
      <c r="F270" s="77">
        <v>0.2916666666666667</v>
      </c>
      <c r="G270" s="62" t="b">
        <v>0</v>
      </c>
      <c r="H270" s="78" t="b">
        <f>IF(VLOOKUP(C270,Projetos!A:L,12,false)=TRUE,TRUE,FALSE)</f>
        <v>0</v>
      </c>
      <c r="I270" s="68">
        <v>48.38711890031264</v>
      </c>
      <c r="J270" s="68">
        <f t="shared" si="1"/>
        <v>0</v>
      </c>
      <c r="K270" s="68" t="b">
        <v>0</v>
      </c>
    </row>
    <row r="271" hidden="1">
      <c r="A271" s="75">
        <v>265.0</v>
      </c>
      <c r="B271" s="62" t="s">
        <v>244</v>
      </c>
      <c r="C271" s="62" t="s">
        <v>109</v>
      </c>
      <c r="D271" s="62" t="s">
        <v>246</v>
      </c>
      <c r="E271" s="76">
        <v>43859.0</v>
      </c>
      <c r="F271" s="77">
        <v>0.22916666666666666</v>
      </c>
      <c r="G271" s="62" t="b">
        <v>0</v>
      </c>
      <c r="H271" s="78" t="b">
        <f>IF(VLOOKUP(C271,Projetos!A:L,12,false)=TRUE,TRUE,FALSE)</f>
        <v>0</v>
      </c>
      <c r="I271" s="68">
        <v>48.38711890031264</v>
      </c>
      <c r="J271" s="68">
        <f t="shared" si="1"/>
        <v>0</v>
      </c>
      <c r="K271" s="68" t="b">
        <v>0</v>
      </c>
    </row>
    <row r="272" hidden="1">
      <c r="A272" s="75">
        <v>266.0</v>
      </c>
      <c r="B272" s="62" t="s">
        <v>244</v>
      </c>
      <c r="C272" s="62" t="s">
        <v>103</v>
      </c>
      <c r="D272" s="62" t="s">
        <v>247</v>
      </c>
      <c r="E272" s="76">
        <v>43854.0</v>
      </c>
      <c r="F272" s="77">
        <v>0.125</v>
      </c>
      <c r="G272" s="62" t="b">
        <v>1</v>
      </c>
      <c r="H272" s="78" t="b">
        <f>IF(VLOOKUP(C272,Projetos!A:L,12,false)=TRUE,TRUE,FALSE)</f>
        <v>1</v>
      </c>
      <c r="I272" s="68">
        <v>48.38711890031264</v>
      </c>
      <c r="J272" s="68">
        <f t="shared" si="1"/>
        <v>145.1613567</v>
      </c>
      <c r="K272" s="68" t="b">
        <v>1</v>
      </c>
    </row>
    <row r="273" hidden="1">
      <c r="A273" s="75">
        <v>267.0</v>
      </c>
      <c r="B273" s="62" t="s">
        <v>244</v>
      </c>
      <c r="C273" s="62" t="s">
        <v>103</v>
      </c>
      <c r="D273" s="62" t="s">
        <v>247</v>
      </c>
      <c r="E273" s="76">
        <v>43856.0</v>
      </c>
      <c r="F273" s="77">
        <v>0.20833333333333334</v>
      </c>
      <c r="G273" s="62" t="b">
        <v>1</v>
      </c>
      <c r="H273" s="78" t="b">
        <f>IF(VLOOKUP(C273,Projetos!A:L,12,false)=TRUE,TRUE,FALSE)</f>
        <v>1</v>
      </c>
      <c r="I273" s="68">
        <v>48.38711890031264</v>
      </c>
      <c r="J273" s="68">
        <f t="shared" si="1"/>
        <v>241.9355945</v>
      </c>
      <c r="K273" s="68" t="b">
        <v>1</v>
      </c>
    </row>
    <row r="274" hidden="1">
      <c r="A274" s="75">
        <v>268.0</v>
      </c>
      <c r="B274" s="62" t="s">
        <v>244</v>
      </c>
      <c r="C274" s="62" t="s">
        <v>102</v>
      </c>
      <c r="D274" s="62" t="s">
        <v>248</v>
      </c>
      <c r="E274" s="76">
        <v>43845.0</v>
      </c>
      <c r="F274" s="77">
        <v>0.3645833333333333</v>
      </c>
      <c r="G274" s="62" t="b">
        <v>0</v>
      </c>
      <c r="H274" s="78" t="b">
        <f>IF(VLOOKUP(C274,Projetos!A:L,12,false)=TRUE,TRUE,FALSE)</f>
        <v>0</v>
      </c>
      <c r="I274" s="68">
        <v>48.38711890031264</v>
      </c>
      <c r="J274" s="68">
        <f t="shared" si="1"/>
        <v>0</v>
      </c>
      <c r="K274" s="68" t="b">
        <v>0</v>
      </c>
    </row>
    <row r="275" hidden="1">
      <c r="A275" s="75">
        <v>269.0</v>
      </c>
      <c r="B275" s="62" t="s">
        <v>244</v>
      </c>
      <c r="C275" s="62" t="s">
        <v>102</v>
      </c>
      <c r="D275" s="62" t="s">
        <v>248</v>
      </c>
      <c r="E275" s="76">
        <v>43846.0</v>
      </c>
      <c r="F275" s="77">
        <v>0.20833333333333334</v>
      </c>
      <c r="G275" s="62" t="b">
        <v>0</v>
      </c>
      <c r="H275" s="78" t="b">
        <f>IF(VLOOKUP(C275,Projetos!A:L,12,false)=TRUE,TRUE,FALSE)</f>
        <v>0</v>
      </c>
      <c r="I275" s="68">
        <v>48.38711890031264</v>
      </c>
      <c r="J275" s="68">
        <f t="shared" si="1"/>
        <v>0</v>
      </c>
      <c r="K275" s="68" t="b">
        <v>0</v>
      </c>
    </row>
    <row r="276" hidden="1">
      <c r="A276" s="75">
        <v>270.0</v>
      </c>
      <c r="B276" s="62" t="s">
        <v>244</v>
      </c>
      <c r="C276" s="62" t="s">
        <v>103</v>
      </c>
      <c r="D276" s="62" t="s">
        <v>249</v>
      </c>
      <c r="E276" s="76">
        <v>43865.0</v>
      </c>
      <c r="F276" s="77">
        <v>0.125</v>
      </c>
      <c r="G276" s="62" t="b">
        <v>1</v>
      </c>
      <c r="H276" s="78" t="b">
        <f>IF(VLOOKUP(C276,Projetos!A:L,12,false)=TRUE,TRUE,FALSE)</f>
        <v>1</v>
      </c>
      <c r="I276" s="68">
        <v>46.187704404843885</v>
      </c>
      <c r="J276" s="68">
        <f t="shared" si="1"/>
        <v>138.5631132</v>
      </c>
      <c r="K276" s="68" t="b">
        <v>1</v>
      </c>
    </row>
    <row r="277" hidden="1">
      <c r="A277" s="75">
        <v>271.0</v>
      </c>
      <c r="B277" s="62" t="s">
        <v>244</v>
      </c>
      <c r="C277" s="62" t="s">
        <v>103</v>
      </c>
      <c r="D277" s="62" t="s">
        <v>247</v>
      </c>
      <c r="E277" s="76">
        <v>43872.0</v>
      </c>
      <c r="F277" s="77">
        <v>0.1875</v>
      </c>
      <c r="G277" s="62" t="b">
        <v>1</v>
      </c>
      <c r="H277" s="78" t="b">
        <f>IF(VLOOKUP(C277,Projetos!A:L,12,false)=TRUE,TRUE,FALSE)</f>
        <v>1</v>
      </c>
      <c r="I277" s="68">
        <v>46.187704404843885</v>
      </c>
      <c r="J277" s="68">
        <f t="shared" si="1"/>
        <v>207.8446698</v>
      </c>
      <c r="K277" s="68" t="b">
        <v>1</v>
      </c>
    </row>
    <row r="278" hidden="1">
      <c r="A278" s="75">
        <v>272.0</v>
      </c>
      <c r="B278" s="62" t="s">
        <v>244</v>
      </c>
      <c r="C278" s="62" t="s">
        <v>102</v>
      </c>
      <c r="D278" s="62" t="s">
        <v>250</v>
      </c>
      <c r="E278" s="76">
        <v>43873.0</v>
      </c>
      <c r="F278" s="77">
        <v>0.10416666666666667</v>
      </c>
      <c r="G278" s="62" t="b">
        <v>0</v>
      </c>
      <c r="H278" s="78" t="b">
        <f>IF(VLOOKUP(C278,Projetos!A:L,12,false)=TRUE,TRUE,FALSE)</f>
        <v>0</v>
      </c>
      <c r="I278" s="68">
        <v>46.187704404843885</v>
      </c>
      <c r="J278" s="68">
        <f t="shared" si="1"/>
        <v>0</v>
      </c>
      <c r="K278" s="68" t="b">
        <v>0</v>
      </c>
    </row>
    <row r="279" hidden="1">
      <c r="A279" s="75">
        <v>273.0</v>
      </c>
      <c r="B279" s="62" t="s">
        <v>244</v>
      </c>
      <c r="C279" s="62" t="s">
        <v>102</v>
      </c>
      <c r="D279" s="62" t="s">
        <v>250</v>
      </c>
      <c r="E279" s="76">
        <v>43877.0</v>
      </c>
      <c r="F279" s="77">
        <v>0.14583333333333334</v>
      </c>
      <c r="G279" s="62" t="b">
        <v>0</v>
      </c>
      <c r="H279" s="78" t="b">
        <f>IF(VLOOKUP(C279,Projetos!A:L,12,false)=TRUE,TRUE,FALSE)</f>
        <v>0</v>
      </c>
      <c r="I279" s="68">
        <v>46.187704404843885</v>
      </c>
      <c r="J279" s="68">
        <f t="shared" si="1"/>
        <v>0</v>
      </c>
      <c r="K279" s="68" t="b">
        <v>0</v>
      </c>
    </row>
    <row r="280" hidden="1">
      <c r="A280" s="75">
        <v>274.0</v>
      </c>
      <c r="B280" s="62" t="s">
        <v>244</v>
      </c>
      <c r="C280" s="62" t="s">
        <v>109</v>
      </c>
      <c r="D280" s="62" t="s">
        <v>251</v>
      </c>
      <c r="E280" s="76">
        <v>43927.0</v>
      </c>
      <c r="F280" s="77">
        <v>0.0625</v>
      </c>
      <c r="G280" s="62" t="b">
        <v>0</v>
      </c>
      <c r="H280" s="78" t="b">
        <f>IF(VLOOKUP(C280,Projetos!A:L,12,false)=TRUE,TRUE,FALSE)</f>
        <v>0</v>
      </c>
      <c r="I280" s="68">
        <v>46.187704404843885</v>
      </c>
      <c r="J280" s="68">
        <f t="shared" si="1"/>
        <v>0</v>
      </c>
      <c r="K280" s="68" t="b">
        <v>0</v>
      </c>
    </row>
    <row r="281" hidden="1">
      <c r="A281" s="75">
        <v>275.0</v>
      </c>
      <c r="B281" s="62" t="s">
        <v>244</v>
      </c>
      <c r="C281" s="62" t="s">
        <v>109</v>
      </c>
      <c r="D281" s="62" t="s">
        <v>251</v>
      </c>
      <c r="E281" s="76">
        <v>43928.0</v>
      </c>
      <c r="F281" s="77">
        <v>0.08333333333333333</v>
      </c>
      <c r="G281" s="62" t="b">
        <v>0</v>
      </c>
      <c r="H281" s="78" t="b">
        <f>IF(VLOOKUP(C281,Projetos!A:L,12,false)=TRUE,TRUE,FALSE)</f>
        <v>0</v>
      </c>
      <c r="I281" s="68">
        <v>46.187704404843885</v>
      </c>
      <c r="J281" s="68">
        <f t="shared" si="1"/>
        <v>0</v>
      </c>
      <c r="K281" s="68" t="b">
        <v>0</v>
      </c>
    </row>
    <row r="282" hidden="1">
      <c r="A282" s="75">
        <v>276.0</v>
      </c>
      <c r="B282" s="62" t="s">
        <v>244</v>
      </c>
      <c r="C282" s="62" t="s">
        <v>109</v>
      </c>
      <c r="D282" s="62" t="s">
        <v>252</v>
      </c>
      <c r="E282" s="76">
        <v>43930.0</v>
      </c>
      <c r="F282" s="77">
        <v>0.06944444444444445</v>
      </c>
      <c r="G282" s="62" t="b">
        <v>0</v>
      </c>
      <c r="H282" s="78" t="b">
        <f>IF(VLOOKUP(C282,Projetos!A:L,12,false)=TRUE,TRUE,FALSE)</f>
        <v>0</v>
      </c>
      <c r="I282" s="68">
        <v>46.187704404843885</v>
      </c>
      <c r="J282" s="68">
        <f t="shared" si="1"/>
        <v>0</v>
      </c>
      <c r="K282" s="68" t="b">
        <v>0</v>
      </c>
    </row>
    <row r="283" hidden="1">
      <c r="A283" s="75">
        <v>277.0</v>
      </c>
      <c r="B283" s="62" t="s">
        <v>244</v>
      </c>
      <c r="C283" s="62" t="s">
        <v>109</v>
      </c>
      <c r="D283" s="62" t="s">
        <v>251</v>
      </c>
      <c r="E283" s="76">
        <v>43935.0</v>
      </c>
      <c r="F283" s="77">
        <v>0.125</v>
      </c>
      <c r="G283" s="62" t="b">
        <v>0</v>
      </c>
      <c r="H283" s="78" t="b">
        <f>IF(VLOOKUP(C283,Projetos!A:L,12,false)=TRUE,TRUE,FALSE)</f>
        <v>0</v>
      </c>
      <c r="I283" s="68">
        <v>46.187704404843885</v>
      </c>
      <c r="J283" s="68">
        <f t="shared" si="1"/>
        <v>0</v>
      </c>
      <c r="K283" s="68" t="b">
        <v>0</v>
      </c>
    </row>
    <row r="284" hidden="1">
      <c r="A284" s="75">
        <v>278.0</v>
      </c>
      <c r="B284" s="62" t="s">
        <v>244</v>
      </c>
      <c r="C284" s="62" t="s">
        <v>109</v>
      </c>
      <c r="D284" s="62" t="s">
        <v>251</v>
      </c>
      <c r="E284" s="76">
        <v>43936.0</v>
      </c>
      <c r="F284" s="77">
        <v>0.0625</v>
      </c>
      <c r="G284" s="62" t="b">
        <v>0</v>
      </c>
      <c r="H284" s="78" t="b">
        <f>IF(VLOOKUP(C284,Projetos!A:L,12,false)=TRUE,TRUE,FALSE)</f>
        <v>0</v>
      </c>
      <c r="I284" s="68">
        <v>46.187704404843885</v>
      </c>
      <c r="J284" s="68">
        <f t="shared" si="1"/>
        <v>0</v>
      </c>
      <c r="K284" s="68" t="b">
        <v>0</v>
      </c>
    </row>
    <row r="285" hidden="1">
      <c r="A285" s="75">
        <v>279.0</v>
      </c>
      <c r="B285" s="62" t="s">
        <v>244</v>
      </c>
      <c r="C285" s="62" t="s">
        <v>109</v>
      </c>
      <c r="D285" s="62" t="s">
        <v>251</v>
      </c>
      <c r="E285" s="76">
        <v>43938.0</v>
      </c>
      <c r="F285" s="77">
        <v>0.041666666666666664</v>
      </c>
      <c r="G285" s="62" t="b">
        <v>0</v>
      </c>
      <c r="H285" s="78" t="b">
        <f>IF(VLOOKUP(C285,Projetos!A:L,12,false)=TRUE,TRUE,FALSE)</f>
        <v>0</v>
      </c>
      <c r="I285" s="68">
        <v>46.187704404843885</v>
      </c>
      <c r="J285" s="68">
        <f t="shared" si="1"/>
        <v>0</v>
      </c>
      <c r="K285" s="68" t="b">
        <v>0</v>
      </c>
    </row>
    <row r="286" hidden="1">
      <c r="A286" s="75">
        <v>280.0</v>
      </c>
      <c r="B286" s="62" t="s">
        <v>244</v>
      </c>
      <c r="C286" s="62" t="s">
        <v>109</v>
      </c>
      <c r="D286" s="62" t="s">
        <v>253</v>
      </c>
      <c r="E286" s="76">
        <v>43944.0</v>
      </c>
      <c r="F286" s="77">
        <v>0.06944444444444445</v>
      </c>
      <c r="G286" s="62" t="b">
        <v>0</v>
      </c>
      <c r="H286" s="78" t="b">
        <f>IF(VLOOKUP(C286,Projetos!A:L,12,false)=TRUE,TRUE,FALSE)</f>
        <v>0</v>
      </c>
      <c r="I286" s="68">
        <v>46.187704404843885</v>
      </c>
      <c r="J286" s="68">
        <f t="shared" si="1"/>
        <v>0</v>
      </c>
      <c r="K286" s="68" t="b">
        <v>0</v>
      </c>
    </row>
    <row r="287" hidden="1">
      <c r="A287" s="75">
        <v>281.0</v>
      </c>
      <c r="B287" s="62" t="s">
        <v>244</v>
      </c>
      <c r="C287" s="62" t="s">
        <v>109</v>
      </c>
      <c r="D287" s="62" t="s">
        <v>251</v>
      </c>
      <c r="E287" s="76">
        <v>43945.0</v>
      </c>
      <c r="F287" s="77">
        <v>0.05555555555555555</v>
      </c>
      <c r="G287" s="62" t="b">
        <v>0</v>
      </c>
      <c r="H287" s="78" t="b">
        <f>IF(VLOOKUP(C287,Projetos!A:L,12,false)=TRUE,TRUE,FALSE)</f>
        <v>0</v>
      </c>
      <c r="I287" s="68">
        <v>46.187704404843885</v>
      </c>
      <c r="J287" s="68">
        <f t="shared" si="1"/>
        <v>0</v>
      </c>
      <c r="K287" s="68" t="b">
        <v>0</v>
      </c>
    </row>
    <row r="288" hidden="1">
      <c r="A288" s="75">
        <v>282.0</v>
      </c>
      <c r="B288" s="62" t="s">
        <v>244</v>
      </c>
      <c r="C288" s="62" t="s">
        <v>109</v>
      </c>
      <c r="D288" s="62" t="s">
        <v>251</v>
      </c>
      <c r="E288" s="76">
        <v>43949.0</v>
      </c>
      <c r="F288" s="77">
        <v>0.0625</v>
      </c>
      <c r="G288" s="62" t="b">
        <v>0</v>
      </c>
      <c r="H288" s="78" t="b">
        <f>IF(VLOOKUP(C288,Projetos!A:L,12,false)=TRUE,TRUE,FALSE)</f>
        <v>0</v>
      </c>
      <c r="I288" s="68">
        <v>46.187704404843885</v>
      </c>
      <c r="J288" s="68">
        <f t="shared" si="1"/>
        <v>0</v>
      </c>
      <c r="K288" s="68" t="b">
        <v>0</v>
      </c>
    </row>
    <row r="289" hidden="1">
      <c r="A289" s="75">
        <v>283.0</v>
      </c>
      <c r="B289" s="62" t="s">
        <v>244</v>
      </c>
      <c r="C289" s="62" t="s">
        <v>109</v>
      </c>
      <c r="D289" s="62" t="s">
        <v>251</v>
      </c>
      <c r="E289" s="76">
        <v>43950.0</v>
      </c>
      <c r="F289" s="77">
        <v>0.06944444444444445</v>
      </c>
      <c r="G289" s="62" t="b">
        <v>0</v>
      </c>
      <c r="H289" s="78" t="b">
        <f>IF(VLOOKUP(C289,Projetos!A:L,12,false)=TRUE,TRUE,FALSE)</f>
        <v>0</v>
      </c>
      <c r="I289" s="68">
        <v>46.187704404843885</v>
      </c>
      <c r="J289" s="68">
        <f t="shared" si="1"/>
        <v>0</v>
      </c>
      <c r="K289" s="68" t="b">
        <v>0</v>
      </c>
    </row>
    <row r="290" hidden="1">
      <c r="A290" s="75">
        <v>284.0</v>
      </c>
      <c r="B290" s="62" t="s">
        <v>244</v>
      </c>
      <c r="C290" s="62" t="s">
        <v>109</v>
      </c>
      <c r="D290" s="62" t="s">
        <v>254</v>
      </c>
      <c r="E290" s="76">
        <v>43955.0</v>
      </c>
      <c r="F290" s="77">
        <v>0.10416666666666667</v>
      </c>
      <c r="G290" s="62" t="b">
        <v>0</v>
      </c>
      <c r="H290" s="78" t="b">
        <f>IF(VLOOKUP(C290,Projetos!A:L,12,false)=TRUE,TRUE,FALSE)</f>
        <v>0</v>
      </c>
      <c r="I290" s="68">
        <v>48.38711890031264</v>
      </c>
      <c r="J290" s="68">
        <f t="shared" si="1"/>
        <v>0</v>
      </c>
      <c r="K290" s="68" t="b">
        <v>0</v>
      </c>
    </row>
    <row r="291" hidden="1">
      <c r="A291" s="75">
        <v>285.0</v>
      </c>
      <c r="B291" s="62" t="s">
        <v>244</v>
      </c>
      <c r="C291" s="62" t="s">
        <v>109</v>
      </c>
      <c r="D291" s="62" t="s">
        <v>254</v>
      </c>
      <c r="E291" s="76">
        <v>43956.0</v>
      </c>
      <c r="F291" s="77">
        <v>0.125</v>
      </c>
      <c r="G291" s="62" t="b">
        <v>0</v>
      </c>
      <c r="H291" s="78" t="b">
        <f>IF(VLOOKUP(C291,Projetos!A:L,12,false)=TRUE,TRUE,FALSE)</f>
        <v>0</v>
      </c>
      <c r="I291" s="68">
        <v>48.38711890031264</v>
      </c>
      <c r="J291" s="68">
        <f t="shared" si="1"/>
        <v>0</v>
      </c>
      <c r="K291" s="68" t="b">
        <v>0</v>
      </c>
    </row>
    <row r="292" hidden="1">
      <c r="A292" s="75">
        <v>286.0</v>
      </c>
      <c r="B292" s="62" t="s">
        <v>244</v>
      </c>
      <c r="C292" s="62" t="s">
        <v>109</v>
      </c>
      <c r="D292" s="62" t="s">
        <v>254</v>
      </c>
      <c r="E292" s="76">
        <v>43957.0</v>
      </c>
      <c r="F292" s="77">
        <v>0.20833333333333334</v>
      </c>
      <c r="G292" s="62" t="b">
        <v>0</v>
      </c>
      <c r="H292" s="78" t="b">
        <f>IF(VLOOKUP(C292,Projetos!A:L,12,false)=TRUE,TRUE,FALSE)</f>
        <v>0</v>
      </c>
      <c r="I292" s="68">
        <v>48.38711890031264</v>
      </c>
      <c r="J292" s="68">
        <f t="shared" si="1"/>
        <v>0</v>
      </c>
      <c r="K292" s="68" t="b">
        <v>0</v>
      </c>
    </row>
    <row r="293" hidden="1">
      <c r="A293" s="75">
        <v>287.0</v>
      </c>
      <c r="B293" s="62" t="s">
        <v>244</v>
      </c>
      <c r="C293" s="62" t="s">
        <v>109</v>
      </c>
      <c r="D293" s="62" t="s">
        <v>254</v>
      </c>
      <c r="E293" s="76">
        <v>43958.0</v>
      </c>
      <c r="F293" s="77">
        <v>0.08333333333333333</v>
      </c>
      <c r="G293" s="62" t="b">
        <v>0</v>
      </c>
      <c r="H293" s="78" t="b">
        <f>IF(VLOOKUP(C293,Projetos!A:L,12,false)=TRUE,TRUE,FALSE)</f>
        <v>0</v>
      </c>
      <c r="I293" s="68">
        <v>48.38711890031264</v>
      </c>
      <c r="J293" s="68">
        <f t="shared" si="1"/>
        <v>0</v>
      </c>
      <c r="K293" s="68" t="b">
        <v>0</v>
      </c>
    </row>
    <row r="294" hidden="1">
      <c r="A294" s="75">
        <v>288.0</v>
      </c>
      <c r="B294" s="62" t="s">
        <v>244</v>
      </c>
      <c r="C294" s="62" t="s">
        <v>109</v>
      </c>
      <c r="D294" s="62" t="s">
        <v>254</v>
      </c>
      <c r="E294" s="76">
        <v>43959.0</v>
      </c>
      <c r="F294" s="77">
        <v>0.14583333333333334</v>
      </c>
      <c r="G294" s="62" t="b">
        <v>0</v>
      </c>
      <c r="H294" s="78" t="b">
        <f>IF(VLOOKUP(C294,Projetos!A:L,12,false)=TRUE,TRUE,FALSE)</f>
        <v>0</v>
      </c>
      <c r="I294" s="68">
        <v>48.38711890031264</v>
      </c>
      <c r="J294" s="68">
        <f t="shared" si="1"/>
        <v>0</v>
      </c>
      <c r="K294" s="68" t="b">
        <v>0</v>
      </c>
    </row>
    <row r="295" hidden="1">
      <c r="A295" s="75">
        <v>289.0</v>
      </c>
      <c r="B295" s="62" t="s">
        <v>244</v>
      </c>
      <c r="C295" s="62" t="s">
        <v>109</v>
      </c>
      <c r="D295" s="62" t="s">
        <v>254</v>
      </c>
      <c r="E295" s="76">
        <v>43962.0</v>
      </c>
      <c r="F295" s="77">
        <v>0.16666666666666666</v>
      </c>
      <c r="G295" s="62" t="b">
        <v>0</v>
      </c>
      <c r="H295" s="78" t="b">
        <f>IF(VLOOKUP(C295,Projetos!A:L,12,false)=TRUE,TRUE,FALSE)</f>
        <v>0</v>
      </c>
      <c r="I295" s="68">
        <v>48.38711890031264</v>
      </c>
      <c r="J295" s="68">
        <f t="shared" si="1"/>
        <v>0</v>
      </c>
      <c r="K295" s="68" t="b">
        <v>0</v>
      </c>
    </row>
    <row r="296" hidden="1">
      <c r="A296" s="75">
        <v>290.0</v>
      </c>
      <c r="B296" s="62" t="s">
        <v>244</v>
      </c>
      <c r="C296" s="62" t="s">
        <v>109</v>
      </c>
      <c r="D296" s="62" t="s">
        <v>254</v>
      </c>
      <c r="E296" s="76">
        <v>43963.0</v>
      </c>
      <c r="F296" s="77">
        <v>0.125</v>
      </c>
      <c r="G296" s="62" t="b">
        <v>0</v>
      </c>
      <c r="H296" s="78" t="b">
        <f>IF(VLOOKUP(C296,Projetos!A:L,12,false)=TRUE,TRUE,FALSE)</f>
        <v>0</v>
      </c>
      <c r="I296" s="68">
        <v>48.38711890031264</v>
      </c>
      <c r="J296" s="68">
        <f t="shared" si="1"/>
        <v>0</v>
      </c>
      <c r="K296" s="68" t="b">
        <v>0</v>
      </c>
    </row>
    <row r="297" hidden="1">
      <c r="A297" s="75">
        <v>291.0</v>
      </c>
      <c r="B297" s="62" t="s">
        <v>244</v>
      </c>
      <c r="C297" s="62" t="s">
        <v>109</v>
      </c>
      <c r="D297" s="62" t="s">
        <v>254</v>
      </c>
      <c r="E297" s="76">
        <v>43964.0</v>
      </c>
      <c r="F297" s="77">
        <v>0.16666666666666666</v>
      </c>
      <c r="G297" s="62" t="b">
        <v>0</v>
      </c>
      <c r="H297" s="78" t="b">
        <f>IF(VLOOKUP(C297,Projetos!A:L,12,false)=TRUE,TRUE,FALSE)</f>
        <v>0</v>
      </c>
      <c r="I297" s="68">
        <v>48.38711890031264</v>
      </c>
      <c r="J297" s="68">
        <f t="shared" si="1"/>
        <v>0</v>
      </c>
      <c r="K297" s="68" t="b">
        <v>0</v>
      </c>
    </row>
    <row r="298" hidden="1">
      <c r="A298" s="75">
        <v>292.0</v>
      </c>
      <c r="B298" s="62" t="s">
        <v>244</v>
      </c>
      <c r="C298" s="62" t="s">
        <v>109</v>
      </c>
      <c r="D298" s="62" t="s">
        <v>254</v>
      </c>
      <c r="E298" s="76">
        <v>43965.0</v>
      </c>
      <c r="F298" s="77">
        <v>0.20833333333333334</v>
      </c>
      <c r="G298" s="62" t="b">
        <v>0</v>
      </c>
      <c r="H298" s="78" t="b">
        <f>IF(VLOOKUP(C298,Projetos!A:L,12,false)=TRUE,TRUE,FALSE)</f>
        <v>0</v>
      </c>
      <c r="I298" s="68">
        <v>48.38711890031264</v>
      </c>
      <c r="J298" s="68">
        <f t="shared" si="1"/>
        <v>0</v>
      </c>
      <c r="K298" s="68" t="b">
        <v>0</v>
      </c>
    </row>
    <row r="299" hidden="1">
      <c r="A299" s="75">
        <v>293.0</v>
      </c>
      <c r="B299" s="62" t="s">
        <v>244</v>
      </c>
      <c r="C299" s="62" t="s">
        <v>109</v>
      </c>
      <c r="D299" s="62" t="s">
        <v>254</v>
      </c>
      <c r="E299" s="76">
        <v>43966.0</v>
      </c>
      <c r="F299" s="77">
        <v>0.25</v>
      </c>
      <c r="G299" s="62" t="b">
        <v>0</v>
      </c>
      <c r="H299" s="78" t="b">
        <f>IF(VLOOKUP(C299,Projetos!A:L,12,false)=TRUE,TRUE,FALSE)</f>
        <v>0</v>
      </c>
      <c r="I299" s="68">
        <v>48.38711890031264</v>
      </c>
      <c r="J299" s="68">
        <f t="shared" si="1"/>
        <v>0</v>
      </c>
      <c r="K299" s="68" t="b">
        <v>0</v>
      </c>
    </row>
    <row r="300" hidden="1">
      <c r="A300" s="75">
        <v>294.0</v>
      </c>
      <c r="B300" s="62" t="s">
        <v>244</v>
      </c>
      <c r="C300" s="62" t="s">
        <v>109</v>
      </c>
      <c r="D300" s="62" t="s">
        <v>254</v>
      </c>
      <c r="E300" s="76">
        <v>43967.0</v>
      </c>
      <c r="F300" s="77">
        <v>0.375</v>
      </c>
      <c r="G300" s="62" t="b">
        <v>0</v>
      </c>
      <c r="H300" s="78" t="b">
        <f>IF(VLOOKUP(C300,Projetos!A:L,12,false)=TRUE,TRUE,FALSE)</f>
        <v>0</v>
      </c>
      <c r="I300" s="68">
        <v>48.38711890031264</v>
      </c>
      <c r="J300" s="68">
        <f t="shared" si="1"/>
        <v>0</v>
      </c>
      <c r="K300" s="68" t="b">
        <v>0</v>
      </c>
    </row>
    <row r="301" hidden="1">
      <c r="A301" s="75">
        <v>295.0</v>
      </c>
      <c r="B301" s="62" t="s">
        <v>244</v>
      </c>
      <c r="C301" s="62" t="s">
        <v>109</v>
      </c>
      <c r="D301" s="62" t="s">
        <v>254</v>
      </c>
      <c r="E301" s="76">
        <v>43969.0</v>
      </c>
      <c r="F301" s="77">
        <v>0.2708333333333333</v>
      </c>
      <c r="G301" s="62" t="b">
        <v>0</v>
      </c>
      <c r="H301" s="78" t="b">
        <f>IF(VLOOKUP(C301,Projetos!A:L,12,false)=TRUE,TRUE,FALSE)</f>
        <v>0</v>
      </c>
      <c r="I301" s="68">
        <v>48.38711890031264</v>
      </c>
      <c r="J301" s="68">
        <f t="shared" si="1"/>
        <v>0</v>
      </c>
      <c r="K301" s="68" t="b">
        <v>0</v>
      </c>
    </row>
    <row r="302" hidden="1">
      <c r="A302" s="75">
        <v>296.0</v>
      </c>
      <c r="B302" s="62" t="s">
        <v>244</v>
      </c>
      <c r="C302" s="62" t="s">
        <v>109</v>
      </c>
      <c r="D302" s="62" t="s">
        <v>254</v>
      </c>
      <c r="E302" s="76">
        <v>43970.0</v>
      </c>
      <c r="F302" s="77">
        <v>0.2708333333333333</v>
      </c>
      <c r="G302" s="62" t="b">
        <v>0</v>
      </c>
      <c r="H302" s="78" t="b">
        <f>IF(VLOOKUP(C302,Projetos!A:L,12,false)=TRUE,TRUE,FALSE)</f>
        <v>0</v>
      </c>
      <c r="I302" s="68">
        <v>48.38711890031264</v>
      </c>
      <c r="J302" s="68">
        <f t="shared" si="1"/>
        <v>0</v>
      </c>
      <c r="K302" s="68" t="b">
        <v>0</v>
      </c>
    </row>
    <row r="303" hidden="1">
      <c r="A303" s="75">
        <v>297.0</v>
      </c>
      <c r="B303" s="62" t="s">
        <v>244</v>
      </c>
      <c r="C303" s="62" t="s">
        <v>109</v>
      </c>
      <c r="D303" s="62" t="s">
        <v>254</v>
      </c>
      <c r="E303" s="76">
        <v>43971.0</v>
      </c>
      <c r="F303" s="77">
        <v>0.25</v>
      </c>
      <c r="G303" s="62" t="b">
        <v>0</v>
      </c>
      <c r="H303" s="78" t="b">
        <f>IF(VLOOKUP(C303,Projetos!A:L,12,false)=TRUE,TRUE,FALSE)</f>
        <v>0</v>
      </c>
      <c r="I303" s="68">
        <v>48.38711890031264</v>
      </c>
      <c r="J303" s="68">
        <f t="shared" si="1"/>
        <v>0</v>
      </c>
      <c r="K303" s="68" t="b">
        <v>0</v>
      </c>
    </row>
    <row r="304" hidden="1">
      <c r="A304" s="75">
        <v>298.0</v>
      </c>
      <c r="B304" s="62" t="s">
        <v>244</v>
      </c>
      <c r="C304" s="62" t="s">
        <v>109</v>
      </c>
      <c r="D304" s="62" t="s">
        <v>254</v>
      </c>
      <c r="E304" s="76">
        <v>43972.0</v>
      </c>
      <c r="F304" s="77">
        <v>0.2708333333333333</v>
      </c>
      <c r="G304" s="62" t="b">
        <v>0</v>
      </c>
      <c r="H304" s="78" t="b">
        <f>IF(VLOOKUP(C304,Projetos!A:L,12,false)=TRUE,TRUE,FALSE)</f>
        <v>0</v>
      </c>
      <c r="I304" s="68">
        <v>48.38711890031264</v>
      </c>
      <c r="J304" s="68">
        <f t="shared" si="1"/>
        <v>0</v>
      </c>
      <c r="K304" s="68" t="b">
        <v>0</v>
      </c>
    </row>
    <row r="305" hidden="1">
      <c r="A305" s="75">
        <v>299.0</v>
      </c>
      <c r="B305" s="62" t="s">
        <v>244</v>
      </c>
      <c r="C305" s="62" t="s">
        <v>109</v>
      </c>
      <c r="D305" s="62" t="s">
        <v>254</v>
      </c>
      <c r="E305" s="76">
        <v>43973.0</v>
      </c>
      <c r="F305" s="77">
        <v>0.2916666666666667</v>
      </c>
      <c r="G305" s="62" t="b">
        <v>0</v>
      </c>
      <c r="H305" s="78" t="b">
        <f>IF(VLOOKUP(C305,Projetos!A:L,12,false)=TRUE,TRUE,FALSE)</f>
        <v>0</v>
      </c>
      <c r="I305" s="68">
        <v>48.38711890031264</v>
      </c>
      <c r="J305" s="68">
        <f t="shared" si="1"/>
        <v>0</v>
      </c>
      <c r="K305" s="68" t="b">
        <v>0</v>
      </c>
    </row>
    <row r="306" hidden="1">
      <c r="A306" s="75">
        <v>300.0</v>
      </c>
      <c r="B306" s="62" t="s">
        <v>244</v>
      </c>
      <c r="C306" s="62" t="s">
        <v>109</v>
      </c>
      <c r="D306" s="62" t="s">
        <v>254</v>
      </c>
      <c r="E306" s="76">
        <v>43974.0</v>
      </c>
      <c r="F306" s="77">
        <v>0.3541666666666667</v>
      </c>
      <c r="G306" s="62" t="b">
        <v>0</v>
      </c>
      <c r="H306" s="78" t="b">
        <f>IF(VLOOKUP(C306,Projetos!A:L,12,false)=TRUE,TRUE,FALSE)</f>
        <v>0</v>
      </c>
      <c r="I306" s="68">
        <v>48.38711890031264</v>
      </c>
      <c r="J306" s="68">
        <f t="shared" si="1"/>
        <v>0</v>
      </c>
      <c r="K306" s="68" t="b">
        <v>0</v>
      </c>
    </row>
    <row r="307" hidden="1">
      <c r="A307" s="75">
        <v>301.0</v>
      </c>
      <c r="B307" s="62" t="s">
        <v>244</v>
      </c>
      <c r="C307" s="62" t="s">
        <v>109</v>
      </c>
      <c r="D307" s="62" t="s">
        <v>254</v>
      </c>
      <c r="E307" s="76">
        <v>43976.0</v>
      </c>
      <c r="F307" s="77">
        <v>0.3055555555555556</v>
      </c>
      <c r="G307" s="62" t="b">
        <v>0</v>
      </c>
      <c r="H307" s="78" t="b">
        <f>IF(VLOOKUP(C307,Projetos!A:L,12,false)=TRUE,TRUE,FALSE)</f>
        <v>0</v>
      </c>
      <c r="I307" s="68">
        <v>48.38711890031264</v>
      </c>
      <c r="J307" s="68">
        <f t="shared" si="1"/>
        <v>0</v>
      </c>
      <c r="K307" s="68" t="b">
        <v>0</v>
      </c>
    </row>
    <row r="308" hidden="1">
      <c r="A308" s="75">
        <v>302.0</v>
      </c>
      <c r="B308" s="62" t="s">
        <v>244</v>
      </c>
      <c r="C308" s="62" t="s">
        <v>109</v>
      </c>
      <c r="D308" s="62" t="s">
        <v>254</v>
      </c>
      <c r="E308" s="76">
        <v>43977.0</v>
      </c>
      <c r="F308" s="77">
        <v>0.2708333333333333</v>
      </c>
      <c r="G308" s="62" t="b">
        <v>0</v>
      </c>
      <c r="H308" s="78" t="b">
        <f>IF(VLOOKUP(C308,Projetos!A:L,12,false)=TRUE,TRUE,FALSE)</f>
        <v>0</v>
      </c>
      <c r="I308" s="68">
        <v>48.38711890031264</v>
      </c>
      <c r="J308" s="68">
        <f t="shared" si="1"/>
        <v>0</v>
      </c>
      <c r="K308" s="68" t="b">
        <v>0</v>
      </c>
    </row>
    <row r="309" hidden="1">
      <c r="A309" s="75">
        <v>303.0</v>
      </c>
      <c r="B309" s="62" t="s">
        <v>244</v>
      </c>
      <c r="C309" s="62" t="s">
        <v>109</v>
      </c>
      <c r="D309" s="62" t="s">
        <v>254</v>
      </c>
      <c r="E309" s="76">
        <v>43978.0</v>
      </c>
      <c r="F309" s="77">
        <v>0.3958333333333333</v>
      </c>
      <c r="G309" s="62" t="b">
        <v>0</v>
      </c>
      <c r="H309" s="78" t="b">
        <f>IF(VLOOKUP(C309,Projetos!A:L,12,false)=TRUE,TRUE,FALSE)</f>
        <v>0</v>
      </c>
      <c r="I309" s="68">
        <v>48.38711890031264</v>
      </c>
      <c r="J309" s="68">
        <f t="shared" si="1"/>
        <v>0</v>
      </c>
      <c r="K309" s="68" t="b">
        <v>0</v>
      </c>
    </row>
    <row r="310" hidden="1">
      <c r="A310" s="75">
        <v>304.0</v>
      </c>
      <c r="B310" s="62" t="s">
        <v>244</v>
      </c>
      <c r="C310" s="62" t="s">
        <v>109</v>
      </c>
      <c r="D310" s="62" t="s">
        <v>254</v>
      </c>
      <c r="E310" s="76">
        <v>43979.0</v>
      </c>
      <c r="F310" s="77">
        <v>0.4375</v>
      </c>
      <c r="G310" s="62" t="b">
        <v>0</v>
      </c>
      <c r="H310" s="78" t="b">
        <f>IF(VLOOKUP(C310,Projetos!A:L,12,false)=TRUE,TRUE,FALSE)</f>
        <v>0</v>
      </c>
      <c r="I310" s="68">
        <v>48.38711890031264</v>
      </c>
      <c r="J310" s="68">
        <f t="shared" si="1"/>
        <v>0</v>
      </c>
      <c r="K310" s="68" t="b">
        <v>0</v>
      </c>
    </row>
    <row r="311" hidden="1">
      <c r="A311" s="75">
        <v>305.0</v>
      </c>
      <c r="B311" s="62" t="s">
        <v>244</v>
      </c>
      <c r="C311" s="62" t="s">
        <v>109</v>
      </c>
      <c r="D311" s="62" t="s">
        <v>255</v>
      </c>
      <c r="E311" s="76">
        <v>43980.0</v>
      </c>
      <c r="F311" s="77">
        <v>0.4166666666666667</v>
      </c>
      <c r="G311" s="62" t="b">
        <v>0</v>
      </c>
      <c r="H311" s="78" t="b">
        <f>IF(VLOOKUP(C311,Projetos!A:L,12,false)=TRUE,TRUE,FALSE)</f>
        <v>0</v>
      </c>
      <c r="I311" s="68">
        <v>48.38711890031264</v>
      </c>
      <c r="J311" s="68">
        <f t="shared" si="1"/>
        <v>0</v>
      </c>
      <c r="K311" s="68" t="b">
        <v>0</v>
      </c>
    </row>
    <row r="312" hidden="1">
      <c r="A312" s="75">
        <v>306.0</v>
      </c>
      <c r="B312" s="62" t="s">
        <v>244</v>
      </c>
      <c r="C312" s="62" t="s">
        <v>109</v>
      </c>
      <c r="D312" s="62" t="s">
        <v>256</v>
      </c>
      <c r="E312" s="76">
        <v>43983.0</v>
      </c>
      <c r="F312" s="77">
        <v>0.25</v>
      </c>
      <c r="G312" s="62" t="b">
        <v>0</v>
      </c>
      <c r="H312" s="78" t="b">
        <f>IF(VLOOKUP(C312,Projetos!A:L,12,false)=TRUE,TRUE,FALSE)</f>
        <v>0</v>
      </c>
      <c r="I312" s="68">
        <v>46.187704404843885</v>
      </c>
      <c r="J312" s="68">
        <f t="shared" si="1"/>
        <v>0</v>
      </c>
      <c r="K312" s="68" t="b">
        <v>0</v>
      </c>
    </row>
    <row r="313" hidden="1">
      <c r="A313" s="75">
        <v>307.0</v>
      </c>
      <c r="B313" s="62" t="s">
        <v>244</v>
      </c>
      <c r="C313" s="62" t="s">
        <v>109</v>
      </c>
      <c r="D313" s="62" t="s">
        <v>256</v>
      </c>
      <c r="E313" s="76">
        <v>43984.0</v>
      </c>
      <c r="F313" s="77">
        <v>0.2916666666666667</v>
      </c>
      <c r="G313" s="62" t="b">
        <v>0</v>
      </c>
      <c r="H313" s="78" t="b">
        <f>IF(VLOOKUP(C313,Projetos!A:L,12,false)=TRUE,TRUE,FALSE)</f>
        <v>0</v>
      </c>
      <c r="I313" s="68">
        <v>46.187704404843885</v>
      </c>
      <c r="J313" s="68">
        <f t="shared" si="1"/>
        <v>0</v>
      </c>
      <c r="K313" s="68" t="b">
        <v>0</v>
      </c>
    </row>
    <row r="314" hidden="1">
      <c r="A314" s="75">
        <v>308.0</v>
      </c>
      <c r="B314" s="62" t="s">
        <v>244</v>
      </c>
      <c r="C314" s="62" t="s">
        <v>109</v>
      </c>
      <c r="D314" s="62" t="s">
        <v>256</v>
      </c>
      <c r="E314" s="76">
        <v>43985.0</v>
      </c>
      <c r="F314" s="77">
        <v>0.125</v>
      </c>
      <c r="G314" s="62" t="b">
        <v>0</v>
      </c>
      <c r="H314" s="78" t="b">
        <f>IF(VLOOKUP(C314,Projetos!A:L,12,false)=TRUE,TRUE,FALSE)</f>
        <v>0</v>
      </c>
      <c r="I314" s="68">
        <v>46.187704404843885</v>
      </c>
      <c r="J314" s="68">
        <f t="shared" si="1"/>
        <v>0</v>
      </c>
      <c r="K314" s="68" t="b">
        <v>0</v>
      </c>
    </row>
    <row r="315" hidden="1">
      <c r="A315" s="75">
        <v>309.0</v>
      </c>
      <c r="B315" s="62" t="s">
        <v>244</v>
      </c>
      <c r="C315" s="62" t="s">
        <v>109</v>
      </c>
      <c r="D315" s="62" t="s">
        <v>256</v>
      </c>
      <c r="E315" s="76">
        <v>43986.0</v>
      </c>
      <c r="F315" s="77">
        <v>0.2708333333333333</v>
      </c>
      <c r="G315" s="62" t="b">
        <v>0</v>
      </c>
      <c r="H315" s="78" t="b">
        <f>IF(VLOOKUP(C315,Projetos!A:L,12,false)=TRUE,TRUE,FALSE)</f>
        <v>0</v>
      </c>
      <c r="I315" s="68">
        <v>46.187704404843885</v>
      </c>
      <c r="J315" s="68">
        <f t="shared" si="1"/>
        <v>0</v>
      </c>
      <c r="K315" s="68" t="b">
        <v>0</v>
      </c>
    </row>
    <row r="316" hidden="1">
      <c r="A316" s="75">
        <v>310.0</v>
      </c>
      <c r="B316" s="62" t="s">
        <v>244</v>
      </c>
      <c r="C316" s="62" t="s">
        <v>109</v>
      </c>
      <c r="D316" s="62" t="s">
        <v>256</v>
      </c>
      <c r="E316" s="76">
        <v>43987.0</v>
      </c>
      <c r="F316" s="77">
        <v>0.22916666666666666</v>
      </c>
      <c r="G316" s="62" t="b">
        <v>0</v>
      </c>
      <c r="H316" s="78" t="b">
        <f>IF(VLOOKUP(C316,Projetos!A:L,12,false)=TRUE,TRUE,FALSE)</f>
        <v>0</v>
      </c>
      <c r="I316" s="68">
        <v>46.187704404843885</v>
      </c>
      <c r="J316" s="68">
        <f t="shared" si="1"/>
        <v>0</v>
      </c>
      <c r="K316" s="68" t="b">
        <v>0</v>
      </c>
    </row>
    <row r="317" hidden="1">
      <c r="A317" s="75">
        <v>311.0</v>
      </c>
      <c r="B317" s="62" t="s">
        <v>244</v>
      </c>
      <c r="C317" s="62" t="s">
        <v>109</v>
      </c>
      <c r="D317" s="62" t="s">
        <v>256</v>
      </c>
      <c r="E317" s="76">
        <v>43988.0</v>
      </c>
      <c r="F317" s="77">
        <v>0.14583333333333334</v>
      </c>
      <c r="G317" s="62" t="b">
        <v>0</v>
      </c>
      <c r="H317" s="78" t="b">
        <f>IF(VLOOKUP(C317,Projetos!A:L,12,false)=TRUE,TRUE,FALSE)</f>
        <v>0</v>
      </c>
      <c r="I317" s="68">
        <v>46.187704404843885</v>
      </c>
      <c r="J317" s="68">
        <f t="shared" si="1"/>
        <v>0</v>
      </c>
      <c r="K317" s="68" t="b">
        <v>0</v>
      </c>
    </row>
    <row r="318" hidden="1">
      <c r="A318" s="75">
        <v>312.0</v>
      </c>
      <c r="B318" s="62" t="s">
        <v>244</v>
      </c>
      <c r="C318" s="62" t="s">
        <v>109</v>
      </c>
      <c r="D318" s="62" t="s">
        <v>256</v>
      </c>
      <c r="E318" s="76">
        <v>43991.0</v>
      </c>
      <c r="F318" s="77">
        <v>0.20833333333333334</v>
      </c>
      <c r="G318" s="62" t="b">
        <v>0</v>
      </c>
      <c r="H318" s="78" t="b">
        <f>IF(VLOOKUP(C318,Projetos!A:L,12,false)=TRUE,TRUE,FALSE)</f>
        <v>0</v>
      </c>
      <c r="I318" s="68">
        <v>46.187704404843885</v>
      </c>
      <c r="J318" s="68">
        <f t="shared" si="1"/>
        <v>0</v>
      </c>
      <c r="K318" s="68" t="b">
        <v>0</v>
      </c>
    </row>
    <row r="319" hidden="1">
      <c r="A319" s="75">
        <v>313.0</v>
      </c>
      <c r="B319" s="62" t="s">
        <v>244</v>
      </c>
      <c r="C319" s="62" t="s">
        <v>109</v>
      </c>
      <c r="D319" s="62" t="s">
        <v>256</v>
      </c>
      <c r="E319" s="76">
        <v>43993.0</v>
      </c>
      <c r="F319" s="77">
        <v>0.16666666666666666</v>
      </c>
      <c r="G319" s="62" t="b">
        <v>0</v>
      </c>
      <c r="H319" s="78" t="b">
        <f>IF(VLOOKUP(C319,Projetos!A:L,12,false)=TRUE,TRUE,FALSE)</f>
        <v>0</v>
      </c>
      <c r="I319" s="68">
        <v>46.187704404843885</v>
      </c>
      <c r="J319" s="68">
        <f t="shared" si="1"/>
        <v>0</v>
      </c>
      <c r="K319" s="68" t="b">
        <v>0</v>
      </c>
    </row>
    <row r="320" hidden="1">
      <c r="A320" s="75">
        <v>314.0</v>
      </c>
      <c r="B320" s="62" t="s">
        <v>244</v>
      </c>
      <c r="C320" s="62" t="s">
        <v>109</v>
      </c>
      <c r="D320" s="62" t="s">
        <v>256</v>
      </c>
      <c r="E320" s="76">
        <v>43994.0</v>
      </c>
      <c r="F320" s="77">
        <v>0.16666666666666666</v>
      </c>
      <c r="G320" s="62" t="b">
        <v>0</v>
      </c>
      <c r="H320" s="78" t="b">
        <f>IF(VLOOKUP(C320,Projetos!A:L,12,false)=TRUE,TRUE,FALSE)</f>
        <v>0</v>
      </c>
      <c r="I320" s="68">
        <v>46.187704404843885</v>
      </c>
      <c r="J320" s="68">
        <f t="shared" si="1"/>
        <v>0</v>
      </c>
      <c r="K320" s="68" t="b">
        <v>0</v>
      </c>
    </row>
    <row r="321" hidden="1">
      <c r="A321" s="75">
        <v>315.0</v>
      </c>
      <c r="B321" s="62" t="s">
        <v>244</v>
      </c>
      <c r="C321" s="62" t="s">
        <v>109</v>
      </c>
      <c r="D321" s="62" t="s">
        <v>256</v>
      </c>
      <c r="E321" s="76">
        <v>43997.0</v>
      </c>
      <c r="F321" s="77">
        <v>0.125</v>
      </c>
      <c r="G321" s="62" t="b">
        <v>0</v>
      </c>
      <c r="H321" s="78" t="b">
        <f>IF(VLOOKUP(C321,Projetos!A:L,12,false)=TRUE,TRUE,FALSE)</f>
        <v>0</v>
      </c>
      <c r="I321" s="68">
        <v>46.187704404843885</v>
      </c>
      <c r="J321" s="68">
        <f t="shared" si="1"/>
        <v>0</v>
      </c>
      <c r="K321" s="68" t="b">
        <v>0</v>
      </c>
    </row>
    <row r="322" hidden="1">
      <c r="A322" s="75">
        <v>316.0</v>
      </c>
      <c r="B322" s="62" t="s">
        <v>244</v>
      </c>
      <c r="C322" s="62" t="s">
        <v>109</v>
      </c>
      <c r="D322" s="62" t="s">
        <v>256</v>
      </c>
      <c r="E322" s="76">
        <v>43999.0</v>
      </c>
      <c r="F322" s="77">
        <v>0.14583333333333334</v>
      </c>
      <c r="G322" s="62" t="b">
        <v>0</v>
      </c>
      <c r="H322" s="78" t="b">
        <f>IF(VLOOKUP(C322,Projetos!A:L,12,false)=TRUE,TRUE,FALSE)</f>
        <v>0</v>
      </c>
      <c r="I322" s="68">
        <v>46.187704404843885</v>
      </c>
      <c r="J322" s="68">
        <f t="shared" si="1"/>
        <v>0</v>
      </c>
      <c r="K322" s="68" t="b">
        <v>0</v>
      </c>
    </row>
    <row r="323" hidden="1">
      <c r="A323" s="75">
        <v>317.0</v>
      </c>
      <c r="B323" s="62" t="s">
        <v>244</v>
      </c>
      <c r="C323" s="62" t="s">
        <v>109</v>
      </c>
      <c r="D323" s="62" t="s">
        <v>256</v>
      </c>
      <c r="E323" s="76">
        <v>44000.0</v>
      </c>
      <c r="F323" s="77">
        <v>0.0625</v>
      </c>
      <c r="G323" s="62" t="b">
        <v>0</v>
      </c>
      <c r="H323" s="78" t="b">
        <f>IF(VLOOKUP(C323,Projetos!A:L,12,false)=TRUE,TRUE,FALSE)</f>
        <v>0</v>
      </c>
      <c r="I323" s="68">
        <v>46.187704404843885</v>
      </c>
      <c r="J323" s="68">
        <f t="shared" si="1"/>
        <v>0</v>
      </c>
      <c r="K323" s="68" t="b">
        <v>0</v>
      </c>
    </row>
    <row r="324" hidden="1">
      <c r="A324" s="75">
        <v>318.0</v>
      </c>
      <c r="B324" s="62" t="s">
        <v>244</v>
      </c>
      <c r="C324" s="62" t="s">
        <v>109</v>
      </c>
      <c r="D324" s="62" t="s">
        <v>246</v>
      </c>
      <c r="E324" s="76">
        <v>44005.0</v>
      </c>
      <c r="F324" s="77">
        <v>0.10416666666666667</v>
      </c>
      <c r="G324" s="62" t="b">
        <v>0</v>
      </c>
      <c r="H324" s="78" t="b">
        <f>IF(VLOOKUP(C324,Projetos!A:L,12,false)=TRUE,TRUE,FALSE)</f>
        <v>0</v>
      </c>
      <c r="I324" s="68">
        <v>46.187704404843885</v>
      </c>
      <c r="J324" s="68">
        <f t="shared" si="1"/>
        <v>0</v>
      </c>
      <c r="K324" s="68" t="b">
        <v>0</v>
      </c>
    </row>
    <row r="325" hidden="1">
      <c r="A325" s="75">
        <v>319.0</v>
      </c>
      <c r="B325" s="62" t="s">
        <v>244</v>
      </c>
      <c r="C325" s="62" t="s">
        <v>109</v>
      </c>
      <c r="D325" s="62" t="s">
        <v>246</v>
      </c>
      <c r="E325" s="76">
        <v>44006.0</v>
      </c>
      <c r="F325" s="77">
        <v>0.06944444444444445</v>
      </c>
      <c r="G325" s="62" t="b">
        <v>0</v>
      </c>
      <c r="H325" s="78" t="b">
        <f>IF(VLOOKUP(C325,Projetos!A:L,12,false)=TRUE,TRUE,FALSE)</f>
        <v>0</v>
      </c>
      <c r="I325" s="68">
        <v>46.187704404843885</v>
      </c>
      <c r="J325" s="68">
        <f t="shared" si="1"/>
        <v>0</v>
      </c>
      <c r="K325" s="68" t="b">
        <v>0</v>
      </c>
    </row>
    <row r="326" hidden="1">
      <c r="A326" s="75">
        <v>320.0</v>
      </c>
      <c r="B326" s="62" t="s">
        <v>244</v>
      </c>
      <c r="C326" s="62" t="s">
        <v>109</v>
      </c>
      <c r="D326" s="62" t="s">
        <v>246</v>
      </c>
      <c r="E326" s="76">
        <v>44008.0</v>
      </c>
      <c r="F326" s="77">
        <v>0.05555555555555555</v>
      </c>
      <c r="G326" s="62" t="b">
        <v>0</v>
      </c>
      <c r="H326" s="78" t="b">
        <f>IF(VLOOKUP(C326,Projetos!A:L,12,false)=TRUE,TRUE,FALSE)</f>
        <v>0</v>
      </c>
      <c r="I326" s="68">
        <v>46.187704404843885</v>
      </c>
      <c r="J326" s="68">
        <f t="shared" si="1"/>
        <v>0</v>
      </c>
      <c r="K326" s="68" t="b">
        <v>0</v>
      </c>
    </row>
    <row r="327" hidden="1">
      <c r="A327" s="75">
        <v>321.0</v>
      </c>
      <c r="B327" s="62" t="s">
        <v>244</v>
      </c>
      <c r="C327" s="62" t="s">
        <v>109</v>
      </c>
      <c r="D327" s="62" t="s">
        <v>257</v>
      </c>
      <c r="E327" s="76">
        <v>43958.0</v>
      </c>
      <c r="F327" s="77">
        <v>0.125</v>
      </c>
      <c r="G327" s="62" t="b">
        <v>0</v>
      </c>
      <c r="H327" s="78" t="b">
        <f>IF(VLOOKUP(C327,Projetos!A:L,12,false)=TRUE,TRUE,FALSE)</f>
        <v>0</v>
      </c>
      <c r="I327" s="68">
        <v>48.38711890031264</v>
      </c>
      <c r="J327" s="68">
        <f t="shared" si="1"/>
        <v>0</v>
      </c>
      <c r="K327" s="68" t="b">
        <v>0</v>
      </c>
    </row>
    <row r="328" hidden="1">
      <c r="A328" s="75">
        <v>322.0</v>
      </c>
      <c r="B328" s="62" t="s">
        <v>244</v>
      </c>
      <c r="C328" s="62" t="s">
        <v>109</v>
      </c>
      <c r="D328" s="62" t="s">
        <v>257</v>
      </c>
      <c r="E328" s="76">
        <v>43959.0</v>
      </c>
      <c r="F328" s="77">
        <v>0.22916666666666666</v>
      </c>
      <c r="G328" s="62" t="b">
        <v>0</v>
      </c>
      <c r="H328" s="78" t="b">
        <f>IF(VLOOKUP(C328,Projetos!A:L,12,false)=TRUE,TRUE,FALSE)</f>
        <v>0</v>
      </c>
      <c r="I328" s="68">
        <v>48.38711890031264</v>
      </c>
      <c r="J328" s="68">
        <f t="shared" si="1"/>
        <v>0</v>
      </c>
      <c r="K328" s="68" t="b">
        <v>0</v>
      </c>
    </row>
    <row r="329" hidden="1">
      <c r="A329" s="75">
        <v>323.0</v>
      </c>
      <c r="B329" s="62" t="s">
        <v>244</v>
      </c>
      <c r="C329" s="62" t="s">
        <v>109</v>
      </c>
      <c r="D329" s="62" t="s">
        <v>257</v>
      </c>
      <c r="E329" s="76">
        <v>43960.0</v>
      </c>
      <c r="F329" s="77">
        <v>0.20833333333333334</v>
      </c>
      <c r="G329" s="62" t="b">
        <v>0</v>
      </c>
      <c r="H329" s="78" t="b">
        <f>IF(VLOOKUP(C329,Projetos!A:L,12,false)=TRUE,TRUE,FALSE)</f>
        <v>0</v>
      </c>
      <c r="I329" s="68">
        <v>48.38711890031264</v>
      </c>
      <c r="J329" s="68">
        <f t="shared" si="1"/>
        <v>0</v>
      </c>
      <c r="K329" s="68" t="b">
        <v>0</v>
      </c>
    </row>
    <row r="330" hidden="1">
      <c r="A330" s="75">
        <v>324.0</v>
      </c>
      <c r="B330" s="62" t="s">
        <v>244</v>
      </c>
      <c r="C330" s="62" t="s">
        <v>109</v>
      </c>
      <c r="D330" s="62" t="s">
        <v>258</v>
      </c>
      <c r="E330" s="76">
        <v>44060.0</v>
      </c>
      <c r="F330" s="77">
        <v>0.10416666666666667</v>
      </c>
      <c r="G330" s="62" t="b">
        <v>0</v>
      </c>
      <c r="H330" s="78" t="b">
        <f>IF(VLOOKUP(C330,Projetos!A:L,12,false)=TRUE,TRUE,FALSE)</f>
        <v>0</v>
      </c>
      <c r="I330" s="68">
        <v>48.38711890031264</v>
      </c>
      <c r="J330" s="68">
        <f t="shared" si="1"/>
        <v>0</v>
      </c>
      <c r="K330" s="68" t="b">
        <v>0</v>
      </c>
    </row>
    <row r="331" hidden="1">
      <c r="A331" s="75">
        <v>325.0</v>
      </c>
      <c r="B331" s="62" t="s">
        <v>244</v>
      </c>
      <c r="C331" s="62" t="s">
        <v>109</v>
      </c>
      <c r="D331" s="62" t="s">
        <v>258</v>
      </c>
      <c r="E331" s="76">
        <v>44061.0</v>
      </c>
      <c r="F331" s="77">
        <v>0.16666666666666666</v>
      </c>
      <c r="G331" s="62" t="b">
        <v>0</v>
      </c>
      <c r="H331" s="78" t="b">
        <f>IF(VLOOKUP(C331,Projetos!A:L,12,false)=TRUE,TRUE,FALSE)</f>
        <v>0</v>
      </c>
      <c r="I331" s="68">
        <v>48.38711890031264</v>
      </c>
      <c r="J331" s="68">
        <f t="shared" si="1"/>
        <v>0</v>
      </c>
      <c r="K331" s="68" t="b">
        <v>0</v>
      </c>
    </row>
    <row r="332" hidden="1">
      <c r="A332" s="75">
        <v>326.0</v>
      </c>
      <c r="B332" s="62" t="s">
        <v>244</v>
      </c>
      <c r="C332" s="62" t="s">
        <v>109</v>
      </c>
      <c r="D332" s="62" t="s">
        <v>258</v>
      </c>
      <c r="E332" s="76">
        <v>44062.0</v>
      </c>
      <c r="F332" s="77">
        <v>0.1875</v>
      </c>
      <c r="G332" s="62" t="b">
        <v>0</v>
      </c>
      <c r="H332" s="78" t="b">
        <f>IF(VLOOKUP(C332,Projetos!A:L,12,false)=TRUE,TRUE,FALSE)</f>
        <v>0</v>
      </c>
      <c r="I332" s="68">
        <v>48.38711890031264</v>
      </c>
      <c r="J332" s="68">
        <f t="shared" si="1"/>
        <v>0</v>
      </c>
      <c r="K332" s="68" t="b">
        <v>0</v>
      </c>
    </row>
    <row r="333" hidden="1">
      <c r="A333" s="75">
        <v>327.0</v>
      </c>
      <c r="B333" s="62" t="s">
        <v>244</v>
      </c>
      <c r="C333" s="62" t="s">
        <v>109</v>
      </c>
      <c r="D333" s="62" t="s">
        <v>258</v>
      </c>
      <c r="E333" s="76">
        <v>44063.0</v>
      </c>
      <c r="F333" s="77">
        <v>0.2916666666666667</v>
      </c>
      <c r="G333" s="62" t="b">
        <v>0</v>
      </c>
      <c r="H333" s="78" t="b">
        <f>IF(VLOOKUP(C333,Projetos!A:L,12,false)=TRUE,TRUE,FALSE)</f>
        <v>0</v>
      </c>
      <c r="I333" s="68">
        <v>48.38711890031264</v>
      </c>
      <c r="J333" s="68">
        <f t="shared" si="1"/>
        <v>0</v>
      </c>
      <c r="K333" s="68" t="b">
        <v>0</v>
      </c>
    </row>
    <row r="334" hidden="1">
      <c r="A334" s="75">
        <v>328.0</v>
      </c>
      <c r="B334" s="62" t="s">
        <v>244</v>
      </c>
      <c r="C334" s="62" t="s">
        <v>109</v>
      </c>
      <c r="D334" s="62" t="s">
        <v>258</v>
      </c>
      <c r="E334" s="76">
        <v>44064.0</v>
      </c>
      <c r="F334" s="77">
        <v>0.3020833333333333</v>
      </c>
      <c r="G334" s="62" t="b">
        <v>0</v>
      </c>
      <c r="H334" s="78" t="b">
        <f>IF(VLOOKUP(C334,Projetos!A:L,12,false)=TRUE,TRUE,FALSE)</f>
        <v>0</v>
      </c>
      <c r="I334" s="68">
        <v>48.38711890031264</v>
      </c>
      <c r="J334" s="68">
        <f t="shared" si="1"/>
        <v>0</v>
      </c>
      <c r="K334" s="68" t="b">
        <v>0</v>
      </c>
    </row>
    <row r="335" hidden="1">
      <c r="A335" s="75">
        <v>329.0</v>
      </c>
      <c r="B335" s="62" t="s">
        <v>244</v>
      </c>
      <c r="C335" s="62" t="s">
        <v>102</v>
      </c>
      <c r="D335" s="62" t="s">
        <v>259</v>
      </c>
      <c r="E335" s="76">
        <v>44046.0</v>
      </c>
      <c r="F335" s="77">
        <v>0.041666666666666664</v>
      </c>
      <c r="G335" s="62" t="b">
        <v>0</v>
      </c>
      <c r="H335" s="78" t="b">
        <f>IF(VLOOKUP(C335,Projetos!A:L,12,false)=TRUE,TRUE,FALSE)</f>
        <v>0</v>
      </c>
      <c r="I335" s="68">
        <v>48.38711890031264</v>
      </c>
      <c r="J335" s="68">
        <f t="shared" si="1"/>
        <v>0</v>
      </c>
      <c r="K335" s="68" t="b">
        <v>0</v>
      </c>
    </row>
    <row r="336" hidden="1">
      <c r="A336" s="75">
        <v>330.0</v>
      </c>
      <c r="B336" s="62" t="s">
        <v>244</v>
      </c>
      <c r="C336" s="62" t="s">
        <v>102</v>
      </c>
      <c r="D336" s="62" t="s">
        <v>259</v>
      </c>
      <c r="E336" s="76">
        <v>44047.0</v>
      </c>
      <c r="F336" s="77">
        <v>0.0625</v>
      </c>
      <c r="G336" s="62" t="b">
        <v>0</v>
      </c>
      <c r="H336" s="78" t="b">
        <f>IF(VLOOKUP(C336,Projetos!A:L,12,false)=TRUE,TRUE,FALSE)</f>
        <v>0</v>
      </c>
      <c r="I336" s="68">
        <v>48.38711890031264</v>
      </c>
      <c r="J336" s="68">
        <f t="shared" si="1"/>
        <v>0</v>
      </c>
      <c r="K336" s="68" t="b">
        <v>0</v>
      </c>
    </row>
    <row r="337" hidden="1">
      <c r="A337" s="75">
        <v>331.0</v>
      </c>
      <c r="B337" s="62" t="s">
        <v>244</v>
      </c>
      <c r="C337" s="62" t="s">
        <v>102</v>
      </c>
      <c r="D337" s="62" t="s">
        <v>260</v>
      </c>
      <c r="E337" s="76">
        <v>44048.0</v>
      </c>
      <c r="F337" s="77">
        <v>0.13541666666666666</v>
      </c>
      <c r="G337" s="62" t="b">
        <v>0</v>
      </c>
      <c r="H337" s="78" t="b">
        <f>IF(VLOOKUP(C337,Projetos!A:L,12,false)=TRUE,TRUE,FALSE)</f>
        <v>0</v>
      </c>
      <c r="I337" s="68">
        <v>48.38711890031264</v>
      </c>
      <c r="J337" s="68">
        <f t="shared" si="1"/>
        <v>0</v>
      </c>
      <c r="K337" s="68" t="b">
        <v>0</v>
      </c>
    </row>
    <row r="338" hidden="1">
      <c r="A338" s="75">
        <v>332.0</v>
      </c>
      <c r="B338" s="62" t="s">
        <v>244</v>
      </c>
      <c r="C338" s="62" t="s">
        <v>102</v>
      </c>
      <c r="D338" s="62" t="s">
        <v>260</v>
      </c>
      <c r="E338" s="76">
        <v>44049.0</v>
      </c>
      <c r="F338" s="77">
        <v>0.16666666666666666</v>
      </c>
      <c r="G338" s="62" t="b">
        <v>0</v>
      </c>
      <c r="H338" s="78" t="b">
        <f>IF(VLOOKUP(C338,Projetos!A:L,12,false)=TRUE,TRUE,FALSE)</f>
        <v>0</v>
      </c>
      <c r="I338" s="68">
        <v>48.38711890031264</v>
      </c>
      <c r="J338" s="68">
        <f t="shared" si="1"/>
        <v>0</v>
      </c>
      <c r="K338" s="68" t="b">
        <v>0</v>
      </c>
    </row>
    <row r="339" hidden="1">
      <c r="A339" s="75">
        <v>333.0</v>
      </c>
      <c r="B339" s="62" t="s">
        <v>244</v>
      </c>
      <c r="C339" s="62" t="s">
        <v>102</v>
      </c>
      <c r="D339" s="62" t="s">
        <v>260</v>
      </c>
      <c r="E339" s="76">
        <v>44051.0</v>
      </c>
      <c r="F339" s="77">
        <v>0.10416666666666667</v>
      </c>
      <c r="G339" s="62" t="b">
        <v>0</v>
      </c>
      <c r="H339" s="78" t="b">
        <f>IF(VLOOKUP(C339,Projetos!A:L,12,false)=TRUE,TRUE,FALSE)</f>
        <v>0</v>
      </c>
      <c r="I339" s="68">
        <v>48.38711890031264</v>
      </c>
      <c r="J339" s="68">
        <f t="shared" si="1"/>
        <v>0</v>
      </c>
      <c r="K339" s="68" t="b">
        <v>0</v>
      </c>
    </row>
    <row r="340" hidden="1">
      <c r="A340" s="75">
        <v>334.0</v>
      </c>
      <c r="B340" s="62" t="s">
        <v>244</v>
      </c>
      <c r="C340" s="62" t="s">
        <v>102</v>
      </c>
      <c r="D340" s="62" t="s">
        <v>260</v>
      </c>
      <c r="E340" s="76">
        <v>44053.0</v>
      </c>
      <c r="F340" s="77">
        <v>0.22916666666666666</v>
      </c>
      <c r="G340" s="62" t="b">
        <v>0</v>
      </c>
      <c r="H340" s="78" t="b">
        <f>IF(VLOOKUP(C340,Projetos!A:L,12,false)=TRUE,TRUE,FALSE)</f>
        <v>0</v>
      </c>
      <c r="I340" s="68">
        <v>48.38711890031264</v>
      </c>
      <c r="J340" s="68">
        <f t="shared" si="1"/>
        <v>0</v>
      </c>
      <c r="K340" s="68" t="b">
        <v>0</v>
      </c>
    </row>
    <row r="341" hidden="1">
      <c r="A341" s="75">
        <v>335.0</v>
      </c>
      <c r="B341" s="62" t="s">
        <v>244</v>
      </c>
      <c r="C341" s="62" t="s">
        <v>109</v>
      </c>
      <c r="D341" s="62" t="s">
        <v>261</v>
      </c>
      <c r="E341" s="76">
        <v>44077.0</v>
      </c>
      <c r="F341" s="77">
        <v>0.10416666666666667</v>
      </c>
      <c r="G341" s="62" t="b">
        <v>0</v>
      </c>
      <c r="H341" s="78" t="b">
        <f>IF(VLOOKUP(C341,Projetos!A:L,12,false)=TRUE,TRUE,FALSE)</f>
        <v>0</v>
      </c>
      <c r="I341" s="68">
        <v>49.88272407598714</v>
      </c>
      <c r="J341" s="68">
        <f t="shared" si="1"/>
        <v>0</v>
      </c>
      <c r="K341" s="68" t="b">
        <v>0</v>
      </c>
    </row>
    <row r="342" hidden="1">
      <c r="A342" s="75">
        <v>336.0</v>
      </c>
      <c r="B342" s="62" t="s">
        <v>244</v>
      </c>
      <c r="C342" s="62" t="s">
        <v>109</v>
      </c>
      <c r="D342" s="62" t="s">
        <v>261</v>
      </c>
      <c r="E342" s="76">
        <v>44078.0</v>
      </c>
      <c r="F342" s="77">
        <v>0.10416666666666667</v>
      </c>
      <c r="G342" s="62" t="b">
        <v>0</v>
      </c>
      <c r="H342" s="78" t="b">
        <f>IF(VLOOKUP(C342,Projetos!A:L,12,false)=TRUE,TRUE,FALSE)</f>
        <v>0</v>
      </c>
      <c r="I342" s="68">
        <v>49.88272407598714</v>
      </c>
      <c r="J342" s="68">
        <f t="shared" si="1"/>
        <v>0</v>
      </c>
      <c r="K342" s="68" t="b">
        <v>0</v>
      </c>
    </row>
    <row r="343" hidden="1">
      <c r="A343" s="75">
        <v>337.0</v>
      </c>
      <c r="B343" s="62" t="s">
        <v>244</v>
      </c>
      <c r="C343" s="62" t="s">
        <v>109</v>
      </c>
      <c r="D343" s="62" t="s">
        <v>262</v>
      </c>
      <c r="E343" s="76">
        <v>44088.0</v>
      </c>
      <c r="F343" s="77">
        <v>0.125</v>
      </c>
      <c r="G343" s="62" t="b">
        <v>0</v>
      </c>
      <c r="H343" s="78" t="b">
        <f>IF(VLOOKUP(C343,Projetos!A:L,12,false)=TRUE,TRUE,FALSE)</f>
        <v>0</v>
      </c>
      <c r="I343" s="68">
        <v>49.88272407598714</v>
      </c>
      <c r="J343" s="68">
        <f t="shared" si="1"/>
        <v>0</v>
      </c>
      <c r="K343" s="68" t="b">
        <v>0</v>
      </c>
    </row>
    <row r="344" hidden="1">
      <c r="A344" s="75">
        <v>338.0</v>
      </c>
      <c r="B344" s="62" t="s">
        <v>244</v>
      </c>
      <c r="C344" s="62" t="s">
        <v>109</v>
      </c>
      <c r="D344" s="62" t="s">
        <v>263</v>
      </c>
      <c r="E344" s="76">
        <v>44089.0</v>
      </c>
      <c r="F344" s="77">
        <v>0.09722222222222222</v>
      </c>
      <c r="G344" s="62" t="b">
        <v>0</v>
      </c>
      <c r="H344" s="78" t="b">
        <f>IF(VLOOKUP(C344,Projetos!A:L,12,false)=TRUE,TRUE,FALSE)</f>
        <v>0</v>
      </c>
      <c r="I344" s="68">
        <v>49.88272407598714</v>
      </c>
      <c r="J344" s="68">
        <f t="shared" si="1"/>
        <v>0</v>
      </c>
      <c r="K344" s="68" t="b">
        <v>0</v>
      </c>
    </row>
    <row r="345" hidden="1">
      <c r="A345" s="75">
        <v>339.0</v>
      </c>
      <c r="B345" s="62" t="s">
        <v>244</v>
      </c>
      <c r="C345" s="62" t="s">
        <v>109</v>
      </c>
      <c r="D345" s="62" t="s">
        <v>264</v>
      </c>
      <c r="E345" s="76">
        <v>44089.0</v>
      </c>
      <c r="F345" s="77">
        <v>0.10416666666666667</v>
      </c>
      <c r="G345" s="62" t="b">
        <v>0</v>
      </c>
      <c r="H345" s="78" t="b">
        <f>IF(VLOOKUP(C345,Projetos!A:L,12,false)=TRUE,TRUE,FALSE)</f>
        <v>0</v>
      </c>
      <c r="I345" s="68">
        <v>49.88272407598714</v>
      </c>
      <c r="J345" s="68">
        <f t="shared" si="1"/>
        <v>0</v>
      </c>
      <c r="K345" s="68" t="b">
        <v>0</v>
      </c>
    </row>
    <row r="346" hidden="1">
      <c r="A346" s="75">
        <v>340.0</v>
      </c>
      <c r="B346" s="62" t="s">
        <v>244</v>
      </c>
      <c r="C346" s="62" t="s">
        <v>102</v>
      </c>
      <c r="D346" s="62" t="s">
        <v>265</v>
      </c>
      <c r="E346" s="76">
        <v>43998.0</v>
      </c>
      <c r="F346" s="77">
        <v>0.3854166666666667</v>
      </c>
      <c r="G346" s="62" t="b">
        <v>0</v>
      </c>
      <c r="H346" s="78" t="b">
        <f>IF(VLOOKUP(C346,Projetos!A:L,12,false)=TRUE,TRUE,FALSE)</f>
        <v>0</v>
      </c>
      <c r="I346" s="68">
        <v>46.187704404843885</v>
      </c>
      <c r="J346" s="68">
        <f t="shared" si="1"/>
        <v>0</v>
      </c>
      <c r="K346" s="68" t="b">
        <v>0</v>
      </c>
    </row>
    <row r="347" hidden="1">
      <c r="A347" s="75">
        <v>341.0</v>
      </c>
      <c r="B347" s="62" t="s">
        <v>244</v>
      </c>
      <c r="C347" s="62" t="s">
        <v>108</v>
      </c>
      <c r="D347" s="62" t="s">
        <v>266</v>
      </c>
      <c r="E347" s="76">
        <v>44097.0</v>
      </c>
      <c r="F347" s="77">
        <v>0.08333333333333333</v>
      </c>
      <c r="G347" s="62" t="b">
        <v>0</v>
      </c>
      <c r="H347" s="78" t="b">
        <f>IF(VLOOKUP(C347,Projetos!A:L,12,false)=TRUE,TRUE,FALSE)</f>
        <v>1</v>
      </c>
      <c r="I347" s="68">
        <v>49.88272407598714</v>
      </c>
      <c r="J347" s="68">
        <f t="shared" si="1"/>
        <v>0</v>
      </c>
      <c r="K347" s="68" t="b">
        <v>1</v>
      </c>
    </row>
    <row r="348" hidden="1">
      <c r="A348" s="75">
        <v>342.0</v>
      </c>
      <c r="B348" s="62" t="s">
        <v>244</v>
      </c>
      <c r="C348" s="62" t="s">
        <v>108</v>
      </c>
      <c r="D348" s="62" t="s">
        <v>266</v>
      </c>
      <c r="E348" s="76">
        <v>44103.0</v>
      </c>
      <c r="F348" s="77">
        <v>0.10416666666666667</v>
      </c>
      <c r="G348" s="62" t="b">
        <v>0</v>
      </c>
      <c r="H348" s="78" t="b">
        <f>IF(VLOOKUP(C348,Projetos!A:L,12,false)=TRUE,TRUE,FALSE)</f>
        <v>1</v>
      </c>
      <c r="I348" s="68">
        <v>49.88272407598714</v>
      </c>
      <c r="J348" s="68">
        <f t="shared" si="1"/>
        <v>0</v>
      </c>
      <c r="K348" s="68" t="b">
        <v>1</v>
      </c>
    </row>
    <row r="349" hidden="1">
      <c r="A349" s="75">
        <v>343.0</v>
      </c>
      <c r="B349" s="62" t="s">
        <v>244</v>
      </c>
      <c r="C349" s="62" t="s">
        <v>83</v>
      </c>
      <c r="D349" s="62" t="s">
        <v>267</v>
      </c>
      <c r="E349" s="76">
        <v>44103.0</v>
      </c>
      <c r="F349" s="77">
        <v>0.0625</v>
      </c>
      <c r="G349" s="62" t="b">
        <v>0</v>
      </c>
      <c r="H349" s="78" t="b">
        <f>IF(VLOOKUP(C349,Projetos!A:L,12,false)=TRUE,TRUE,FALSE)</f>
        <v>0</v>
      </c>
      <c r="I349" s="68">
        <v>49.88272407598714</v>
      </c>
      <c r="J349" s="68">
        <f t="shared" si="1"/>
        <v>0</v>
      </c>
      <c r="K349" s="68" t="b">
        <v>0</v>
      </c>
    </row>
    <row r="350" hidden="1">
      <c r="A350" s="75">
        <v>344.0</v>
      </c>
      <c r="B350" s="62" t="s">
        <v>244</v>
      </c>
      <c r="C350" s="62" t="s">
        <v>83</v>
      </c>
      <c r="D350" s="62" t="s">
        <v>267</v>
      </c>
      <c r="E350" s="76">
        <v>44104.0</v>
      </c>
      <c r="F350" s="77">
        <v>0.10416666666666667</v>
      </c>
      <c r="G350" s="62" t="b">
        <v>0</v>
      </c>
      <c r="H350" s="78" t="b">
        <f>IF(VLOOKUP(C350,Projetos!A:L,12,false)=TRUE,TRUE,FALSE)</f>
        <v>0</v>
      </c>
      <c r="I350" s="68">
        <v>49.88272407598714</v>
      </c>
      <c r="J350" s="68">
        <f t="shared" si="1"/>
        <v>0</v>
      </c>
      <c r="K350" s="68" t="b">
        <v>0</v>
      </c>
    </row>
    <row r="351" hidden="1">
      <c r="A351" s="75">
        <v>345.0</v>
      </c>
      <c r="B351" s="62" t="s">
        <v>244</v>
      </c>
      <c r="C351" s="62" t="s">
        <v>102</v>
      </c>
      <c r="D351" s="62" t="s">
        <v>268</v>
      </c>
      <c r="E351" s="76">
        <v>44109.0</v>
      </c>
      <c r="F351" s="77">
        <v>0.1875</v>
      </c>
      <c r="G351" s="62" t="b">
        <v>0</v>
      </c>
      <c r="H351" s="78" t="b">
        <f>IF(VLOOKUP(C351,Projetos!A:L,12,false)=TRUE,TRUE,FALSE)</f>
        <v>0</v>
      </c>
      <c r="I351" s="68">
        <v>52.25809188912939</v>
      </c>
      <c r="J351" s="68">
        <f t="shared" si="1"/>
        <v>0</v>
      </c>
      <c r="K351" s="68" t="b">
        <v>0</v>
      </c>
    </row>
    <row r="352">
      <c r="A352" s="75">
        <v>346.0</v>
      </c>
      <c r="B352" s="62" t="s">
        <v>244</v>
      </c>
      <c r="C352" s="62" t="s">
        <v>104</v>
      </c>
      <c r="D352" s="62" t="s">
        <v>269</v>
      </c>
      <c r="E352" s="76">
        <v>44111.0</v>
      </c>
      <c r="F352" s="77">
        <v>0.08333333333333333</v>
      </c>
      <c r="G352" s="62" t="b">
        <v>1</v>
      </c>
      <c r="H352" s="78" t="b">
        <f>IF(VLOOKUP(C352,Projetos!A:L,12,false)=TRUE,TRUE,FALSE)</f>
        <v>1</v>
      </c>
      <c r="I352" s="68">
        <v>52.25809188912939</v>
      </c>
      <c r="J352" s="68">
        <f t="shared" si="1"/>
        <v>104.5161838</v>
      </c>
      <c r="K352" s="68" t="b">
        <v>1</v>
      </c>
    </row>
    <row r="353">
      <c r="A353" s="75">
        <v>347.0</v>
      </c>
      <c r="B353" s="62" t="s">
        <v>244</v>
      </c>
      <c r="C353" s="62" t="s">
        <v>104</v>
      </c>
      <c r="D353" s="62" t="s">
        <v>269</v>
      </c>
      <c r="E353" s="76">
        <v>44112.0</v>
      </c>
      <c r="F353" s="77">
        <v>0.08333333333333333</v>
      </c>
      <c r="G353" s="62" t="b">
        <v>1</v>
      </c>
      <c r="H353" s="78" t="b">
        <f>IF(VLOOKUP(C353,Projetos!A:L,12,false)=TRUE,TRUE,FALSE)</f>
        <v>1</v>
      </c>
      <c r="I353" s="68">
        <v>52.25809188912939</v>
      </c>
      <c r="J353" s="68">
        <f t="shared" si="1"/>
        <v>104.5161838</v>
      </c>
      <c r="K353" s="68" t="b">
        <v>1</v>
      </c>
    </row>
    <row r="354" hidden="1">
      <c r="A354" s="75">
        <v>348.0</v>
      </c>
      <c r="B354" s="62" t="s">
        <v>244</v>
      </c>
      <c r="C354" s="62" t="s">
        <v>108</v>
      </c>
      <c r="D354" s="62" t="s">
        <v>270</v>
      </c>
      <c r="E354" s="76">
        <v>44116.0</v>
      </c>
      <c r="F354" s="77">
        <v>0.14583333333333334</v>
      </c>
      <c r="G354" s="62" t="b">
        <v>0</v>
      </c>
      <c r="H354" s="78" t="b">
        <f>IF(VLOOKUP(C354,Projetos!A:L,12,false)=TRUE,TRUE,FALSE)</f>
        <v>1</v>
      </c>
      <c r="I354" s="68">
        <v>52.25809188912939</v>
      </c>
      <c r="J354" s="68">
        <f t="shared" si="1"/>
        <v>0</v>
      </c>
      <c r="K354" s="68" t="b">
        <v>1</v>
      </c>
    </row>
    <row r="355" hidden="1">
      <c r="A355" s="75">
        <v>349.0</v>
      </c>
      <c r="B355" s="62" t="s">
        <v>244</v>
      </c>
      <c r="C355" s="62" t="s">
        <v>108</v>
      </c>
      <c r="D355" s="62" t="s">
        <v>270</v>
      </c>
      <c r="E355" s="76">
        <v>44117.0</v>
      </c>
      <c r="F355" s="77">
        <v>0.25</v>
      </c>
      <c r="G355" s="62" t="b">
        <v>0</v>
      </c>
      <c r="H355" s="78" t="b">
        <f>IF(VLOOKUP(C355,Projetos!A:L,12,false)=TRUE,TRUE,FALSE)</f>
        <v>1</v>
      </c>
      <c r="I355" s="68">
        <v>52.25809188912939</v>
      </c>
      <c r="J355" s="68">
        <f t="shared" si="1"/>
        <v>0</v>
      </c>
      <c r="K355" s="68" t="b">
        <v>1</v>
      </c>
    </row>
    <row r="356" hidden="1">
      <c r="A356" s="75">
        <v>350.0</v>
      </c>
      <c r="B356" s="62" t="s">
        <v>244</v>
      </c>
      <c r="C356" s="62" t="s">
        <v>103</v>
      </c>
      <c r="D356" s="62" t="s">
        <v>271</v>
      </c>
      <c r="E356" s="76">
        <v>44123.0</v>
      </c>
      <c r="F356" s="77">
        <v>0.2916666666666667</v>
      </c>
      <c r="G356" s="62" t="b">
        <v>0</v>
      </c>
      <c r="H356" s="78" t="b">
        <f>IF(VLOOKUP(C356,Projetos!A:L,12,false)=TRUE,TRUE,FALSE)</f>
        <v>1</v>
      </c>
      <c r="I356" s="68">
        <v>52.25809188912939</v>
      </c>
      <c r="J356" s="68">
        <f t="shared" si="1"/>
        <v>0</v>
      </c>
      <c r="K356" s="68" t="b">
        <v>1</v>
      </c>
    </row>
    <row r="357" hidden="1">
      <c r="A357" s="75">
        <v>351.0</v>
      </c>
      <c r="B357" s="62" t="s">
        <v>244</v>
      </c>
      <c r="C357" s="62" t="s">
        <v>103</v>
      </c>
      <c r="D357" s="62" t="s">
        <v>271</v>
      </c>
      <c r="E357" s="76">
        <v>44124.0</v>
      </c>
      <c r="F357" s="77">
        <v>0.16666666666666666</v>
      </c>
      <c r="G357" s="62" t="b">
        <v>0</v>
      </c>
      <c r="H357" s="78" t="b">
        <f>IF(VLOOKUP(C357,Projetos!A:L,12,false)=TRUE,TRUE,FALSE)</f>
        <v>1</v>
      </c>
      <c r="I357" s="68">
        <v>52.25809188912939</v>
      </c>
      <c r="J357" s="68">
        <f t="shared" si="1"/>
        <v>0</v>
      </c>
      <c r="K357" s="68" t="b">
        <v>1</v>
      </c>
    </row>
    <row r="358" hidden="1">
      <c r="A358" s="75">
        <v>352.0</v>
      </c>
      <c r="B358" s="62" t="s">
        <v>244</v>
      </c>
      <c r="C358" s="62" t="s">
        <v>108</v>
      </c>
      <c r="D358" s="62" t="s">
        <v>270</v>
      </c>
      <c r="E358" s="76">
        <v>44125.0</v>
      </c>
      <c r="F358" s="77">
        <v>0.10416666666666667</v>
      </c>
      <c r="G358" s="62" t="b">
        <v>0</v>
      </c>
      <c r="H358" s="78" t="b">
        <f>IF(VLOOKUP(C358,Projetos!A:L,12,false)=TRUE,TRUE,FALSE)</f>
        <v>1</v>
      </c>
      <c r="I358" s="68">
        <v>52.25809188912939</v>
      </c>
      <c r="J358" s="68">
        <f t="shared" si="1"/>
        <v>0</v>
      </c>
      <c r="K358" s="68" t="b">
        <v>1</v>
      </c>
    </row>
    <row r="359" hidden="1">
      <c r="A359" s="75">
        <v>353.0</v>
      </c>
      <c r="B359" s="62" t="s">
        <v>244</v>
      </c>
      <c r="C359" s="62" t="s">
        <v>108</v>
      </c>
      <c r="D359" s="62" t="s">
        <v>270</v>
      </c>
      <c r="E359" s="76">
        <v>44127.0</v>
      </c>
      <c r="F359" s="77">
        <v>0.10416666666666667</v>
      </c>
      <c r="G359" s="62" t="b">
        <v>0</v>
      </c>
      <c r="H359" s="78" t="b">
        <f>IF(VLOOKUP(C359,Projetos!A:L,12,false)=TRUE,TRUE,FALSE)</f>
        <v>1</v>
      </c>
      <c r="I359" s="68">
        <v>52.25809188912939</v>
      </c>
      <c r="J359" s="68">
        <f t="shared" si="1"/>
        <v>0</v>
      </c>
      <c r="K359" s="68" t="b">
        <v>1</v>
      </c>
    </row>
    <row r="360" hidden="1">
      <c r="A360" s="75">
        <v>354.0</v>
      </c>
      <c r="B360" s="62" t="s">
        <v>244</v>
      </c>
      <c r="C360" s="62" t="s">
        <v>102</v>
      </c>
      <c r="D360" s="62" t="s">
        <v>272</v>
      </c>
      <c r="E360" s="76">
        <v>44130.0</v>
      </c>
      <c r="F360" s="77">
        <v>0.1875</v>
      </c>
      <c r="G360" s="62" t="b">
        <v>0</v>
      </c>
      <c r="H360" s="78" t="b">
        <f>IF(VLOOKUP(C360,Projetos!A:L,12,false)=TRUE,TRUE,FALSE)</f>
        <v>0</v>
      </c>
      <c r="I360" s="68">
        <v>52.25809188912939</v>
      </c>
      <c r="J360" s="68">
        <f t="shared" si="1"/>
        <v>0</v>
      </c>
      <c r="K360" s="68" t="b">
        <v>0</v>
      </c>
    </row>
    <row r="361" hidden="1">
      <c r="A361" s="75">
        <v>355.0</v>
      </c>
      <c r="B361" s="62" t="s">
        <v>244</v>
      </c>
      <c r="C361" s="62" t="s">
        <v>108</v>
      </c>
      <c r="D361" s="62" t="s">
        <v>270</v>
      </c>
      <c r="E361" s="76">
        <v>44132.0</v>
      </c>
      <c r="F361" s="77">
        <v>0.125</v>
      </c>
      <c r="G361" s="62" t="b">
        <v>0</v>
      </c>
      <c r="H361" s="78" t="b">
        <f>IF(VLOOKUP(C361,Projetos!A:L,12,false)=TRUE,TRUE,FALSE)</f>
        <v>1</v>
      </c>
      <c r="I361" s="68">
        <v>52.25809188912939</v>
      </c>
      <c r="J361" s="68">
        <f t="shared" si="1"/>
        <v>0</v>
      </c>
      <c r="K361" s="68" t="b">
        <v>1</v>
      </c>
    </row>
    <row r="362" hidden="1">
      <c r="A362" s="75">
        <v>356.0</v>
      </c>
      <c r="B362" s="62" t="s">
        <v>244</v>
      </c>
      <c r="C362" s="62" t="s">
        <v>108</v>
      </c>
      <c r="D362" s="62" t="s">
        <v>270</v>
      </c>
      <c r="E362" s="76">
        <v>44133.0</v>
      </c>
      <c r="F362" s="77">
        <v>0.09722222222222222</v>
      </c>
      <c r="G362" s="62" t="b">
        <v>0</v>
      </c>
      <c r="H362" s="78" t="b">
        <f>IF(VLOOKUP(C362,Projetos!A:L,12,false)=TRUE,TRUE,FALSE)</f>
        <v>1</v>
      </c>
      <c r="I362" s="68">
        <v>52.25809188912939</v>
      </c>
      <c r="J362" s="68">
        <f t="shared" si="1"/>
        <v>0</v>
      </c>
      <c r="K362" s="68" t="b">
        <v>1</v>
      </c>
    </row>
    <row r="363" hidden="1">
      <c r="A363" s="75">
        <v>357.0</v>
      </c>
      <c r="B363" s="62" t="s">
        <v>244</v>
      </c>
      <c r="C363" s="62" t="s">
        <v>108</v>
      </c>
      <c r="D363" s="62" t="s">
        <v>273</v>
      </c>
      <c r="E363" s="76">
        <v>44140.0</v>
      </c>
      <c r="F363" s="77">
        <v>0.125</v>
      </c>
      <c r="G363" s="62" t="b">
        <v>0</v>
      </c>
      <c r="H363" s="78" t="b">
        <f>IF(VLOOKUP(C363,Projetos!A:L,12,false)=TRUE,TRUE,FALSE)</f>
        <v>1</v>
      </c>
      <c r="I363" s="68">
        <v>50.70079736570247</v>
      </c>
      <c r="J363" s="68">
        <f t="shared" si="1"/>
        <v>0</v>
      </c>
      <c r="K363" s="68" t="b">
        <v>1</v>
      </c>
    </row>
    <row r="364" hidden="1">
      <c r="A364" s="75">
        <v>358.0</v>
      </c>
      <c r="B364" s="62" t="s">
        <v>244</v>
      </c>
      <c r="C364" s="62" t="s">
        <v>108</v>
      </c>
      <c r="D364" s="62" t="s">
        <v>274</v>
      </c>
      <c r="E364" s="76">
        <v>44141.0</v>
      </c>
      <c r="F364" s="77">
        <v>0.08333333333333333</v>
      </c>
      <c r="G364" s="62" t="b">
        <v>0</v>
      </c>
      <c r="H364" s="78" t="b">
        <f>IF(VLOOKUP(C364,Projetos!A:L,12,false)=TRUE,TRUE,FALSE)</f>
        <v>1</v>
      </c>
      <c r="I364" s="68">
        <v>50.70079736570247</v>
      </c>
      <c r="J364" s="68">
        <f t="shared" si="1"/>
        <v>0</v>
      </c>
      <c r="K364" s="68" t="b">
        <v>1</v>
      </c>
    </row>
    <row r="365" hidden="1">
      <c r="A365" s="75">
        <v>359.0</v>
      </c>
      <c r="B365" s="62" t="s">
        <v>244</v>
      </c>
      <c r="C365" s="62" t="s">
        <v>108</v>
      </c>
      <c r="D365" s="62" t="s">
        <v>274</v>
      </c>
      <c r="E365" s="76">
        <v>44147.0</v>
      </c>
      <c r="F365" s="77">
        <v>0.09375</v>
      </c>
      <c r="G365" s="62" t="b">
        <v>0</v>
      </c>
      <c r="H365" s="78" t="b">
        <f>IF(VLOOKUP(C365,Projetos!A:L,12,false)=TRUE,TRUE,FALSE)</f>
        <v>1</v>
      </c>
      <c r="I365" s="68">
        <v>50.70079736570247</v>
      </c>
      <c r="J365" s="68">
        <f t="shared" si="1"/>
        <v>0</v>
      </c>
      <c r="K365" s="68" t="b">
        <v>1</v>
      </c>
    </row>
    <row r="366" hidden="1">
      <c r="A366" s="75">
        <v>360.0</v>
      </c>
      <c r="B366" s="62" t="s">
        <v>244</v>
      </c>
      <c r="C366" s="62" t="s">
        <v>102</v>
      </c>
      <c r="D366" s="62" t="s">
        <v>275</v>
      </c>
      <c r="E366" s="76">
        <v>44148.0</v>
      </c>
      <c r="F366" s="77">
        <v>0.09722222222222222</v>
      </c>
      <c r="G366" s="62" t="b">
        <v>0</v>
      </c>
      <c r="H366" s="78" t="b">
        <f>IF(VLOOKUP(C366,Projetos!A:L,12,false)=TRUE,TRUE,FALSE)</f>
        <v>0</v>
      </c>
      <c r="I366" s="68">
        <v>50.70079736570247</v>
      </c>
      <c r="J366" s="68">
        <f t="shared" si="1"/>
        <v>0</v>
      </c>
      <c r="K366" s="68" t="b">
        <v>0</v>
      </c>
    </row>
    <row r="367" hidden="1">
      <c r="A367" s="75">
        <v>361.0</v>
      </c>
      <c r="B367" s="62" t="s">
        <v>244</v>
      </c>
      <c r="C367" s="62" t="s">
        <v>102</v>
      </c>
      <c r="D367" s="62" t="s">
        <v>275</v>
      </c>
      <c r="E367" s="76">
        <v>44151.0</v>
      </c>
      <c r="F367" s="77">
        <v>0.06944444444444445</v>
      </c>
      <c r="G367" s="62" t="b">
        <v>0</v>
      </c>
      <c r="H367" s="78" t="b">
        <f>IF(VLOOKUP(C367,Projetos!A:L,12,false)=TRUE,TRUE,FALSE)</f>
        <v>0</v>
      </c>
      <c r="I367" s="68">
        <v>50.70079736570247</v>
      </c>
      <c r="J367" s="68">
        <f t="shared" si="1"/>
        <v>0</v>
      </c>
      <c r="K367" s="68" t="b">
        <v>0</v>
      </c>
    </row>
    <row r="368" hidden="1">
      <c r="A368" s="75">
        <v>362.0</v>
      </c>
      <c r="B368" s="62" t="s">
        <v>244</v>
      </c>
      <c r="C368" s="62" t="s">
        <v>109</v>
      </c>
      <c r="D368" s="62" t="s">
        <v>276</v>
      </c>
      <c r="E368" s="76">
        <v>44147.0</v>
      </c>
      <c r="F368" s="77">
        <v>0.14583333333333334</v>
      </c>
      <c r="G368" s="62" t="b">
        <v>0</v>
      </c>
      <c r="H368" s="78" t="b">
        <f>IF(VLOOKUP(C368,Projetos!A:L,12,false)=TRUE,TRUE,FALSE)</f>
        <v>0</v>
      </c>
      <c r="I368" s="68">
        <v>50.70079736570247</v>
      </c>
      <c r="J368" s="68">
        <f t="shared" si="1"/>
        <v>0</v>
      </c>
      <c r="K368" s="68" t="b">
        <v>0</v>
      </c>
    </row>
    <row r="369" hidden="1">
      <c r="A369" s="75">
        <v>363.0</v>
      </c>
      <c r="B369" s="62" t="s">
        <v>244</v>
      </c>
      <c r="C369" s="62" t="s">
        <v>109</v>
      </c>
      <c r="D369" s="62" t="s">
        <v>276</v>
      </c>
      <c r="E369" s="76">
        <v>44153.0</v>
      </c>
      <c r="F369" s="77">
        <v>0.0625</v>
      </c>
      <c r="G369" s="62" t="b">
        <v>0</v>
      </c>
      <c r="H369" s="78" t="b">
        <f>IF(VLOOKUP(C369,Projetos!A:L,12,false)=TRUE,TRUE,FALSE)</f>
        <v>0</v>
      </c>
      <c r="I369" s="68">
        <v>50.70079736570247</v>
      </c>
      <c r="J369" s="68">
        <f t="shared" si="1"/>
        <v>0</v>
      </c>
      <c r="K369" s="68" t="b">
        <v>0</v>
      </c>
    </row>
    <row r="370" hidden="1">
      <c r="A370" s="75">
        <v>364.0</v>
      </c>
      <c r="B370" s="62" t="s">
        <v>244</v>
      </c>
      <c r="C370" s="62" t="s">
        <v>109</v>
      </c>
      <c r="D370" s="62" t="s">
        <v>276</v>
      </c>
      <c r="E370" s="76">
        <v>44160.0</v>
      </c>
      <c r="F370" s="77">
        <v>0.0625</v>
      </c>
      <c r="G370" s="62" t="b">
        <v>0</v>
      </c>
      <c r="H370" s="78" t="b">
        <f>IF(VLOOKUP(C370,Projetos!A:L,12,false)=TRUE,TRUE,FALSE)</f>
        <v>0</v>
      </c>
      <c r="I370" s="68">
        <v>50.70079736570247</v>
      </c>
      <c r="J370" s="68">
        <f t="shared" si="1"/>
        <v>0</v>
      </c>
      <c r="K370" s="68" t="b">
        <v>0</v>
      </c>
    </row>
    <row r="371" hidden="1">
      <c r="A371" s="75">
        <v>365.0</v>
      </c>
      <c r="B371" s="62" t="s">
        <v>244</v>
      </c>
      <c r="C371" s="62" t="s">
        <v>109</v>
      </c>
      <c r="D371" s="62" t="s">
        <v>276</v>
      </c>
      <c r="E371" s="76">
        <v>44165.0</v>
      </c>
      <c r="F371" s="77">
        <v>0.09027777777777778</v>
      </c>
      <c r="G371" s="62" t="b">
        <v>0</v>
      </c>
      <c r="H371" s="78" t="b">
        <f>IF(VLOOKUP(C371,Projetos!A:L,12,false)=TRUE,TRUE,FALSE)</f>
        <v>0</v>
      </c>
      <c r="I371" s="68">
        <v>50.70079736570247</v>
      </c>
      <c r="J371" s="68">
        <f t="shared" si="1"/>
        <v>0</v>
      </c>
      <c r="K371" s="68" t="b">
        <v>0</v>
      </c>
    </row>
    <row r="372" hidden="1">
      <c r="A372" s="75">
        <v>366.0</v>
      </c>
      <c r="B372" s="62" t="s">
        <v>244</v>
      </c>
      <c r="C372" s="62" t="s">
        <v>102</v>
      </c>
      <c r="D372" s="62" t="s">
        <v>183</v>
      </c>
      <c r="E372" s="76">
        <v>44152.0</v>
      </c>
      <c r="F372" s="77">
        <v>0.1111111111111111</v>
      </c>
      <c r="G372" s="62" t="b">
        <v>0</v>
      </c>
      <c r="H372" s="78" t="b">
        <f>IF(VLOOKUP(C372,Projetos!A:L,12,false)=TRUE,TRUE,FALSE)</f>
        <v>0</v>
      </c>
      <c r="I372" s="68">
        <v>50.70079736570247</v>
      </c>
      <c r="J372" s="68">
        <f t="shared" si="1"/>
        <v>0</v>
      </c>
      <c r="K372" s="68" t="b">
        <v>0</v>
      </c>
    </row>
    <row r="373" hidden="1">
      <c r="A373" s="75">
        <v>367.0</v>
      </c>
      <c r="B373" s="62" t="s">
        <v>244</v>
      </c>
      <c r="C373" s="62" t="s">
        <v>102</v>
      </c>
      <c r="D373" s="62" t="s">
        <v>184</v>
      </c>
      <c r="E373" s="76">
        <v>44153.0</v>
      </c>
      <c r="F373" s="77">
        <v>0.09722222222222222</v>
      </c>
      <c r="G373" s="62" t="b">
        <v>0</v>
      </c>
      <c r="H373" s="78" t="b">
        <f>IF(VLOOKUP(C373,Projetos!A:L,12,false)=TRUE,TRUE,FALSE)</f>
        <v>0</v>
      </c>
      <c r="I373" s="68">
        <v>50.70079736570247</v>
      </c>
      <c r="J373" s="68">
        <f t="shared" si="1"/>
        <v>0</v>
      </c>
      <c r="K373" s="68" t="b">
        <v>0</v>
      </c>
    </row>
    <row r="374" hidden="1">
      <c r="A374" s="75">
        <v>368.0</v>
      </c>
      <c r="B374" s="62" t="s">
        <v>244</v>
      </c>
      <c r="C374" s="62" t="s">
        <v>109</v>
      </c>
      <c r="D374" s="62" t="s">
        <v>185</v>
      </c>
      <c r="E374" s="76">
        <v>44154.0</v>
      </c>
      <c r="F374" s="77">
        <v>0.020833333333333332</v>
      </c>
      <c r="G374" s="62" t="b">
        <v>0</v>
      </c>
      <c r="H374" s="78" t="b">
        <f>IF(VLOOKUP(C374,Projetos!A:L,12,false)=TRUE,TRUE,FALSE)</f>
        <v>0</v>
      </c>
      <c r="I374" s="68">
        <v>50.70079736570247</v>
      </c>
      <c r="J374" s="68">
        <f t="shared" si="1"/>
        <v>0</v>
      </c>
      <c r="K374" s="68" t="b">
        <v>0</v>
      </c>
    </row>
    <row r="375">
      <c r="A375" s="75">
        <v>369.0</v>
      </c>
      <c r="B375" s="62" t="s">
        <v>244</v>
      </c>
      <c r="C375" s="62" t="s">
        <v>104</v>
      </c>
      <c r="D375" s="62" t="s">
        <v>277</v>
      </c>
      <c r="E375" s="76">
        <v>44166.0</v>
      </c>
      <c r="F375" s="77">
        <v>0.08333333333333333</v>
      </c>
      <c r="G375" s="62" t="b">
        <v>1</v>
      </c>
      <c r="H375" s="78" t="b">
        <f>IF(VLOOKUP(C375,Projetos!A:L,12,false)=TRUE,TRUE,FALSE)</f>
        <v>1</v>
      </c>
      <c r="I375" s="68">
        <v>53.11512104978354</v>
      </c>
      <c r="J375" s="68">
        <f t="shared" si="1"/>
        <v>106.2302421</v>
      </c>
      <c r="K375" s="68" t="b">
        <v>1</v>
      </c>
    </row>
    <row r="376">
      <c r="A376" s="75">
        <v>370.0</v>
      </c>
      <c r="B376" s="62" t="s">
        <v>244</v>
      </c>
      <c r="C376" s="62" t="s">
        <v>104</v>
      </c>
      <c r="D376" s="62" t="s">
        <v>278</v>
      </c>
      <c r="E376" s="76">
        <v>44167.0</v>
      </c>
      <c r="F376" s="77">
        <v>0.09375</v>
      </c>
      <c r="G376" s="62" t="b">
        <v>1</v>
      </c>
      <c r="H376" s="78" t="b">
        <f>IF(VLOOKUP(C376,Projetos!A:L,12,false)=TRUE,TRUE,FALSE)</f>
        <v>1</v>
      </c>
      <c r="I376" s="68">
        <v>53.11512104978354</v>
      </c>
      <c r="J376" s="68">
        <f t="shared" si="1"/>
        <v>119.5090224</v>
      </c>
      <c r="K376" s="68" t="b">
        <v>1</v>
      </c>
    </row>
    <row r="377" hidden="1">
      <c r="A377" s="75">
        <v>371.0</v>
      </c>
      <c r="B377" s="62" t="s">
        <v>244</v>
      </c>
      <c r="C377" s="62" t="s">
        <v>83</v>
      </c>
      <c r="D377" s="62" t="s">
        <v>279</v>
      </c>
      <c r="E377" s="76">
        <v>44167.0</v>
      </c>
      <c r="F377" s="77">
        <v>0.10416666666666667</v>
      </c>
      <c r="G377" s="62" t="b">
        <v>0</v>
      </c>
      <c r="H377" s="78" t="b">
        <f>IF(VLOOKUP(C377,Projetos!A:L,12,false)=TRUE,TRUE,FALSE)</f>
        <v>0</v>
      </c>
      <c r="I377" s="68">
        <v>53.11512104978354</v>
      </c>
      <c r="J377" s="68">
        <f t="shared" si="1"/>
        <v>0</v>
      </c>
      <c r="K377" s="68" t="b">
        <v>0</v>
      </c>
    </row>
    <row r="378" hidden="1">
      <c r="A378" s="75">
        <v>372.0</v>
      </c>
      <c r="B378" s="62" t="s">
        <v>244</v>
      </c>
      <c r="C378" s="62" t="s">
        <v>83</v>
      </c>
      <c r="D378" s="62" t="s">
        <v>279</v>
      </c>
      <c r="E378" s="76">
        <v>44168.0</v>
      </c>
      <c r="F378" s="77">
        <v>0.08333333333333333</v>
      </c>
      <c r="G378" s="62" t="b">
        <v>0</v>
      </c>
      <c r="H378" s="78" t="b">
        <f>IF(VLOOKUP(C378,Projetos!A:L,12,false)=TRUE,TRUE,FALSE)</f>
        <v>0</v>
      </c>
      <c r="I378" s="68">
        <v>53.11512104978354</v>
      </c>
      <c r="J378" s="68">
        <f t="shared" si="1"/>
        <v>0</v>
      </c>
      <c r="K378" s="68" t="b">
        <v>0</v>
      </c>
    </row>
    <row r="379" hidden="1">
      <c r="A379" s="75">
        <v>373.0</v>
      </c>
      <c r="B379" s="62" t="s">
        <v>244</v>
      </c>
      <c r="C379" s="62" t="s">
        <v>117</v>
      </c>
      <c r="D379" s="62" t="s">
        <v>188</v>
      </c>
      <c r="E379" s="76">
        <v>44166.0</v>
      </c>
      <c r="F379" s="77">
        <v>0.08333333333333333</v>
      </c>
      <c r="G379" s="62" t="b">
        <v>0</v>
      </c>
      <c r="H379" s="78" t="b">
        <f>IF(VLOOKUP(C379,Projetos!A:L,12,false)=TRUE,TRUE,FALSE)</f>
        <v>0</v>
      </c>
      <c r="I379" s="68">
        <v>53.11512104978354</v>
      </c>
      <c r="J379" s="68">
        <f t="shared" si="1"/>
        <v>0</v>
      </c>
      <c r="K379" s="68" t="b">
        <v>0</v>
      </c>
    </row>
    <row r="380" hidden="1">
      <c r="A380" s="75">
        <v>374.0</v>
      </c>
      <c r="B380" s="62" t="s">
        <v>244</v>
      </c>
      <c r="C380" s="62" t="s">
        <v>117</v>
      </c>
      <c r="D380" s="62" t="s">
        <v>189</v>
      </c>
      <c r="E380" s="76">
        <v>44172.0</v>
      </c>
      <c r="F380" s="77">
        <v>0.0625</v>
      </c>
      <c r="G380" s="62" t="b">
        <v>0</v>
      </c>
      <c r="H380" s="78" t="b">
        <f>IF(VLOOKUP(C380,Projetos!A:L,12,false)=TRUE,TRUE,FALSE)</f>
        <v>0</v>
      </c>
      <c r="I380" s="68">
        <v>53.11512104978354</v>
      </c>
      <c r="J380" s="68">
        <f t="shared" si="1"/>
        <v>0</v>
      </c>
      <c r="K380" s="68" t="b">
        <v>0</v>
      </c>
    </row>
    <row r="381" hidden="1">
      <c r="A381" s="75">
        <v>375.0</v>
      </c>
      <c r="B381" s="62" t="s">
        <v>244</v>
      </c>
      <c r="C381" s="62" t="s">
        <v>83</v>
      </c>
      <c r="D381" s="62" t="s">
        <v>279</v>
      </c>
      <c r="E381" s="76">
        <v>44173.0</v>
      </c>
      <c r="F381" s="77">
        <v>0.125</v>
      </c>
      <c r="G381" s="62" t="b">
        <v>0</v>
      </c>
      <c r="H381" s="78" t="b">
        <f>IF(VLOOKUP(C381,Projetos!A:L,12,false)=TRUE,TRUE,FALSE)</f>
        <v>0</v>
      </c>
      <c r="I381" s="68">
        <v>53.11512104978354</v>
      </c>
      <c r="J381" s="68">
        <f t="shared" si="1"/>
        <v>0</v>
      </c>
      <c r="K381" s="68" t="b">
        <v>0</v>
      </c>
    </row>
    <row r="382">
      <c r="A382" s="75">
        <v>376.0</v>
      </c>
      <c r="B382" s="62" t="s">
        <v>244</v>
      </c>
      <c r="C382" s="62" t="s">
        <v>104</v>
      </c>
      <c r="D382" s="62" t="s">
        <v>191</v>
      </c>
      <c r="E382" s="76">
        <v>44174.0</v>
      </c>
      <c r="F382" s="77">
        <v>0.10416666666666667</v>
      </c>
      <c r="G382" s="62" t="b">
        <v>1</v>
      </c>
      <c r="H382" s="78" t="b">
        <f>IF(VLOOKUP(C382,Projetos!A:L,12,false)=TRUE,TRUE,FALSE)</f>
        <v>1</v>
      </c>
      <c r="I382" s="68">
        <v>53.11512104978354</v>
      </c>
      <c r="J382" s="68">
        <f t="shared" si="1"/>
        <v>132.7878026</v>
      </c>
      <c r="K382" s="68" t="b">
        <v>1</v>
      </c>
    </row>
    <row r="383">
      <c r="A383" s="75">
        <v>377.0</v>
      </c>
      <c r="B383" s="62" t="s">
        <v>244</v>
      </c>
      <c r="C383" s="62" t="s">
        <v>104</v>
      </c>
      <c r="D383" s="62" t="s">
        <v>280</v>
      </c>
      <c r="E383" s="76">
        <v>44175.0</v>
      </c>
      <c r="F383" s="77">
        <v>0.10416666666666667</v>
      </c>
      <c r="G383" s="62" t="b">
        <v>0</v>
      </c>
      <c r="H383" s="78" t="b">
        <f>IF(VLOOKUP(C383,Projetos!A:L,12,false)=TRUE,TRUE,FALSE)</f>
        <v>1</v>
      </c>
      <c r="I383" s="68">
        <v>53.11512104978354</v>
      </c>
      <c r="J383" s="68">
        <f t="shared" si="1"/>
        <v>0</v>
      </c>
      <c r="K383" s="68" t="b">
        <v>1</v>
      </c>
    </row>
    <row r="384" hidden="1">
      <c r="A384" s="75">
        <v>378.0</v>
      </c>
      <c r="B384" s="62" t="s">
        <v>244</v>
      </c>
      <c r="C384" s="62" t="s">
        <v>83</v>
      </c>
      <c r="D384" s="62" t="s">
        <v>281</v>
      </c>
      <c r="E384" s="76">
        <v>44179.0</v>
      </c>
      <c r="F384" s="77">
        <v>0.0625</v>
      </c>
      <c r="G384" s="62" t="b">
        <v>0</v>
      </c>
      <c r="H384" s="78" t="b">
        <f>IF(VLOOKUP(C384,Projetos!A:L,12,false)=TRUE,TRUE,FALSE)</f>
        <v>0</v>
      </c>
      <c r="I384" s="68">
        <v>53.11512104978354</v>
      </c>
      <c r="J384" s="68">
        <f t="shared" si="1"/>
        <v>0</v>
      </c>
      <c r="K384" s="68" t="b">
        <v>0</v>
      </c>
    </row>
    <row r="385">
      <c r="A385" s="75">
        <v>379.0</v>
      </c>
      <c r="B385" s="62" t="s">
        <v>244</v>
      </c>
      <c r="C385" s="62" t="s">
        <v>104</v>
      </c>
      <c r="D385" s="62" t="s">
        <v>280</v>
      </c>
      <c r="E385" s="76">
        <v>44180.0</v>
      </c>
      <c r="F385" s="77">
        <v>0.0625</v>
      </c>
      <c r="G385" s="62" t="b">
        <v>0</v>
      </c>
      <c r="H385" s="78" t="b">
        <f>IF(VLOOKUP(C385,Projetos!A:L,12,false)=TRUE,TRUE,FALSE)</f>
        <v>1</v>
      </c>
      <c r="I385" s="68">
        <v>53.11512104978354</v>
      </c>
      <c r="J385" s="68">
        <f t="shared" si="1"/>
        <v>0</v>
      </c>
      <c r="K385" s="68" t="b">
        <v>1</v>
      </c>
    </row>
    <row r="386">
      <c r="A386" s="75">
        <v>380.0</v>
      </c>
      <c r="B386" s="62" t="s">
        <v>244</v>
      </c>
      <c r="C386" s="62" t="s">
        <v>104</v>
      </c>
      <c r="D386" s="62" t="s">
        <v>280</v>
      </c>
      <c r="E386" s="76">
        <v>44180.0</v>
      </c>
      <c r="F386" s="77">
        <v>0.125</v>
      </c>
      <c r="G386" s="62" t="b">
        <v>0</v>
      </c>
      <c r="H386" s="78" t="b">
        <f>IF(VLOOKUP(C386,Projetos!A:L,12,false)=TRUE,TRUE,FALSE)</f>
        <v>1</v>
      </c>
      <c r="I386" s="68">
        <v>53.11512104978354</v>
      </c>
      <c r="J386" s="68">
        <f t="shared" si="1"/>
        <v>0</v>
      </c>
      <c r="K386" s="68" t="b">
        <v>1</v>
      </c>
    </row>
    <row r="387" hidden="1">
      <c r="A387" s="75">
        <v>381.0</v>
      </c>
      <c r="B387" s="62" t="s">
        <v>244</v>
      </c>
      <c r="C387" s="62" t="s">
        <v>83</v>
      </c>
      <c r="D387" s="62" t="s">
        <v>281</v>
      </c>
      <c r="E387" s="76">
        <v>44181.0</v>
      </c>
      <c r="F387" s="77">
        <v>0.08333333333333333</v>
      </c>
      <c r="G387" s="62" t="b">
        <v>0</v>
      </c>
      <c r="H387" s="78" t="b">
        <f>IF(VLOOKUP(C387,Projetos!A:L,12,false)=TRUE,TRUE,FALSE)</f>
        <v>0</v>
      </c>
      <c r="I387" s="68">
        <v>53.11512104978354</v>
      </c>
      <c r="J387" s="68">
        <f t="shared" si="1"/>
        <v>0</v>
      </c>
      <c r="K387" s="68" t="b">
        <v>0</v>
      </c>
    </row>
    <row r="388" hidden="1">
      <c r="A388" s="75">
        <v>382.0</v>
      </c>
      <c r="B388" s="62" t="s">
        <v>244</v>
      </c>
      <c r="C388" s="62" t="s">
        <v>83</v>
      </c>
      <c r="D388" s="62" t="s">
        <v>281</v>
      </c>
      <c r="E388" s="76">
        <v>44183.0</v>
      </c>
      <c r="F388" s="77">
        <v>0.09722222222222222</v>
      </c>
      <c r="G388" s="62" t="b">
        <v>0</v>
      </c>
      <c r="H388" s="78" t="b">
        <f>IF(VLOOKUP(C388,Projetos!A:L,12,false)=TRUE,TRUE,FALSE)</f>
        <v>0</v>
      </c>
      <c r="I388" s="68">
        <v>53.11512104978354</v>
      </c>
      <c r="J388" s="68">
        <f t="shared" si="1"/>
        <v>0</v>
      </c>
      <c r="K388" s="68" t="b">
        <v>0</v>
      </c>
    </row>
    <row r="389">
      <c r="A389" s="75">
        <v>383.0</v>
      </c>
      <c r="B389" s="62" t="s">
        <v>244</v>
      </c>
      <c r="C389" s="62" t="s">
        <v>104</v>
      </c>
      <c r="D389" s="62" t="s">
        <v>282</v>
      </c>
      <c r="E389" s="76">
        <v>44194.0</v>
      </c>
      <c r="F389" s="77">
        <v>0.16666666666666666</v>
      </c>
      <c r="G389" s="62" t="b">
        <v>1</v>
      </c>
      <c r="H389" s="78" t="b">
        <f>IF(VLOOKUP(C389,Projetos!A:L,12,false)=TRUE,TRUE,FALSE)</f>
        <v>1</v>
      </c>
      <c r="I389" s="68">
        <v>53.11512104978354</v>
      </c>
      <c r="J389" s="68">
        <f t="shared" si="1"/>
        <v>212.4604842</v>
      </c>
      <c r="K389" s="68" t="b">
        <v>1</v>
      </c>
    </row>
    <row r="390">
      <c r="A390" s="75">
        <v>384.0</v>
      </c>
      <c r="B390" s="62" t="s">
        <v>244</v>
      </c>
      <c r="C390" s="62" t="s">
        <v>104</v>
      </c>
      <c r="D390" s="62" t="s">
        <v>283</v>
      </c>
      <c r="E390" s="76">
        <v>44195.0</v>
      </c>
      <c r="F390" s="77">
        <v>0.17708333333333334</v>
      </c>
      <c r="G390" s="62" t="b">
        <v>1</v>
      </c>
      <c r="H390" s="78" t="b">
        <f>IF(VLOOKUP(C390,Projetos!A:L,12,false)=TRUE,TRUE,FALSE)</f>
        <v>1</v>
      </c>
      <c r="I390" s="68">
        <v>53.11512104978354</v>
      </c>
      <c r="J390" s="68">
        <f t="shared" si="1"/>
        <v>225.7392645</v>
      </c>
      <c r="K390" s="68" t="b">
        <v>1</v>
      </c>
    </row>
    <row r="391" hidden="1">
      <c r="A391" s="75">
        <v>385.0</v>
      </c>
      <c r="B391" s="62" t="s">
        <v>244</v>
      </c>
      <c r="C391" s="62" t="s">
        <v>117</v>
      </c>
      <c r="D391" s="62" t="s">
        <v>284</v>
      </c>
      <c r="E391" s="76">
        <v>44195.0</v>
      </c>
      <c r="F391" s="77">
        <v>0.0625</v>
      </c>
      <c r="G391" s="62" t="b">
        <v>0</v>
      </c>
      <c r="H391" s="78" t="b">
        <f>IF(VLOOKUP(C391,Projetos!A:L,12,false)=TRUE,TRUE,FALSE)</f>
        <v>0</v>
      </c>
      <c r="I391" s="68">
        <v>53.11512104978354</v>
      </c>
      <c r="J391" s="68">
        <f t="shared" si="1"/>
        <v>0</v>
      </c>
      <c r="K391" s="68" t="b">
        <v>0</v>
      </c>
    </row>
    <row r="392" hidden="1">
      <c r="A392" s="75">
        <v>386.0</v>
      </c>
      <c r="B392" s="62" t="s">
        <v>285</v>
      </c>
      <c r="C392" s="62" t="s">
        <v>102</v>
      </c>
      <c r="D392" s="62" t="s">
        <v>286</v>
      </c>
      <c r="E392" s="76">
        <v>43844.0</v>
      </c>
      <c r="F392" s="77">
        <v>0.125</v>
      </c>
      <c r="G392" s="62" t="b">
        <v>0</v>
      </c>
      <c r="H392" s="78" t="b">
        <f>IF(VLOOKUP(C392,Projetos!A:L,12,false)=TRUE,TRUE,FALSE)</f>
        <v>0</v>
      </c>
      <c r="I392" s="68">
        <v>32.2362044522607</v>
      </c>
      <c r="J392" s="68">
        <f t="shared" si="1"/>
        <v>0</v>
      </c>
      <c r="K392" s="68" t="b">
        <v>0</v>
      </c>
    </row>
    <row r="393" hidden="1">
      <c r="A393" s="75">
        <v>387.0</v>
      </c>
      <c r="B393" s="62" t="s">
        <v>285</v>
      </c>
      <c r="C393" s="62" t="s">
        <v>102</v>
      </c>
      <c r="D393" s="62" t="s">
        <v>287</v>
      </c>
      <c r="E393" s="76">
        <v>43845.0</v>
      </c>
      <c r="F393" s="77">
        <v>0.03611111111111111</v>
      </c>
      <c r="G393" s="62" t="b">
        <v>0</v>
      </c>
      <c r="H393" s="78" t="b">
        <f>IF(VLOOKUP(C393,Projetos!A:L,12,false)=TRUE,TRUE,FALSE)</f>
        <v>0</v>
      </c>
      <c r="I393" s="68">
        <v>32.2362044522607</v>
      </c>
      <c r="J393" s="68">
        <f t="shared" si="1"/>
        <v>0</v>
      </c>
      <c r="K393" s="68" t="b">
        <v>0</v>
      </c>
    </row>
    <row r="394" hidden="1">
      <c r="A394" s="75">
        <v>388.0</v>
      </c>
      <c r="B394" s="62" t="s">
        <v>285</v>
      </c>
      <c r="C394" s="62" t="s">
        <v>102</v>
      </c>
      <c r="D394" s="62" t="s">
        <v>288</v>
      </c>
      <c r="E394" s="76">
        <v>43846.0</v>
      </c>
      <c r="F394" s="77">
        <v>0.0763888888888889</v>
      </c>
      <c r="G394" s="62" t="b">
        <v>0</v>
      </c>
      <c r="H394" s="78" t="b">
        <f>IF(VLOOKUP(C394,Projetos!A:L,12,false)=TRUE,TRUE,FALSE)</f>
        <v>0</v>
      </c>
      <c r="I394" s="68">
        <v>32.2362044522607</v>
      </c>
      <c r="J394" s="68">
        <f t="shared" si="1"/>
        <v>0</v>
      </c>
      <c r="K394" s="68" t="b">
        <v>0</v>
      </c>
    </row>
    <row r="395">
      <c r="A395" s="75">
        <v>389.0</v>
      </c>
      <c r="B395" s="62" t="s">
        <v>285</v>
      </c>
      <c r="C395" s="62" t="s">
        <v>104</v>
      </c>
      <c r="D395" s="62" t="s">
        <v>289</v>
      </c>
      <c r="E395" s="76">
        <v>43853.0</v>
      </c>
      <c r="F395" s="77">
        <v>0.4513888888888889</v>
      </c>
      <c r="G395" s="62" t="b">
        <v>1</v>
      </c>
      <c r="H395" s="78" t="b">
        <f>IF(VLOOKUP(C395,Projetos!A:L,12,false)=TRUE,TRUE,FALSE)</f>
        <v>1</v>
      </c>
      <c r="I395" s="68">
        <v>32.2362044522607</v>
      </c>
      <c r="J395" s="68">
        <f t="shared" si="1"/>
        <v>349.2255482</v>
      </c>
      <c r="K395" s="68" t="b">
        <v>1</v>
      </c>
    </row>
    <row r="396" hidden="1">
      <c r="A396" s="75">
        <v>390.0</v>
      </c>
      <c r="B396" s="62" t="s">
        <v>285</v>
      </c>
      <c r="C396" s="62" t="s">
        <v>109</v>
      </c>
      <c r="D396" s="62" t="s">
        <v>290</v>
      </c>
      <c r="E396" s="76">
        <v>43859.0</v>
      </c>
      <c r="F396" s="77">
        <v>0.020833333333333332</v>
      </c>
      <c r="G396" s="62" t="b">
        <v>0</v>
      </c>
      <c r="H396" s="78" t="b">
        <f>IF(VLOOKUP(C396,Projetos!A:L,12,false)=TRUE,TRUE,FALSE)</f>
        <v>0</v>
      </c>
      <c r="I396" s="68">
        <v>32.2362044522607</v>
      </c>
      <c r="J396" s="68">
        <f t="shared" si="1"/>
        <v>0</v>
      </c>
      <c r="K396" s="68" t="b">
        <v>0</v>
      </c>
    </row>
    <row r="397" hidden="1">
      <c r="A397" s="75">
        <v>391.0</v>
      </c>
      <c r="B397" s="62" t="s">
        <v>285</v>
      </c>
      <c r="C397" s="62" t="s">
        <v>108</v>
      </c>
      <c r="D397" s="62" t="s">
        <v>291</v>
      </c>
      <c r="E397" s="76">
        <v>43859.0</v>
      </c>
      <c r="F397" s="77">
        <v>0.003472222222222222</v>
      </c>
      <c r="G397" s="62" t="b">
        <v>0</v>
      </c>
      <c r="H397" s="78" t="b">
        <f>IF(VLOOKUP(C397,Projetos!A:L,12,false)=TRUE,TRUE,FALSE)</f>
        <v>1</v>
      </c>
      <c r="I397" s="68">
        <v>32.2362044522607</v>
      </c>
      <c r="J397" s="68">
        <f t="shared" si="1"/>
        <v>0</v>
      </c>
      <c r="K397" s="68" t="b">
        <v>1</v>
      </c>
    </row>
    <row r="398" hidden="1">
      <c r="A398" s="75">
        <v>392.0</v>
      </c>
      <c r="B398" s="62" t="s">
        <v>285</v>
      </c>
      <c r="C398" s="62" t="s">
        <v>100</v>
      </c>
      <c r="D398" s="62" t="s">
        <v>291</v>
      </c>
      <c r="E398" s="76">
        <v>43859.0</v>
      </c>
      <c r="F398" s="77">
        <v>0.058333333333333334</v>
      </c>
      <c r="G398" s="62" t="b">
        <v>1</v>
      </c>
      <c r="H398" s="78" t="b">
        <f>IF(VLOOKUP(C398,Projetos!A:L,12,false)=TRUE,TRUE,FALSE)</f>
        <v>1</v>
      </c>
      <c r="I398" s="68">
        <v>32.2362044522607</v>
      </c>
      <c r="J398" s="68">
        <f t="shared" si="1"/>
        <v>45.13068623</v>
      </c>
      <c r="K398" s="68" t="b">
        <v>1</v>
      </c>
    </row>
    <row r="399" hidden="1">
      <c r="A399" s="75">
        <v>393.0</v>
      </c>
      <c r="B399" s="62" t="s">
        <v>285</v>
      </c>
      <c r="C399" s="62" t="s">
        <v>108</v>
      </c>
      <c r="D399" s="62" t="s">
        <v>292</v>
      </c>
      <c r="E399" s="76">
        <v>43860.0</v>
      </c>
      <c r="F399" s="77">
        <v>0.0020833333333333333</v>
      </c>
      <c r="G399" s="62" t="b">
        <v>0</v>
      </c>
      <c r="H399" s="78" t="b">
        <f>IF(VLOOKUP(C399,Projetos!A:L,12,false)=TRUE,TRUE,FALSE)</f>
        <v>1</v>
      </c>
      <c r="I399" s="68">
        <v>32.2362044522607</v>
      </c>
      <c r="J399" s="68">
        <f t="shared" si="1"/>
        <v>0</v>
      </c>
      <c r="K399" s="68" t="b">
        <v>1</v>
      </c>
    </row>
    <row r="400" hidden="1">
      <c r="A400" s="75">
        <v>394.0</v>
      </c>
      <c r="B400" s="62" t="s">
        <v>285</v>
      </c>
      <c r="C400" s="62" t="s">
        <v>100</v>
      </c>
      <c r="D400" s="62" t="s">
        <v>293</v>
      </c>
      <c r="E400" s="76">
        <v>43865.0</v>
      </c>
      <c r="F400" s="77">
        <v>6.944444444444445E-4</v>
      </c>
      <c r="G400" s="62" t="b">
        <v>0</v>
      </c>
      <c r="H400" s="78" t="b">
        <f>IF(VLOOKUP(C400,Projetos!A:L,12,false)=TRUE,TRUE,FALSE)</f>
        <v>1</v>
      </c>
      <c r="I400" s="68">
        <v>30.770922431703394</v>
      </c>
      <c r="J400" s="68">
        <f t="shared" si="1"/>
        <v>0</v>
      </c>
      <c r="K400" s="68" t="b">
        <v>1</v>
      </c>
    </row>
    <row r="401" hidden="1">
      <c r="A401" s="75">
        <v>395.0</v>
      </c>
      <c r="B401" s="62" t="s">
        <v>285</v>
      </c>
      <c r="C401" s="62" t="s">
        <v>108</v>
      </c>
      <c r="D401" s="62" t="s">
        <v>293</v>
      </c>
      <c r="E401" s="76">
        <v>43866.0</v>
      </c>
      <c r="F401" s="77">
        <v>0.008333333333333333</v>
      </c>
      <c r="G401" s="62" t="b">
        <v>0</v>
      </c>
      <c r="H401" s="78" t="b">
        <f>IF(VLOOKUP(C401,Projetos!A:L,12,false)=TRUE,TRUE,FALSE)</f>
        <v>1</v>
      </c>
      <c r="I401" s="68">
        <v>30.770922431703394</v>
      </c>
      <c r="J401" s="68">
        <f t="shared" si="1"/>
        <v>0</v>
      </c>
      <c r="K401" s="68" t="b">
        <v>1</v>
      </c>
    </row>
    <row r="402" hidden="1">
      <c r="A402" s="75">
        <v>396.0</v>
      </c>
      <c r="B402" s="62" t="s">
        <v>285</v>
      </c>
      <c r="C402" s="62" t="s">
        <v>100</v>
      </c>
      <c r="D402" s="62" t="s">
        <v>294</v>
      </c>
      <c r="E402" s="76">
        <v>43866.0</v>
      </c>
      <c r="F402" s="77">
        <v>0.3013888888888889</v>
      </c>
      <c r="G402" s="62" t="b">
        <v>1</v>
      </c>
      <c r="H402" s="78" t="b">
        <f>IF(VLOOKUP(C402,Projetos!A:L,12,false)=TRUE,TRUE,FALSE)</f>
        <v>1</v>
      </c>
      <c r="I402" s="68">
        <v>30.770922431703394</v>
      </c>
      <c r="J402" s="68">
        <f t="shared" si="1"/>
        <v>222.5763389</v>
      </c>
      <c r="K402" s="68" t="b">
        <v>1</v>
      </c>
    </row>
    <row r="403" hidden="1">
      <c r="A403" s="75">
        <v>397.0</v>
      </c>
      <c r="B403" s="62" t="s">
        <v>285</v>
      </c>
      <c r="C403" s="62" t="s">
        <v>100</v>
      </c>
      <c r="D403" s="62" t="s">
        <v>294</v>
      </c>
      <c r="E403" s="76">
        <v>43867.0</v>
      </c>
      <c r="F403" s="77">
        <v>0.34375</v>
      </c>
      <c r="G403" s="62" t="b">
        <v>1</v>
      </c>
      <c r="H403" s="78" t="b">
        <f>IF(VLOOKUP(C403,Projetos!A:L,12,false)=TRUE,TRUE,FALSE)</f>
        <v>1</v>
      </c>
      <c r="I403" s="68">
        <v>30.770922431703394</v>
      </c>
      <c r="J403" s="68">
        <f t="shared" si="1"/>
        <v>253.8601101</v>
      </c>
      <c r="K403" s="68" t="b">
        <v>1</v>
      </c>
    </row>
    <row r="404" hidden="1">
      <c r="A404" s="75">
        <v>398.0</v>
      </c>
      <c r="B404" s="62" t="s">
        <v>285</v>
      </c>
      <c r="C404" s="62" t="s">
        <v>108</v>
      </c>
      <c r="D404" s="62" t="s">
        <v>295</v>
      </c>
      <c r="E404" s="76">
        <v>43868.0</v>
      </c>
      <c r="F404" s="77">
        <v>0.3784722222222222</v>
      </c>
      <c r="G404" s="62" t="b">
        <v>0</v>
      </c>
      <c r="H404" s="78" t="b">
        <f>IF(VLOOKUP(C404,Projetos!A:L,12,false)=TRUE,TRUE,FALSE)</f>
        <v>1</v>
      </c>
      <c r="I404" s="68">
        <v>30.770922431703394</v>
      </c>
      <c r="J404" s="68">
        <f t="shared" si="1"/>
        <v>0</v>
      </c>
      <c r="K404" s="68" t="b">
        <v>1</v>
      </c>
    </row>
    <row r="405" hidden="1">
      <c r="A405" s="75">
        <v>399.0</v>
      </c>
      <c r="B405" s="62" t="s">
        <v>285</v>
      </c>
      <c r="C405" s="62" t="s">
        <v>108</v>
      </c>
      <c r="D405" s="62" t="s">
        <v>296</v>
      </c>
      <c r="E405" s="76">
        <v>43871.0</v>
      </c>
      <c r="F405" s="77">
        <v>0.375</v>
      </c>
      <c r="G405" s="62" t="b">
        <v>0</v>
      </c>
      <c r="H405" s="78" t="b">
        <f>IF(VLOOKUP(C405,Projetos!A:L,12,false)=TRUE,TRUE,FALSE)</f>
        <v>1</v>
      </c>
      <c r="I405" s="68">
        <v>30.770922431703394</v>
      </c>
      <c r="J405" s="68">
        <f t="shared" si="1"/>
        <v>0</v>
      </c>
      <c r="K405" s="68" t="b">
        <v>1</v>
      </c>
    </row>
    <row r="406" hidden="1">
      <c r="A406" s="75">
        <v>400.0</v>
      </c>
      <c r="B406" s="62" t="s">
        <v>285</v>
      </c>
      <c r="C406" s="62" t="s">
        <v>108</v>
      </c>
      <c r="D406" s="62" t="s">
        <v>297</v>
      </c>
      <c r="E406" s="76">
        <v>43872.0</v>
      </c>
      <c r="F406" s="77">
        <v>0.1111111111111111</v>
      </c>
      <c r="G406" s="62" t="b">
        <v>0</v>
      </c>
      <c r="H406" s="78" t="b">
        <f>IF(VLOOKUP(C406,Projetos!A:L,12,false)=TRUE,TRUE,FALSE)</f>
        <v>1</v>
      </c>
      <c r="I406" s="68">
        <v>30.770922431703394</v>
      </c>
      <c r="J406" s="68">
        <f t="shared" si="1"/>
        <v>0</v>
      </c>
      <c r="K406" s="68" t="b">
        <v>1</v>
      </c>
    </row>
    <row r="407" hidden="1">
      <c r="A407" s="75">
        <v>401.0</v>
      </c>
      <c r="B407" s="62" t="s">
        <v>285</v>
      </c>
      <c r="C407" s="62" t="s">
        <v>108</v>
      </c>
      <c r="D407" s="62" t="s">
        <v>298</v>
      </c>
      <c r="E407" s="76">
        <v>43873.0</v>
      </c>
      <c r="F407" s="77">
        <v>0.034722222222222224</v>
      </c>
      <c r="G407" s="62" t="b">
        <v>0</v>
      </c>
      <c r="H407" s="78" t="b">
        <f>IF(VLOOKUP(C407,Projetos!A:L,12,false)=TRUE,TRUE,FALSE)</f>
        <v>1</v>
      </c>
      <c r="I407" s="68">
        <v>30.770922431703394</v>
      </c>
      <c r="J407" s="68">
        <f t="shared" si="1"/>
        <v>0</v>
      </c>
      <c r="K407" s="68" t="b">
        <v>1</v>
      </c>
    </row>
    <row r="408" hidden="1">
      <c r="A408" s="75">
        <v>402.0</v>
      </c>
      <c r="B408" s="62" t="s">
        <v>285</v>
      </c>
      <c r="C408" s="62" t="s">
        <v>100</v>
      </c>
      <c r="D408" s="62" t="s">
        <v>299</v>
      </c>
      <c r="E408" s="76">
        <v>43875.0</v>
      </c>
      <c r="F408" s="77">
        <v>0.1111111111111111</v>
      </c>
      <c r="G408" s="62" t="b">
        <v>1</v>
      </c>
      <c r="H408" s="78" t="b">
        <f>IF(VLOOKUP(C408,Projetos!A:L,12,false)=TRUE,TRUE,FALSE)</f>
        <v>1</v>
      </c>
      <c r="I408" s="68">
        <v>30.770922431703394</v>
      </c>
      <c r="J408" s="68">
        <f t="shared" si="1"/>
        <v>82.05579315</v>
      </c>
      <c r="K408" s="68" t="b">
        <v>1</v>
      </c>
    </row>
    <row r="409" hidden="1">
      <c r="A409" s="75">
        <v>403.0</v>
      </c>
      <c r="B409" s="62" t="s">
        <v>285</v>
      </c>
      <c r="C409" s="62" t="s">
        <v>138</v>
      </c>
      <c r="D409" s="62" t="s">
        <v>300</v>
      </c>
      <c r="E409" s="76">
        <v>43879.0</v>
      </c>
      <c r="F409" s="77">
        <v>0.04652777777777778</v>
      </c>
      <c r="G409" s="62" t="b">
        <v>1</v>
      </c>
      <c r="H409" s="78" t="b">
        <f>IF(VLOOKUP(C409,Projetos!A:L,12,false)=TRUE,TRUE,FALSE)</f>
        <v>1</v>
      </c>
      <c r="I409" s="68">
        <v>30.770922431703394</v>
      </c>
      <c r="J409" s="68">
        <f t="shared" si="1"/>
        <v>34.36086338</v>
      </c>
      <c r="K409" s="68" t="b">
        <v>1</v>
      </c>
    </row>
    <row r="410" hidden="1">
      <c r="A410" s="75">
        <v>404.0</v>
      </c>
      <c r="B410" s="62" t="s">
        <v>285</v>
      </c>
      <c r="C410" s="62" t="s">
        <v>109</v>
      </c>
      <c r="D410" s="62" t="s">
        <v>301</v>
      </c>
      <c r="E410" s="76">
        <v>43927.0</v>
      </c>
      <c r="F410" s="77">
        <v>0.10416666666666667</v>
      </c>
      <c r="G410" s="62" t="b">
        <v>0</v>
      </c>
      <c r="H410" s="78" t="b">
        <f>IF(VLOOKUP(C410,Projetos!A:L,12,false)=TRUE,TRUE,FALSE)</f>
        <v>0</v>
      </c>
      <c r="I410" s="68">
        <v>30.770922431703394</v>
      </c>
      <c r="J410" s="68">
        <f t="shared" si="1"/>
        <v>0</v>
      </c>
      <c r="K410" s="68" t="b">
        <v>0</v>
      </c>
    </row>
    <row r="411" hidden="1">
      <c r="A411" s="75">
        <v>405.0</v>
      </c>
      <c r="B411" s="62" t="s">
        <v>285</v>
      </c>
      <c r="C411" s="62" t="s">
        <v>109</v>
      </c>
      <c r="D411" s="62" t="s">
        <v>302</v>
      </c>
      <c r="E411" s="76">
        <v>43928.0</v>
      </c>
      <c r="F411" s="77">
        <v>0.10416666666666667</v>
      </c>
      <c r="G411" s="62" t="b">
        <v>0</v>
      </c>
      <c r="H411" s="78" t="b">
        <f>IF(VLOOKUP(C411,Projetos!A:L,12,false)=TRUE,TRUE,FALSE)</f>
        <v>0</v>
      </c>
      <c r="I411" s="68">
        <v>30.770922431703394</v>
      </c>
      <c r="J411" s="68">
        <f t="shared" si="1"/>
        <v>0</v>
      </c>
      <c r="K411" s="68" t="b">
        <v>0</v>
      </c>
    </row>
    <row r="412" hidden="1">
      <c r="A412" s="75">
        <v>406.0</v>
      </c>
      <c r="B412" s="62" t="s">
        <v>285</v>
      </c>
      <c r="C412" s="62" t="s">
        <v>101</v>
      </c>
      <c r="D412" s="62" t="s">
        <v>303</v>
      </c>
      <c r="E412" s="76">
        <v>43951.0</v>
      </c>
      <c r="F412" s="77">
        <v>0.08333333333333333</v>
      </c>
      <c r="G412" s="62" t="b">
        <v>1</v>
      </c>
      <c r="H412" s="78" t="b">
        <f>IF(VLOOKUP(C412,Projetos!A:L,12,false)=TRUE,TRUE,FALSE)</f>
        <v>1</v>
      </c>
      <c r="I412" s="68">
        <v>30.770922431703394</v>
      </c>
      <c r="J412" s="68">
        <f t="shared" si="1"/>
        <v>61.54184486</v>
      </c>
      <c r="K412" s="68" t="b">
        <v>1</v>
      </c>
    </row>
    <row r="413" hidden="1">
      <c r="A413" s="75">
        <v>407.0</v>
      </c>
      <c r="B413" s="62" t="s">
        <v>285</v>
      </c>
      <c r="C413" s="62" t="s">
        <v>109</v>
      </c>
      <c r="D413" s="62" t="s">
        <v>304</v>
      </c>
      <c r="E413" s="76">
        <v>43955.0</v>
      </c>
      <c r="F413" s="77">
        <v>0.14583333333333334</v>
      </c>
      <c r="G413" s="62" t="b">
        <v>0</v>
      </c>
      <c r="H413" s="78" t="b">
        <f>IF(VLOOKUP(C413,Projetos!A:L,12,false)=TRUE,TRUE,FALSE)</f>
        <v>0</v>
      </c>
      <c r="I413" s="68">
        <v>32.2362044522607</v>
      </c>
      <c r="J413" s="68">
        <f t="shared" si="1"/>
        <v>0</v>
      </c>
      <c r="K413" s="68" t="b">
        <v>0</v>
      </c>
    </row>
    <row r="414" hidden="1">
      <c r="A414" s="75">
        <v>408.0</v>
      </c>
      <c r="B414" s="62" t="s">
        <v>285</v>
      </c>
      <c r="C414" s="62" t="s">
        <v>109</v>
      </c>
      <c r="D414" s="62" t="s">
        <v>305</v>
      </c>
      <c r="E414" s="76">
        <v>43962.0</v>
      </c>
      <c r="F414" s="77">
        <v>0.20833333333333334</v>
      </c>
      <c r="G414" s="62" t="b">
        <v>0</v>
      </c>
      <c r="H414" s="78" t="b">
        <f>IF(VLOOKUP(C414,Projetos!A:L,12,false)=TRUE,TRUE,FALSE)</f>
        <v>0</v>
      </c>
      <c r="I414" s="68">
        <v>32.2362044522607</v>
      </c>
      <c r="J414" s="68">
        <f t="shared" si="1"/>
        <v>0</v>
      </c>
      <c r="K414" s="68" t="b">
        <v>0</v>
      </c>
    </row>
    <row r="415" hidden="1">
      <c r="A415" s="75">
        <v>409.0</v>
      </c>
      <c r="B415" s="62" t="s">
        <v>285</v>
      </c>
      <c r="C415" s="62" t="s">
        <v>109</v>
      </c>
      <c r="D415" s="62" t="s">
        <v>306</v>
      </c>
      <c r="E415" s="76">
        <v>43976.0</v>
      </c>
      <c r="F415" s="77">
        <v>0.14583333333333334</v>
      </c>
      <c r="G415" s="62" t="b">
        <v>0</v>
      </c>
      <c r="H415" s="78" t="b">
        <f>IF(VLOOKUP(C415,Projetos!A:L,12,false)=TRUE,TRUE,FALSE)</f>
        <v>0</v>
      </c>
      <c r="I415" s="68">
        <v>32.2362044522607</v>
      </c>
      <c r="J415" s="68">
        <f t="shared" si="1"/>
        <v>0</v>
      </c>
      <c r="K415" s="68" t="b">
        <v>0</v>
      </c>
    </row>
    <row r="416" hidden="1">
      <c r="A416" s="75">
        <v>410.0</v>
      </c>
      <c r="B416" s="62" t="s">
        <v>285</v>
      </c>
      <c r="C416" s="62" t="s">
        <v>109</v>
      </c>
      <c r="D416" s="62" t="s">
        <v>307</v>
      </c>
      <c r="E416" s="76">
        <v>43969.0</v>
      </c>
      <c r="F416" s="77">
        <v>0.3333333333333333</v>
      </c>
      <c r="G416" s="62" t="b">
        <v>0</v>
      </c>
      <c r="H416" s="78" t="b">
        <f>IF(VLOOKUP(C416,Projetos!A:L,12,false)=TRUE,TRUE,FALSE)</f>
        <v>0</v>
      </c>
      <c r="I416" s="68">
        <v>32.2362044522607</v>
      </c>
      <c r="J416" s="68">
        <f t="shared" si="1"/>
        <v>0</v>
      </c>
      <c r="K416" s="68" t="b">
        <v>0</v>
      </c>
    </row>
    <row r="417" hidden="1">
      <c r="A417" s="75">
        <v>411.0</v>
      </c>
      <c r="B417" s="62" t="s">
        <v>285</v>
      </c>
      <c r="C417" s="62" t="s">
        <v>109</v>
      </c>
      <c r="D417" s="62" t="s">
        <v>307</v>
      </c>
      <c r="E417" s="76">
        <v>43971.0</v>
      </c>
      <c r="F417" s="77">
        <v>0.2916666666666667</v>
      </c>
      <c r="G417" s="62" t="b">
        <v>0</v>
      </c>
      <c r="H417" s="78" t="b">
        <f>IF(VLOOKUP(C417,Projetos!A:L,12,false)=TRUE,TRUE,FALSE)</f>
        <v>0</v>
      </c>
      <c r="I417" s="68">
        <v>32.2362044522607</v>
      </c>
      <c r="J417" s="68">
        <f t="shared" si="1"/>
        <v>0</v>
      </c>
      <c r="K417" s="68" t="b">
        <v>0</v>
      </c>
    </row>
    <row r="418" hidden="1">
      <c r="A418" s="75">
        <v>412.0</v>
      </c>
      <c r="B418" s="62" t="s">
        <v>285</v>
      </c>
      <c r="C418" s="62" t="s">
        <v>109</v>
      </c>
      <c r="D418" s="62" t="s">
        <v>307</v>
      </c>
      <c r="E418" s="76">
        <v>43977.0</v>
      </c>
      <c r="F418" s="77">
        <v>0.0625</v>
      </c>
      <c r="G418" s="62" t="b">
        <v>0</v>
      </c>
      <c r="H418" s="78" t="b">
        <f>IF(VLOOKUP(C418,Projetos!A:L,12,false)=TRUE,TRUE,FALSE)</f>
        <v>0</v>
      </c>
      <c r="I418" s="68">
        <v>32.2362044522607</v>
      </c>
      <c r="J418" s="68">
        <f t="shared" si="1"/>
        <v>0</v>
      </c>
      <c r="K418" s="68" t="b">
        <v>0</v>
      </c>
    </row>
    <row r="419" hidden="1">
      <c r="A419" s="75">
        <v>413.0</v>
      </c>
      <c r="B419" s="62" t="s">
        <v>285</v>
      </c>
      <c r="C419" s="62" t="s">
        <v>109</v>
      </c>
      <c r="D419" s="62" t="s">
        <v>308</v>
      </c>
      <c r="E419" s="76">
        <v>43977.0</v>
      </c>
      <c r="F419" s="77">
        <v>0.3333333333333333</v>
      </c>
      <c r="G419" s="62" t="b">
        <v>0</v>
      </c>
      <c r="H419" s="78" t="b">
        <f>IF(VLOOKUP(C419,Projetos!A:L,12,false)=TRUE,TRUE,FALSE)</f>
        <v>0</v>
      </c>
      <c r="I419" s="68">
        <v>32.2362044522607</v>
      </c>
      <c r="J419" s="68">
        <f t="shared" si="1"/>
        <v>0</v>
      </c>
      <c r="K419" s="68" t="b">
        <v>0</v>
      </c>
    </row>
    <row r="420" hidden="1">
      <c r="A420" s="75">
        <v>414.0</v>
      </c>
      <c r="B420" s="62" t="s">
        <v>285</v>
      </c>
      <c r="C420" s="62" t="s">
        <v>109</v>
      </c>
      <c r="D420" s="62" t="s">
        <v>309</v>
      </c>
      <c r="E420" s="76">
        <v>43978.0</v>
      </c>
      <c r="F420" s="77">
        <v>0.25</v>
      </c>
      <c r="G420" s="62" t="b">
        <v>0</v>
      </c>
      <c r="H420" s="78" t="b">
        <f>IF(VLOOKUP(C420,Projetos!A:L,12,false)=TRUE,TRUE,FALSE)</f>
        <v>0</v>
      </c>
      <c r="I420" s="68">
        <v>32.2362044522607</v>
      </c>
      <c r="J420" s="68">
        <f t="shared" si="1"/>
        <v>0</v>
      </c>
      <c r="K420" s="68" t="b">
        <v>0</v>
      </c>
    </row>
    <row r="421" hidden="1">
      <c r="A421" s="75">
        <v>415.0</v>
      </c>
      <c r="B421" s="62" t="s">
        <v>285</v>
      </c>
      <c r="C421" s="62" t="s">
        <v>109</v>
      </c>
      <c r="D421" s="62" t="s">
        <v>310</v>
      </c>
      <c r="E421" s="76">
        <v>43980.0</v>
      </c>
      <c r="F421" s="77">
        <v>0.3125</v>
      </c>
      <c r="G421" s="62" t="b">
        <v>0</v>
      </c>
      <c r="H421" s="78" t="b">
        <f>IF(VLOOKUP(C421,Projetos!A:L,12,false)=TRUE,TRUE,FALSE)</f>
        <v>0</v>
      </c>
      <c r="I421" s="68">
        <v>32.2362044522607</v>
      </c>
      <c r="J421" s="68">
        <f t="shared" si="1"/>
        <v>0</v>
      </c>
      <c r="K421" s="68" t="b">
        <v>0</v>
      </c>
    </row>
    <row r="422" hidden="1">
      <c r="A422" s="75">
        <v>416.0</v>
      </c>
      <c r="B422" s="62" t="s">
        <v>285</v>
      </c>
      <c r="C422" s="62" t="s">
        <v>109</v>
      </c>
      <c r="D422" s="62" t="s">
        <v>311</v>
      </c>
      <c r="E422" s="76">
        <v>43983.0</v>
      </c>
      <c r="F422" s="77">
        <v>0.4166666666666667</v>
      </c>
      <c r="G422" s="62" t="b">
        <v>0</v>
      </c>
      <c r="H422" s="78" t="b">
        <f>IF(VLOOKUP(C422,Projetos!A:L,12,false)=TRUE,TRUE,FALSE)</f>
        <v>0</v>
      </c>
      <c r="I422" s="68">
        <v>30.770922431703394</v>
      </c>
      <c r="J422" s="68">
        <f t="shared" si="1"/>
        <v>0</v>
      </c>
      <c r="K422" s="68" t="b">
        <v>0</v>
      </c>
    </row>
    <row r="423" hidden="1">
      <c r="A423" s="75">
        <v>417.0</v>
      </c>
      <c r="B423" s="62" t="s">
        <v>285</v>
      </c>
      <c r="C423" s="62" t="s">
        <v>109</v>
      </c>
      <c r="D423" s="62" t="s">
        <v>311</v>
      </c>
      <c r="E423" s="76">
        <v>43984.0</v>
      </c>
      <c r="F423" s="77">
        <v>0.4166666666666667</v>
      </c>
      <c r="G423" s="62" t="b">
        <v>0</v>
      </c>
      <c r="H423" s="78" t="b">
        <f>IF(VLOOKUP(C423,Projetos!A:L,12,false)=TRUE,TRUE,FALSE)</f>
        <v>0</v>
      </c>
      <c r="I423" s="68">
        <v>30.770922431703394</v>
      </c>
      <c r="J423" s="68">
        <f t="shared" si="1"/>
        <v>0</v>
      </c>
      <c r="K423" s="68" t="b">
        <v>0</v>
      </c>
    </row>
    <row r="424" hidden="1">
      <c r="A424" s="75">
        <v>418.0</v>
      </c>
      <c r="B424" s="62" t="s">
        <v>285</v>
      </c>
      <c r="C424" s="62" t="s">
        <v>109</v>
      </c>
      <c r="D424" s="62" t="s">
        <v>311</v>
      </c>
      <c r="E424" s="76">
        <v>43985.0</v>
      </c>
      <c r="F424" s="77">
        <v>0.4166666666666667</v>
      </c>
      <c r="G424" s="62" t="b">
        <v>0</v>
      </c>
      <c r="H424" s="78" t="b">
        <f>IF(VLOOKUP(C424,Projetos!A:L,12,false)=TRUE,TRUE,FALSE)</f>
        <v>0</v>
      </c>
      <c r="I424" s="68">
        <v>30.770922431703394</v>
      </c>
      <c r="J424" s="68">
        <f t="shared" si="1"/>
        <v>0</v>
      </c>
      <c r="K424" s="68" t="b">
        <v>0</v>
      </c>
    </row>
    <row r="425" hidden="1">
      <c r="A425" s="75">
        <v>419.0</v>
      </c>
      <c r="B425" s="62" t="s">
        <v>285</v>
      </c>
      <c r="C425" s="62" t="s">
        <v>109</v>
      </c>
      <c r="D425" s="62" t="s">
        <v>311</v>
      </c>
      <c r="E425" s="76">
        <v>43986.0</v>
      </c>
      <c r="F425" s="77">
        <v>0.4166666666666667</v>
      </c>
      <c r="G425" s="62" t="b">
        <v>0</v>
      </c>
      <c r="H425" s="78" t="b">
        <f>IF(VLOOKUP(C425,Projetos!A:L,12,false)=TRUE,TRUE,FALSE)</f>
        <v>0</v>
      </c>
      <c r="I425" s="68">
        <v>30.770922431703394</v>
      </c>
      <c r="J425" s="68">
        <f t="shared" si="1"/>
        <v>0</v>
      </c>
      <c r="K425" s="68" t="b">
        <v>0</v>
      </c>
    </row>
    <row r="426" hidden="1">
      <c r="A426" s="75">
        <v>420.0</v>
      </c>
      <c r="B426" s="62" t="s">
        <v>285</v>
      </c>
      <c r="C426" s="62" t="s">
        <v>109</v>
      </c>
      <c r="D426" s="62" t="s">
        <v>311</v>
      </c>
      <c r="E426" s="76">
        <v>43987.0</v>
      </c>
      <c r="F426" s="77">
        <v>0.4166666666666667</v>
      </c>
      <c r="G426" s="62" t="b">
        <v>0</v>
      </c>
      <c r="H426" s="78" t="b">
        <f>IF(VLOOKUP(C426,Projetos!A:L,12,false)=TRUE,TRUE,FALSE)</f>
        <v>0</v>
      </c>
      <c r="I426" s="68">
        <v>30.770922431703394</v>
      </c>
      <c r="J426" s="68">
        <f t="shared" si="1"/>
        <v>0</v>
      </c>
      <c r="K426" s="68" t="b">
        <v>0</v>
      </c>
    </row>
    <row r="427" hidden="1">
      <c r="A427" s="75">
        <v>421.0</v>
      </c>
      <c r="B427" s="62" t="s">
        <v>285</v>
      </c>
      <c r="C427" s="62" t="s">
        <v>109</v>
      </c>
      <c r="D427" s="62" t="s">
        <v>311</v>
      </c>
      <c r="E427" s="76">
        <v>43990.0</v>
      </c>
      <c r="F427" s="77">
        <v>0.4166666666666667</v>
      </c>
      <c r="G427" s="62" t="b">
        <v>0</v>
      </c>
      <c r="H427" s="78" t="b">
        <f>IF(VLOOKUP(C427,Projetos!A:L,12,false)=TRUE,TRUE,FALSE)</f>
        <v>0</v>
      </c>
      <c r="I427" s="68">
        <v>30.770922431703394</v>
      </c>
      <c r="J427" s="68">
        <f t="shared" si="1"/>
        <v>0</v>
      </c>
      <c r="K427" s="68" t="b">
        <v>0</v>
      </c>
    </row>
    <row r="428" hidden="1">
      <c r="A428" s="75">
        <v>422.0</v>
      </c>
      <c r="B428" s="62" t="s">
        <v>285</v>
      </c>
      <c r="C428" s="62" t="s">
        <v>102</v>
      </c>
      <c r="D428" s="62" t="s">
        <v>312</v>
      </c>
      <c r="E428" s="76">
        <v>44008.0</v>
      </c>
      <c r="F428" s="77">
        <v>0.041666666666666664</v>
      </c>
      <c r="G428" s="62" t="b">
        <v>0</v>
      </c>
      <c r="H428" s="78" t="b">
        <f>IF(VLOOKUP(C428,Projetos!A:L,12,false)=TRUE,TRUE,FALSE)</f>
        <v>0</v>
      </c>
      <c r="I428" s="68">
        <v>30.770922431703394</v>
      </c>
      <c r="J428" s="68">
        <f t="shared" si="1"/>
        <v>0</v>
      </c>
      <c r="K428" s="68" t="b">
        <v>0</v>
      </c>
    </row>
    <row r="429" hidden="1">
      <c r="A429" s="75">
        <v>423.0</v>
      </c>
      <c r="B429" s="62" t="s">
        <v>285</v>
      </c>
      <c r="C429" s="62" t="s">
        <v>102</v>
      </c>
      <c r="D429" s="62" t="s">
        <v>313</v>
      </c>
      <c r="E429" s="76">
        <v>44011.0</v>
      </c>
      <c r="F429" s="77">
        <v>0.041666666666666664</v>
      </c>
      <c r="G429" s="62" t="b">
        <v>0</v>
      </c>
      <c r="H429" s="78" t="b">
        <f>IF(VLOOKUP(C429,Projetos!A:L,12,false)=TRUE,TRUE,FALSE)</f>
        <v>0</v>
      </c>
      <c r="I429" s="68">
        <v>30.770922431703394</v>
      </c>
      <c r="J429" s="68">
        <f t="shared" si="1"/>
        <v>0</v>
      </c>
      <c r="K429" s="68" t="b">
        <v>0</v>
      </c>
    </row>
    <row r="430" hidden="1">
      <c r="A430" s="75">
        <v>424.0</v>
      </c>
      <c r="B430" s="62" t="s">
        <v>285</v>
      </c>
      <c r="C430" s="62" t="s">
        <v>102</v>
      </c>
      <c r="D430" s="62" t="s">
        <v>314</v>
      </c>
      <c r="E430" s="76">
        <v>44013.0</v>
      </c>
      <c r="F430" s="77">
        <v>0.041666666666666664</v>
      </c>
      <c r="G430" s="62" t="b">
        <v>0</v>
      </c>
      <c r="H430" s="78" t="b">
        <f>IF(VLOOKUP(C430,Projetos!A:L,12,false)=TRUE,TRUE,FALSE)</f>
        <v>0</v>
      </c>
      <c r="I430" s="68">
        <v>32.2362044522607</v>
      </c>
      <c r="J430" s="68">
        <f t="shared" si="1"/>
        <v>0</v>
      </c>
      <c r="K430" s="68" t="b">
        <v>0</v>
      </c>
    </row>
    <row r="431" hidden="1">
      <c r="A431" s="75">
        <v>425.0</v>
      </c>
      <c r="B431" s="62" t="s">
        <v>285</v>
      </c>
      <c r="C431" s="62" t="s">
        <v>98</v>
      </c>
      <c r="D431" s="62" t="s">
        <v>315</v>
      </c>
      <c r="E431" s="76">
        <v>44015.0</v>
      </c>
      <c r="F431" s="77">
        <v>0.041666666666666664</v>
      </c>
      <c r="G431" s="62" t="b">
        <v>1</v>
      </c>
      <c r="H431" s="78" t="b">
        <f>IF(VLOOKUP(C431,Projetos!A:L,12,false)=TRUE,TRUE,FALSE)</f>
        <v>1</v>
      </c>
      <c r="I431" s="68">
        <v>32.2362044522607</v>
      </c>
      <c r="J431" s="68">
        <f t="shared" si="1"/>
        <v>32.23620445</v>
      </c>
      <c r="K431" s="68" t="b">
        <v>1</v>
      </c>
    </row>
    <row r="432" hidden="1">
      <c r="A432" s="75">
        <v>426.0</v>
      </c>
      <c r="B432" s="62" t="s">
        <v>285</v>
      </c>
      <c r="C432" s="62" t="s">
        <v>98</v>
      </c>
      <c r="D432" s="62" t="s">
        <v>316</v>
      </c>
      <c r="E432" s="76">
        <v>44018.0</v>
      </c>
      <c r="F432" s="77">
        <v>0.007638888888888889</v>
      </c>
      <c r="G432" s="62" t="b">
        <v>0</v>
      </c>
      <c r="H432" s="78" t="b">
        <f>IF(VLOOKUP(C432,Projetos!A:L,12,false)=TRUE,TRUE,FALSE)</f>
        <v>1</v>
      </c>
      <c r="I432" s="68">
        <v>32.2362044522607</v>
      </c>
      <c r="J432" s="68">
        <f t="shared" si="1"/>
        <v>0</v>
      </c>
      <c r="K432" s="68" t="b">
        <v>1</v>
      </c>
    </row>
    <row r="433" hidden="1">
      <c r="A433" s="75">
        <v>427.0</v>
      </c>
      <c r="B433" s="62" t="s">
        <v>285</v>
      </c>
      <c r="C433" s="62" t="s">
        <v>98</v>
      </c>
      <c r="D433" s="62" t="s">
        <v>316</v>
      </c>
      <c r="E433" s="76">
        <v>44039.0</v>
      </c>
      <c r="F433" s="77">
        <v>0.003472222222222222</v>
      </c>
      <c r="G433" s="62" t="b">
        <v>0</v>
      </c>
      <c r="H433" s="78" t="b">
        <f>IF(VLOOKUP(C433,Projetos!A:L,12,false)=TRUE,TRUE,FALSE)</f>
        <v>1</v>
      </c>
      <c r="I433" s="68">
        <v>32.2362044522607</v>
      </c>
      <c r="J433" s="68">
        <f t="shared" si="1"/>
        <v>0</v>
      </c>
      <c r="K433" s="68" t="b">
        <v>1</v>
      </c>
    </row>
    <row r="434" hidden="1">
      <c r="A434" s="75">
        <v>428.0</v>
      </c>
      <c r="B434" s="62" t="s">
        <v>285</v>
      </c>
      <c r="C434" s="62" t="s">
        <v>102</v>
      </c>
      <c r="D434" s="62" t="s">
        <v>167</v>
      </c>
      <c r="E434" s="76">
        <v>44049.0</v>
      </c>
      <c r="F434" s="77">
        <v>0.0625</v>
      </c>
      <c r="G434" s="62" t="b">
        <v>0</v>
      </c>
      <c r="H434" s="78" t="b">
        <f>IF(VLOOKUP(C434,Projetos!A:L,12,false)=TRUE,TRUE,FALSE)</f>
        <v>0</v>
      </c>
      <c r="I434" s="68">
        <v>32.2362044522607</v>
      </c>
      <c r="J434" s="68">
        <f t="shared" si="1"/>
        <v>0</v>
      </c>
      <c r="K434" s="68" t="b">
        <v>0</v>
      </c>
    </row>
    <row r="435" hidden="1">
      <c r="A435" s="75">
        <v>429.0</v>
      </c>
      <c r="B435" s="62" t="s">
        <v>285</v>
      </c>
      <c r="C435" s="62" t="s">
        <v>98</v>
      </c>
      <c r="D435" s="62" t="s">
        <v>317</v>
      </c>
      <c r="E435" s="76">
        <v>44049.0</v>
      </c>
      <c r="F435" s="77">
        <v>0.0625</v>
      </c>
      <c r="G435" s="62" t="b">
        <v>1</v>
      </c>
      <c r="H435" s="78" t="b">
        <f>IF(VLOOKUP(C435,Projetos!A:L,12,false)=TRUE,TRUE,FALSE)</f>
        <v>1</v>
      </c>
      <c r="I435" s="68">
        <v>32.2362044522607</v>
      </c>
      <c r="J435" s="68">
        <f t="shared" si="1"/>
        <v>48.35430668</v>
      </c>
      <c r="K435" s="68" t="b">
        <v>1</v>
      </c>
    </row>
    <row r="436" hidden="1">
      <c r="A436" s="75">
        <v>430.0</v>
      </c>
      <c r="B436" s="62" t="s">
        <v>285</v>
      </c>
      <c r="C436" s="62" t="s">
        <v>102</v>
      </c>
      <c r="D436" s="62" t="s">
        <v>169</v>
      </c>
      <c r="E436" s="76">
        <v>44050.0</v>
      </c>
      <c r="F436" s="77">
        <v>0.2916666666666667</v>
      </c>
      <c r="G436" s="62" t="b">
        <v>0</v>
      </c>
      <c r="H436" s="78" t="b">
        <f>IF(VLOOKUP(C436,Projetos!A:L,12,false)=TRUE,TRUE,FALSE)</f>
        <v>0</v>
      </c>
      <c r="I436" s="68">
        <v>32.2362044522607</v>
      </c>
      <c r="J436" s="68">
        <f t="shared" si="1"/>
        <v>0</v>
      </c>
      <c r="K436" s="68" t="b">
        <v>0</v>
      </c>
    </row>
    <row r="437" hidden="1">
      <c r="A437" s="75">
        <v>431.0</v>
      </c>
      <c r="B437" s="62" t="s">
        <v>285</v>
      </c>
      <c r="C437" s="62" t="s">
        <v>98</v>
      </c>
      <c r="D437" s="62" t="s">
        <v>318</v>
      </c>
      <c r="E437" s="76">
        <v>44050.0</v>
      </c>
      <c r="F437" s="77">
        <v>0.013888888888888888</v>
      </c>
      <c r="G437" s="62" t="b">
        <v>1</v>
      </c>
      <c r="H437" s="78" t="b">
        <f>IF(VLOOKUP(C437,Projetos!A:L,12,false)=TRUE,TRUE,FALSE)</f>
        <v>1</v>
      </c>
      <c r="I437" s="68">
        <v>32.2362044522607</v>
      </c>
      <c r="J437" s="68">
        <f t="shared" si="1"/>
        <v>10.74540148</v>
      </c>
      <c r="K437" s="68" t="b">
        <v>1</v>
      </c>
    </row>
    <row r="438" hidden="1">
      <c r="A438" s="75">
        <v>432.0</v>
      </c>
      <c r="B438" s="62" t="s">
        <v>285</v>
      </c>
      <c r="C438" s="62" t="s">
        <v>102</v>
      </c>
      <c r="D438" s="62" t="s">
        <v>169</v>
      </c>
      <c r="E438" s="76">
        <v>44053.0</v>
      </c>
      <c r="F438" s="77">
        <v>0.25</v>
      </c>
      <c r="G438" s="62" t="b">
        <v>0</v>
      </c>
      <c r="H438" s="78" t="b">
        <f>IF(VLOOKUP(C438,Projetos!A:L,12,false)=TRUE,TRUE,FALSE)</f>
        <v>0</v>
      </c>
      <c r="I438" s="68">
        <v>32.2362044522607</v>
      </c>
      <c r="J438" s="68">
        <f t="shared" si="1"/>
        <v>0</v>
      </c>
      <c r="K438" s="68" t="b">
        <v>0</v>
      </c>
    </row>
    <row r="439" hidden="1">
      <c r="A439" s="75">
        <v>433.0</v>
      </c>
      <c r="B439" s="62" t="s">
        <v>285</v>
      </c>
      <c r="C439" s="62" t="s">
        <v>102</v>
      </c>
      <c r="D439" s="62" t="s">
        <v>169</v>
      </c>
      <c r="E439" s="76">
        <v>44054.0</v>
      </c>
      <c r="F439" s="77">
        <v>0.20833333333333334</v>
      </c>
      <c r="G439" s="62" t="b">
        <v>0</v>
      </c>
      <c r="H439" s="78" t="b">
        <f>IF(VLOOKUP(C439,Projetos!A:L,12,false)=TRUE,TRUE,FALSE)</f>
        <v>0</v>
      </c>
      <c r="I439" s="68">
        <v>32.2362044522607</v>
      </c>
      <c r="J439" s="68">
        <f t="shared" si="1"/>
        <v>0</v>
      </c>
      <c r="K439" s="68" t="b">
        <v>0</v>
      </c>
    </row>
    <row r="440" hidden="1">
      <c r="A440" s="75">
        <v>434.0</v>
      </c>
      <c r="B440" s="62" t="s">
        <v>285</v>
      </c>
      <c r="C440" s="62" t="s">
        <v>102</v>
      </c>
      <c r="D440" s="62" t="s">
        <v>319</v>
      </c>
      <c r="E440" s="76">
        <v>44060.0</v>
      </c>
      <c r="F440" s="77">
        <v>0.23958333333333334</v>
      </c>
      <c r="G440" s="62" t="b">
        <v>0</v>
      </c>
      <c r="H440" s="78" t="b">
        <f>IF(VLOOKUP(C440,Projetos!A:L,12,false)=TRUE,TRUE,FALSE)</f>
        <v>0</v>
      </c>
      <c r="I440" s="68">
        <v>32.2362044522607</v>
      </c>
      <c r="J440" s="68">
        <f t="shared" si="1"/>
        <v>0</v>
      </c>
      <c r="K440" s="68" t="b">
        <v>0</v>
      </c>
    </row>
    <row r="441" hidden="1">
      <c r="A441" s="75">
        <v>435.0</v>
      </c>
      <c r="B441" s="62" t="s">
        <v>285</v>
      </c>
      <c r="C441" s="62" t="s">
        <v>88</v>
      </c>
      <c r="D441" s="62" t="s">
        <v>320</v>
      </c>
      <c r="E441" s="76">
        <v>44060.0</v>
      </c>
      <c r="F441" s="77">
        <v>0.10833333333333334</v>
      </c>
      <c r="G441" s="62" t="b">
        <v>0</v>
      </c>
      <c r="H441" s="78" t="b">
        <f>IF(VLOOKUP(C441,Projetos!A:L,12,false)=TRUE,TRUE,FALSE)</f>
        <v>1</v>
      </c>
      <c r="I441" s="68">
        <v>32.2362044522607</v>
      </c>
      <c r="J441" s="68">
        <f t="shared" si="1"/>
        <v>0</v>
      </c>
      <c r="K441" s="68" t="b">
        <v>1</v>
      </c>
    </row>
    <row r="442" hidden="1">
      <c r="A442" s="75">
        <v>436.0</v>
      </c>
      <c r="B442" s="62" t="s">
        <v>285</v>
      </c>
      <c r="C442" s="62" t="s">
        <v>88</v>
      </c>
      <c r="D442" s="62" t="s">
        <v>321</v>
      </c>
      <c r="E442" s="76">
        <v>44061.0</v>
      </c>
      <c r="F442" s="77">
        <v>0.024305555555555556</v>
      </c>
      <c r="G442" s="62" t="b">
        <v>1</v>
      </c>
      <c r="H442" s="78" t="b">
        <f>IF(VLOOKUP(C442,Projetos!A:L,12,false)=TRUE,TRUE,FALSE)</f>
        <v>1</v>
      </c>
      <c r="I442" s="68">
        <v>32.2362044522607</v>
      </c>
      <c r="J442" s="68">
        <f t="shared" si="1"/>
        <v>18.8044526</v>
      </c>
      <c r="K442" s="68" t="b">
        <v>1</v>
      </c>
    </row>
    <row r="443" hidden="1">
      <c r="A443" s="75">
        <v>437.0</v>
      </c>
      <c r="B443" s="62" t="s">
        <v>285</v>
      </c>
      <c r="C443" s="62" t="s">
        <v>108</v>
      </c>
      <c r="D443" s="62" t="s">
        <v>322</v>
      </c>
      <c r="E443" s="76">
        <v>44062.0</v>
      </c>
      <c r="F443" s="77">
        <v>0.003472222222222222</v>
      </c>
      <c r="G443" s="62" t="b">
        <v>0</v>
      </c>
      <c r="H443" s="78" t="b">
        <f>IF(VLOOKUP(C443,Projetos!A:L,12,false)=TRUE,TRUE,FALSE)</f>
        <v>1</v>
      </c>
      <c r="I443" s="68">
        <v>32.2362044522607</v>
      </c>
      <c r="J443" s="68">
        <f t="shared" si="1"/>
        <v>0</v>
      </c>
      <c r="K443" s="68" t="b">
        <v>1</v>
      </c>
    </row>
    <row r="444" hidden="1">
      <c r="A444" s="75">
        <v>438.0</v>
      </c>
      <c r="B444" s="62" t="s">
        <v>285</v>
      </c>
      <c r="C444" s="62" t="s">
        <v>109</v>
      </c>
      <c r="D444" s="62" t="s">
        <v>323</v>
      </c>
      <c r="E444" s="76">
        <v>44062.0</v>
      </c>
      <c r="F444" s="77">
        <v>0.2222222222222222</v>
      </c>
      <c r="G444" s="62" t="b">
        <v>0</v>
      </c>
      <c r="H444" s="78" t="b">
        <f>IF(VLOOKUP(C444,Projetos!A:L,12,false)=TRUE,TRUE,FALSE)</f>
        <v>0</v>
      </c>
      <c r="I444" s="68">
        <v>32.2362044522607</v>
      </c>
      <c r="J444" s="68">
        <f t="shared" si="1"/>
        <v>0</v>
      </c>
      <c r="K444" s="68" t="b">
        <v>0</v>
      </c>
    </row>
    <row r="445" hidden="1">
      <c r="A445" s="75">
        <v>439.0</v>
      </c>
      <c r="B445" s="62" t="s">
        <v>285</v>
      </c>
      <c r="C445" s="62" t="s">
        <v>109</v>
      </c>
      <c r="D445" s="62" t="s">
        <v>324</v>
      </c>
      <c r="E445" s="76">
        <v>44063.0</v>
      </c>
      <c r="F445" s="77">
        <v>0.1527777777777778</v>
      </c>
      <c r="G445" s="62" t="b">
        <v>0</v>
      </c>
      <c r="H445" s="78" t="b">
        <f>IF(VLOOKUP(C445,Projetos!A:L,12,false)=TRUE,TRUE,FALSE)</f>
        <v>0</v>
      </c>
      <c r="I445" s="68">
        <v>32.2362044522607</v>
      </c>
      <c r="J445" s="68">
        <f t="shared" si="1"/>
        <v>0</v>
      </c>
      <c r="K445" s="68" t="b">
        <v>0</v>
      </c>
    </row>
    <row r="446" hidden="1">
      <c r="A446" s="75">
        <v>440.0</v>
      </c>
      <c r="B446" s="62" t="s">
        <v>285</v>
      </c>
      <c r="C446" s="62" t="s">
        <v>98</v>
      </c>
      <c r="D446" s="62" t="s">
        <v>325</v>
      </c>
      <c r="E446" s="76">
        <v>44068.0</v>
      </c>
      <c r="F446" s="77">
        <v>0.1111111111111111</v>
      </c>
      <c r="G446" s="62" t="b">
        <v>1</v>
      </c>
      <c r="H446" s="78" t="b">
        <f>IF(VLOOKUP(C446,Projetos!A:L,12,false)=TRUE,TRUE,FALSE)</f>
        <v>1</v>
      </c>
      <c r="I446" s="68">
        <v>32.2362044522607</v>
      </c>
      <c r="J446" s="68">
        <f t="shared" si="1"/>
        <v>85.96321187</v>
      </c>
      <c r="K446" s="68" t="b">
        <v>1</v>
      </c>
    </row>
    <row r="447" hidden="1">
      <c r="A447" s="75">
        <v>441.0</v>
      </c>
      <c r="B447" s="62" t="s">
        <v>285</v>
      </c>
      <c r="C447" s="62" t="s">
        <v>98</v>
      </c>
      <c r="D447" s="62" t="s">
        <v>326</v>
      </c>
      <c r="E447" s="76">
        <v>44085.0</v>
      </c>
      <c r="F447" s="77">
        <v>0.020833333333333332</v>
      </c>
      <c r="G447" s="62" t="b">
        <v>1</v>
      </c>
      <c r="H447" s="78" t="b">
        <f>IF(VLOOKUP(C447,Projetos!A:L,12,false)=TRUE,TRUE,FALSE)</f>
        <v>1</v>
      </c>
      <c r="I447" s="68">
        <v>33.23260950126262</v>
      </c>
      <c r="J447" s="68">
        <f t="shared" si="1"/>
        <v>16.61630475</v>
      </c>
      <c r="K447" s="68" t="b">
        <v>1</v>
      </c>
    </row>
    <row r="448" hidden="1">
      <c r="A448" s="75">
        <v>442.0</v>
      </c>
      <c r="B448" s="62" t="s">
        <v>285</v>
      </c>
      <c r="C448" s="62" t="s">
        <v>98</v>
      </c>
      <c r="D448" s="62" t="s">
        <v>327</v>
      </c>
      <c r="E448" s="76">
        <v>44088.0</v>
      </c>
      <c r="F448" s="77">
        <v>0.18055555555555555</v>
      </c>
      <c r="G448" s="62" t="b">
        <v>1</v>
      </c>
      <c r="H448" s="78" t="b">
        <f>IF(VLOOKUP(C448,Projetos!A:L,12,false)=TRUE,TRUE,FALSE)</f>
        <v>1</v>
      </c>
      <c r="I448" s="68">
        <v>33.23260950126262</v>
      </c>
      <c r="J448" s="68">
        <f t="shared" si="1"/>
        <v>144.0079745</v>
      </c>
      <c r="K448" s="68" t="b">
        <v>1</v>
      </c>
    </row>
    <row r="449" hidden="1">
      <c r="A449" s="75">
        <v>443.0</v>
      </c>
      <c r="B449" s="62" t="s">
        <v>285</v>
      </c>
      <c r="C449" s="62" t="s">
        <v>98</v>
      </c>
      <c r="D449" s="62" t="s">
        <v>328</v>
      </c>
      <c r="E449" s="76">
        <v>44090.0</v>
      </c>
      <c r="F449" s="77">
        <v>0.3611111111111111</v>
      </c>
      <c r="G449" s="62" t="b">
        <v>1</v>
      </c>
      <c r="H449" s="78" t="b">
        <f>IF(VLOOKUP(C449,Projetos!A:L,12,false)=TRUE,TRUE,FALSE)</f>
        <v>1</v>
      </c>
      <c r="I449" s="68">
        <v>33.23260950126262</v>
      </c>
      <c r="J449" s="68">
        <f t="shared" si="1"/>
        <v>288.015949</v>
      </c>
      <c r="K449" s="68" t="b">
        <v>1</v>
      </c>
    </row>
    <row r="450" hidden="1">
      <c r="A450" s="75">
        <v>444.0</v>
      </c>
      <c r="B450" s="62" t="s">
        <v>285</v>
      </c>
      <c r="C450" s="62" t="s">
        <v>98</v>
      </c>
      <c r="D450" s="62" t="s">
        <v>329</v>
      </c>
      <c r="E450" s="76">
        <v>44091.0</v>
      </c>
      <c r="F450" s="77">
        <v>0.2013888888888889</v>
      </c>
      <c r="G450" s="62" t="b">
        <v>1</v>
      </c>
      <c r="H450" s="78" t="b">
        <f>IF(VLOOKUP(C450,Projetos!A:L,12,false)=TRUE,TRUE,FALSE)</f>
        <v>1</v>
      </c>
      <c r="I450" s="68">
        <v>33.23260950126262</v>
      </c>
      <c r="J450" s="68">
        <f t="shared" si="1"/>
        <v>160.6242793</v>
      </c>
      <c r="K450" s="68" t="b">
        <v>1</v>
      </c>
    </row>
    <row r="451" hidden="1">
      <c r="A451" s="75">
        <v>445.0</v>
      </c>
      <c r="B451" s="62" t="s">
        <v>285</v>
      </c>
      <c r="C451" s="62" t="s">
        <v>98</v>
      </c>
      <c r="D451" s="62" t="s">
        <v>330</v>
      </c>
      <c r="E451" s="76">
        <v>44095.0</v>
      </c>
      <c r="F451" s="77">
        <v>0.11805555555555555</v>
      </c>
      <c r="G451" s="62" t="b">
        <v>1</v>
      </c>
      <c r="H451" s="78" t="b">
        <f>IF(VLOOKUP(C451,Projetos!A:L,12,false)=TRUE,TRUE,FALSE)</f>
        <v>1</v>
      </c>
      <c r="I451" s="68">
        <v>33.23260950126262</v>
      </c>
      <c r="J451" s="68">
        <f t="shared" si="1"/>
        <v>94.15906025</v>
      </c>
      <c r="K451" s="68" t="b">
        <v>1</v>
      </c>
    </row>
    <row r="452" hidden="1">
      <c r="A452" s="75">
        <v>446.0</v>
      </c>
      <c r="B452" s="62" t="s">
        <v>285</v>
      </c>
      <c r="C452" s="62" t="s">
        <v>108</v>
      </c>
      <c r="D452" s="62" t="s">
        <v>331</v>
      </c>
      <c r="E452" s="76">
        <v>44099.0</v>
      </c>
      <c r="F452" s="77">
        <v>0.13541666666666666</v>
      </c>
      <c r="G452" s="62" t="b">
        <v>0</v>
      </c>
      <c r="H452" s="78" t="b">
        <f>IF(VLOOKUP(C452,Projetos!A:L,12,false)=TRUE,TRUE,FALSE)</f>
        <v>1</v>
      </c>
      <c r="I452" s="68">
        <v>33.23260950126262</v>
      </c>
      <c r="J452" s="68">
        <f t="shared" si="1"/>
        <v>0</v>
      </c>
      <c r="K452" s="68" t="b">
        <v>1</v>
      </c>
    </row>
    <row r="453" hidden="1">
      <c r="A453" s="75">
        <v>447.0</v>
      </c>
      <c r="B453" s="62" t="s">
        <v>285</v>
      </c>
      <c r="C453" s="62" t="s">
        <v>108</v>
      </c>
      <c r="D453" s="62" t="s">
        <v>332</v>
      </c>
      <c r="E453" s="76">
        <v>44102.0</v>
      </c>
      <c r="F453" s="77">
        <v>0.25</v>
      </c>
      <c r="G453" s="62" t="b">
        <v>0</v>
      </c>
      <c r="H453" s="78" t="b">
        <f>IF(VLOOKUP(C453,Projetos!A:L,12,false)=TRUE,TRUE,FALSE)</f>
        <v>1</v>
      </c>
      <c r="I453" s="68">
        <v>33.23260950126262</v>
      </c>
      <c r="J453" s="68">
        <f t="shared" si="1"/>
        <v>0</v>
      </c>
      <c r="K453" s="68" t="b">
        <v>1</v>
      </c>
    </row>
    <row r="454" hidden="1">
      <c r="A454" s="75">
        <v>448.0</v>
      </c>
      <c r="B454" s="62" t="s">
        <v>285</v>
      </c>
      <c r="C454" s="62" t="s">
        <v>108</v>
      </c>
      <c r="D454" s="62" t="s">
        <v>333</v>
      </c>
      <c r="E454" s="76">
        <v>44103.0</v>
      </c>
      <c r="F454" s="77">
        <v>0.3263888888888889</v>
      </c>
      <c r="G454" s="62" t="b">
        <v>0</v>
      </c>
      <c r="H454" s="78" t="b">
        <f>IF(VLOOKUP(C454,Projetos!A:L,12,false)=TRUE,TRUE,FALSE)</f>
        <v>1</v>
      </c>
      <c r="I454" s="68">
        <v>33.23260950126262</v>
      </c>
      <c r="J454" s="68">
        <f t="shared" si="1"/>
        <v>0</v>
      </c>
      <c r="K454" s="68" t="b">
        <v>1</v>
      </c>
    </row>
    <row r="455" hidden="1">
      <c r="A455" s="75">
        <v>449.0</v>
      </c>
      <c r="B455" s="62" t="s">
        <v>285</v>
      </c>
      <c r="C455" s="62" t="s">
        <v>108</v>
      </c>
      <c r="D455" s="62" t="s">
        <v>333</v>
      </c>
      <c r="E455" s="76">
        <v>44104.0</v>
      </c>
      <c r="F455" s="77">
        <v>0.3541666666666667</v>
      </c>
      <c r="G455" s="62" t="b">
        <v>0</v>
      </c>
      <c r="H455" s="78" t="b">
        <f>IF(VLOOKUP(C455,Projetos!A:L,12,false)=TRUE,TRUE,FALSE)</f>
        <v>1</v>
      </c>
      <c r="I455" s="68">
        <v>33.23260950126262</v>
      </c>
      <c r="J455" s="68">
        <f t="shared" si="1"/>
        <v>0</v>
      </c>
      <c r="K455" s="68" t="b">
        <v>1</v>
      </c>
    </row>
    <row r="456" hidden="1">
      <c r="A456" s="75">
        <v>450.0</v>
      </c>
      <c r="B456" s="62" t="s">
        <v>285</v>
      </c>
      <c r="C456" s="62" t="s">
        <v>108</v>
      </c>
      <c r="D456" s="62" t="s">
        <v>333</v>
      </c>
      <c r="E456" s="76">
        <v>44105.0</v>
      </c>
      <c r="F456" s="77">
        <v>0.2916666666666667</v>
      </c>
      <c r="G456" s="62" t="b">
        <v>0</v>
      </c>
      <c r="H456" s="78" t="b">
        <f>IF(VLOOKUP(C456,Projetos!A:L,12,false)=TRUE,TRUE,FALSE)</f>
        <v>1</v>
      </c>
      <c r="I456" s="68">
        <v>34.815114715608466</v>
      </c>
      <c r="J456" s="68">
        <f t="shared" si="1"/>
        <v>0</v>
      </c>
      <c r="K456" s="68" t="b">
        <v>1</v>
      </c>
    </row>
    <row r="457" hidden="1">
      <c r="A457" s="75">
        <v>451.0</v>
      </c>
      <c r="B457" s="62" t="s">
        <v>285</v>
      </c>
      <c r="C457" s="62" t="s">
        <v>98</v>
      </c>
      <c r="D457" s="62" t="s">
        <v>334</v>
      </c>
      <c r="E457" s="76">
        <v>44105.0</v>
      </c>
      <c r="F457" s="77">
        <v>0.04861111111111111</v>
      </c>
      <c r="G457" s="62" t="b">
        <v>1</v>
      </c>
      <c r="H457" s="78" t="b">
        <f>IF(VLOOKUP(C457,Projetos!A:L,12,false)=TRUE,TRUE,FALSE)</f>
        <v>1</v>
      </c>
      <c r="I457" s="68">
        <v>34.815114715608466</v>
      </c>
      <c r="J457" s="68">
        <f t="shared" si="1"/>
        <v>40.61763383</v>
      </c>
      <c r="K457" s="68" t="b">
        <v>1</v>
      </c>
    </row>
    <row r="458" hidden="1">
      <c r="A458" s="75">
        <v>452.0</v>
      </c>
      <c r="B458" s="62" t="s">
        <v>285</v>
      </c>
      <c r="C458" s="62" t="s">
        <v>108</v>
      </c>
      <c r="D458" s="62" t="s">
        <v>333</v>
      </c>
      <c r="E458" s="76">
        <v>44106.0</v>
      </c>
      <c r="F458" s="77">
        <v>0.3333333333333333</v>
      </c>
      <c r="G458" s="62" t="b">
        <v>0</v>
      </c>
      <c r="H458" s="78" t="b">
        <f>IF(VLOOKUP(C458,Projetos!A:L,12,false)=TRUE,TRUE,FALSE)</f>
        <v>1</v>
      </c>
      <c r="I458" s="68">
        <v>34.815114715608466</v>
      </c>
      <c r="J458" s="68">
        <f t="shared" si="1"/>
        <v>0</v>
      </c>
      <c r="K458" s="68" t="b">
        <v>1</v>
      </c>
    </row>
    <row r="459" hidden="1">
      <c r="A459" s="75">
        <v>453.0</v>
      </c>
      <c r="B459" s="62" t="s">
        <v>285</v>
      </c>
      <c r="C459" s="62" t="s">
        <v>102</v>
      </c>
      <c r="D459" s="62" t="s">
        <v>335</v>
      </c>
      <c r="E459" s="76">
        <v>44109.0</v>
      </c>
      <c r="F459" s="77">
        <v>0.1875</v>
      </c>
      <c r="G459" s="62" t="b">
        <v>0</v>
      </c>
      <c r="H459" s="78" t="b">
        <f>IF(VLOOKUP(C459,Projetos!A:L,12,false)=TRUE,TRUE,FALSE)</f>
        <v>0</v>
      </c>
      <c r="I459" s="68">
        <v>34.815114715608466</v>
      </c>
      <c r="J459" s="68">
        <f t="shared" si="1"/>
        <v>0</v>
      </c>
      <c r="K459" s="68" t="b">
        <v>0</v>
      </c>
    </row>
    <row r="460" hidden="1">
      <c r="A460" s="75">
        <v>454.0</v>
      </c>
      <c r="B460" s="62" t="s">
        <v>285</v>
      </c>
      <c r="C460" s="62" t="s">
        <v>108</v>
      </c>
      <c r="D460" s="62" t="s">
        <v>333</v>
      </c>
      <c r="E460" s="76">
        <v>44110.0</v>
      </c>
      <c r="F460" s="77">
        <v>0.3333333333333333</v>
      </c>
      <c r="G460" s="62" t="b">
        <v>0</v>
      </c>
      <c r="H460" s="78" t="b">
        <f>IF(VLOOKUP(C460,Projetos!A:L,12,false)=TRUE,TRUE,FALSE)</f>
        <v>1</v>
      </c>
      <c r="I460" s="68">
        <v>34.815114715608466</v>
      </c>
      <c r="J460" s="68">
        <f t="shared" si="1"/>
        <v>0</v>
      </c>
      <c r="K460" s="68" t="b">
        <v>1</v>
      </c>
    </row>
    <row r="461" hidden="1">
      <c r="A461" s="75">
        <v>455.0</v>
      </c>
      <c r="B461" s="62" t="s">
        <v>285</v>
      </c>
      <c r="C461" s="62" t="s">
        <v>108</v>
      </c>
      <c r="D461" s="62" t="s">
        <v>336</v>
      </c>
      <c r="E461" s="76">
        <v>44111.0</v>
      </c>
      <c r="F461" s="77">
        <v>0.3333333333333333</v>
      </c>
      <c r="G461" s="62" t="b">
        <v>0</v>
      </c>
      <c r="H461" s="78" t="b">
        <f>IF(VLOOKUP(C461,Projetos!A:L,12,false)=TRUE,TRUE,FALSE)</f>
        <v>1</v>
      </c>
      <c r="I461" s="68">
        <v>34.815114715608466</v>
      </c>
      <c r="J461" s="68">
        <f t="shared" si="1"/>
        <v>0</v>
      </c>
      <c r="K461" s="68" t="b">
        <v>1</v>
      </c>
    </row>
    <row r="462" hidden="1">
      <c r="A462" s="75">
        <v>456.0</v>
      </c>
      <c r="B462" s="62" t="s">
        <v>285</v>
      </c>
      <c r="C462" s="62" t="s">
        <v>108</v>
      </c>
      <c r="D462" s="62" t="s">
        <v>337</v>
      </c>
      <c r="E462" s="76">
        <v>44112.0</v>
      </c>
      <c r="F462" s="77">
        <v>0.25</v>
      </c>
      <c r="G462" s="62" t="b">
        <v>0</v>
      </c>
      <c r="H462" s="78" t="b">
        <f>IF(VLOOKUP(C462,Projetos!A:L,12,false)=TRUE,TRUE,FALSE)</f>
        <v>1</v>
      </c>
      <c r="I462" s="68">
        <v>34.815114715608466</v>
      </c>
      <c r="J462" s="68">
        <f t="shared" si="1"/>
        <v>0</v>
      </c>
      <c r="K462" s="68" t="b">
        <v>1</v>
      </c>
    </row>
    <row r="463">
      <c r="A463" s="75">
        <v>457.0</v>
      </c>
      <c r="B463" s="62" t="s">
        <v>285</v>
      </c>
      <c r="C463" s="62" t="s">
        <v>104</v>
      </c>
      <c r="D463" s="62" t="s">
        <v>338</v>
      </c>
      <c r="E463" s="76">
        <v>44112.0</v>
      </c>
      <c r="F463" s="77">
        <v>0.041666666666666664</v>
      </c>
      <c r="G463" s="62" t="b">
        <v>1</v>
      </c>
      <c r="H463" s="78" t="b">
        <f>IF(VLOOKUP(C463,Projetos!A:L,12,false)=TRUE,TRUE,FALSE)</f>
        <v>1</v>
      </c>
      <c r="I463" s="68">
        <v>34.815114715608466</v>
      </c>
      <c r="J463" s="68">
        <f t="shared" si="1"/>
        <v>34.81511472</v>
      </c>
      <c r="K463" s="68" t="b">
        <v>1</v>
      </c>
    </row>
    <row r="464" hidden="1">
      <c r="A464" s="75">
        <v>458.0</v>
      </c>
      <c r="B464" s="62" t="s">
        <v>285</v>
      </c>
      <c r="C464" s="62" t="s">
        <v>108</v>
      </c>
      <c r="D464" s="62" t="s">
        <v>339</v>
      </c>
      <c r="E464" s="76">
        <v>44130.0</v>
      </c>
      <c r="F464" s="77">
        <v>0.013888888888888888</v>
      </c>
      <c r="G464" s="62" t="b">
        <v>0</v>
      </c>
      <c r="H464" s="78" t="b">
        <f>IF(VLOOKUP(C464,Projetos!A:L,12,false)=TRUE,TRUE,FALSE)</f>
        <v>1</v>
      </c>
      <c r="I464" s="68">
        <v>34.815114715608466</v>
      </c>
      <c r="J464" s="68">
        <f t="shared" si="1"/>
        <v>0</v>
      </c>
      <c r="K464" s="68" t="b">
        <v>1</v>
      </c>
    </row>
    <row r="465" hidden="1">
      <c r="A465" s="75">
        <v>459.0</v>
      </c>
      <c r="B465" s="62" t="s">
        <v>285</v>
      </c>
      <c r="C465" s="62" t="s">
        <v>109</v>
      </c>
      <c r="D465" s="62" t="s">
        <v>340</v>
      </c>
      <c r="E465" s="76">
        <v>44134.0</v>
      </c>
      <c r="F465" s="77">
        <v>0.08333333333333333</v>
      </c>
      <c r="G465" s="62" t="b">
        <v>0</v>
      </c>
      <c r="H465" s="78" t="b">
        <f>IF(VLOOKUP(C465,Projetos!A:L,12,false)=TRUE,TRUE,FALSE)</f>
        <v>0</v>
      </c>
      <c r="I465" s="68">
        <v>34.815114715608466</v>
      </c>
      <c r="J465" s="68">
        <f t="shared" si="1"/>
        <v>0</v>
      </c>
      <c r="K465" s="68" t="b">
        <v>0</v>
      </c>
    </row>
    <row r="466" hidden="1">
      <c r="A466" s="75">
        <v>460.0</v>
      </c>
      <c r="B466" s="62" t="s">
        <v>285</v>
      </c>
      <c r="C466" s="62" t="s">
        <v>102</v>
      </c>
      <c r="D466" s="62" t="s">
        <v>341</v>
      </c>
      <c r="E466" s="76">
        <v>44138.0</v>
      </c>
      <c r="F466" s="77">
        <v>0.041666666666666664</v>
      </c>
      <c r="G466" s="62" t="b">
        <v>0</v>
      </c>
      <c r="H466" s="78" t="b">
        <f>IF(VLOOKUP(C466,Projetos!A:L,12,false)=TRUE,TRUE,FALSE)</f>
        <v>0</v>
      </c>
      <c r="I466" s="68">
        <v>33.77763216253443</v>
      </c>
      <c r="J466" s="68">
        <f t="shared" si="1"/>
        <v>0</v>
      </c>
      <c r="K466" s="68" t="b">
        <v>0</v>
      </c>
    </row>
    <row r="467" hidden="1">
      <c r="A467" s="75">
        <v>461.0</v>
      </c>
      <c r="B467" s="62" t="s">
        <v>285</v>
      </c>
      <c r="C467" s="62" t="s">
        <v>109</v>
      </c>
      <c r="D467" s="62" t="s">
        <v>342</v>
      </c>
      <c r="E467" s="76">
        <v>44145.0</v>
      </c>
      <c r="F467" s="77">
        <v>0.0625</v>
      </c>
      <c r="G467" s="62" t="b">
        <v>0</v>
      </c>
      <c r="H467" s="78" t="b">
        <f>IF(VLOOKUP(C467,Projetos!A:L,12,false)=TRUE,TRUE,FALSE)</f>
        <v>0</v>
      </c>
      <c r="I467" s="68">
        <v>33.77763216253443</v>
      </c>
      <c r="J467" s="68">
        <f t="shared" si="1"/>
        <v>0</v>
      </c>
      <c r="K467" s="68" t="b">
        <v>0</v>
      </c>
    </row>
    <row r="468" hidden="1">
      <c r="A468" s="75">
        <v>462.0</v>
      </c>
      <c r="B468" s="62" t="s">
        <v>285</v>
      </c>
      <c r="C468" s="62" t="s">
        <v>138</v>
      </c>
      <c r="D468" s="62" t="s">
        <v>343</v>
      </c>
      <c r="E468" s="76">
        <v>44146.0</v>
      </c>
      <c r="F468" s="77">
        <v>0.034722222222222224</v>
      </c>
      <c r="G468" s="62" t="b">
        <v>1</v>
      </c>
      <c r="H468" s="78" t="b">
        <f>IF(VLOOKUP(C468,Projetos!A:L,12,false)=TRUE,TRUE,FALSE)</f>
        <v>1</v>
      </c>
      <c r="I468" s="68">
        <v>33.77763216253443</v>
      </c>
      <c r="J468" s="68">
        <f t="shared" si="1"/>
        <v>28.1480268</v>
      </c>
      <c r="K468" s="68" t="b">
        <v>1</v>
      </c>
    </row>
    <row r="469" hidden="1">
      <c r="A469" s="75">
        <v>463.0</v>
      </c>
      <c r="B469" s="62" t="s">
        <v>285</v>
      </c>
      <c r="C469" s="62" t="s">
        <v>102</v>
      </c>
      <c r="D469" s="62" t="s">
        <v>344</v>
      </c>
      <c r="E469" s="76">
        <v>44147.0</v>
      </c>
      <c r="F469" s="77">
        <v>0.027777777777777776</v>
      </c>
      <c r="G469" s="62" t="b">
        <v>0</v>
      </c>
      <c r="H469" s="78" t="b">
        <f>IF(VLOOKUP(C469,Projetos!A:L,12,false)=TRUE,TRUE,FALSE)</f>
        <v>0</v>
      </c>
      <c r="I469" s="68">
        <v>33.77763216253443</v>
      </c>
      <c r="J469" s="68">
        <f t="shared" si="1"/>
        <v>0</v>
      </c>
      <c r="K469" s="68" t="b">
        <v>0</v>
      </c>
    </row>
    <row r="470" hidden="1">
      <c r="A470" s="75">
        <v>464.0</v>
      </c>
      <c r="B470" s="62" t="s">
        <v>285</v>
      </c>
      <c r="C470" s="62" t="s">
        <v>102</v>
      </c>
      <c r="D470" s="62" t="s">
        <v>345</v>
      </c>
      <c r="E470" s="76">
        <v>44147.0</v>
      </c>
      <c r="F470" s="77">
        <v>0.11805555555555555</v>
      </c>
      <c r="G470" s="62" t="b">
        <v>0</v>
      </c>
      <c r="H470" s="78" t="b">
        <f>IF(VLOOKUP(C470,Projetos!A:L,12,false)=TRUE,TRUE,FALSE)</f>
        <v>0</v>
      </c>
      <c r="I470" s="68">
        <v>33.77763216253443</v>
      </c>
      <c r="J470" s="68">
        <f t="shared" si="1"/>
        <v>0</v>
      </c>
      <c r="K470" s="68" t="b">
        <v>0</v>
      </c>
    </row>
    <row r="471" hidden="1">
      <c r="A471" s="75">
        <v>465.0</v>
      </c>
      <c r="B471" s="62" t="s">
        <v>285</v>
      </c>
      <c r="C471" s="62" t="s">
        <v>102</v>
      </c>
      <c r="D471" s="62" t="s">
        <v>346</v>
      </c>
      <c r="E471" s="76">
        <v>44148.0</v>
      </c>
      <c r="F471" s="77">
        <v>0.2708333333333333</v>
      </c>
      <c r="G471" s="62" t="b">
        <v>0</v>
      </c>
      <c r="H471" s="78" t="b">
        <f>IF(VLOOKUP(C471,Projetos!A:L,12,false)=TRUE,TRUE,FALSE)</f>
        <v>0</v>
      </c>
      <c r="I471" s="68">
        <v>33.77763216253443</v>
      </c>
      <c r="J471" s="68">
        <f t="shared" si="1"/>
        <v>0</v>
      </c>
      <c r="K471" s="68" t="b">
        <v>0</v>
      </c>
    </row>
    <row r="472" hidden="1">
      <c r="A472" s="75">
        <v>466.0</v>
      </c>
      <c r="B472" s="62" t="s">
        <v>285</v>
      </c>
      <c r="C472" s="62" t="s">
        <v>102</v>
      </c>
      <c r="D472" s="62" t="s">
        <v>347</v>
      </c>
      <c r="E472" s="76">
        <v>44152.0</v>
      </c>
      <c r="F472" s="77">
        <v>0.020833333333333332</v>
      </c>
      <c r="G472" s="62" t="b">
        <v>0</v>
      </c>
      <c r="H472" s="78" t="b">
        <f>IF(VLOOKUP(C472,Projetos!A:L,12,false)=TRUE,TRUE,FALSE)</f>
        <v>0</v>
      </c>
      <c r="I472" s="68">
        <v>33.77763216253443</v>
      </c>
      <c r="J472" s="68">
        <f t="shared" si="1"/>
        <v>0</v>
      </c>
      <c r="K472" s="68" t="b">
        <v>0</v>
      </c>
    </row>
    <row r="473" hidden="1">
      <c r="A473" s="75">
        <v>467.0</v>
      </c>
      <c r="B473" s="62" t="s">
        <v>285</v>
      </c>
      <c r="C473" s="62" t="s">
        <v>102</v>
      </c>
      <c r="D473" s="62" t="s">
        <v>348</v>
      </c>
      <c r="E473" s="76">
        <v>44154.0</v>
      </c>
      <c r="F473" s="77">
        <v>0.027777777777777776</v>
      </c>
      <c r="G473" s="62" t="b">
        <v>0</v>
      </c>
      <c r="H473" s="78" t="b">
        <f>IF(VLOOKUP(C473,Projetos!A:L,12,false)=TRUE,TRUE,FALSE)</f>
        <v>0</v>
      </c>
      <c r="I473" s="68">
        <v>33.77763216253443</v>
      </c>
      <c r="J473" s="68">
        <f t="shared" si="1"/>
        <v>0</v>
      </c>
      <c r="K473" s="68" t="b">
        <v>0</v>
      </c>
    </row>
    <row r="474" hidden="1">
      <c r="A474" s="75">
        <v>468.0</v>
      </c>
      <c r="B474" s="62" t="s">
        <v>285</v>
      </c>
      <c r="C474" s="62" t="s">
        <v>102</v>
      </c>
      <c r="D474" s="62" t="s">
        <v>349</v>
      </c>
      <c r="E474" s="76">
        <v>44155.0</v>
      </c>
      <c r="F474" s="77">
        <v>0.09722222222222222</v>
      </c>
      <c r="G474" s="62" t="b">
        <v>0</v>
      </c>
      <c r="H474" s="78" t="b">
        <f>IF(VLOOKUP(C474,Projetos!A:L,12,false)=TRUE,TRUE,FALSE)</f>
        <v>0</v>
      </c>
      <c r="I474" s="68">
        <v>33.77763216253443</v>
      </c>
      <c r="J474" s="68">
        <f t="shared" si="1"/>
        <v>0</v>
      </c>
      <c r="K474" s="68" t="b">
        <v>0</v>
      </c>
    </row>
    <row r="475" hidden="1">
      <c r="A475" s="75">
        <v>469.0</v>
      </c>
      <c r="B475" s="62" t="s">
        <v>285</v>
      </c>
      <c r="C475" s="62" t="s">
        <v>102</v>
      </c>
      <c r="D475" s="62" t="s">
        <v>350</v>
      </c>
      <c r="E475" s="76">
        <v>44155.0</v>
      </c>
      <c r="F475" s="77">
        <v>0.06944444444444445</v>
      </c>
      <c r="G475" s="62" t="b">
        <v>0</v>
      </c>
      <c r="H475" s="78" t="b">
        <f>IF(VLOOKUP(C475,Projetos!A:L,12,false)=TRUE,TRUE,FALSE)</f>
        <v>0</v>
      </c>
      <c r="I475" s="68">
        <v>33.77763216253443</v>
      </c>
      <c r="J475" s="68">
        <f t="shared" si="1"/>
        <v>0</v>
      </c>
      <c r="K475" s="68" t="b">
        <v>0</v>
      </c>
    </row>
    <row r="476" hidden="1">
      <c r="A476" s="75">
        <v>470.0</v>
      </c>
      <c r="B476" s="62" t="s">
        <v>285</v>
      </c>
      <c r="C476" s="62" t="s">
        <v>102</v>
      </c>
      <c r="D476" s="62" t="s">
        <v>351</v>
      </c>
      <c r="E476" s="76">
        <v>44155.0</v>
      </c>
      <c r="F476" s="77">
        <v>0.017361111111111112</v>
      </c>
      <c r="G476" s="62" t="b">
        <v>0</v>
      </c>
      <c r="H476" s="78" t="b">
        <f>IF(VLOOKUP(C476,Projetos!A:L,12,false)=TRUE,TRUE,FALSE)</f>
        <v>0</v>
      </c>
      <c r="I476" s="68">
        <v>33.77763216253443</v>
      </c>
      <c r="J476" s="68">
        <f t="shared" si="1"/>
        <v>0</v>
      </c>
      <c r="K476" s="68" t="b">
        <v>0</v>
      </c>
    </row>
    <row r="477" hidden="1">
      <c r="A477" s="75">
        <v>471.0</v>
      </c>
      <c r="B477" s="62" t="s">
        <v>285</v>
      </c>
      <c r="C477" s="62" t="s">
        <v>102</v>
      </c>
      <c r="D477" s="62" t="s">
        <v>352</v>
      </c>
      <c r="E477" s="76">
        <v>44161.0</v>
      </c>
      <c r="F477" s="77">
        <v>0.027777777777777776</v>
      </c>
      <c r="G477" s="62" t="b">
        <v>0</v>
      </c>
      <c r="H477" s="78" t="b">
        <f>IF(VLOOKUP(C477,Projetos!A:L,12,false)=TRUE,TRUE,FALSE)</f>
        <v>0</v>
      </c>
      <c r="I477" s="68">
        <v>33.77763216253443</v>
      </c>
      <c r="J477" s="68">
        <f t="shared" si="1"/>
        <v>0</v>
      </c>
      <c r="K477" s="68" t="b">
        <v>0</v>
      </c>
    </row>
    <row r="478" hidden="1">
      <c r="A478" s="75">
        <v>472.0</v>
      </c>
      <c r="B478" s="62" t="s">
        <v>285</v>
      </c>
      <c r="C478" s="62" t="s">
        <v>109</v>
      </c>
      <c r="D478" s="62" t="s">
        <v>278</v>
      </c>
      <c r="E478" s="76">
        <v>44167.0</v>
      </c>
      <c r="F478" s="77">
        <v>0.09375</v>
      </c>
      <c r="G478" s="62" t="b">
        <v>0</v>
      </c>
      <c r="H478" s="78" t="b">
        <f>IF(VLOOKUP(C478,Projetos!A:L,12,false)=TRUE,TRUE,FALSE)</f>
        <v>0</v>
      </c>
      <c r="I478" s="68">
        <v>35.38609083694083</v>
      </c>
      <c r="J478" s="68">
        <f t="shared" si="1"/>
        <v>0</v>
      </c>
      <c r="K478" s="68" t="b">
        <v>0</v>
      </c>
    </row>
    <row r="479" hidden="1">
      <c r="A479" s="75">
        <v>473.0</v>
      </c>
      <c r="B479" s="62" t="s">
        <v>285</v>
      </c>
      <c r="C479" s="62" t="s">
        <v>109</v>
      </c>
      <c r="D479" s="62" t="s">
        <v>353</v>
      </c>
      <c r="E479" s="76">
        <v>44173.0</v>
      </c>
      <c r="F479" s="77">
        <v>0.1875</v>
      </c>
      <c r="G479" s="62" t="b">
        <v>0</v>
      </c>
      <c r="H479" s="78" t="b">
        <f>IF(VLOOKUP(C479,Projetos!A:L,12,false)=TRUE,TRUE,FALSE)</f>
        <v>0</v>
      </c>
      <c r="I479" s="68">
        <v>35.38609083694083</v>
      </c>
      <c r="J479" s="68">
        <f t="shared" si="1"/>
        <v>0</v>
      </c>
      <c r="K479" s="68" t="b">
        <v>0</v>
      </c>
    </row>
    <row r="480" hidden="1">
      <c r="A480" s="75">
        <v>474.0</v>
      </c>
      <c r="B480" s="62" t="s">
        <v>285</v>
      </c>
      <c r="C480" s="62" t="s">
        <v>109</v>
      </c>
      <c r="D480" s="62" t="s">
        <v>354</v>
      </c>
      <c r="E480" s="76">
        <v>44179.0</v>
      </c>
      <c r="F480" s="77">
        <v>0.0763888888888889</v>
      </c>
      <c r="G480" s="62" t="b">
        <v>0</v>
      </c>
      <c r="H480" s="78" t="b">
        <f>IF(VLOOKUP(C480,Projetos!A:L,12,false)=TRUE,TRUE,FALSE)</f>
        <v>0</v>
      </c>
      <c r="I480" s="68">
        <v>35.38609083694083</v>
      </c>
      <c r="J480" s="68">
        <f t="shared" si="1"/>
        <v>0</v>
      </c>
      <c r="K480" s="68" t="b">
        <v>0</v>
      </c>
    </row>
    <row r="481" hidden="1">
      <c r="A481" s="75">
        <v>475.0</v>
      </c>
      <c r="B481" s="62" t="s">
        <v>285</v>
      </c>
      <c r="C481" s="62" t="s">
        <v>98</v>
      </c>
      <c r="D481" s="62" t="s">
        <v>355</v>
      </c>
      <c r="E481" s="76">
        <v>44183.0</v>
      </c>
      <c r="F481" s="77">
        <v>0.027777777777777776</v>
      </c>
      <c r="G481" s="62" t="b">
        <v>1</v>
      </c>
      <c r="H481" s="78" t="b">
        <f>IF(VLOOKUP(C481,Projetos!A:L,12,false)=TRUE,TRUE,FALSE)</f>
        <v>1</v>
      </c>
      <c r="I481" s="68">
        <v>35.38609083694083</v>
      </c>
      <c r="J481" s="68">
        <f t="shared" si="1"/>
        <v>23.59072722</v>
      </c>
      <c r="K481" s="68" t="b">
        <v>1</v>
      </c>
    </row>
    <row r="482" hidden="1">
      <c r="A482" s="75">
        <v>476.0</v>
      </c>
      <c r="B482" s="62" t="s">
        <v>356</v>
      </c>
      <c r="C482" s="62" t="s">
        <v>95</v>
      </c>
      <c r="D482" s="62" t="s">
        <v>357</v>
      </c>
      <c r="E482" s="76">
        <v>43843.0</v>
      </c>
      <c r="F482" s="77">
        <v>0.0625</v>
      </c>
      <c r="G482" s="62" t="b">
        <v>1</v>
      </c>
      <c r="H482" s="78" t="b">
        <f>IF(VLOOKUP(C482,Projetos!A:L,12,false)=TRUE,TRUE,FALSE)</f>
        <v>1</v>
      </c>
      <c r="I482" s="68">
        <v>150.60488258778258</v>
      </c>
      <c r="J482" s="68">
        <f t="shared" si="1"/>
        <v>225.9073239</v>
      </c>
      <c r="K482" s="68" t="b">
        <v>1</v>
      </c>
    </row>
    <row r="483" hidden="1">
      <c r="A483" s="75">
        <v>477.0</v>
      </c>
      <c r="B483" s="62" t="s">
        <v>356</v>
      </c>
      <c r="C483" s="62" t="s">
        <v>95</v>
      </c>
      <c r="D483" s="62" t="s">
        <v>358</v>
      </c>
      <c r="E483" s="76">
        <v>43860.0</v>
      </c>
      <c r="F483" s="77">
        <v>0.0625</v>
      </c>
      <c r="G483" s="62" t="b">
        <v>1</v>
      </c>
      <c r="H483" s="78" t="b">
        <f>IF(VLOOKUP(C483,Projetos!A:L,12,false)=TRUE,TRUE,FALSE)</f>
        <v>1</v>
      </c>
      <c r="I483" s="68">
        <v>150.60488258778258</v>
      </c>
      <c r="J483" s="68">
        <f t="shared" si="1"/>
        <v>225.9073239</v>
      </c>
      <c r="K483" s="68" t="b">
        <v>1</v>
      </c>
    </row>
    <row r="484" hidden="1">
      <c r="A484" s="75">
        <v>478.0</v>
      </c>
      <c r="B484" s="62" t="s">
        <v>356</v>
      </c>
      <c r="C484" s="62" t="s">
        <v>98</v>
      </c>
      <c r="D484" s="62" t="s">
        <v>359</v>
      </c>
      <c r="E484" s="76">
        <v>43844.0</v>
      </c>
      <c r="F484" s="77">
        <v>0.16666666666666666</v>
      </c>
      <c r="G484" s="62" t="b">
        <v>1</v>
      </c>
      <c r="H484" s="78" t="b">
        <f>IF(VLOOKUP(C484,Projetos!A:L,12,false)=TRUE,TRUE,FALSE)</f>
        <v>1</v>
      </c>
      <c r="I484" s="68">
        <v>150.60488258778258</v>
      </c>
      <c r="J484" s="68">
        <f t="shared" si="1"/>
        <v>602.4195304</v>
      </c>
      <c r="K484" s="68" t="b">
        <v>1</v>
      </c>
    </row>
    <row r="485" hidden="1">
      <c r="A485" s="75">
        <v>479.0</v>
      </c>
      <c r="B485" s="62" t="s">
        <v>356</v>
      </c>
      <c r="C485" s="62" t="s">
        <v>98</v>
      </c>
      <c r="D485" s="62" t="s">
        <v>360</v>
      </c>
      <c r="E485" s="76">
        <v>43845.0</v>
      </c>
      <c r="F485" s="77">
        <v>0.041666666666666664</v>
      </c>
      <c r="G485" s="62" t="b">
        <v>1</v>
      </c>
      <c r="H485" s="78" t="b">
        <f>IF(VLOOKUP(C485,Projetos!A:L,12,false)=TRUE,TRUE,FALSE)</f>
        <v>1</v>
      </c>
      <c r="I485" s="68">
        <v>150.60488258778258</v>
      </c>
      <c r="J485" s="68">
        <f t="shared" si="1"/>
        <v>150.6048826</v>
      </c>
      <c r="K485" s="68" t="b">
        <v>1</v>
      </c>
    </row>
    <row r="486" hidden="1">
      <c r="A486" s="75">
        <v>480.0</v>
      </c>
      <c r="B486" s="62" t="s">
        <v>356</v>
      </c>
      <c r="C486" s="62" t="s">
        <v>98</v>
      </c>
      <c r="D486" s="62" t="s">
        <v>361</v>
      </c>
      <c r="E486" s="76">
        <v>43854.0</v>
      </c>
      <c r="F486" s="77">
        <v>0.08333333333333333</v>
      </c>
      <c r="G486" s="62" t="b">
        <v>1</v>
      </c>
      <c r="H486" s="78" t="b">
        <f>IF(VLOOKUP(C486,Projetos!A:L,12,false)=TRUE,TRUE,FALSE)</f>
        <v>1</v>
      </c>
      <c r="I486" s="68">
        <v>150.60488258778258</v>
      </c>
      <c r="J486" s="68">
        <f t="shared" si="1"/>
        <v>301.2097652</v>
      </c>
      <c r="K486" s="68" t="b">
        <v>1</v>
      </c>
    </row>
    <row r="487" hidden="1">
      <c r="A487" s="75">
        <v>481.0</v>
      </c>
      <c r="B487" s="62" t="s">
        <v>356</v>
      </c>
      <c r="C487" s="62" t="s">
        <v>98</v>
      </c>
      <c r="D487" s="62" t="s">
        <v>358</v>
      </c>
      <c r="E487" s="76">
        <v>43858.0</v>
      </c>
      <c r="F487" s="77">
        <v>0.041666666666666664</v>
      </c>
      <c r="G487" s="62" t="b">
        <v>1</v>
      </c>
      <c r="H487" s="78" t="b">
        <f>IF(VLOOKUP(C487,Projetos!A:L,12,false)=TRUE,TRUE,FALSE)</f>
        <v>1</v>
      </c>
      <c r="I487" s="68">
        <v>150.60488258778258</v>
      </c>
      <c r="J487" s="68">
        <f t="shared" si="1"/>
        <v>150.6048826</v>
      </c>
      <c r="K487" s="68" t="b">
        <v>1</v>
      </c>
    </row>
    <row r="488" hidden="1">
      <c r="A488" s="75">
        <v>482.0</v>
      </c>
      <c r="B488" s="62" t="s">
        <v>356</v>
      </c>
      <c r="C488" s="62" t="s">
        <v>98</v>
      </c>
      <c r="D488" s="62" t="s">
        <v>362</v>
      </c>
      <c r="E488" s="76">
        <v>43859.0</v>
      </c>
      <c r="F488" s="77">
        <v>0.08333333333333333</v>
      </c>
      <c r="G488" s="62" t="b">
        <v>1</v>
      </c>
      <c r="H488" s="78" t="b">
        <f>IF(VLOOKUP(C488,Projetos!A:L,12,false)=TRUE,TRUE,FALSE)</f>
        <v>1</v>
      </c>
      <c r="I488" s="68">
        <v>150.60488258778258</v>
      </c>
      <c r="J488" s="68">
        <f t="shared" si="1"/>
        <v>301.2097652</v>
      </c>
      <c r="K488" s="68" t="b">
        <v>1</v>
      </c>
    </row>
    <row r="489" hidden="1">
      <c r="A489" s="75">
        <v>483.0</v>
      </c>
      <c r="B489" s="62" t="s">
        <v>356</v>
      </c>
      <c r="C489" s="62" t="s">
        <v>98</v>
      </c>
      <c r="D489" s="62" t="s">
        <v>363</v>
      </c>
      <c r="E489" s="76">
        <v>43860.0</v>
      </c>
      <c r="F489" s="77">
        <v>0.041666666666666664</v>
      </c>
      <c r="G489" s="62" t="b">
        <v>1</v>
      </c>
      <c r="H489" s="78" t="b">
        <f>IF(VLOOKUP(C489,Projetos!A:L,12,false)=TRUE,TRUE,FALSE)</f>
        <v>1</v>
      </c>
      <c r="I489" s="68">
        <v>150.60488258778258</v>
      </c>
      <c r="J489" s="68">
        <f t="shared" si="1"/>
        <v>150.6048826</v>
      </c>
      <c r="K489" s="68" t="b">
        <v>1</v>
      </c>
    </row>
    <row r="490" hidden="1">
      <c r="A490" s="75">
        <v>484.0</v>
      </c>
      <c r="B490" s="62" t="s">
        <v>356</v>
      </c>
      <c r="C490" s="62" t="s">
        <v>100</v>
      </c>
      <c r="D490" s="62" t="s">
        <v>214</v>
      </c>
      <c r="E490" s="76">
        <v>43839.0</v>
      </c>
      <c r="F490" s="77">
        <v>0.19791666666666666</v>
      </c>
      <c r="G490" s="62" t="b">
        <v>1</v>
      </c>
      <c r="H490" s="78" t="b">
        <f>IF(VLOOKUP(C490,Projetos!A:L,12,false)=TRUE,TRUE,FALSE)</f>
        <v>1</v>
      </c>
      <c r="I490" s="68">
        <v>150.60488258778258</v>
      </c>
      <c r="J490" s="68">
        <f t="shared" si="1"/>
        <v>715.3731923</v>
      </c>
      <c r="K490" s="68" t="b">
        <v>1</v>
      </c>
    </row>
    <row r="491" hidden="1">
      <c r="A491" s="75">
        <v>485.0</v>
      </c>
      <c r="B491" s="62" t="s">
        <v>356</v>
      </c>
      <c r="C491" s="62" t="s">
        <v>102</v>
      </c>
      <c r="D491" s="62" t="s">
        <v>364</v>
      </c>
      <c r="E491" s="76">
        <v>43846.0</v>
      </c>
      <c r="F491" s="77">
        <v>0.14583333333333334</v>
      </c>
      <c r="G491" s="62" t="b">
        <v>0</v>
      </c>
      <c r="H491" s="78" t="b">
        <f>IF(VLOOKUP(C491,Projetos!A:L,12,false)=TRUE,TRUE,FALSE)</f>
        <v>0</v>
      </c>
      <c r="I491" s="68">
        <v>150.60488258778258</v>
      </c>
      <c r="J491" s="68">
        <f t="shared" si="1"/>
        <v>0</v>
      </c>
      <c r="K491" s="68" t="b">
        <v>0</v>
      </c>
    </row>
    <row r="492" hidden="1">
      <c r="A492" s="75">
        <v>486.0</v>
      </c>
      <c r="B492" s="62" t="s">
        <v>356</v>
      </c>
      <c r="C492" s="62" t="s">
        <v>102</v>
      </c>
      <c r="D492" s="62" t="s">
        <v>364</v>
      </c>
      <c r="E492" s="76">
        <v>43847.0</v>
      </c>
      <c r="F492" s="77">
        <v>0.375</v>
      </c>
      <c r="G492" s="62" t="b">
        <v>0</v>
      </c>
      <c r="H492" s="78" t="b">
        <f>IF(VLOOKUP(C492,Projetos!A:L,12,false)=TRUE,TRUE,FALSE)</f>
        <v>0</v>
      </c>
      <c r="I492" s="68">
        <v>150.60488258778258</v>
      </c>
      <c r="J492" s="68">
        <f t="shared" si="1"/>
        <v>0</v>
      </c>
      <c r="K492" s="68" t="b">
        <v>0</v>
      </c>
    </row>
    <row r="493" hidden="1">
      <c r="A493" s="75">
        <v>487.0</v>
      </c>
      <c r="B493" s="62" t="s">
        <v>356</v>
      </c>
      <c r="C493" s="62" t="s">
        <v>102</v>
      </c>
      <c r="D493" s="62" t="s">
        <v>365</v>
      </c>
      <c r="E493" s="76">
        <v>43858.0</v>
      </c>
      <c r="F493" s="77">
        <v>0.041666666666666664</v>
      </c>
      <c r="G493" s="62" t="b">
        <v>0</v>
      </c>
      <c r="H493" s="78" t="b">
        <f>IF(VLOOKUP(C493,Projetos!A:L,12,false)=TRUE,TRUE,FALSE)</f>
        <v>0</v>
      </c>
      <c r="I493" s="68">
        <v>150.60488258778258</v>
      </c>
      <c r="J493" s="68">
        <f t="shared" si="1"/>
        <v>0</v>
      </c>
      <c r="K493" s="68" t="b">
        <v>0</v>
      </c>
    </row>
    <row r="494">
      <c r="A494" s="75">
        <v>488.0</v>
      </c>
      <c r="B494" s="62" t="s">
        <v>356</v>
      </c>
      <c r="C494" s="62" t="s">
        <v>104</v>
      </c>
      <c r="D494" s="62" t="s">
        <v>366</v>
      </c>
      <c r="E494" s="76">
        <v>43838.0</v>
      </c>
      <c r="F494" s="77">
        <v>0.0625</v>
      </c>
      <c r="G494" s="62" t="b">
        <v>1</v>
      </c>
      <c r="H494" s="78" t="b">
        <f>IF(VLOOKUP(C494,Projetos!A:L,12,false)=TRUE,TRUE,FALSE)</f>
        <v>1</v>
      </c>
      <c r="I494" s="68">
        <v>150.60488258778258</v>
      </c>
      <c r="J494" s="68">
        <f t="shared" si="1"/>
        <v>225.9073239</v>
      </c>
      <c r="K494" s="68" t="b">
        <v>1</v>
      </c>
    </row>
    <row r="495">
      <c r="A495" s="75">
        <v>489.0</v>
      </c>
      <c r="B495" s="62" t="s">
        <v>356</v>
      </c>
      <c r="C495" s="62" t="s">
        <v>104</v>
      </c>
      <c r="D495" s="62" t="s">
        <v>367</v>
      </c>
      <c r="E495" s="76">
        <v>43843.0</v>
      </c>
      <c r="F495" s="77">
        <v>0.020833333333333332</v>
      </c>
      <c r="G495" s="62" t="b">
        <v>1</v>
      </c>
      <c r="H495" s="78" t="b">
        <f>IF(VLOOKUP(C495,Projetos!A:L,12,false)=TRUE,TRUE,FALSE)</f>
        <v>1</v>
      </c>
      <c r="I495" s="68">
        <v>150.60488258778258</v>
      </c>
      <c r="J495" s="68">
        <f t="shared" si="1"/>
        <v>75.30244129</v>
      </c>
      <c r="K495" s="68" t="b">
        <v>1</v>
      </c>
    </row>
    <row r="496" hidden="1">
      <c r="A496" s="75">
        <v>490.0</v>
      </c>
      <c r="B496" s="62" t="s">
        <v>356</v>
      </c>
      <c r="C496" s="62" t="s">
        <v>108</v>
      </c>
      <c r="D496" s="62" t="s">
        <v>368</v>
      </c>
      <c r="E496" s="76">
        <v>43838.0</v>
      </c>
      <c r="F496" s="77">
        <v>0.08333333333333333</v>
      </c>
      <c r="G496" s="62" t="b">
        <v>0</v>
      </c>
      <c r="H496" s="78" t="b">
        <f>IF(VLOOKUP(C496,Projetos!A:L,12,false)=TRUE,TRUE,FALSE)</f>
        <v>1</v>
      </c>
      <c r="I496" s="68">
        <v>150.60488258778258</v>
      </c>
      <c r="J496" s="68">
        <f t="shared" si="1"/>
        <v>0</v>
      </c>
      <c r="K496" s="68" t="b">
        <v>1</v>
      </c>
    </row>
    <row r="497" hidden="1">
      <c r="A497" s="75">
        <v>491.0</v>
      </c>
      <c r="B497" s="62" t="s">
        <v>356</v>
      </c>
      <c r="C497" s="62" t="s">
        <v>108</v>
      </c>
      <c r="D497" s="62" t="s">
        <v>369</v>
      </c>
      <c r="E497" s="76">
        <v>43853.0</v>
      </c>
      <c r="F497" s="77">
        <v>0.125</v>
      </c>
      <c r="G497" s="62" t="b">
        <v>0</v>
      </c>
      <c r="H497" s="78" t="b">
        <f>IF(VLOOKUP(C497,Projetos!A:L,12,false)=TRUE,TRUE,FALSE)</f>
        <v>1</v>
      </c>
      <c r="I497" s="68">
        <v>150.60488258778258</v>
      </c>
      <c r="J497" s="68">
        <f t="shared" si="1"/>
        <v>0</v>
      </c>
      <c r="K497" s="68" t="b">
        <v>1</v>
      </c>
    </row>
    <row r="498" hidden="1">
      <c r="A498" s="75">
        <v>492.0</v>
      </c>
      <c r="B498" s="62" t="s">
        <v>356</v>
      </c>
      <c r="C498" s="62" t="s">
        <v>95</v>
      </c>
      <c r="D498" s="62" t="s">
        <v>370</v>
      </c>
      <c r="E498" s="76">
        <v>43873.0</v>
      </c>
      <c r="F498" s="77">
        <v>0.16666666666666666</v>
      </c>
      <c r="G498" s="62" t="b">
        <v>1</v>
      </c>
      <c r="H498" s="78" t="b">
        <f>IF(VLOOKUP(C498,Projetos!A:L,12,false)=TRUE,TRUE,FALSE)</f>
        <v>1</v>
      </c>
      <c r="I498" s="68">
        <v>143.7592061065197</v>
      </c>
      <c r="J498" s="68">
        <f t="shared" si="1"/>
        <v>575.0368244</v>
      </c>
      <c r="K498" s="68" t="b">
        <v>1</v>
      </c>
    </row>
    <row r="499" hidden="1">
      <c r="A499" s="75">
        <v>493.0</v>
      </c>
      <c r="B499" s="62" t="s">
        <v>356</v>
      </c>
      <c r="C499" s="62" t="s">
        <v>98</v>
      </c>
      <c r="D499" s="62" t="s">
        <v>371</v>
      </c>
      <c r="E499" s="76">
        <v>43865.0</v>
      </c>
      <c r="F499" s="77">
        <v>0.041666666666666664</v>
      </c>
      <c r="G499" s="62" t="b">
        <v>1</v>
      </c>
      <c r="H499" s="78" t="b">
        <f>IF(VLOOKUP(C499,Projetos!A:L,12,false)=TRUE,TRUE,FALSE)</f>
        <v>1</v>
      </c>
      <c r="I499" s="68">
        <v>143.7592061065197</v>
      </c>
      <c r="J499" s="68">
        <f t="shared" si="1"/>
        <v>143.7592061</v>
      </c>
      <c r="K499" s="68" t="b">
        <v>1</v>
      </c>
    </row>
    <row r="500" hidden="1">
      <c r="A500" s="75">
        <v>494.0</v>
      </c>
      <c r="B500" s="62" t="s">
        <v>356</v>
      </c>
      <c r="C500" s="62" t="s">
        <v>98</v>
      </c>
      <c r="D500" s="62" t="s">
        <v>372</v>
      </c>
      <c r="E500" s="76">
        <v>43878.0</v>
      </c>
      <c r="F500" s="77">
        <v>0.041666666666666664</v>
      </c>
      <c r="G500" s="62" t="b">
        <v>1</v>
      </c>
      <c r="H500" s="78" t="b">
        <f>IF(VLOOKUP(C500,Projetos!A:L,12,false)=TRUE,TRUE,FALSE)</f>
        <v>1</v>
      </c>
      <c r="I500" s="68">
        <v>143.7592061065197</v>
      </c>
      <c r="J500" s="68">
        <f t="shared" si="1"/>
        <v>143.7592061</v>
      </c>
      <c r="K500" s="68" t="b">
        <v>1</v>
      </c>
    </row>
    <row r="501" hidden="1">
      <c r="A501" s="75">
        <v>495.0</v>
      </c>
      <c r="B501" s="62" t="s">
        <v>356</v>
      </c>
      <c r="C501" s="62" t="s">
        <v>100</v>
      </c>
      <c r="D501" s="62" t="s">
        <v>364</v>
      </c>
      <c r="E501" s="76">
        <v>43888.0</v>
      </c>
      <c r="F501" s="77">
        <v>0.4166666666666667</v>
      </c>
      <c r="G501" s="62" t="b">
        <v>1</v>
      </c>
      <c r="H501" s="78" t="b">
        <f>IF(VLOOKUP(C501,Projetos!A:L,12,false)=TRUE,TRUE,FALSE)</f>
        <v>1</v>
      </c>
      <c r="I501" s="68">
        <v>143.7592061065197</v>
      </c>
      <c r="J501" s="68">
        <f t="shared" si="1"/>
        <v>1437.592061</v>
      </c>
      <c r="K501" s="68" t="b">
        <v>1</v>
      </c>
    </row>
    <row r="502" hidden="1">
      <c r="A502" s="75">
        <v>496.0</v>
      </c>
      <c r="B502" s="62" t="s">
        <v>356</v>
      </c>
      <c r="C502" s="62" t="s">
        <v>100</v>
      </c>
      <c r="D502" s="62" t="s">
        <v>364</v>
      </c>
      <c r="E502" s="76">
        <v>43889.0</v>
      </c>
      <c r="F502" s="77">
        <v>0.4166666666666667</v>
      </c>
      <c r="G502" s="62" t="b">
        <v>1</v>
      </c>
      <c r="H502" s="78" t="b">
        <f>IF(VLOOKUP(C502,Projetos!A:L,12,false)=TRUE,TRUE,FALSE)</f>
        <v>1</v>
      </c>
      <c r="I502" s="68">
        <v>143.7592061065197</v>
      </c>
      <c r="J502" s="68">
        <f t="shared" si="1"/>
        <v>1437.592061</v>
      </c>
      <c r="K502" s="68" t="b">
        <v>1</v>
      </c>
    </row>
    <row r="503" hidden="1">
      <c r="A503" s="75">
        <v>497.0</v>
      </c>
      <c r="B503" s="62" t="s">
        <v>356</v>
      </c>
      <c r="C503" s="62" t="s">
        <v>102</v>
      </c>
      <c r="D503" s="62" t="s">
        <v>359</v>
      </c>
      <c r="E503" s="76">
        <v>43865.0</v>
      </c>
      <c r="F503" s="77">
        <v>0.08333333333333333</v>
      </c>
      <c r="G503" s="62" t="b">
        <v>0</v>
      </c>
      <c r="H503" s="78" t="b">
        <f>IF(VLOOKUP(C503,Projetos!A:L,12,false)=TRUE,TRUE,FALSE)</f>
        <v>0</v>
      </c>
      <c r="I503" s="68">
        <v>143.7592061065197</v>
      </c>
      <c r="J503" s="68">
        <f t="shared" si="1"/>
        <v>0</v>
      </c>
      <c r="K503" s="68" t="b">
        <v>0</v>
      </c>
    </row>
    <row r="504" hidden="1">
      <c r="A504" s="75">
        <v>498.0</v>
      </c>
      <c r="B504" s="62" t="s">
        <v>356</v>
      </c>
      <c r="C504" s="62" t="s">
        <v>102</v>
      </c>
      <c r="D504" s="62" t="s">
        <v>373</v>
      </c>
      <c r="E504" s="76">
        <v>43871.0</v>
      </c>
      <c r="F504" s="77">
        <v>0.16666666666666666</v>
      </c>
      <c r="G504" s="62" t="b">
        <v>0</v>
      </c>
      <c r="H504" s="78" t="b">
        <f>IF(VLOOKUP(C504,Projetos!A:L,12,false)=TRUE,TRUE,FALSE)</f>
        <v>0</v>
      </c>
      <c r="I504" s="68">
        <v>143.7592061065197</v>
      </c>
      <c r="J504" s="68">
        <f t="shared" si="1"/>
        <v>0</v>
      </c>
      <c r="K504" s="68" t="b">
        <v>0</v>
      </c>
    </row>
    <row r="505" hidden="1">
      <c r="A505" s="75">
        <v>499.0</v>
      </c>
      <c r="B505" s="62" t="s">
        <v>356</v>
      </c>
      <c r="C505" s="62" t="s">
        <v>102</v>
      </c>
      <c r="D505" s="62" t="s">
        <v>374</v>
      </c>
      <c r="E505" s="76">
        <v>43874.0</v>
      </c>
      <c r="F505" s="77">
        <v>0.08125</v>
      </c>
      <c r="G505" s="62" t="b">
        <v>0</v>
      </c>
      <c r="H505" s="78" t="b">
        <f>IF(VLOOKUP(C505,Projetos!A:L,12,false)=TRUE,TRUE,FALSE)</f>
        <v>0</v>
      </c>
      <c r="I505" s="68">
        <v>143.7592061065197</v>
      </c>
      <c r="J505" s="68">
        <f t="shared" si="1"/>
        <v>0</v>
      </c>
      <c r="K505" s="68" t="b">
        <v>0</v>
      </c>
    </row>
    <row r="506" hidden="1">
      <c r="A506" s="75">
        <v>500.0</v>
      </c>
      <c r="B506" s="62" t="s">
        <v>356</v>
      </c>
      <c r="C506" s="62" t="s">
        <v>102</v>
      </c>
      <c r="D506" s="62" t="s">
        <v>375</v>
      </c>
      <c r="E506" s="76">
        <v>43879.0</v>
      </c>
      <c r="F506" s="77">
        <v>0.4166666666666667</v>
      </c>
      <c r="G506" s="62" t="b">
        <v>0</v>
      </c>
      <c r="H506" s="78" t="b">
        <f>IF(VLOOKUP(C506,Projetos!A:L,12,false)=TRUE,TRUE,FALSE)</f>
        <v>0</v>
      </c>
      <c r="I506" s="68">
        <v>143.7592061065197</v>
      </c>
      <c r="J506" s="68">
        <f t="shared" si="1"/>
        <v>0</v>
      </c>
      <c r="K506" s="68" t="b">
        <v>0</v>
      </c>
    </row>
    <row r="507" hidden="1">
      <c r="A507" s="75">
        <v>501.0</v>
      </c>
      <c r="B507" s="62" t="s">
        <v>356</v>
      </c>
      <c r="C507" s="62" t="s">
        <v>103</v>
      </c>
      <c r="D507" s="62" t="s">
        <v>364</v>
      </c>
      <c r="E507" s="76">
        <v>43872.0</v>
      </c>
      <c r="F507" s="77">
        <v>0.125</v>
      </c>
      <c r="G507" s="62" t="b">
        <v>1</v>
      </c>
      <c r="H507" s="78" t="b">
        <f>IF(VLOOKUP(C507,Projetos!A:L,12,false)=TRUE,TRUE,FALSE)</f>
        <v>1</v>
      </c>
      <c r="I507" s="68">
        <v>143.7592061065197</v>
      </c>
      <c r="J507" s="68">
        <f t="shared" si="1"/>
        <v>431.2776183</v>
      </c>
      <c r="K507" s="68" t="b">
        <v>1</v>
      </c>
    </row>
    <row r="508" hidden="1">
      <c r="A508" s="75">
        <v>502.0</v>
      </c>
      <c r="B508" s="62" t="s">
        <v>356</v>
      </c>
      <c r="C508" s="62" t="s">
        <v>108</v>
      </c>
      <c r="D508" s="62" t="s">
        <v>376</v>
      </c>
      <c r="E508" s="76">
        <v>43866.0</v>
      </c>
      <c r="F508" s="77">
        <v>0.0625</v>
      </c>
      <c r="G508" s="62" t="b">
        <v>0</v>
      </c>
      <c r="H508" s="78" t="b">
        <f>IF(VLOOKUP(C508,Projetos!A:L,12,false)=TRUE,TRUE,FALSE)</f>
        <v>1</v>
      </c>
      <c r="I508" s="68">
        <v>143.7592061065197</v>
      </c>
      <c r="J508" s="68">
        <f t="shared" si="1"/>
        <v>0</v>
      </c>
      <c r="K508" s="68" t="b">
        <v>1</v>
      </c>
    </row>
    <row r="509" hidden="1">
      <c r="A509" s="75">
        <v>503.0</v>
      </c>
      <c r="B509" s="62" t="s">
        <v>356</v>
      </c>
      <c r="C509" s="62" t="s">
        <v>116</v>
      </c>
      <c r="D509" s="62" t="s">
        <v>373</v>
      </c>
      <c r="E509" s="76">
        <v>43865.0</v>
      </c>
      <c r="F509" s="77">
        <v>0.041666666666666664</v>
      </c>
      <c r="G509" s="62" t="b">
        <v>1</v>
      </c>
      <c r="H509" s="78" t="b">
        <f>IF(VLOOKUP(C509,Projetos!A:L,12,false)=TRUE,TRUE,FALSE)</f>
        <v>1</v>
      </c>
      <c r="I509" s="68">
        <v>143.7592061065197</v>
      </c>
      <c r="J509" s="68">
        <f t="shared" si="1"/>
        <v>143.7592061</v>
      </c>
      <c r="K509" s="68" t="b">
        <v>1</v>
      </c>
    </row>
    <row r="510" hidden="1">
      <c r="A510" s="75">
        <v>504.0</v>
      </c>
      <c r="B510" s="62" t="s">
        <v>356</v>
      </c>
      <c r="C510" s="62" t="s">
        <v>95</v>
      </c>
      <c r="D510" s="62" t="s">
        <v>377</v>
      </c>
      <c r="E510" s="76">
        <v>43906.0</v>
      </c>
      <c r="F510" s="77">
        <v>0.041666666666666664</v>
      </c>
      <c r="G510" s="62" t="b">
        <v>1</v>
      </c>
      <c r="H510" s="78" t="b">
        <f>IF(VLOOKUP(C510,Projetos!A:L,12,false)=TRUE,TRUE,FALSE)</f>
        <v>1</v>
      </c>
      <c r="I510" s="68">
        <v>150.60488258778258</v>
      </c>
      <c r="J510" s="68">
        <f t="shared" si="1"/>
        <v>150.6048826</v>
      </c>
      <c r="K510" s="68" t="b">
        <v>1</v>
      </c>
    </row>
    <row r="511" hidden="1">
      <c r="A511" s="75">
        <v>505.0</v>
      </c>
      <c r="B511" s="62" t="s">
        <v>356</v>
      </c>
      <c r="C511" s="62" t="s">
        <v>95</v>
      </c>
      <c r="D511" s="62" t="s">
        <v>378</v>
      </c>
      <c r="E511" s="76">
        <v>43910.0</v>
      </c>
      <c r="F511" s="77">
        <v>0.08333333333333333</v>
      </c>
      <c r="G511" s="62" t="b">
        <v>0</v>
      </c>
      <c r="H511" s="78" t="b">
        <f>IF(VLOOKUP(C511,Projetos!A:L,12,false)=TRUE,TRUE,FALSE)</f>
        <v>1</v>
      </c>
      <c r="I511" s="68">
        <v>150.60488258778258</v>
      </c>
      <c r="J511" s="68">
        <f t="shared" si="1"/>
        <v>0</v>
      </c>
      <c r="K511" s="68" t="b">
        <v>1</v>
      </c>
    </row>
    <row r="512" hidden="1">
      <c r="A512" s="75">
        <v>506.0</v>
      </c>
      <c r="B512" s="62" t="s">
        <v>356</v>
      </c>
      <c r="C512" s="62" t="s">
        <v>95</v>
      </c>
      <c r="D512" s="62" t="s">
        <v>377</v>
      </c>
      <c r="E512" s="76">
        <v>43914.0</v>
      </c>
      <c r="F512" s="77">
        <v>0.041666666666666664</v>
      </c>
      <c r="G512" s="62" t="b">
        <v>1</v>
      </c>
      <c r="H512" s="78" t="b">
        <f>IF(VLOOKUP(C512,Projetos!A:L,12,false)=TRUE,TRUE,FALSE)</f>
        <v>1</v>
      </c>
      <c r="I512" s="68">
        <v>150.60488258778258</v>
      </c>
      <c r="J512" s="68">
        <f t="shared" si="1"/>
        <v>150.6048826</v>
      </c>
      <c r="K512" s="68" t="b">
        <v>1</v>
      </c>
    </row>
    <row r="513" hidden="1">
      <c r="A513" s="75">
        <v>507.0</v>
      </c>
      <c r="B513" s="62" t="s">
        <v>356</v>
      </c>
      <c r="C513" s="62" t="s">
        <v>98</v>
      </c>
      <c r="D513" s="62" t="s">
        <v>379</v>
      </c>
      <c r="E513" s="76">
        <v>43900.0</v>
      </c>
      <c r="F513" s="77">
        <v>0.08333333333333333</v>
      </c>
      <c r="G513" s="62" t="b">
        <v>0</v>
      </c>
      <c r="H513" s="78" t="b">
        <f>IF(VLOOKUP(C513,Projetos!A:L,12,false)=TRUE,TRUE,FALSE)</f>
        <v>1</v>
      </c>
      <c r="I513" s="68">
        <v>150.60488258778258</v>
      </c>
      <c r="J513" s="68">
        <f t="shared" si="1"/>
        <v>0</v>
      </c>
      <c r="K513" s="68" t="b">
        <v>1</v>
      </c>
    </row>
    <row r="514" hidden="1">
      <c r="A514" s="75">
        <v>508.0</v>
      </c>
      <c r="B514" s="62" t="s">
        <v>356</v>
      </c>
      <c r="C514" s="62" t="s">
        <v>98</v>
      </c>
      <c r="D514" s="62" t="s">
        <v>380</v>
      </c>
      <c r="E514" s="76">
        <v>43902.0</v>
      </c>
      <c r="F514" s="77">
        <v>0.041666666666666664</v>
      </c>
      <c r="G514" s="62" t="b">
        <v>0</v>
      </c>
      <c r="H514" s="78" t="b">
        <f>IF(VLOOKUP(C514,Projetos!A:L,12,false)=TRUE,TRUE,FALSE)</f>
        <v>1</v>
      </c>
      <c r="I514" s="68">
        <v>150.60488258778258</v>
      </c>
      <c r="J514" s="68">
        <f t="shared" si="1"/>
        <v>0</v>
      </c>
      <c r="K514" s="68" t="b">
        <v>1</v>
      </c>
    </row>
    <row r="515" hidden="1">
      <c r="A515" s="75">
        <v>509.0</v>
      </c>
      <c r="B515" s="62" t="s">
        <v>356</v>
      </c>
      <c r="C515" s="62" t="s">
        <v>98</v>
      </c>
      <c r="D515" s="62" t="s">
        <v>381</v>
      </c>
      <c r="E515" s="76">
        <v>43907.0</v>
      </c>
      <c r="F515" s="77">
        <v>0.1875</v>
      </c>
      <c r="G515" s="62" t="b">
        <v>0</v>
      </c>
      <c r="H515" s="78" t="b">
        <f>IF(VLOOKUP(C515,Projetos!A:L,12,false)=TRUE,TRUE,FALSE)</f>
        <v>1</v>
      </c>
      <c r="I515" s="68">
        <v>150.60488258778258</v>
      </c>
      <c r="J515" s="68">
        <f t="shared" si="1"/>
        <v>0</v>
      </c>
      <c r="K515" s="68" t="b">
        <v>1</v>
      </c>
    </row>
    <row r="516" hidden="1">
      <c r="A516" s="75">
        <v>510.0</v>
      </c>
      <c r="B516" s="62" t="s">
        <v>356</v>
      </c>
      <c r="C516" s="62" t="s">
        <v>98</v>
      </c>
      <c r="D516" s="62" t="s">
        <v>382</v>
      </c>
      <c r="E516" s="76">
        <v>43910.0</v>
      </c>
      <c r="F516" s="77">
        <v>0.0625</v>
      </c>
      <c r="G516" s="62" t="b">
        <v>1</v>
      </c>
      <c r="H516" s="78" t="b">
        <f>IF(VLOOKUP(C516,Projetos!A:L,12,false)=TRUE,TRUE,FALSE)</f>
        <v>1</v>
      </c>
      <c r="I516" s="68">
        <v>150.60488258778258</v>
      </c>
      <c r="J516" s="68">
        <f t="shared" si="1"/>
        <v>225.9073239</v>
      </c>
      <c r="K516" s="68" t="b">
        <v>1</v>
      </c>
    </row>
    <row r="517" hidden="1">
      <c r="A517" s="75">
        <v>511.0</v>
      </c>
      <c r="B517" s="62" t="s">
        <v>356</v>
      </c>
      <c r="C517" s="62" t="s">
        <v>98</v>
      </c>
      <c r="D517" s="62" t="s">
        <v>381</v>
      </c>
      <c r="E517" s="76">
        <v>43913.0</v>
      </c>
      <c r="F517" s="77">
        <v>0.16666666666666666</v>
      </c>
      <c r="G517" s="62" t="b">
        <v>0</v>
      </c>
      <c r="H517" s="78" t="b">
        <f>IF(VLOOKUP(C517,Projetos!A:L,12,false)=TRUE,TRUE,FALSE)</f>
        <v>1</v>
      </c>
      <c r="I517" s="68">
        <v>150.60488258778258</v>
      </c>
      <c r="J517" s="68">
        <f t="shared" si="1"/>
        <v>0</v>
      </c>
      <c r="K517" s="68" t="b">
        <v>1</v>
      </c>
    </row>
    <row r="518" hidden="1">
      <c r="A518" s="75">
        <v>512.0</v>
      </c>
      <c r="B518" s="62" t="s">
        <v>356</v>
      </c>
      <c r="C518" s="62" t="s">
        <v>98</v>
      </c>
      <c r="D518" s="62" t="s">
        <v>381</v>
      </c>
      <c r="E518" s="76">
        <v>43917.0</v>
      </c>
      <c r="F518" s="77">
        <v>0.3125</v>
      </c>
      <c r="G518" s="62" t="b">
        <v>0</v>
      </c>
      <c r="H518" s="78" t="b">
        <f>IF(VLOOKUP(C518,Projetos!A:L,12,false)=TRUE,TRUE,FALSE)</f>
        <v>1</v>
      </c>
      <c r="I518" s="68">
        <v>150.60488258778258</v>
      </c>
      <c r="J518" s="68">
        <f t="shared" si="1"/>
        <v>0</v>
      </c>
      <c r="K518" s="68" t="b">
        <v>1</v>
      </c>
    </row>
    <row r="519" hidden="1">
      <c r="A519" s="75">
        <v>513.0</v>
      </c>
      <c r="B519" s="62" t="s">
        <v>356</v>
      </c>
      <c r="C519" s="62" t="s">
        <v>98</v>
      </c>
      <c r="D519" s="62" t="s">
        <v>383</v>
      </c>
      <c r="E519" s="76">
        <v>43920.0</v>
      </c>
      <c r="F519" s="77">
        <v>0.08333333333333333</v>
      </c>
      <c r="G519" s="62" t="b">
        <v>1</v>
      </c>
      <c r="H519" s="78" t="b">
        <f>IF(VLOOKUP(C519,Projetos!A:L,12,false)=TRUE,TRUE,FALSE)</f>
        <v>1</v>
      </c>
      <c r="I519" s="68">
        <v>150.60488258778258</v>
      </c>
      <c r="J519" s="68">
        <f t="shared" si="1"/>
        <v>301.2097652</v>
      </c>
      <c r="K519" s="68" t="b">
        <v>1</v>
      </c>
    </row>
    <row r="520" hidden="1">
      <c r="A520" s="75">
        <v>514.0</v>
      </c>
      <c r="B520" s="62" t="s">
        <v>356</v>
      </c>
      <c r="C520" s="62" t="s">
        <v>98</v>
      </c>
      <c r="D520" s="62" t="s">
        <v>381</v>
      </c>
      <c r="E520" s="76">
        <v>43921.0</v>
      </c>
      <c r="F520" s="77">
        <v>0.25</v>
      </c>
      <c r="G520" s="62" t="b">
        <v>0</v>
      </c>
      <c r="H520" s="78" t="b">
        <f>IF(VLOOKUP(C520,Projetos!A:L,12,false)=TRUE,TRUE,FALSE)</f>
        <v>1</v>
      </c>
      <c r="I520" s="68">
        <v>150.60488258778258</v>
      </c>
      <c r="J520" s="68">
        <f t="shared" si="1"/>
        <v>0</v>
      </c>
      <c r="K520" s="68" t="b">
        <v>1</v>
      </c>
    </row>
    <row r="521" hidden="1">
      <c r="A521" s="75">
        <v>515.0</v>
      </c>
      <c r="B521" s="62" t="s">
        <v>356</v>
      </c>
      <c r="C521" s="62" t="s">
        <v>102</v>
      </c>
      <c r="D521" s="62" t="s">
        <v>384</v>
      </c>
      <c r="E521" s="76">
        <v>43892.0</v>
      </c>
      <c r="F521" s="77">
        <v>0.3958333333333333</v>
      </c>
      <c r="G521" s="62" t="b">
        <v>0</v>
      </c>
      <c r="H521" s="78" t="b">
        <f>IF(VLOOKUP(C521,Projetos!A:L,12,false)=TRUE,TRUE,FALSE)</f>
        <v>0</v>
      </c>
      <c r="I521" s="68">
        <v>150.60488258778258</v>
      </c>
      <c r="J521" s="68">
        <f t="shared" si="1"/>
        <v>0</v>
      </c>
      <c r="K521" s="68" t="b">
        <v>0</v>
      </c>
    </row>
    <row r="522" hidden="1">
      <c r="A522" s="75">
        <v>516.0</v>
      </c>
      <c r="B522" s="62" t="s">
        <v>356</v>
      </c>
      <c r="C522" s="62" t="s">
        <v>102</v>
      </c>
      <c r="D522" s="62" t="s">
        <v>384</v>
      </c>
      <c r="E522" s="76">
        <v>43893.0</v>
      </c>
      <c r="F522" s="77">
        <v>0.3958333333333333</v>
      </c>
      <c r="G522" s="62" t="b">
        <v>0</v>
      </c>
      <c r="H522" s="78" t="b">
        <f>IF(VLOOKUP(C522,Projetos!A:L,12,false)=TRUE,TRUE,FALSE)</f>
        <v>0</v>
      </c>
      <c r="I522" s="68">
        <v>150.60488258778258</v>
      </c>
      <c r="J522" s="68">
        <f t="shared" si="1"/>
        <v>0</v>
      </c>
      <c r="K522" s="68" t="b">
        <v>0</v>
      </c>
    </row>
    <row r="523" hidden="1">
      <c r="A523" s="75">
        <v>517.0</v>
      </c>
      <c r="B523" s="62" t="s">
        <v>356</v>
      </c>
      <c r="C523" s="62" t="s">
        <v>102</v>
      </c>
      <c r="D523" s="62" t="s">
        <v>384</v>
      </c>
      <c r="E523" s="76">
        <v>43894.0</v>
      </c>
      <c r="F523" s="77">
        <v>0.3958333333333333</v>
      </c>
      <c r="G523" s="62" t="b">
        <v>0</v>
      </c>
      <c r="H523" s="78" t="b">
        <f>IF(VLOOKUP(C523,Projetos!A:L,12,false)=TRUE,TRUE,FALSE)</f>
        <v>0</v>
      </c>
      <c r="I523" s="68">
        <v>150.60488258778258</v>
      </c>
      <c r="J523" s="68">
        <f t="shared" si="1"/>
        <v>0</v>
      </c>
      <c r="K523" s="68" t="b">
        <v>0</v>
      </c>
    </row>
    <row r="524">
      <c r="A524" s="75">
        <v>518.0</v>
      </c>
      <c r="B524" s="62" t="s">
        <v>356</v>
      </c>
      <c r="C524" s="62" t="s">
        <v>104</v>
      </c>
      <c r="D524" s="62" t="s">
        <v>385</v>
      </c>
      <c r="E524" s="76">
        <v>43901.0</v>
      </c>
      <c r="F524" s="77">
        <v>0.0625</v>
      </c>
      <c r="G524" s="62" t="b">
        <v>1</v>
      </c>
      <c r="H524" s="78" t="b">
        <f>IF(VLOOKUP(C524,Projetos!A:L,12,false)=TRUE,TRUE,FALSE)</f>
        <v>1</v>
      </c>
      <c r="I524" s="68">
        <v>150.60488258778258</v>
      </c>
      <c r="J524" s="68">
        <f t="shared" si="1"/>
        <v>225.9073239</v>
      </c>
      <c r="K524" s="68" t="b">
        <v>1</v>
      </c>
    </row>
    <row r="525">
      <c r="A525" s="75">
        <v>519.0</v>
      </c>
      <c r="B525" s="62" t="s">
        <v>356</v>
      </c>
      <c r="C525" s="62" t="s">
        <v>104</v>
      </c>
      <c r="D525" s="62" t="s">
        <v>357</v>
      </c>
      <c r="E525" s="76">
        <v>43917.0</v>
      </c>
      <c r="F525" s="77">
        <v>0.0625</v>
      </c>
      <c r="G525" s="62" t="b">
        <v>1</v>
      </c>
      <c r="H525" s="78" t="b">
        <f>IF(VLOOKUP(C525,Projetos!A:L,12,false)=TRUE,TRUE,FALSE)</f>
        <v>1</v>
      </c>
      <c r="I525" s="68">
        <v>150.60488258778258</v>
      </c>
      <c r="J525" s="68">
        <f t="shared" si="1"/>
        <v>225.9073239</v>
      </c>
      <c r="K525" s="68" t="b">
        <v>1</v>
      </c>
    </row>
    <row r="526" hidden="1">
      <c r="A526" s="75">
        <v>520.0</v>
      </c>
      <c r="B526" s="62" t="s">
        <v>356</v>
      </c>
      <c r="C526" s="62" t="s">
        <v>90</v>
      </c>
      <c r="D526" s="62" t="s">
        <v>386</v>
      </c>
      <c r="E526" s="76">
        <v>43922.0</v>
      </c>
      <c r="F526" s="77">
        <v>0.2916666666666667</v>
      </c>
      <c r="G526" s="62" t="b">
        <v>1</v>
      </c>
      <c r="H526" s="78" t="b">
        <f>IF(VLOOKUP(C526,Projetos!A:L,12,false)=TRUE,TRUE,FALSE)</f>
        <v>1</v>
      </c>
      <c r="I526" s="68">
        <v>143.7592061065197</v>
      </c>
      <c r="J526" s="68">
        <f t="shared" si="1"/>
        <v>1006.314443</v>
      </c>
      <c r="K526" s="68" t="b">
        <v>1</v>
      </c>
    </row>
    <row r="527" hidden="1">
      <c r="A527" s="75">
        <v>521.0</v>
      </c>
      <c r="B527" s="62" t="s">
        <v>356</v>
      </c>
      <c r="C527" s="62" t="s">
        <v>90</v>
      </c>
      <c r="D527" s="62" t="s">
        <v>387</v>
      </c>
      <c r="E527" s="76">
        <v>43934.0</v>
      </c>
      <c r="F527" s="77">
        <v>0.041666666666666664</v>
      </c>
      <c r="G527" s="62" t="b">
        <v>0</v>
      </c>
      <c r="H527" s="78" t="b">
        <f>IF(VLOOKUP(C527,Projetos!A:L,12,false)=TRUE,TRUE,FALSE)</f>
        <v>1</v>
      </c>
      <c r="I527" s="68">
        <v>143.7592061065197</v>
      </c>
      <c r="J527" s="68">
        <f t="shared" si="1"/>
        <v>0</v>
      </c>
      <c r="K527" s="68" t="b">
        <v>1</v>
      </c>
    </row>
    <row r="528" hidden="1">
      <c r="A528" s="75">
        <v>522.0</v>
      </c>
      <c r="B528" s="62" t="s">
        <v>356</v>
      </c>
      <c r="C528" s="62" t="s">
        <v>90</v>
      </c>
      <c r="D528" s="62" t="s">
        <v>388</v>
      </c>
      <c r="E528" s="76">
        <v>43937.0</v>
      </c>
      <c r="F528" s="77">
        <v>0.3333333333333333</v>
      </c>
      <c r="G528" s="62" t="b">
        <v>1</v>
      </c>
      <c r="H528" s="78" t="b">
        <f>IF(VLOOKUP(C528,Projetos!A:L,12,false)=TRUE,TRUE,FALSE)</f>
        <v>1</v>
      </c>
      <c r="I528" s="68">
        <v>143.7592061065197</v>
      </c>
      <c r="J528" s="68">
        <f t="shared" si="1"/>
        <v>1150.073649</v>
      </c>
      <c r="K528" s="68" t="b">
        <v>1</v>
      </c>
    </row>
    <row r="529" hidden="1">
      <c r="A529" s="75">
        <v>523.0</v>
      </c>
      <c r="B529" s="62" t="s">
        <v>356</v>
      </c>
      <c r="C529" s="62" t="s">
        <v>90</v>
      </c>
      <c r="D529" s="62" t="s">
        <v>389</v>
      </c>
      <c r="E529" s="76">
        <v>43944.0</v>
      </c>
      <c r="F529" s="77">
        <v>0.2916666666666667</v>
      </c>
      <c r="G529" s="62" t="b">
        <v>1</v>
      </c>
      <c r="H529" s="78" t="b">
        <f>IF(VLOOKUP(C529,Projetos!A:L,12,false)=TRUE,TRUE,FALSE)</f>
        <v>1</v>
      </c>
      <c r="I529" s="68">
        <v>143.7592061065197</v>
      </c>
      <c r="J529" s="68">
        <f t="shared" si="1"/>
        <v>1006.314443</v>
      </c>
      <c r="K529" s="68" t="b">
        <v>1</v>
      </c>
    </row>
    <row r="530" hidden="1">
      <c r="A530" s="75">
        <v>524.0</v>
      </c>
      <c r="B530" s="62" t="s">
        <v>356</v>
      </c>
      <c r="C530" s="62" t="s">
        <v>90</v>
      </c>
      <c r="D530" s="62" t="s">
        <v>390</v>
      </c>
      <c r="E530" s="76">
        <v>43948.0</v>
      </c>
      <c r="F530" s="77">
        <v>0.08333333333333333</v>
      </c>
      <c r="G530" s="62" t="b">
        <v>1</v>
      </c>
      <c r="H530" s="78" t="b">
        <f>IF(VLOOKUP(C530,Projetos!A:L,12,false)=TRUE,TRUE,FALSE)</f>
        <v>1</v>
      </c>
      <c r="I530" s="68">
        <v>143.7592061065197</v>
      </c>
      <c r="J530" s="68">
        <f t="shared" si="1"/>
        <v>287.5184122</v>
      </c>
      <c r="K530" s="68" t="b">
        <v>1</v>
      </c>
    </row>
    <row r="531" hidden="1">
      <c r="A531" s="75">
        <v>525.0</v>
      </c>
      <c r="B531" s="62" t="s">
        <v>356</v>
      </c>
      <c r="C531" s="62" t="s">
        <v>90</v>
      </c>
      <c r="D531" s="62" t="s">
        <v>391</v>
      </c>
      <c r="E531" s="76">
        <v>43951.0</v>
      </c>
      <c r="F531" s="77">
        <v>0.041666666666666664</v>
      </c>
      <c r="G531" s="62" t="b">
        <v>1</v>
      </c>
      <c r="H531" s="78" t="b">
        <f>IF(VLOOKUP(C531,Projetos!A:L,12,false)=TRUE,TRUE,FALSE)</f>
        <v>1</v>
      </c>
      <c r="I531" s="68">
        <v>143.7592061065197</v>
      </c>
      <c r="J531" s="68">
        <f t="shared" si="1"/>
        <v>143.7592061</v>
      </c>
      <c r="K531" s="68" t="b">
        <v>1</v>
      </c>
    </row>
    <row r="532" hidden="1">
      <c r="A532" s="75">
        <v>526.0</v>
      </c>
      <c r="B532" s="62" t="s">
        <v>356</v>
      </c>
      <c r="C532" s="62" t="s">
        <v>98</v>
      </c>
      <c r="D532" s="62" t="s">
        <v>392</v>
      </c>
      <c r="E532" s="76">
        <v>43924.0</v>
      </c>
      <c r="F532" s="77">
        <v>0.0625</v>
      </c>
      <c r="G532" s="62" t="b">
        <v>0</v>
      </c>
      <c r="H532" s="78" t="b">
        <f>IF(VLOOKUP(C532,Projetos!A:L,12,false)=TRUE,TRUE,FALSE)</f>
        <v>1</v>
      </c>
      <c r="I532" s="68">
        <v>143.7592061065197</v>
      </c>
      <c r="J532" s="68">
        <f t="shared" si="1"/>
        <v>0</v>
      </c>
      <c r="K532" s="68" t="b">
        <v>1</v>
      </c>
    </row>
    <row r="533" hidden="1">
      <c r="A533" s="75">
        <v>527.0</v>
      </c>
      <c r="B533" s="62" t="s">
        <v>356</v>
      </c>
      <c r="C533" s="62" t="s">
        <v>98</v>
      </c>
      <c r="D533" s="62" t="s">
        <v>393</v>
      </c>
      <c r="E533" s="76">
        <v>43927.0</v>
      </c>
      <c r="F533" s="77">
        <v>0.08333333333333333</v>
      </c>
      <c r="G533" s="62" t="b">
        <v>0</v>
      </c>
      <c r="H533" s="78" t="b">
        <f>IF(VLOOKUP(C533,Projetos!A:L,12,false)=TRUE,TRUE,FALSE)</f>
        <v>1</v>
      </c>
      <c r="I533" s="68">
        <v>143.7592061065197</v>
      </c>
      <c r="J533" s="68">
        <f t="shared" si="1"/>
        <v>0</v>
      </c>
      <c r="K533" s="68" t="b">
        <v>1</v>
      </c>
    </row>
    <row r="534" hidden="1">
      <c r="A534" s="75">
        <v>528.0</v>
      </c>
      <c r="B534" s="62" t="s">
        <v>356</v>
      </c>
      <c r="C534" s="62" t="s">
        <v>98</v>
      </c>
      <c r="D534" s="62" t="s">
        <v>394</v>
      </c>
      <c r="E534" s="76">
        <v>43929.0</v>
      </c>
      <c r="F534" s="77">
        <v>0.041666666666666664</v>
      </c>
      <c r="G534" s="62" t="b">
        <v>1</v>
      </c>
      <c r="H534" s="78" t="b">
        <f>IF(VLOOKUP(C534,Projetos!A:L,12,false)=TRUE,TRUE,FALSE)</f>
        <v>1</v>
      </c>
      <c r="I534" s="68">
        <v>143.7592061065197</v>
      </c>
      <c r="J534" s="68">
        <f t="shared" si="1"/>
        <v>143.7592061</v>
      </c>
      <c r="K534" s="68" t="b">
        <v>1</v>
      </c>
    </row>
    <row r="535" hidden="1">
      <c r="A535" s="75">
        <v>529.0</v>
      </c>
      <c r="B535" s="62" t="s">
        <v>356</v>
      </c>
      <c r="C535" s="62" t="s">
        <v>98</v>
      </c>
      <c r="D535" s="62" t="s">
        <v>393</v>
      </c>
      <c r="E535" s="76">
        <v>43941.0</v>
      </c>
      <c r="F535" s="77">
        <v>0.08333333333333333</v>
      </c>
      <c r="G535" s="62" t="b">
        <v>0</v>
      </c>
      <c r="H535" s="78" t="b">
        <f>IF(VLOOKUP(C535,Projetos!A:L,12,false)=TRUE,TRUE,FALSE)</f>
        <v>1</v>
      </c>
      <c r="I535" s="68">
        <v>143.7592061065197</v>
      </c>
      <c r="J535" s="68">
        <f t="shared" si="1"/>
        <v>0</v>
      </c>
      <c r="K535" s="68" t="b">
        <v>1</v>
      </c>
    </row>
    <row r="536" hidden="1">
      <c r="A536" s="75">
        <v>530.0</v>
      </c>
      <c r="B536" s="62" t="s">
        <v>356</v>
      </c>
      <c r="C536" s="62" t="s">
        <v>101</v>
      </c>
      <c r="D536" s="62" t="s">
        <v>395</v>
      </c>
      <c r="E536" s="76">
        <v>43944.0</v>
      </c>
      <c r="F536" s="77">
        <v>0.041666666666666664</v>
      </c>
      <c r="G536" s="62" t="b">
        <v>1</v>
      </c>
      <c r="H536" s="78" t="b">
        <f>IF(VLOOKUP(C536,Projetos!A:L,12,false)=TRUE,TRUE,FALSE)</f>
        <v>1</v>
      </c>
      <c r="I536" s="68">
        <v>143.7592061065197</v>
      </c>
      <c r="J536" s="68">
        <f t="shared" si="1"/>
        <v>143.7592061</v>
      </c>
      <c r="K536" s="68" t="b">
        <v>1</v>
      </c>
    </row>
    <row r="537">
      <c r="A537" s="75">
        <v>531.0</v>
      </c>
      <c r="B537" s="62" t="s">
        <v>356</v>
      </c>
      <c r="C537" s="62" t="s">
        <v>104</v>
      </c>
      <c r="D537" s="62" t="s">
        <v>387</v>
      </c>
      <c r="E537" s="76">
        <v>43929.0</v>
      </c>
      <c r="F537" s="77">
        <v>0.041666666666666664</v>
      </c>
      <c r="G537" s="62" t="b">
        <v>0</v>
      </c>
      <c r="H537" s="78" t="b">
        <f>IF(VLOOKUP(C537,Projetos!A:L,12,false)=TRUE,TRUE,FALSE)</f>
        <v>1</v>
      </c>
      <c r="I537" s="68">
        <v>143.7592061065197</v>
      </c>
      <c r="J537" s="68">
        <f t="shared" si="1"/>
        <v>0</v>
      </c>
      <c r="K537" s="68" t="b">
        <v>1</v>
      </c>
    </row>
    <row r="538" hidden="1">
      <c r="A538" s="75">
        <v>532.0</v>
      </c>
      <c r="B538" s="62" t="s">
        <v>356</v>
      </c>
      <c r="C538" s="62" t="s">
        <v>108</v>
      </c>
      <c r="D538" s="62" t="s">
        <v>396</v>
      </c>
      <c r="E538" s="76">
        <v>43927.0</v>
      </c>
      <c r="F538" s="77">
        <v>0.04861111111111111</v>
      </c>
      <c r="G538" s="62" t="b">
        <v>0</v>
      </c>
      <c r="H538" s="78" t="b">
        <f>IF(VLOOKUP(C538,Projetos!A:L,12,false)=TRUE,TRUE,FALSE)</f>
        <v>1</v>
      </c>
      <c r="I538" s="68">
        <v>143.7592061065197</v>
      </c>
      <c r="J538" s="68">
        <f t="shared" si="1"/>
        <v>0</v>
      </c>
      <c r="K538" s="68" t="b">
        <v>1</v>
      </c>
    </row>
    <row r="539" hidden="1">
      <c r="A539" s="75">
        <v>533.0</v>
      </c>
      <c r="B539" s="62" t="s">
        <v>356</v>
      </c>
      <c r="C539" s="62" t="s">
        <v>115</v>
      </c>
      <c r="D539" s="62" t="s">
        <v>397</v>
      </c>
      <c r="E539" s="76">
        <v>43930.0</v>
      </c>
      <c r="F539" s="77">
        <v>0.041666666666666664</v>
      </c>
      <c r="G539" s="62" t="b">
        <v>1</v>
      </c>
      <c r="H539" s="78" t="b">
        <f>IF(VLOOKUP(C539,Projetos!A:L,12,false)=TRUE,TRUE,FALSE)</f>
        <v>1</v>
      </c>
      <c r="I539" s="68">
        <v>143.7592061065197</v>
      </c>
      <c r="J539" s="68">
        <f t="shared" si="1"/>
        <v>143.7592061</v>
      </c>
      <c r="K539" s="68" t="b">
        <v>1</v>
      </c>
    </row>
    <row r="540" hidden="1">
      <c r="A540" s="75">
        <v>534.0</v>
      </c>
      <c r="B540" s="62" t="s">
        <v>356</v>
      </c>
      <c r="C540" s="62" t="s">
        <v>138</v>
      </c>
      <c r="D540" s="62" t="s">
        <v>398</v>
      </c>
      <c r="E540" s="76">
        <v>43956.0</v>
      </c>
      <c r="F540" s="77">
        <v>0.08333333333333333</v>
      </c>
      <c r="G540" s="62" t="b">
        <v>0</v>
      </c>
      <c r="H540" s="78" t="b">
        <f>IF(VLOOKUP(C540,Projetos!A:L,12,false)=TRUE,TRUE,FALSE)</f>
        <v>1</v>
      </c>
      <c r="I540" s="68">
        <v>150.60488258778258</v>
      </c>
      <c r="J540" s="68">
        <f t="shared" si="1"/>
        <v>0</v>
      </c>
      <c r="K540" s="68" t="b">
        <v>1</v>
      </c>
    </row>
    <row r="541" hidden="1">
      <c r="A541" s="75">
        <v>535.0</v>
      </c>
      <c r="B541" s="62" t="s">
        <v>356</v>
      </c>
      <c r="C541" s="62" t="s">
        <v>90</v>
      </c>
      <c r="D541" s="62" t="s">
        <v>399</v>
      </c>
      <c r="E541" s="76">
        <v>43957.0</v>
      </c>
      <c r="F541" s="77">
        <v>0.16666666666666666</v>
      </c>
      <c r="G541" s="62" t="b">
        <v>1</v>
      </c>
      <c r="H541" s="78" t="b">
        <f>IF(VLOOKUP(C541,Projetos!A:L,12,false)=TRUE,TRUE,FALSE)</f>
        <v>1</v>
      </c>
      <c r="I541" s="68">
        <v>150.60488258778258</v>
      </c>
      <c r="J541" s="68">
        <f t="shared" si="1"/>
        <v>602.4195304</v>
      </c>
      <c r="K541" s="68" t="b">
        <v>1</v>
      </c>
    </row>
    <row r="542" hidden="1">
      <c r="A542" s="75">
        <v>536.0</v>
      </c>
      <c r="B542" s="62" t="s">
        <v>356</v>
      </c>
      <c r="C542" s="62" t="s">
        <v>138</v>
      </c>
      <c r="D542" s="62" t="s">
        <v>400</v>
      </c>
      <c r="E542" s="76">
        <v>43958.0</v>
      </c>
      <c r="F542" s="77">
        <v>0.041666666666666664</v>
      </c>
      <c r="G542" s="62" t="b">
        <v>0</v>
      </c>
      <c r="H542" s="78" t="b">
        <f>IF(VLOOKUP(C542,Projetos!A:L,12,false)=TRUE,TRUE,FALSE)</f>
        <v>1</v>
      </c>
      <c r="I542" s="68">
        <v>150.60488258778258</v>
      </c>
      <c r="J542" s="68">
        <f t="shared" si="1"/>
        <v>0</v>
      </c>
      <c r="K542" s="68" t="b">
        <v>1</v>
      </c>
    </row>
    <row r="543" hidden="1">
      <c r="A543" s="75">
        <v>537.0</v>
      </c>
      <c r="B543" s="62" t="s">
        <v>356</v>
      </c>
      <c r="C543" s="62" t="s">
        <v>90</v>
      </c>
      <c r="D543" s="62" t="s">
        <v>399</v>
      </c>
      <c r="E543" s="76">
        <v>43959.0</v>
      </c>
      <c r="F543" s="77">
        <v>0.20833333333333334</v>
      </c>
      <c r="G543" s="62" t="b">
        <v>1</v>
      </c>
      <c r="H543" s="78" t="b">
        <f>IF(VLOOKUP(C543,Projetos!A:L,12,false)=TRUE,TRUE,FALSE)</f>
        <v>1</v>
      </c>
      <c r="I543" s="68">
        <v>150.60488258778258</v>
      </c>
      <c r="J543" s="68">
        <f t="shared" si="1"/>
        <v>753.0244129</v>
      </c>
      <c r="K543" s="68" t="b">
        <v>1</v>
      </c>
    </row>
    <row r="544" hidden="1">
      <c r="A544" s="75">
        <v>538.0</v>
      </c>
      <c r="B544" s="62" t="s">
        <v>356</v>
      </c>
      <c r="C544" s="62" t="s">
        <v>83</v>
      </c>
      <c r="D544" s="62" t="s">
        <v>401</v>
      </c>
      <c r="E544" s="76">
        <v>44013.0</v>
      </c>
      <c r="F544" s="77">
        <v>0.08333333333333333</v>
      </c>
      <c r="G544" s="62" t="b">
        <v>0</v>
      </c>
      <c r="H544" s="78" t="b">
        <f>IF(VLOOKUP(C544,Projetos!A:L,12,false)=TRUE,TRUE,FALSE)</f>
        <v>0</v>
      </c>
      <c r="I544" s="68">
        <v>150.60488258778258</v>
      </c>
      <c r="J544" s="68">
        <f t="shared" si="1"/>
        <v>0</v>
      </c>
      <c r="K544" s="68" t="b">
        <v>0</v>
      </c>
    </row>
    <row r="545" hidden="1">
      <c r="A545" s="75">
        <v>539.0</v>
      </c>
      <c r="B545" s="62" t="s">
        <v>356</v>
      </c>
      <c r="C545" s="62" t="s">
        <v>83</v>
      </c>
      <c r="D545" s="62" t="s">
        <v>402</v>
      </c>
      <c r="E545" s="76">
        <v>44016.0</v>
      </c>
      <c r="F545" s="77">
        <v>0.0625</v>
      </c>
      <c r="G545" s="62" t="b">
        <v>0</v>
      </c>
      <c r="H545" s="78" t="b">
        <f>IF(VLOOKUP(C545,Projetos!A:L,12,false)=TRUE,TRUE,FALSE)</f>
        <v>0</v>
      </c>
      <c r="I545" s="68">
        <v>150.60488258778258</v>
      </c>
      <c r="J545" s="68">
        <f t="shared" si="1"/>
        <v>0</v>
      </c>
      <c r="K545" s="68" t="b">
        <v>0</v>
      </c>
    </row>
    <row r="546" hidden="1">
      <c r="A546" s="75">
        <v>540.0</v>
      </c>
      <c r="B546" s="62" t="s">
        <v>356</v>
      </c>
      <c r="C546" s="62" t="s">
        <v>83</v>
      </c>
      <c r="D546" s="62" t="s">
        <v>401</v>
      </c>
      <c r="E546" s="76">
        <v>44020.0</v>
      </c>
      <c r="F546" s="77">
        <v>0.041666666666666664</v>
      </c>
      <c r="G546" s="62" t="b">
        <v>0</v>
      </c>
      <c r="H546" s="78" t="b">
        <f>IF(VLOOKUP(C546,Projetos!A:L,12,false)=TRUE,TRUE,FALSE)</f>
        <v>0</v>
      </c>
      <c r="I546" s="68">
        <v>150.60488258778258</v>
      </c>
      <c r="J546" s="68">
        <f t="shared" si="1"/>
        <v>0</v>
      </c>
      <c r="K546" s="68" t="b">
        <v>0</v>
      </c>
    </row>
    <row r="547" hidden="1">
      <c r="A547" s="75">
        <v>541.0</v>
      </c>
      <c r="B547" s="62" t="s">
        <v>356</v>
      </c>
      <c r="C547" s="62" t="s">
        <v>83</v>
      </c>
      <c r="D547" s="62" t="s">
        <v>403</v>
      </c>
      <c r="E547" s="76">
        <v>44024.0</v>
      </c>
      <c r="F547" s="77">
        <v>0.16666666666666666</v>
      </c>
      <c r="G547" s="62" t="b">
        <v>0</v>
      </c>
      <c r="H547" s="78" t="b">
        <f>IF(VLOOKUP(C547,Projetos!A:L,12,false)=TRUE,TRUE,FALSE)</f>
        <v>0</v>
      </c>
      <c r="I547" s="68">
        <v>150.60488258778258</v>
      </c>
      <c r="J547" s="68">
        <f t="shared" si="1"/>
        <v>0</v>
      </c>
      <c r="K547" s="68" t="b">
        <v>0</v>
      </c>
    </row>
    <row r="548" hidden="1">
      <c r="A548" s="75">
        <v>542.0</v>
      </c>
      <c r="B548" s="62" t="s">
        <v>356</v>
      </c>
      <c r="C548" s="62" t="s">
        <v>83</v>
      </c>
      <c r="D548" s="62" t="s">
        <v>404</v>
      </c>
      <c r="E548" s="76">
        <v>44029.0</v>
      </c>
      <c r="F548" s="77">
        <v>0.041666666666666664</v>
      </c>
      <c r="G548" s="62" t="b">
        <v>0</v>
      </c>
      <c r="H548" s="78" t="b">
        <f>IF(VLOOKUP(C548,Projetos!A:L,12,false)=TRUE,TRUE,FALSE)</f>
        <v>0</v>
      </c>
      <c r="I548" s="68">
        <v>150.60488258778258</v>
      </c>
      <c r="J548" s="68">
        <f t="shared" si="1"/>
        <v>0</v>
      </c>
      <c r="K548" s="68" t="b">
        <v>0</v>
      </c>
    </row>
    <row r="549" hidden="1">
      <c r="A549" s="75">
        <v>543.0</v>
      </c>
      <c r="B549" s="62" t="s">
        <v>356</v>
      </c>
      <c r="C549" s="62" t="s">
        <v>90</v>
      </c>
      <c r="D549" s="62" t="s">
        <v>405</v>
      </c>
      <c r="E549" s="76">
        <v>44014.0</v>
      </c>
      <c r="F549" s="77">
        <v>0.125</v>
      </c>
      <c r="G549" s="62" t="b">
        <v>0</v>
      </c>
      <c r="H549" s="78" t="b">
        <f>IF(VLOOKUP(C549,Projetos!A:L,12,false)=TRUE,TRUE,FALSE)</f>
        <v>1</v>
      </c>
      <c r="I549" s="68">
        <v>150.60488258778258</v>
      </c>
      <c r="J549" s="68">
        <f t="shared" si="1"/>
        <v>0</v>
      </c>
      <c r="K549" s="68" t="b">
        <v>1</v>
      </c>
    </row>
    <row r="550" hidden="1">
      <c r="A550" s="75">
        <v>544.0</v>
      </c>
      <c r="B550" s="62" t="s">
        <v>356</v>
      </c>
      <c r="C550" s="62" t="s">
        <v>90</v>
      </c>
      <c r="D550" s="62" t="s">
        <v>359</v>
      </c>
      <c r="E550" s="76">
        <v>44017.0</v>
      </c>
      <c r="F550" s="77">
        <v>0.14583333333333334</v>
      </c>
      <c r="G550" s="62" t="b">
        <v>1</v>
      </c>
      <c r="H550" s="78" t="b">
        <f>IF(VLOOKUP(C550,Projetos!A:L,12,false)=TRUE,TRUE,FALSE)</f>
        <v>1</v>
      </c>
      <c r="I550" s="68">
        <v>150.60488258778258</v>
      </c>
      <c r="J550" s="68">
        <f t="shared" si="1"/>
        <v>527.1170891</v>
      </c>
      <c r="K550" s="68" t="b">
        <v>1</v>
      </c>
    </row>
    <row r="551" hidden="1">
      <c r="A551" s="75">
        <v>545.0</v>
      </c>
      <c r="B551" s="62" t="s">
        <v>356</v>
      </c>
      <c r="C551" s="62" t="s">
        <v>90</v>
      </c>
      <c r="D551" s="62" t="s">
        <v>359</v>
      </c>
      <c r="E551" s="76">
        <v>44031.0</v>
      </c>
      <c r="F551" s="77">
        <v>0.041666666666666664</v>
      </c>
      <c r="G551" s="62" t="b">
        <v>1</v>
      </c>
      <c r="H551" s="78" t="b">
        <f>IF(VLOOKUP(C551,Projetos!A:L,12,false)=TRUE,TRUE,FALSE)</f>
        <v>1</v>
      </c>
      <c r="I551" s="68">
        <v>150.60488258778258</v>
      </c>
      <c r="J551" s="68">
        <f t="shared" si="1"/>
        <v>150.6048826</v>
      </c>
      <c r="K551" s="68" t="b">
        <v>1</v>
      </c>
    </row>
    <row r="552" hidden="1">
      <c r="A552" s="75">
        <v>546.0</v>
      </c>
      <c r="B552" s="62" t="s">
        <v>356</v>
      </c>
      <c r="C552" s="62" t="s">
        <v>90</v>
      </c>
      <c r="D552" s="62" t="s">
        <v>403</v>
      </c>
      <c r="E552" s="76">
        <v>44035.0</v>
      </c>
      <c r="F552" s="77">
        <v>0.10416666666666667</v>
      </c>
      <c r="G552" s="62" t="b">
        <v>1</v>
      </c>
      <c r="H552" s="78" t="b">
        <f>IF(VLOOKUP(C552,Projetos!A:L,12,false)=TRUE,TRUE,FALSE)</f>
        <v>1</v>
      </c>
      <c r="I552" s="68">
        <v>150.60488258778258</v>
      </c>
      <c r="J552" s="68">
        <f t="shared" si="1"/>
        <v>376.5122065</v>
      </c>
      <c r="K552" s="68" t="b">
        <v>1</v>
      </c>
    </row>
    <row r="553" hidden="1">
      <c r="A553" s="75">
        <v>547.0</v>
      </c>
      <c r="B553" s="62" t="s">
        <v>356</v>
      </c>
      <c r="C553" s="62" t="s">
        <v>95</v>
      </c>
      <c r="D553" s="62" t="s">
        <v>388</v>
      </c>
      <c r="E553" s="76">
        <v>44014.0</v>
      </c>
      <c r="F553" s="77">
        <v>0.041666666666666664</v>
      </c>
      <c r="G553" s="62" t="b">
        <v>1</v>
      </c>
      <c r="H553" s="78" t="b">
        <f>IF(VLOOKUP(C553,Projetos!A:L,12,false)=TRUE,TRUE,FALSE)</f>
        <v>1</v>
      </c>
      <c r="I553" s="68">
        <v>150.60488258778258</v>
      </c>
      <c r="J553" s="68">
        <f t="shared" si="1"/>
        <v>150.6048826</v>
      </c>
      <c r="K553" s="68" t="b">
        <v>1</v>
      </c>
    </row>
    <row r="554" hidden="1">
      <c r="A554" s="75">
        <v>548.0</v>
      </c>
      <c r="B554" s="62" t="s">
        <v>356</v>
      </c>
      <c r="C554" s="62" t="s">
        <v>95</v>
      </c>
      <c r="D554" s="62" t="s">
        <v>406</v>
      </c>
      <c r="E554" s="76">
        <v>44017.0</v>
      </c>
      <c r="F554" s="77">
        <v>0.041666666666666664</v>
      </c>
      <c r="G554" s="62" t="b">
        <v>0</v>
      </c>
      <c r="H554" s="78" t="b">
        <f>IF(VLOOKUP(C554,Projetos!A:L,12,false)=TRUE,TRUE,FALSE)</f>
        <v>1</v>
      </c>
      <c r="I554" s="68">
        <v>150.60488258778258</v>
      </c>
      <c r="J554" s="68">
        <f t="shared" si="1"/>
        <v>0</v>
      </c>
      <c r="K554" s="68" t="b">
        <v>1</v>
      </c>
    </row>
    <row r="555" hidden="1">
      <c r="A555" s="75">
        <v>549.0</v>
      </c>
      <c r="B555" s="62" t="s">
        <v>356</v>
      </c>
      <c r="C555" s="62" t="s">
        <v>98</v>
      </c>
      <c r="D555" s="62" t="s">
        <v>372</v>
      </c>
      <c r="E555" s="76">
        <v>44035.0</v>
      </c>
      <c r="F555" s="77">
        <v>0.041666666666666664</v>
      </c>
      <c r="G555" s="62" t="b">
        <v>1</v>
      </c>
      <c r="H555" s="78" t="b">
        <f>IF(VLOOKUP(C555,Projetos!A:L,12,false)=TRUE,TRUE,FALSE)</f>
        <v>1</v>
      </c>
      <c r="I555" s="68">
        <v>150.60488258778258</v>
      </c>
      <c r="J555" s="68">
        <f t="shared" si="1"/>
        <v>150.6048826</v>
      </c>
      <c r="K555" s="68" t="b">
        <v>1</v>
      </c>
    </row>
    <row r="556" hidden="1">
      <c r="A556" s="75">
        <v>550.0</v>
      </c>
      <c r="B556" s="62" t="s">
        <v>356</v>
      </c>
      <c r="C556" s="62" t="s">
        <v>101</v>
      </c>
      <c r="D556" s="62" t="s">
        <v>407</v>
      </c>
      <c r="E556" s="76">
        <v>44035.0</v>
      </c>
      <c r="F556" s="77">
        <v>0.041666666666666664</v>
      </c>
      <c r="G556" s="62" t="b">
        <v>1</v>
      </c>
      <c r="H556" s="78" t="b">
        <f>IF(VLOOKUP(C556,Projetos!A:L,12,false)=TRUE,TRUE,FALSE)</f>
        <v>1</v>
      </c>
      <c r="I556" s="68">
        <v>150.60488258778258</v>
      </c>
      <c r="J556" s="68">
        <f t="shared" si="1"/>
        <v>150.6048826</v>
      </c>
      <c r="K556" s="68" t="b">
        <v>1</v>
      </c>
    </row>
    <row r="557" hidden="1">
      <c r="A557" s="75">
        <v>551.0</v>
      </c>
      <c r="B557" s="62" t="s">
        <v>356</v>
      </c>
      <c r="C557" s="62" t="s">
        <v>102</v>
      </c>
      <c r="D557" s="62" t="s">
        <v>408</v>
      </c>
      <c r="E557" s="76">
        <v>44022.0</v>
      </c>
      <c r="F557" s="77">
        <v>0.041666666666666664</v>
      </c>
      <c r="G557" s="62" t="b">
        <v>0</v>
      </c>
      <c r="H557" s="78" t="b">
        <f>IF(VLOOKUP(C557,Projetos!A:L,12,false)=TRUE,TRUE,FALSE)</f>
        <v>0</v>
      </c>
      <c r="I557" s="68">
        <v>150.60488258778258</v>
      </c>
      <c r="J557" s="68">
        <f t="shared" si="1"/>
        <v>0</v>
      </c>
      <c r="K557" s="68" t="b">
        <v>0</v>
      </c>
    </row>
    <row r="558" hidden="1">
      <c r="A558" s="75">
        <v>552.0</v>
      </c>
      <c r="B558" s="62" t="s">
        <v>356</v>
      </c>
      <c r="C558" s="62" t="s">
        <v>102</v>
      </c>
      <c r="D558" s="62" t="s">
        <v>409</v>
      </c>
      <c r="E558" s="76">
        <v>44030.0</v>
      </c>
      <c r="F558" s="77">
        <v>0.041666666666666664</v>
      </c>
      <c r="G558" s="62" t="b">
        <v>0</v>
      </c>
      <c r="H558" s="78" t="b">
        <f>IF(VLOOKUP(C558,Projetos!A:L,12,false)=TRUE,TRUE,FALSE)</f>
        <v>0</v>
      </c>
      <c r="I558" s="68">
        <v>150.60488258778258</v>
      </c>
      <c r="J558" s="68">
        <f t="shared" si="1"/>
        <v>0</v>
      </c>
      <c r="K558" s="68" t="b">
        <v>0</v>
      </c>
    </row>
    <row r="559" hidden="1">
      <c r="A559" s="75">
        <v>553.0</v>
      </c>
      <c r="B559" s="62" t="s">
        <v>356</v>
      </c>
      <c r="C559" s="62" t="s">
        <v>102</v>
      </c>
      <c r="D559" s="62" t="s">
        <v>410</v>
      </c>
      <c r="E559" s="76">
        <v>44030.0</v>
      </c>
      <c r="F559" s="77">
        <v>0.041666666666666664</v>
      </c>
      <c r="G559" s="62" t="b">
        <v>0</v>
      </c>
      <c r="H559" s="78" t="b">
        <f>IF(VLOOKUP(C559,Projetos!A:L,12,false)=TRUE,TRUE,FALSE)</f>
        <v>0</v>
      </c>
      <c r="I559" s="68">
        <v>150.60488258778258</v>
      </c>
      <c r="J559" s="68">
        <f t="shared" si="1"/>
        <v>0</v>
      </c>
      <c r="K559" s="68" t="b">
        <v>0</v>
      </c>
    </row>
    <row r="560" hidden="1">
      <c r="A560" s="75">
        <v>554.0</v>
      </c>
      <c r="B560" s="62" t="s">
        <v>356</v>
      </c>
      <c r="C560" s="62" t="s">
        <v>102</v>
      </c>
      <c r="D560" s="62" t="s">
        <v>411</v>
      </c>
      <c r="E560" s="76">
        <v>44030.0</v>
      </c>
      <c r="F560" s="77">
        <v>0.041666666666666664</v>
      </c>
      <c r="G560" s="62" t="b">
        <v>0</v>
      </c>
      <c r="H560" s="78" t="b">
        <f>IF(VLOOKUP(C560,Projetos!A:L,12,false)=TRUE,TRUE,FALSE)</f>
        <v>0</v>
      </c>
      <c r="I560" s="68">
        <v>150.60488258778258</v>
      </c>
      <c r="J560" s="68">
        <f t="shared" si="1"/>
        <v>0</v>
      </c>
      <c r="K560" s="68" t="b">
        <v>0</v>
      </c>
    </row>
    <row r="561" hidden="1">
      <c r="A561" s="75">
        <v>555.0</v>
      </c>
      <c r="B561" s="62" t="s">
        <v>356</v>
      </c>
      <c r="C561" s="62" t="s">
        <v>108</v>
      </c>
      <c r="D561" s="62" t="s">
        <v>409</v>
      </c>
      <c r="E561" s="76">
        <v>44029.0</v>
      </c>
      <c r="F561" s="77">
        <v>0.041666666666666664</v>
      </c>
      <c r="G561" s="62" t="b">
        <v>0</v>
      </c>
      <c r="H561" s="78" t="b">
        <f>IF(VLOOKUP(C561,Projetos!A:L,12,false)=TRUE,TRUE,FALSE)</f>
        <v>1</v>
      </c>
      <c r="I561" s="68">
        <v>150.60488258778258</v>
      </c>
      <c r="J561" s="68">
        <f t="shared" si="1"/>
        <v>0</v>
      </c>
      <c r="K561" s="68" t="b">
        <v>1</v>
      </c>
    </row>
    <row r="562" hidden="1">
      <c r="A562" s="75">
        <v>556.0</v>
      </c>
      <c r="B562" s="62" t="s">
        <v>356</v>
      </c>
      <c r="C562" s="62" t="s">
        <v>108</v>
      </c>
      <c r="D562" s="62" t="s">
        <v>412</v>
      </c>
      <c r="E562" s="76">
        <v>44034.0</v>
      </c>
      <c r="F562" s="77">
        <v>0.041666666666666664</v>
      </c>
      <c r="G562" s="62" t="b">
        <v>0</v>
      </c>
      <c r="H562" s="78" t="b">
        <f>IF(VLOOKUP(C562,Projetos!A:L,12,false)=TRUE,TRUE,FALSE)</f>
        <v>1</v>
      </c>
      <c r="I562" s="68">
        <v>150.60488258778258</v>
      </c>
      <c r="J562" s="68">
        <f t="shared" si="1"/>
        <v>0</v>
      </c>
      <c r="K562" s="68" t="b">
        <v>1</v>
      </c>
    </row>
    <row r="563" hidden="1">
      <c r="A563" s="75">
        <v>557.0</v>
      </c>
      <c r="B563" s="62" t="s">
        <v>356</v>
      </c>
      <c r="C563" s="62" t="s">
        <v>109</v>
      </c>
      <c r="D563" s="62" t="s">
        <v>413</v>
      </c>
      <c r="E563" s="76">
        <v>44029.0</v>
      </c>
      <c r="F563" s="77">
        <v>0.041666666666666664</v>
      </c>
      <c r="G563" s="62" t="b">
        <v>0</v>
      </c>
      <c r="H563" s="78" t="b">
        <f>IF(VLOOKUP(C563,Projetos!A:L,12,false)=TRUE,TRUE,FALSE)</f>
        <v>0</v>
      </c>
      <c r="I563" s="68">
        <v>150.60488258778258</v>
      </c>
      <c r="J563" s="68">
        <f t="shared" si="1"/>
        <v>0</v>
      </c>
      <c r="K563" s="68" t="b">
        <v>0</v>
      </c>
    </row>
    <row r="564" hidden="1">
      <c r="A564" s="75">
        <v>558.0</v>
      </c>
      <c r="B564" s="62" t="s">
        <v>356</v>
      </c>
      <c r="C564" s="62" t="s">
        <v>109</v>
      </c>
      <c r="D564" s="62" t="s">
        <v>413</v>
      </c>
      <c r="E564" s="76">
        <v>44036.0</v>
      </c>
      <c r="F564" s="77">
        <v>0.041666666666666664</v>
      </c>
      <c r="G564" s="62" t="b">
        <v>0</v>
      </c>
      <c r="H564" s="78" t="b">
        <f>IF(VLOOKUP(C564,Projetos!A:L,12,false)=TRUE,TRUE,FALSE)</f>
        <v>0</v>
      </c>
      <c r="I564" s="68">
        <v>150.60488258778258</v>
      </c>
      <c r="J564" s="68">
        <f t="shared" si="1"/>
        <v>0</v>
      </c>
      <c r="K564" s="68" t="b">
        <v>0</v>
      </c>
    </row>
    <row r="565" hidden="1">
      <c r="A565" s="75">
        <v>559.0</v>
      </c>
      <c r="B565" s="62" t="s">
        <v>356</v>
      </c>
      <c r="C565" s="62" t="s">
        <v>109</v>
      </c>
      <c r="D565" s="62" t="s">
        <v>414</v>
      </c>
      <c r="E565" s="76">
        <v>44038.0</v>
      </c>
      <c r="F565" s="77">
        <v>0.08333333333333333</v>
      </c>
      <c r="G565" s="62" t="b">
        <v>0</v>
      </c>
      <c r="H565" s="78" t="b">
        <f>IF(VLOOKUP(C565,Projetos!A:L,12,false)=TRUE,TRUE,FALSE)</f>
        <v>0</v>
      </c>
      <c r="I565" s="68">
        <v>150.60488258778258</v>
      </c>
      <c r="J565" s="68">
        <f t="shared" si="1"/>
        <v>0</v>
      </c>
      <c r="K565" s="68" t="b">
        <v>0</v>
      </c>
    </row>
    <row r="566" hidden="1">
      <c r="A566" s="75">
        <v>560.0</v>
      </c>
      <c r="B566" s="62" t="s">
        <v>356</v>
      </c>
      <c r="C566" s="62" t="s">
        <v>110</v>
      </c>
      <c r="D566" s="62" t="s">
        <v>403</v>
      </c>
      <c r="E566" s="76">
        <v>44042.0</v>
      </c>
      <c r="F566" s="77">
        <v>0.08333333333333333</v>
      </c>
      <c r="G566" s="62" t="b">
        <v>1</v>
      </c>
      <c r="H566" s="78" t="b">
        <f>IF(VLOOKUP(C566,Projetos!A:L,12,false)=TRUE,TRUE,FALSE)</f>
        <v>1</v>
      </c>
      <c r="I566" s="68">
        <v>150.60488258778258</v>
      </c>
      <c r="J566" s="68">
        <f t="shared" si="1"/>
        <v>301.2097652</v>
      </c>
      <c r="K566" s="68" t="b">
        <v>1</v>
      </c>
    </row>
    <row r="567" hidden="1">
      <c r="A567" s="75">
        <v>561.0</v>
      </c>
      <c r="B567" s="62" t="s">
        <v>356</v>
      </c>
      <c r="C567" s="62" t="s">
        <v>115</v>
      </c>
      <c r="D567" s="62" t="s">
        <v>405</v>
      </c>
      <c r="E567" s="76">
        <v>44028.0</v>
      </c>
      <c r="F567" s="77">
        <v>0.041666666666666664</v>
      </c>
      <c r="G567" s="62" t="b">
        <v>0</v>
      </c>
      <c r="H567" s="78" t="b">
        <f>IF(VLOOKUP(C567,Projetos!A:L,12,false)=TRUE,TRUE,FALSE)</f>
        <v>1</v>
      </c>
      <c r="I567" s="68">
        <v>150.60488258778258</v>
      </c>
      <c r="J567" s="68">
        <f t="shared" si="1"/>
        <v>0</v>
      </c>
      <c r="K567" s="68" t="b">
        <v>1</v>
      </c>
    </row>
    <row r="568" hidden="1">
      <c r="A568" s="75">
        <v>562.0</v>
      </c>
      <c r="B568" s="62" t="s">
        <v>356</v>
      </c>
      <c r="C568" s="62" t="s">
        <v>83</v>
      </c>
      <c r="D568" s="62" t="s">
        <v>415</v>
      </c>
      <c r="E568" s="76">
        <v>44015.0</v>
      </c>
      <c r="F568" s="77">
        <v>0.08333333333333333</v>
      </c>
      <c r="G568" s="62" t="b">
        <v>0</v>
      </c>
      <c r="H568" s="78" t="b">
        <f>IF(VLOOKUP(C568,Projetos!A:L,12,false)=TRUE,TRUE,FALSE)</f>
        <v>0</v>
      </c>
      <c r="I568" s="68">
        <v>150.60488258778258</v>
      </c>
      <c r="J568" s="68">
        <f t="shared" si="1"/>
        <v>0</v>
      </c>
      <c r="K568" s="68" t="b">
        <v>0</v>
      </c>
    </row>
    <row r="569" hidden="1">
      <c r="A569" s="75">
        <v>563.0</v>
      </c>
      <c r="B569" s="62" t="s">
        <v>356</v>
      </c>
      <c r="C569" s="62" t="s">
        <v>83</v>
      </c>
      <c r="D569" s="62" t="s">
        <v>415</v>
      </c>
      <c r="E569" s="76">
        <v>44036.0</v>
      </c>
      <c r="F569" s="77">
        <v>0.08333333333333333</v>
      </c>
      <c r="G569" s="62" t="b">
        <v>0</v>
      </c>
      <c r="H569" s="78" t="b">
        <f>IF(VLOOKUP(C569,Projetos!A:L,12,false)=TRUE,TRUE,FALSE)</f>
        <v>0</v>
      </c>
      <c r="I569" s="68">
        <v>150.60488258778258</v>
      </c>
      <c r="J569" s="68">
        <f t="shared" si="1"/>
        <v>0</v>
      </c>
      <c r="K569" s="68" t="b">
        <v>0</v>
      </c>
    </row>
    <row r="570" hidden="1">
      <c r="A570" s="75">
        <v>564.0</v>
      </c>
      <c r="B570" s="62" t="s">
        <v>356</v>
      </c>
      <c r="C570" s="62" t="s">
        <v>83</v>
      </c>
      <c r="D570" s="62" t="s">
        <v>416</v>
      </c>
      <c r="E570" s="76">
        <v>44041.0</v>
      </c>
      <c r="F570" s="77">
        <v>0.020833333333333332</v>
      </c>
      <c r="G570" s="62" t="b">
        <v>0</v>
      </c>
      <c r="H570" s="78" t="b">
        <f>IF(VLOOKUP(C570,Projetos!A:L,12,false)=TRUE,TRUE,FALSE)</f>
        <v>0</v>
      </c>
      <c r="I570" s="68">
        <v>150.60488258778258</v>
      </c>
      <c r="J570" s="68">
        <f t="shared" si="1"/>
        <v>0</v>
      </c>
      <c r="K570" s="68" t="b">
        <v>0</v>
      </c>
    </row>
    <row r="571" hidden="1">
      <c r="A571" s="75">
        <v>565.0</v>
      </c>
      <c r="B571" s="62" t="s">
        <v>356</v>
      </c>
      <c r="C571" s="62" t="s">
        <v>83</v>
      </c>
      <c r="D571" s="62" t="s">
        <v>415</v>
      </c>
      <c r="E571" s="76">
        <v>44043.0</v>
      </c>
      <c r="F571" s="77">
        <v>0.08333333333333333</v>
      </c>
      <c r="G571" s="62" t="b">
        <v>0</v>
      </c>
      <c r="H571" s="78" t="b">
        <f>IF(VLOOKUP(C571,Projetos!A:L,12,false)=TRUE,TRUE,FALSE)</f>
        <v>0</v>
      </c>
      <c r="I571" s="68">
        <v>150.60488258778258</v>
      </c>
      <c r="J571" s="68">
        <f t="shared" si="1"/>
        <v>0</v>
      </c>
      <c r="K571" s="68" t="b">
        <v>0</v>
      </c>
    </row>
    <row r="572" hidden="1">
      <c r="A572" s="75">
        <v>566.0</v>
      </c>
      <c r="B572" s="62" t="s">
        <v>356</v>
      </c>
      <c r="C572" s="62" t="s">
        <v>90</v>
      </c>
      <c r="D572" s="62" t="s">
        <v>417</v>
      </c>
      <c r="E572" s="76">
        <v>44013.0</v>
      </c>
      <c r="F572" s="77">
        <v>0.041666666666666664</v>
      </c>
      <c r="G572" s="62" t="b">
        <v>1</v>
      </c>
      <c r="H572" s="78" t="b">
        <f>IF(VLOOKUP(C572,Projetos!A:L,12,false)=TRUE,TRUE,FALSE)</f>
        <v>1</v>
      </c>
      <c r="I572" s="68">
        <v>150.60488258778258</v>
      </c>
      <c r="J572" s="68">
        <f t="shared" si="1"/>
        <v>150.6048826</v>
      </c>
      <c r="K572" s="68" t="b">
        <v>1</v>
      </c>
    </row>
    <row r="573" hidden="1">
      <c r="A573" s="75">
        <v>567.0</v>
      </c>
      <c r="B573" s="62" t="s">
        <v>356</v>
      </c>
      <c r="C573" s="62" t="s">
        <v>90</v>
      </c>
      <c r="D573" s="62" t="s">
        <v>418</v>
      </c>
      <c r="E573" s="76">
        <v>44014.0</v>
      </c>
      <c r="F573" s="77">
        <v>0.0625</v>
      </c>
      <c r="G573" s="62" t="b">
        <v>1</v>
      </c>
      <c r="H573" s="78" t="b">
        <f>IF(VLOOKUP(C573,Projetos!A:L,12,false)=TRUE,TRUE,FALSE)</f>
        <v>1</v>
      </c>
      <c r="I573" s="68">
        <v>150.60488258778258</v>
      </c>
      <c r="J573" s="68">
        <f t="shared" si="1"/>
        <v>225.9073239</v>
      </c>
      <c r="K573" s="68" t="b">
        <v>1</v>
      </c>
    </row>
    <row r="574" hidden="1">
      <c r="A574" s="75">
        <v>568.0</v>
      </c>
      <c r="B574" s="62" t="s">
        <v>356</v>
      </c>
      <c r="C574" s="62" t="s">
        <v>90</v>
      </c>
      <c r="D574" s="62" t="s">
        <v>419</v>
      </c>
      <c r="E574" s="76">
        <v>44015.0</v>
      </c>
      <c r="F574" s="77">
        <v>0.0625</v>
      </c>
      <c r="G574" s="62" t="b">
        <v>1</v>
      </c>
      <c r="H574" s="78" t="b">
        <f>IF(VLOOKUP(C574,Projetos!A:L,12,false)=TRUE,TRUE,FALSE)</f>
        <v>1</v>
      </c>
      <c r="I574" s="68">
        <v>150.60488258778258</v>
      </c>
      <c r="J574" s="68">
        <f t="shared" si="1"/>
        <v>225.9073239</v>
      </c>
      <c r="K574" s="68" t="b">
        <v>1</v>
      </c>
    </row>
    <row r="575" hidden="1">
      <c r="A575" s="75">
        <v>569.0</v>
      </c>
      <c r="B575" s="62" t="s">
        <v>356</v>
      </c>
      <c r="C575" s="62" t="s">
        <v>90</v>
      </c>
      <c r="D575" s="62" t="s">
        <v>420</v>
      </c>
      <c r="E575" s="76">
        <v>44033.0</v>
      </c>
      <c r="F575" s="77">
        <v>0.041666666666666664</v>
      </c>
      <c r="G575" s="62" t="b">
        <v>1</v>
      </c>
      <c r="H575" s="78" t="b">
        <f>IF(VLOOKUP(C575,Projetos!A:L,12,false)=TRUE,TRUE,FALSE)</f>
        <v>1</v>
      </c>
      <c r="I575" s="68">
        <v>150.60488258778258</v>
      </c>
      <c r="J575" s="68">
        <f t="shared" si="1"/>
        <v>150.6048826</v>
      </c>
      <c r="K575" s="68" t="b">
        <v>1</v>
      </c>
    </row>
    <row r="576" hidden="1">
      <c r="A576" s="75">
        <v>570.0</v>
      </c>
      <c r="B576" s="62" t="s">
        <v>356</v>
      </c>
      <c r="C576" s="62" t="s">
        <v>90</v>
      </c>
      <c r="D576" s="62" t="s">
        <v>421</v>
      </c>
      <c r="E576" s="76">
        <v>44036.0</v>
      </c>
      <c r="F576" s="77">
        <v>0.041666666666666664</v>
      </c>
      <c r="G576" s="62" t="b">
        <v>1</v>
      </c>
      <c r="H576" s="78" t="b">
        <f>IF(VLOOKUP(C576,Projetos!A:L,12,false)=TRUE,TRUE,FALSE)</f>
        <v>1</v>
      </c>
      <c r="I576" s="68">
        <v>150.60488258778258</v>
      </c>
      <c r="J576" s="68">
        <f t="shared" si="1"/>
        <v>150.6048826</v>
      </c>
      <c r="K576" s="68" t="b">
        <v>1</v>
      </c>
    </row>
    <row r="577" hidden="1">
      <c r="A577" s="75">
        <v>571.0</v>
      </c>
      <c r="B577" s="62" t="s">
        <v>356</v>
      </c>
      <c r="C577" s="62" t="s">
        <v>90</v>
      </c>
      <c r="D577" s="62" t="s">
        <v>422</v>
      </c>
      <c r="E577" s="76">
        <v>44042.0</v>
      </c>
      <c r="F577" s="77">
        <v>0.041666666666666664</v>
      </c>
      <c r="G577" s="62" t="b">
        <v>1</v>
      </c>
      <c r="H577" s="78" t="b">
        <f>IF(VLOOKUP(C577,Projetos!A:L,12,false)=TRUE,TRUE,FALSE)</f>
        <v>1</v>
      </c>
      <c r="I577" s="68">
        <v>150.60488258778258</v>
      </c>
      <c r="J577" s="68">
        <f t="shared" si="1"/>
        <v>150.6048826</v>
      </c>
      <c r="K577" s="68" t="b">
        <v>1</v>
      </c>
    </row>
    <row r="578" hidden="1">
      <c r="A578" s="75">
        <v>572.0</v>
      </c>
      <c r="B578" s="62" t="s">
        <v>356</v>
      </c>
      <c r="C578" s="62" t="s">
        <v>90</v>
      </c>
      <c r="D578" s="62" t="s">
        <v>423</v>
      </c>
      <c r="E578" s="76">
        <v>44042.0</v>
      </c>
      <c r="F578" s="77">
        <v>0.041666666666666664</v>
      </c>
      <c r="G578" s="62" t="b">
        <v>0</v>
      </c>
      <c r="H578" s="78" t="b">
        <f>IF(VLOOKUP(C578,Projetos!A:L,12,false)=TRUE,TRUE,FALSE)</f>
        <v>1</v>
      </c>
      <c r="I578" s="68">
        <v>150.60488258778258</v>
      </c>
      <c r="J578" s="68">
        <f t="shared" si="1"/>
        <v>0</v>
      </c>
      <c r="K578" s="68" t="b">
        <v>1</v>
      </c>
    </row>
    <row r="579" hidden="1">
      <c r="A579" s="75">
        <v>573.0</v>
      </c>
      <c r="B579" s="62" t="s">
        <v>356</v>
      </c>
      <c r="C579" s="62" t="s">
        <v>102</v>
      </c>
      <c r="D579" s="62" t="s">
        <v>424</v>
      </c>
      <c r="E579" s="76">
        <v>44015.0</v>
      </c>
      <c r="F579" s="77">
        <v>0.08333333333333333</v>
      </c>
      <c r="G579" s="62" t="b">
        <v>0</v>
      </c>
      <c r="H579" s="78" t="b">
        <f>IF(VLOOKUP(C579,Projetos!A:L,12,false)=TRUE,TRUE,FALSE)</f>
        <v>0</v>
      </c>
      <c r="I579" s="68">
        <v>150.60488258778258</v>
      </c>
      <c r="J579" s="68">
        <f t="shared" si="1"/>
        <v>0</v>
      </c>
      <c r="K579" s="68" t="b">
        <v>0</v>
      </c>
    </row>
    <row r="580" hidden="1">
      <c r="A580" s="75">
        <v>574.0</v>
      </c>
      <c r="B580" s="62" t="s">
        <v>356</v>
      </c>
      <c r="C580" s="62" t="s">
        <v>102</v>
      </c>
      <c r="D580" s="62" t="s">
        <v>425</v>
      </c>
      <c r="E580" s="76">
        <v>44040.0</v>
      </c>
      <c r="F580" s="77">
        <v>0.25</v>
      </c>
      <c r="G580" s="62" t="b">
        <v>0</v>
      </c>
      <c r="H580" s="78" t="b">
        <f>IF(VLOOKUP(C580,Projetos!A:L,12,false)=TRUE,TRUE,FALSE)</f>
        <v>0</v>
      </c>
      <c r="I580" s="68">
        <v>150.60488258778258</v>
      </c>
      <c r="J580" s="68">
        <f t="shared" si="1"/>
        <v>0</v>
      </c>
      <c r="K580" s="68" t="b">
        <v>0</v>
      </c>
    </row>
    <row r="581" hidden="1">
      <c r="A581" s="75">
        <v>575.0</v>
      </c>
      <c r="B581" s="62" t="s">
        <v>356</v>
      </c>
      <c r="C581" s="62" t="s">
        <v>102</v>
      </c>
      <c r="D581" s="62" t="s">
        <v>426</v>
      </c>
      <c r="E581" s="76">
        <v>44041.0</v>
      </c>
      <c r="F581" s="77">
        <v>0.041666666666666664</v>
      </c>
      <c r="G581" s="62" t="b">
        <v>0</v>
      </c>
      <c r="H581" s="78" t="b">
        <f>IF(VLOOKUP(C581,Projetos!A:L,12,false)=TRUE,TRUE,FALSE)</f>
        <v>0</v>
      </c>
      <c r="I581" s="68">
        <v>150.60488258778258</v>
      </c>
      <c r="J581" s="68">
        <f t="shared" si="1"/>
        <v>0</v>
      </c>
      <c r="K581" s="68" t="b">
        <v>0</v>
      </c>
    </row>
    <row r="582" hidden="1">
      <c r="A582" s="75">
        <v>576.0</v>
      </c>
      <c r="B582" s="62" t="s">
        <v>356</v>
      </c>
      <c r="C582" s="62" t="s">
        <v>108</v>
      </c>
      <c r="D582" s="62" t="s">
        <v>419</v>
      </c>
      <c r="E582" s="76">
        <v>44014.0</v>
      </c>
      <c r="F582" s="77">
        <v>0.041666666666666664</v>
      </c>
      <c r="G582" s="62" t="b">
        <v>0</v>
      </c>
      <c r="H582" s="78" t="b">
        <f>IF(VLOOKUP(C582,Projetos!A:L,12,false)=TRUE,TRUE,FALSE)</f>
        <v>1</v>
      </c>
      <c r="I582" s="68">
        <v>150.60488258778258</v>
      </c>
      <c r="J582" s="68">
        <f t="shared" si="1"/>
        <v>0</v>
      </c>
      <c r="K582" s="68" t="b">
        <v>1</v>
      </c>
    </row>
    <row r="583" hidden="1">
      <c r="A583" s="75">
        <v>577.0</v>
      </c>
      <c r="B583" s="62" t="s">
        <v>356</v>
      </c>
      <c r="C583" s="62" t="s">
        <v>109</v>
      </c>
      <c r="D583" s="62" t="s">
        <v>427</v>
      </c>
      <c r="E583" s="76">
        <v>44039.0</v>
      </c>
      <c r="F583" s="77">
        <v>0.041666666666666664</v>
      </c>
      <c r="G583" s="62" t="b">
        <v>0</v>
      </c>
      <c r="H583" s="78" t="b">
        <f>IF(VLOOKUP(C583,Projetos!A:L,12,false)=TRUE,TRUE,FALSE)</f>
        <v>0</v>
      </c>
      <c r="I583" s="68">
        <v>150.60488258778258</v>
      </c>
      <c r="J583" s="68">
        <f t="shared" si="1"/>
        <v>0</v>
      </c>
      <c r="K583" s="68" t="b">
        <v>0</v>
      </c>
    </row>
    <row r="584" hidden="1">
      <c r="A584" s="75">
        <v>578.0</v>
      </c>
      <c r="B584" s="62" t="s">
        <v>356</v>
      </c>
      <c r="C584" s="62" t="s">
        <v>115</v>
      </c>
      <c r="D584" s="62" t="s">
        <v>428</v>
      </c>
      <c r="E584" s="76">
        <v>44032.0</v>
      </c>
      <c r="F584" s="77">
        <v>0.08333333333333333</v>
      </c>
      <c r="G584" s="62" t="b">
        <v>0</v>
      </c>
      <c r="H584" s="78" t="b">
        <f>IF(VLOOKUP(C584,Projetos!A:L,12,false)=TRUE,TRUE,FALSE)</f>
        <v>1</v>
      </c>
      <c r="I584" s="68">
        <v>150.60488258778258</v>
      </c>
      <c r="J584" s="68">
        <f t="shared" si="1"/>
        <v>0</v>
      </c>
      <c r="K584" s="68" t="b">
        <v>1</v>
      </c>
    </row>
    <row r="585" hidden="1">
      <c r="A585" s="75">
        <v>579.0</v>
      </c>
      <c r="B585" s="62" t="s">
        <v>356</v>
      </c>
      <c r="C585" s="62" t="s">
        <v>115</v>
      </c>
      <c r="D585" s="62" t="s">
        <v>429</v>
      </c>
      <c r="E585" s="76">
        <v>44034.0</v>
      </c>
      <c r="F585" s="77">
        <v>0.041666666666666664</v>
      </c>
      <c r="G585" s="62" t="b">
        <v>1</v>
      </c>
      <c r="H585" s="78" t="b">
        <f>IF(VLOOKUP(C585,Projetos!A:L,12,false)=TRUE,TRUE,FALSE)</f>
        <v>1</v>
      </c>
      <c r="I585" s="68">
        <v>150.60488258778258</v>
      </c>
      <c r="J585" s="68">
        <f t="shared" si="1"/>
        <v>150.6048826</v>
      </c>
      <c r="K585" s="68" t="b">
        <v>1</v>
      </c>
    </row>
    <row r="586" hidden="1">
      <c r="A586" s="75">
        <v>580.0</v>
      </c>
      <c r="B586" s="62" t="s">
        <v>356</v>
      </c>
      <c r="C586" s="62" t="s">
        <v>115</v>
      </c>
      <c r="D586" s="62" t="s">
        <v>429</v>
      </c>
      <c r="E586" s="76">
        <v>44039.0</v>
      </c>
      <c r="F586" s="77">
        <v>0.041666666666666664</v>
      </c>
      <c r="G586" s="62" t="b">
        <v>1</v>
      </c>
      <c r="H586" s="78" t="b">
        <f>IF(VLOOKUP(C586,Projetos!A:L,12,false)=TRUE,TRUE,FALSE)</f>
        <v>1</v>
      </c>
      <c r="I586" s="68">
        <v>150.60488258778258</v>
      </c>
      <c r="J586" s="68">
        <f t="shared" si="1"/>
        <v>150.6048826</v>
      </c>
      <c r="K586" s="68" t="b">
        <v>1</v>
      </c>
    </row>
    <row r="587" hidden="1">
      <c r="A587" s="75">
        <v>581.0</v>
      </c>
      <c r="B587" s="62" t="s">
        <v>356</v>
      </c>
      <c r="C587" s="62" t="s">
        <v>83</v>
      </c>
      <c r="D587" s="62" t="s">
        <v>430</v>
      </c>
      <c r="E587" s="76">
        <v>44047.0</v>
      </c>
      <c r="F587" s="77">
        <v>0.041666666666666664</v>
      </c>
      <c r="G587" s="62" t="b">
        <v>0</v>
      </c>
      <c r="H587" s="78" t="b">
        <f>IF(VLOOKUP(C587,Projetos!A:L,12,false)=TRUE,TRUE,FALSE)</f>
        <v>0</v>
      </c>
      <c r="I587" s="68">
        <v>150.60488258778258</v>
      </c>
      <c r="J587" s="68">
        <f t="shared" si="1"/>
        <v>0</v>
      </c>
      <c r="K587" s="68" t="b">
        <v>0</v>
      </c>
    </row>
    <row r="588" hidden="1">
      <c r="A588" s="75">
        <v>582.0</v>
      </c>
      <c r="B588" s="62" t="s">
        <v>356</v>
      </c>
      <c r="C588" s="62" t="s">
        <v>83</v>
      </c>
      <c r="D588" s="62" t="s">
        <v>415</v>
      </c>
      <c r="E588" s="76">
        <v>44053.0</v>
      </c>
      <c r="F588" s="77">
        <v>0.0625</v>
      </c>
      <c r="G588" s="62" t="b">
        <v>0</v>
      </c>
      <c r="H588" s="78" t="b">
        <f>IF(VLOOKUP(C588,Projetos!A:L,12,false)=TRUE,TRUE,FALSE)</f>
        <v>0</v>
      </c>
      <c r="I588" s="68">
        <v>150.60488258778258</v>
      </c>
      <c r="J588" s="68">
        <f t="shared" si="1"/>
        <v>0</v>
      </c>
      <c r="K588" s="68" t="b">
        <v>0</v>
      </c>
    </row>
    <row r="589" hidden="1">
      <c r="A589" s="75">
        <v>583.0</v>
      </c>
      <c r="B589" s="62" t="s">
        <v>356</v>
      </c>
      <c r="C589" s="62" t="s">
        <v>83</v>
      </c>
      <c r="D589" s="62" t="s">
        <v>431</v>
      </c>
      <c r="E589" s="76">
        <v>44068.0</v>
      </c>
      <c r="F589" s="77">
        <v>0.041666666666666664</v>
      </c>
      <c r="G589" s="62" t="b">
        <v>0</v>
      </c>
      <c r="H589" s="78" t="b">
        <f>IF(VLOOKUP(C589,Projetos!A:L,12,false)=TRUE,TRUE,FALSE)</f>
        <v>0</v>
      </c>
      <c r="I589" s="68">
        <v>150.60488258778258</v>
      </c>
      <c r="J589" s="68">
        <f t="shared" si="1"/>
        <v>0</v>
      </c>
      <c r="K589" s="68" t="b">
        <v>0</v>
      </c>
    </row>
    <row r="590" hidden="1">
      <c r="A590" s="75">
        <v>584.0</v>
      </c>
      <c r="B590" s="62" t="s">
        <v>356</v>
      </c>
      <c r="C590" s="62" t="s">
        <v>83</v>
      </c>
      <c r="D590" s="62" t="s">
        <v>415</v>
      </c>
      <c r="E590" s="76">
        <v>44071.0</v>
      </c>
      <c r="F590" s="77">
        <v>0.08333333333333333</v>
      </c>
      <c r="G590" s="62" t="b">
        <v>0</v>
      </c>
      <c r="H590" s="78" t="b">
        <f>IF(VLOOKUP(C590,Projetos!A:L,12,false)=TRUE,TRUE,FALSE)</f>
        <v>0</v>
      </c>
      <c r="I590" s="68">
        <v>150.60488258778258</v>
      </c>
      <c r="J590" s="68">
        <f t="shared" si="1"/>
        <v>0</v>
      </c>
      <c r="K590" s="68" t="b">
        <v>0</v>
      </c>
    </row>
    <row r="591" hidden="1">
      <c r="A591" s="75">
        <v>585.0</v>
      </c>
      <c r="B591" s="62" t="s">
        <v>356</v>
      </c>
      <c r="C591" s="62" t="s">
        <v>83</v>
      </c>
      <c r="D591" s="62" t="s">
        <v>430</v>
      </c>
      <c r="E591" s="76">
        <v>44074.0</v>
      </c>
      <c r="F591" s="77">
        <v>0.041666666666666664</v>
      </c>
      <c r="G591" s="62" t="b">
        <v>0</v>
      </c>
      <c r="H591" s="78" t="b">
        <f>IF(VLOOKUP(C591,Projetos!A:L,12,false)=TRUE,TRUE,FALSE)</f>
        <v>0</v>
      </c>
      <c r="I591" s="68">
        <v>150.60488258778258</v>
      </c>
      <c r="J591" s="68">
        <f t="shared" si="1"/>
        <v>0</v>
      </c>
      <c r="K591" s="68" t="b">
        <v>0</v>
      </c>
    </row>
    <row r="592" hidden="1">
      <c r="A592" s="75">
        <v>586.0</v>
      </c>
      <c r="B592" s="62" t="s">
        <v>356</v>
      </c>
      <c r="C592" s="62" t="s">
        <v>90</v>
      </c>
      <c r="D592" s="62" t="s">
        <v>432</v>
      </c>
      <c r="E592" s="76">
        <v>44046.0</v>
      </c>
      <c r="F592" s="77">
        <v>0.15625</v>
      </c>
      <c r="G592" s="62" t="b">
        <v>1</v>
      </c>
      <c r="H592" s="78" t="b">
        <f>IF(VLOOKUP(C592,Projetos!A:L,12,false)=TRUE,TRUE,FALSE)</f>
        <v>1</v>
      </c>
      <c r="I592" s="68">
        <v>150.60488258778258</v>
      </c>
      <c r="J592" s="68">
        <f t="shared" si="1"/>
        <v>564.7683097</v>
      </c>
      <c r="K592" s="68" t="b">
        <v>1</v>
      </c>
    </row>
    <row r="593" hidden="1">
      <c r="A593" s="75">
        <v>587.0</v>
      </c>
      <c r="B593" s="62" t="s">
        <v>356</v>
      </c>
      <c r="C593" s="62" t="s">
        <v>90</v>
      </c>
      <c r="D593" s="62" t="s">
        <v>433</v>
      </c>
      <c r="E593" s="76">
        <v>44050.0</v>
      </c>
      <c r="F593" s="77">
        <v>0.041666666666666664</v>
      </c>
      <c r="G593" s="62" t="b">
        <v>1</v>
      </c>
      <c r="H593" s="78" t="b">
        <f>IF(VLOOKUP(C593,Projetos!A:L,12,false)=TRUE,TRUE,FALSE)</f>
        <v>1</v>
      </c>
      <c r="I593" s="68">
        <v>150.60488258778258</v>
      </c>
      <c r="J593" s="68">
        <f t="shared" si="1"/>
        <v>150.6048826</v>
      </c>
      <c r="K593" s="68" t="b">
        <v>1</v>
      </c>
    </row>
    <row r="594" hidden="1">
      <c r="A594" s="75">
        <v>588.0</v>
      </c>
      <c r="B594" s="62" t="s">
        <v>356</v>
      </c>
      <c r="C594" s="62" t="s">
        <v>90</v>
      </c>
      <c r="D594" s="62" t="s">
        <v>434</v>
      </c>
      <c r="E594" s="76">
        <v>44054.0</v>
      </c>
      <c r="F594" s="77">
        <v>0.0625</v>
      </c>
      <c r="G594" s="62" t="b">
        <v>1</v>
      </c>
      <c r="H594" s="78" t="b">
        <f>IF(VLOOKUP(C594,Projetos!A:L,12,false)=TRUE,TRUE,FALSE)</f>
        <v>1</v>
      </c>
      <c r="I594" s="68">
        <v>150.60488258778258</v>
      </c>
      <c r="J594" s="68">
        <f t="shared" si="1"/>
        <v>225.9073239</v>
      </c>
      <c r="K594" s="68" t="b">
        <v>1</v>
      </c>
    </row>
    <row r="595" hidden="1">
      <c r="A595" s="75">
        <v>589.0</v>
      </c>
      <c r="B595" s="62" t="s">
        <v>356</v>
      </c>
      <c r="C595" s="62" t="s">
        <v>90</v>
      </c>
      <c r="D595" s="62" t="s">
        <v>435</v>
      </c>
      <c r="E595" s="76">
        <v>44054.0</v>
      </c>
      <c r="F595" s="77">
        <v>0.0625</v>
      </c>
      <c r="G595" s="62" t="b">
        <v>1</v>
      </c>
      <c r="H595" s="78" t="b">
        <f>IF(VLOOKUP(C595,Projetos!A:L,12,false)=TRUE,TRUE,FALSE)</f>
        <v>1</v>
      </c>
      <c r="I595" s="68">
        <v>150.60488258778258</v>
      </c>
      <c r="J595" s="68">
        <f t="shared" si="1"/>
        <v>225.9073239</v>
      </c>
      <c r="K595" s="68" t="b">
        <v>1</v>
      </c>
    </row>
    <row r="596" hidden="1">
      <c r="A596" s="75">
        <v>590.0</v>
      </c>
      <c r="B596" s="62" t="s">
        <v>356</v>
      </c>
      <c r="C596" s="62" t="s">
        <v>90</v>
      </c>
      <c r="D596" s="62" t="s">
        <v>434</v>
      </c>
      <c r="E596" s="76">
        <v>44056.0</v>
      </c>
      <c r="F596" s="77">
        <v>0.0625</v>
      </c>
      <c r="G596" s="62" t="b">
        <v>1</v>
      </c>
      <c r="H596" s="78" t="b">
        <f>IF(VLOOKUP(C596,Projetos!A:L,12,false)=TRUE,TRUE,FALSE)</f>
        <v>1</v>
      </c>
      <c r="I596" s="68">
        <v>150.60488258778258</v>
      </c>
      <c r="J596" s="68">
        <f t="shared" si="1"/>
        <v>225.9073239</v>
      </c>
      <c r="K596" s="68" t="b">
        <v>1</v>
      </c>
    </row>
    <row r="597" hidden="1">
      <c r="A597" s="75">
        <v>591.0</v>
      </c>
      <c r="B597" s="62" t="s">
        <v>356</v>
      </c>
      <c r="C597" s="62" t="s">
        <v>90</v>
      </c>
      <c r="D597" s="62" t="s">
        <v>436</v>
      </c>
      <c r="E597" s="76">
        <v>44056.0</v>
      </c>
      <c r="F597" s="77">
        <v>0.041666666666666664</v>
      </c>
      <c r="G597" s="62" t="b">
        <v>1</v>
      </c>
      <c r="H597" s="78" t="b">
        <f>IF(VLOOKUP(C597,Projetos!A:L,12,false)=TRUE,TRUE,FALSE)</f>
        <v>1</v>
      </c>
      <c r="I597" s="68">
        <v>150.60488258778258</v>
      </c>
      <c r="J597" s="68">
        <f t="shared" si="1"/>
        <v>150.6048826</v>
      </c>
      <c r="K597" s="68" t="b">
        <v>1</v>
      </c>
    </row>
    <row r="598" hidden="1">
      <c r="A598" s="75">
        <v>592.0</v>
      </c>
      <c r="B598" s="62" t="s">
        <v>356</v>
      </c>
      <c r="C598" s="62" t="s">
        <v>90</v>
      </c>
      <c r="D598" s="62" t="s">
        <v>434</v>
      </c>
      <c r="E598" s="76">
        <v>44057.0</v>
      </c>
      <c r="F598" s="77">
        <v>0.041666666666666664</v>
      </c>
      <c r="G598" s="62" t="b">
        <v>1</v>
      </c>
      <c r="H598" s="78" t="b">
        <f>IF(VLOOKUP(C598,Projetos!A:L,12,false)=TRUE,TRUE,FALSE)</f>
        <v>1</v>
      </c>
      <c r="I598" s="68">
        <v>150.60488258778258</v>
      </c>
      <c r="J598" s="68">
        <f t="shared" si="1"/>
        <v>150.6048826</v>
      </c>
      <c r="K598" s="68" t="b">
        <v>1</v>
      </c>
    </row>
    <row r="599" hidden="1">
      <c r="A599" s="75">
        <v>593.0</v>
      </c>
      <c r="B599" s="62" t="s">
        <v>356</v>
      </c>
      <c r="C599" s="62" t="s">
        <v>90</v>
      </c>
      <c r="D599" s="62" t="s">
        <v>415</v>
      </c>
      <c r="E599" s="76">
        <v>44060.0</v>
      </c>
      <c r="F599" s="77">
        <v>0.10416666666666667</v>
      </c>
      <c r="G599" s="62" t="b">
        <v>1</v>
      </c>
      <c r="H599" s="78" t="b">
        <f>IF(VLOOKUP(C599,Projetos!A:L,12,false)=TRUE,TRUE,FALSE)</f>
        <v>1</v>
      </c>
      <c r="I599" s="68">
        <v>150.60488258778258</v>
      </c>
      <c r="J599" s="68">
        <f t="shared" si="1"/>
        <v>376.5122065</v>
      </c>
      <c r="K599" s="68" t="b">
        <v>1</v>
      </c>
    </row>
    <row r="600" hidden="1">
      <c r="A600" s="75">
        <v>594.0</v>
      </c>
      <c r="B600" s="62" t="s">
        <v>356</v>
      </c>
      <c r="C600" s="62" t="s">
        <v>90</v>
      </c>
      <c r="D600" s="62" t="s">
        <v>437</v>
      </c>
      <c r="E600" s="76">
        <v>44061.0</v>
      </c>
      <c r="F600" s="77">
        <v>0.08333333333333333</v>
      </c>
      <c r="G600" s="62" t="b">
        <v>1</v>
      </c>
      <c r="H600" s="78" t="b">
        <f>IF(VLOOKUP(C600,Projetos!A:L,12,false)=TRUE,TRUE,FALSE)</f>
        <v>1</v>
      </c>
      <c r="I600" s="68">
        <v>150.60488258778258</v>
      </c>
      <c r="J600" s="68">
        <f t="shared" si="1"/>
        <v>301.2097652</v>
      </c>
      <c r="K600" s="68" t="b">
        <v>1</v>
      </c>
    </row>
    <row r="601" hidden="1">
      <c r="A601" s="75">
        <v>595.0</v>
      </c>
      <c r="B601" s="62" t="s">
        <v>356</v>
      </c>
      <c r="C601" s="62" t="s">
        <v>90</v>
      </c>
      <c r="D601" s="62" t="s">
        <v>437</v>
      </c>
      <c r="E601" s="76">
        <v>44063.0</v>
      </c>
      <c r="F601" s="77">
        <v>0.08333333333333333</v>
      </c>
      <c r="G601" s="62" t="b">
        <v>1</v>
      </c>
      <c r="H601" s="78" t="b">
        <f>IF(VLOOKUP(C601,Projetos!A:L,12,false)=TRUE,TRUE,FALSE)</f>
        <v>1</v>
      </c>
      <c r="I601" s="68">
        <v>150.60488258778258</v>
      </c>
      <c r="J601" s="68">
        <f t="shared" si="1"/>
        <v>301.2097652</v>
      </c>
      <c r="K601" s="68" t="b">
        <v>1</v>
      </c>
    </row>
    <row r="602" hidden="1">
      <c r="A602" s="75">
        <v>596.0</v>
      </c>
      <c r="B602" s="62" t="s">
        <v>356</v>
      </c>
      <c r="C602" s="62" t="s">
        <v>90</v>
      </c>
      <c r="D602" s="62" t="s">
        <v>437</v>
      </c>
      <c r="E602" s="76">
        <v>44064.0</v>
      </c>
      <c r="F602" s="77">
        <v>0.041666666666666664</v>
      </c>
      <c r="G602" s="62" t="b">
        <v>1</v>
      </c>
      <c r="H602" s="78" t="b">
        <f>IF(VLOOKUP(C602,Projetos!A:L,12,false)=TRUE,TRUE,FALSE)</f>
        <v>1</v>
      </c>
      <c r="I602" s="68">
        <v>150.60488258778258</v>
      </c>
      <c r="J602" s="68">
        <f t="shared" si="1"/>
        <v>150.6048826</v>
      </c>
      <c r="K602" s="68" t="b">
        <v>1</v>
      </c>
    </row>
    <row r="603" hidden="1">
      <c r="A603" s="75">
        <v>597.0</v>
      </c>
      <c r="B603" s="62" t="s">
        <v>356</v>
      </c>
      <c r="C603" s="62" t="s">
        <v>90</v>
      </c>
      <c r="D603" s="62" t="s">
        <v>438</v>
      </c>
      <c r="E603" s="76">
        <v>44067.0</v>
      </c>
      <c r="F603" s="77">
        <v>0.04375</v>
      </c>
      <c r="G603" s="62" t="b">
        <v>1</v>
      </c>
      <c r="H603" s="78" t="b">
        <f>IF(VLOOKUP(C603,Projetos!A:L,12,false)=TRUE,TRUE,FALSE)</f>
        <v>1</v>
      </c>
      <c r="I603" s="68">
        <v>150.60488258778258</v>
      </c>
      <c r="J603" s="68">
        <f t="shared" si="1"/>
        <v>158.1351267</v>
      </c>
      <c r="K603" s="68" t="b">
        <v>1</v>
      </c>
    </row>
    <row r="604" hidden="1">
      <c r="A604" s="75">
        <v>598.0</v>
      </c>
      <c r="B604" s="62" t="s">
        <v>356</v>
      </c>
      <c r="C604" s="62" t="s">
        <v>98</v>
      </c>
      <c r="D604" s="62" t="s">
        <v>439</v>
      </c>
      <c r="E604" s="76">
        <v>44054.0</v>
      </c>
      <c r="F604" s="77">
        <v>0.041666666666666664</v>
      </c>
      <c r="G604" s="62" t="b">
        <v>1</v>
      </c>
      <c r="H604" s="78" t="b">
        <f>IF(VLOOKUP(C604,Projetos!A:L,12,false)=TRUE,TRUE,FALSE)</f>
        <v>1</v>
      </c>
      <c r="I604" s="68">
        <v>150.60488258778258</v>
      </c>
      <c r="J604" s="68">
        <f t="shared" si="1"/>
        <v>150.6048826</v>
      </c>
      <c r="K604" s="68" t="b">
        <v>1</v>
      </c>
    </row>
    <row r="605" hidden="1">
      <c r="A605" s="75">
        <v>599.0</v>
      </c>
      <c r="B605" s="62" t="s">
        <v>356</v>
      </c>
      <c r="C605" s="62" t="s">
        <v>98</v>
      </c>
      <c r="D605" s="62" t="s">
        <v>440</v>
      </c>
      <c r="E605" s="76">
        <v>44061.0</v>
      </c>
      <c r="F605" s="77">
        <v>0.0625</v>
      </c>
      <c r="G605" s="62" t="b">
        <v>0</v>
      </c>
      <c r="H605" s="78" t="b">
        <f>IF(VLOOKUP(C605,Projetos!A:L,12,false)=TRUE,TRUE,FALSE)</f>
        <v>1</v>
      </c>
      <c r="I605" s="68">
        <v>150.60488258778258</v>
      </c>
      <c r="J605" s="68">
        <f t="shared" si="1"/>
        <v>0</v>
      </c>
      <c r="K605" s="68" t="b">
        <v>1</v>
      </c>
    </row>
    <row r="606" hidden="1">
      <c r="A606" s="75">
        <v>600.0</v>
      </c>
      <c r="B606" s="62" t="s">
        <v>356</v>
      </c>
      <c r="C606" s="62" t="s">
        <v>102</v>
      </c>
      <c r="D606" s="62" t="s">
        <v>441</v>
      </c>
      <c r="E606" s="76">
        <v>44048.0</v>
      </c>
      <c r="F606" s="77">
        <v>0.0625</v>
      </c>
      <c r="G606" s="62" t="b">
        <v>0</v>
      </c>
      <c r="H606" s="78" t="b">
        <f>IF(VLOOKUP(C606,Projetos!A:L,12,false)=TRUE,TRUE,FALSE)</f>
        <v>0</v>
      </c>
      <c r="I606" s="68">
        <v>150.60488258778258</v>
      </c>
      <c r="J606" s="68">
        <f t="shared" si="1"/>
        <v>0</v>
      </c>
      <c r="K606" s="68" t="b">
        <v>0</v>
      </c>
    </row>
    <row r="607" hidden="1">
      <c r="A607" s="75">
        <v>601.0</v>
      </c>
      <c r="B607" s="62" t="s">
        <v>356</v>
      </c>
      <c r="C607" s="62" t="s">
        <v>102</v>
      </c>
      <c r="D607" s="62" t="s">
        <v>442</v>
      </c>
      <c r="E607" s="76">
        <v>44049.0</v>
      </c>
      <c r="F607" s="77">
        <v>0.125</v>
      </c>
      <c r="G607" s="62" t="b">
        <v>0</v>
      </c>
      <c r="H607" s="78" t="b">
        <f>IF(VLOOKUP(C607,Projetos!A:L,12,false)=TRUE,TRUE,FALSE)</f>
        <v>0</v>
      </c>
      <c r="I607" s="68">
        <v>150.60488258778258</v>
      </c>
      <c r="J607" s="68">
        <f t="shared" si="1"/>
        <v>0</v>
      </c>
      <c r="K607" s="68" t="b">
        <v>0</v>
      </c>
    </row>
    <row r="608" hidden="1">
      <c r="A608" s="75">
        <v>602.0</v>
      </c>
      <c r="B608" s="62" t="s">
        <v>356</v>
      </c>
      <c r="C608" s="62" t="s">
        <v>102</v>
      </c>
      <c r="D608" s="62" t="s">
        <v>443</v>
      </c>
      <c r="E608" s="76">
        <v>44056.0</v>
      </c>
      <c r="F608" s="77">
        <v>0.0625</v>
      </c>
      <c r="G608" s="62" t="b">
        <v>0</v>
      </c>
      <c r="H608" s="78" t="b">
        <f>IF(VLOOKUP(C608,Projetos!A:L,12,false)=TRUE,TRUE,FALSE)</f>
        <v>0</v>
      </c>
      <c r="I608" s="68">
        <v>150.60488258778258</v>
      </c>
      <c r="J608" s="68">
        <f t="shared" si="1"/>
        <v>0</v>
      </c>
      <c r="K608" s="68" t="b">
        <v>0</v>
      </c>
    </row>
    <row r="609" hidden="1">
      <c r="A609" s="75">
        <v>603.0</v>
      </c>
      <c r="B609" s="62" t="s">
        <v>356</v>
      </c>
      <c r="C609" s="62" t="s">
        <v>102</v>
      </c>
      <c r="D609" s="62" t="s">
        <v>444</v>
      </c>
      <c r="E609" s="76">
        <v>44062.0</v>
      </c>
      <c r="F609" s="77">
        <v>0.041666666666666664</v>
      </c>
      <c r="G609" s="62" t="b">
        <v>0</v>
      </c>
      <c r="H609" s="78" t="b">
        <f>IF(VLOOKUP(C609,Projetos!A:L,12,false)=TRUE,TRUE,FALSE)</f>
        <v>0</v>
      </c>
      <c r="I609" s="68">
        <v>150.60488258778258</v>
      </c>
      <c r="J609" s="68">
        <f t="shared" si="1"/>
        <v>0</v>
      </c>
      <c r="K609" s="68" t="b">
        <v>0</v>
      </c>
    </row>
    <row r="610" hidden="1">
      <c r="A610" s="75">
        <v>604.0</v>
      </c>
      <c r="B610" s="62" t="s">
        <v>356</v>
      </c>
      <c r="C610" s="62" t="s">
        <v>116</v>
      </c>
      <c r="D610" s="62" t="s">
        <v>445</v>
      </c>
      <c r="E610" s="76">
        <v>44069.0</v>
      </c>
      <c r="F610" s="77">
        <v>0.10416666666666667</v>
      </c>
      <c r="G610" s="62" t="b">
        <v>1</v>
      </c>
      <c r="H610" s="78" t="b">
        <f>IF(VLOOKUP(C610,Projetos!A:L,12,false)=TRUE,TRUE,FALSE)</f>
        <v>1</v>
      </c>
      <c r="I610" s="68">
        <v>150.60488258778258</v>
      </c>
      <c r="J610" s="68">
        <f t="shared" si="1"/>
        <v>376.5122065</v>
      </c>
      <c r="K610" s="68" t="b">
        <v>1</v>
      </c>
    </row>
    <row r="611" hidden="1">
      <c r="A611" s="75">
        <v>605.0</v>
      </c>
      <c r="B611" s="62" t="s">
        <v>356</v>
      </c>
      <c r="C611" s="62" t="s">
        <v>83</v>
      </c>
      <c r="D611" s="62" t="s">
        <v>446</v>
      </c>
      <c r="E611" s="76">
        <v>44077.0</v>
      </c>
      <c r="F611" s="77">
        <v>0.041666666666666664</v>
      </c>
      <c r="G611" s="62" t="b">
        <v>0</v>
      </c>
      <c r="H611" s="78" t="b">
        <f>IF(VLOOKUP(C611,Projetos!A:L,12,false)=TRUE,TRUE,FALSE)</f>
        <v>0</v>
      </c>
      <c r="I611" s="68">
        <v>143.7592061065197</v>
      </c>
      <c r="J611" s="68">
        <f t="shared" si="1"/>
        <v>0</v>
      </c>
      <c r="K611" s="68" t="b">
        <v>0</v>
      </c>
    </row>
    <row r="612" hidden="1">
      <c r="A612" s="75">
        <v>606.0</v>
      </c>
      <c r="B612" s="62" t="s">
        <v>356</v>
      </c>
      <c r="C612" s="62" t="s">
        <v>83</v>
      </c>
      <c r="D612" s="62" t="s">
        <v>415</v>
      </c>
      <c r="E612" s="76">
        <v>44088.0</v>
      </c>
      <c r="F612" s="77">
        <v>0.08333333333333333</v>
      </c>
      <c r="G612" s="62" t="b">
        <v>0</v>
      </c>
      <c r="H612" s="78" t="b">
        <f>IF(VLOOKUP(C612,Projetos!A:L,12,false)=TRUE,TRUE,FALSE)</f>
        <v>0</v>
      </c>
      <c r="I612" s="68">
        <v>143.7592061065197</v>
      </c>
      <c r="J612" s="68">
        <f t="shared" si="1"/>
        <v>0</v>
      </c>
      <c r="K612" s="68" t="b">
        <v>0</v>
      </c>
    </row>
    <row r="613" hidden="1">
      <c r="A613" s="75">
        <v>607.0</v>
      </c>
      <c r="B613" s="62" t="s">
        <v>356</v>
      </c>
      <c r="C613" s="62" t="s">
        <v>83</v>
      </c>
      <c r="D613" s="62" t="s">
        <v>447</v>
      </c>
      <c r="E613" s="76">
        <v>44091.0</v>
      </c>
      <c r="F613" s="77">
        <v>0.14583333333333334</v>
      </c>
      <c r="G613" s="62" t="b">
        <v>0</v>
      </c>
      <c r="H613" s="78" t="b">
        <f>IF(VLOOKUP(C613,Projetos!A:L,12,false)=TRUE,TRUE,FALSE)</f>
        <v>0</v>
      </c>
      <c r="I613" s="68">
        <v>143.7592061065197</v>
      </c>
      <c r="J613" s="68">
        <f t="shared" si="1"/>
        <v>0</v>
      </c>
      <c r="K613" s="68" t="b">
        <v>0</v>
      </c>
    </row>
    <row r="614" hidden="1">
      <c r="A614" s="75">
        <v>608.0</v>
      </c>
      <c r="B614" s="62" t="s">
        <v>356</v>
      </c>
      <c r="C614" s="62" t="s">
        <v>83</v>
      </c>
      <c r="D614" s="62" t="s">
        <v>415</v>
      </c>
      <c r="E614" s="76">
        <v>44095.0</v>
      </c>
      <c r="F614" s="77">
        <v>0.08333333333333333</v>
      </c>
      <c r="G614" s="62" t="b">
        <v>0</v>
      </c>
      <c r="H614" s="78" t="b">
        <f>IF(VLOOKUP(C614,Projetos!A:L,12,false)=TRUE,TRUE,FALSE)</f>
        <v>0</v>
      </c>
      <c r="I614" s="68">
        <v>143.7592061065197</v>
      </c>
      <c r="J614" s="68">
        <f t="shared" si="1"/>
        <v>0</v>
      </c>
      <c r="K614" s="68" t="b">
        <v>0</v>
      </c>
    </row>
    <row r="615" hidden="1">
      <c r="A615" s="75">
        <v>609.0</v>
      </c>
      <c r="B615" s="62" t="s">
        <v>356</v>
      </c>
      <c r="C615" s="62" t="s">
        <v>83</v>
      </c>
      <c r="D615" s="62" t="s">
        <v>448</v>
      </c>
      <c r="E615" s="76">
        <v>44096.0</v>
      </c>
      <c r="F615" s="77">
        <v>0.08333333333333333</v>
      </c>
      <c r="G615" s="62" t="b">
        <v>0</v>
      </c>
      <c r="H615" s="78" t="b">
        <f>IF(VLOOKUP(C615,Projetos!A:L,12,false)=TRUE,TRUE,FALSE)</f>
        <v>0</v>
      </c>
      <c r="I615" s="68">
        <v>143.7592061065197</v>
      </c>
      <c r="J615" s="68">
        <f t="shared" si="1"/>
        <v>0</v>
      </c>
      <c r="K615" s="68" t="b">
        <v>0</v>
      </c>
    </row>
    <row r="616" hidden="1">
      <c r="A616" s="75">
        <v>610.0</v>
      </c>
      <c r="B616" s="62" t="s">
        <v>356</v>
      </c>
      <c r="C616" s="62" t="s">
        <v>83</v>
      </c>
      <c r="D616" s="62" t="s">
        <v>449</v>
      </c>
      <c r="E616" s="76">
        <v>44097.0</v>
      </c>
      <c r="F616" s="77">
        <v>0.0625</v>
      </c>
      <c r="G616" s="62" t="b">
        <v>0</v>
      </c>
      <c r="H616" s="78" t="b">
        <f>IF(VLOOKUP(C616,Projetos!A:L,12,false)=TRUE,TRUE,FALSE)</f>
        <v>0</v>
      </c>
      <c r="I616" s="68">
        <v>143.7592061065197</v>
      </c>
      <c r="J616" s="68">
        <f t="shared" si="1"/>
        <v>0</v>
      </c>
      <c r="K616" s="68" t="b">
        <v>0</v>
      </c>
    </row>
    <row r="617" hidden="1">
      <c r="A617" s="75">
        <v>611.0</v>
      </c>
      <c r="B617" s="62" t="s">
        <v>356</v>
      </c>
      <c r="C617" s="62" t="s">
        <v>83</v>
      </c>
      <c r="D617" s="62" t="s">
        <v>450</v>
      </c>
      <c r="E617" s="76">
        <v>44102.0</v>
      </c>
      <c r="F617" s="77">
        <v>0.10416666666666667</v>
      </c>
      <c r="G617" s="62" t="b">
        <v>0</v>
      </c>
      <c r="H617" s="78" t="b">
        <f>IF(VLOOKUP(C617,Projetos!A:L,12,false)=TRUE,TRUE,FALSE)</f>
        <v>0</v>
      </c>
      <c r="I617" s="68">
        <v>143.7592061065197</v>
      </c>
      <c r="J617" s="68">
        <f t="shared" si="1"/>
        <v>0</v>
      </c>
      <c r="K617" s="68" t="b">
        <v>0</v>
      </c>
    </row>
    <row r="618" hidden="1">
      <c r="A618" s="75">
        <v>612.0</v>
      </c>
      <c r="B618" s="62" t="s">
        <v>356</v>
      </c>
      <c r="C618" s="62" t="s">
        <v>90</v>
      </c>
      <c r="D618" s="62" t="s">
        <v>451</v>
      </c>
      <c r="E618" s="76">
        <v>44076.0</v>
      </c>
      <c r="F618" s="77">
        <v>0.041666666666666664</v>
      </c>
      <c r="G618" s="62" t="b">
        <v>1</v>
      </c>
      <c r="H618" s="78" t="b">
        <f>IF(VLOOKUP(C618,Projetos!A:L,12,false)=TRUE,TRUE,FALSE)</f>
        <v>1</v>
      </c>
      <c r="I618" s="68">
        <v>143.7592061065197</v>
      </c>
      <c r="J618" s="68">
        <f t="shared" si="1"/>
        <v>143.7592061</v>
      </c>
      <c r="K618" s="68" t="b">
        <v>1</v>
      </c>
    </row>
    <row r="619" hidden="1">
      <c r="A619" s="75">
        <v>613.0</v>
      </c>
      <c r="B619" s="62" t="s">
        <v>356</v>
      </c>
      <c r="C619" s="62" t="s">
        <v>90</v>
      </c>
      <c r="D619" s="62" t="s">
        <v>452</v>
      </c>
      <c r="E619" s="76">
        <v>44078.0</v>
      </c>
      <c r="F619" s="77">
        <v>0.020833333333333332</v>
      </c>
      <c r="G619" s="62" t="b">
        <v>1</v>
      </c>
      <c r="H619" s="78" t="b">
        <f>IF(VLOOKUP(C619,Projetos!A:L,12,false)=TRUE,TRUE,FALSE)</f>
        <v>1</v>
      </c>
      <c r="I619" s="68">
        <v>143.7592061065197</v>
      </c>
      <c r="J619" s="68">
        <f t="shared" si="1"/>
        <v>71.87960305</v>
      </c>
      <c r="K619" s="68" t="b">
        <v>1</v>
      </c>
    </row>
    <row r="620" hidden="1">
      <c r="A620" s="75">
        <v>614.0</v>
      </c>
      <c r="B620" s="62" t="s">
        <v>356</v>
      </c>
      <c r="C620" s="62" t="s">
        <v>90</v>
      </c>
      <c r="D620" s="62" t="s">
        <v>453</v>
      </c>
      <c r="E620" s="76">
        <v>44097.0</v>
      </c>
      <c r="F620" s="77">
        <v>0.041666666666666664</v>
      </c>
      <c r="G620" s="62" t="b">
        <v>1</v>
      </c>
      <c r="H620" s="78" t="b">
        <f>IF(VLOOKUP(C620,Projetos!A:L,12,false)=TRUE,TRUE,FALSE)</f>
        <v>1</v>
      </c>
      <c r="I620" s="68">
        <v>143.7592061065197</v>
      </c>
      <c r="J620" s="68">
        <f t="shared" si="1"/>
        <v>143.7592061</v>
      </c>
      <c r="K620" s="68" t="b">
        <v>1</v>
      </c>
    </row>
    <row r="621" hidden="1">
      <c r="A621" s="75">
        <v>615.0</v>
      </c>
      <c r="B621" s="62" t="s">
        <v>356</v>
      </c>
      <c r="C621" s="62" t="s">
        <v>90</v>
      </c>
      <c r="D621" s="62" t="s">
        <v>453</v>
      </c>
      <c r="E621" s="76">
        <v>44103.0</v>
      </c>
      <c r="F621" s="77">
        <v>0.041666666666666664</v>
      </c>
      <c r="G621" s="62" t="b">
        <v>1</v>
      </c>
      <c r="H621" s="78" t="b">
        <f>IF(VLOOKUP(C621,Projetos!A:L,12,false)=TRUE,TRUE,FALSE)</f>
        <v>1</v>
      </c>
      <c r="I621" s="68">
        <v>143.7592061065197</v>
      </c>
      <c r="J621" s="68">
        <f t="shared" si="1"/>
        <v>143.7592061</v>
      </c>
      <c r="K621" s="68" t="b">
        <v>1</v>
      </c>
    </row>
    <row r="622" hidden="1">
      <c r="A622" s="75">
        <v>616.0</v>
      </c>
      <c r="B622" s="62" t="s">
        <v>356</v>
      </c>
      <c r="C622" s="62" t="s">
        <v>90</v>
      </c>
      <c r="D622" s="62" t="s">
        <v>453</v>
      </c>
      <c r="E622" s="76">
        <v>44104.0</v>
      </c>
      <c r="F622" s="77">
        <v>0.08333333333333333</v>
      </c>
      <c r="G622" s="62" t="b">
        <v>1</v>
      </c>
      <c r="H622" s="78" t="b">
        <f>IF(VLOOKUP(C622,Projetos!A:L,12,false)=TRUE,TRUE,FALSE)</f>
        <v>1</v>
      </c>
      <c r="I622" s="68">
        <v>143.7592061065197</v>
      </c>
      <c r="J622" s="68">
        <f t="shared" si="1"/>
        <v>287.5184122</v>
      </c>
      <c r="K622" s="68" t="b">
        <v>1</v>
      </c>
    </row>
    <row r="623" hidden="1">
      <c r="A623" s="75">
        <v>617.0</v>
      </c>
      <c r="B623" s="62" t="s">
        <v>356</v>
      </c>
      <c r="C623" s="62" t="s">
        <v>102</v>
      </c>
      <c r="D623" s="62" t="s">
        <v>454</v>
      </c>
      <c r="E623" s="76">
        <v>44085.0</v>
      </c>
      <c r="F623" s="77">
        <v>0.0625</v>
      </c>
      <c r="G623" s="62" t="b">
        <v>0</v>
      </c>
      <c r="H623" s="78" t="b">
        <f>IF(VLOOKUP(C623,Projetos!A:L,12,false)=TRUE,TRUE,FALSE)</f>
        <v>0</v>
      </c>
      <c r="I623" s="68">
        <v>143.7592061065197</v>
      </c>
      <c r="J623" s="68">
        <f t="shared" si="1"/>
        <v>0</v>
      </c>
      <c r="K623" s="68" t="b">
        <v>0</v>
      </c>
    </row>
    <row r="624" hidden="1">
      <c r="A624" s="75">
        <v>618.0</v>
      </c>
      <c r="B624" s="62" t="s">
        <v>356</v>
      </c>
      <c r="C624" s="62" t="s">
        <v>102</v>
      </c>
      <c r="D624" s="62" t="s">
        <v>454</v>
      </c>
      <c r="E624" s="76">
        <v>44091.0</v>
      </c>
      <c r="F624" s="77">
        <v>0.041666666666666664</v>
      </c>
      <c r="G624" s="62" t="b">
        <v>0</v>
      </c>
      <c r="H624" s="78" t="b">
        <f>IF(VLOOKUP(C624,Projetos!A:L,12,false)=TRUE,TRUE,FALSE)</f>
        <v>0</v>
      </c>
      <c r="I624" s="68">
        <v>143.7592061065197</v>
      </c>
      <c r="J624" s="68">
        <f t="shared" si="1"/>
        <v>0</v>
      </c>
      <c r="K624" s="68" t="b">
        <v>0</v>
      </c>
    </row>
    <row r="625" hidden="1">
      <c r="A625" s="75">
        <v>619.0</v>
      </c>
      <c r="B625" s="62" t="s">
        <v>356</v>
      </c>
      <c r="C625" s="62" t="s">
        <v>108</v>
      </c>
      <c r="D625" s="62" t="s">
        <v>455</v>
      </c>
      <c r="E625" s="76">
        <v>44089.0</v>
      </c>
      <c r="F625" s="77">
        <v>0.041666666666666664</v>
      </c>
      <c r="G625" s="62" t="b">
        <v>0</v>
      </c>
      <c r="H625" s="78" t="b">
        <f>IF(VLOOKUP(C625,Projetos!A:L,12,false)=TRUE,TRUE,FALSE)</f>
        <v>1</v>
      </c>
      <c r="I625" s="68">
        <v>143.7592061065197</v>
      </c>
      <c r="J625" s="68">
        <f t="shared" si="1"/>
        <v>0</v>
      </c>
      <c r="K625" s="68" t="b">
        <v>1</v>
      </c>
    </row>
    <row r="626" hidden="1">
      <c r="A626" s="75">
        <v>620.0</v>
      </c>
      <c r="B626" s="62" t="s">
        <v>356</v>
      </c>
      <c r="C626" s="62" t="s">
        <v>116</v>
      </c>
      <c r="D626" s="62" t="s">
        <v>456</v>
      </c>
      <c r="E626" s="76">
        <v>44089.0</v>
      </c>
      <c r="F626" s="77">
        <v>0.041666666666666664</v>
      </c>
      <c r="G626" s="62" t="b">
        <v>1</v>
      </c>
      <c r="H626" s="78" t="b">
        <f>IF(VLOOKUP(C626,Projetos!A:L,12,false)=TRUE,TRUE,FALSE)</f>
        <v>1</v>
      </c>
      <c r="I626" s="68">
        <v>143.7592061065197</v>
      </c>
      <c r="J626" s="68">
        <f t="shared" si="1"/>
        <v>143.7592061</v>
      </c>
      <c r="K626" s="68" t="b">
        <v>1</v>
      </c>
    </row>
    <row r="627" hidden="1">
      <c r="A627" s="75">
        <v>621.0</v>
      </c>
      <c r="B627" s="62" t="s">
        <v>356</v>
      </c>
      <c r="C627" s="62" t="s">
        <v>116</v>
      </c>
      <c r="D627" s="62" t="s">
        <v>457</v>
      </c>
      <c r="E627" s="76">
        <v>44099.0</v>
      </c>
      <c r="F627" s="77">
        <v>0.041666666666666664</v>
      </c>
      <c r="G627" s="62" t="b">
        <v>1</v>
      </c>
      <c r="H627" s="78" t="b">
        <f>IF(VLOOKUP(C627,Projetos!A:L,12,false)=TRUE,TRUE,FALSE)</f>
        <v>1</v>
      </c>
      <c r="I627" s="68">
        <v>143.7592061065197</v>
      </c>
      <c r="J627" s="68">
        <f t="shared" si="1"/>
        <v>143.7592061</v>
      </c>
      <c r="K627" s="68" t="b">
        <v>1</v>
      </c>
    </row>
    <row r="628" hidden="1">
      <c r="A628" s="75">
        <v>622.0</v>
      </c>
      <c r="B628" s="62" t="s">
        <v>356</v>
      </c>
      <c r="C628" s="62" t="s">
        <v>83</v>
      </c>
      <c r="D628" s="62" t="s">
        <v>458</v>
      </c>
      <c r="E628" s="76">
        <v>44110.0</v>
      </c>
      <c r="F628" s="77">
        <v>0.041666666666666664</v>
      </c>
      <c r="G628" s="62" t="b">
        <v>0</v>
      </c>
      <c r="H628" s="78" t="b">
        <f>IF(VLOOKUP(C628,Projetos!A:L,12,false)=TRUE,TRUE,FALSE)</f>
        <v>0</v>
      </c>
      <c r="I628" s="68">
        <v>150.60488258778258</v>
      </c>
      <c r="J628" s="68">
        <f t="shared" si="1"/>
        <v>0</v>
      </c>
      <c r="K628" s="68" t="b">
        <v>0</v>
      </c>
    </row>
    <row r="629" hidden="1">
      <c r="A629" s="75">
        <v>623.0</v>
      </c>
      <c r="B629" s="62" t="s">
        <v>356</v>
      </c>
      <c r="C629" s="62" t="s">
        <v>83</v>
      </c>
      <c r="D629" s="62" t="s">
        <v>459</v>
      </c>
      <c r="E629" s="76">
        <v>44127.0</v>
      </c>
      <c r="F629" s="77">
        <v>0.041666666666666664</v>
      </c>
      <c r="G629" s="62" t="b">
        <v>0</v>
      </c>
      <c r="H629" s="78" t="b">
        <f>IF(VLOOKUP(C629,Projetos!A:L,12,false)=TRUE,TRUE,FALSE)</f>
        <v>0</v>
      </c>
      <c r="I629" s="68">
        <v>150.60488258778258</v>
      </c>
      <c r="J629" s="68">
        <f t="shared" si="1"/>
        <v>0</v>
      </c>
      <c r="K629" s="68" t="b">
        <v>0</v>
      </c>
    </row>
    <row r="630" hidden="1">
      <c r="A630" s="75">
        <v>624.0</v>
      </c>
      <c r="B630" s="62" t="s">
        <v>356</v>
      </c>
      <c r="C630" s="62" t="s">
        <v>90</v>
      </c>
      <c r="D630" s="62" t="s">
        <v>460</v>
      </c>
      <c r="E630" s="76">
        <v>44105.0</v>
      </c>
      <c r="F630" s="77">
        <v>0.40625</v>
      </c>
      <c r="G630" s="62" t="b">
        <v>1</v>
      </c>
      <c r="H630" s="78" t="b">
        <f>IF(VLOOKUP(C630,Projetos!A:L,12,false)=TRUE,TRUE,FALSE)</f>
        <v>1</v>
      </c>
      <c r="I630" s="68">
        <v>150.60488258778258</v>
      </c>
      <c r="J630" s="68">
        <f t="shared" si="1"/>
        <v>1468.397605</v>
      </c>
      <c r="K630" s="68" t="b">
        <v>1</v>
      </c>
    </row>
    <row r="631" hidden="1">
      <c r="A631" s="75">
        <v>625.0</v>
      </c>
      <c r="B631" s="62" t="s">
        <v>356</v>
      </c>
      <c r="C631" s="62" t="s">
        <v>90</v>
      </c>
      <c r="D631" s="62" t="s">
        <v>461</v>
      </c>
      <c r="E631" s="76">
        <v>44111.0</v>
      </c>
      <c r="F631" s="77">
        <v>0.0625</v>
      </c>
      <c r="G631" s="62" t="b">
        <v>1</v>
      </c>
      <c r="H631" s="78" t="b">
        <f>IF(VLOOKUP(C631,Projetos!A:L,12,false)=TRUE,TRUE,FALSE)</f>
        <v>1</v>
      </c>
      <c r="I631" s="68">
        <v>150.60488258778258</v>
      </c>
      <c r="J631" s="68">
        <f t="shared" si="1"/>
        <v>225.9073239</v>
      </c>
      <c r="K631" s="68" t="b">
        <v>1</v>
      </c>
    </row>
    <row r="632" hidden="1">
      <c r="A632" s="75">
        <v>626.0</v>
      </c>
      <c r="B632" s="62" t="s">
        <v>356</v>
      </c>
      <c r="C632" s="62" t="s">
        <v>90</v>
      </c>
      <c r="D632" s="62" t="s">
        <v>462</v>
      </c>
      <c r="E632" s="76">
        <v>44118.0</v>
      </c>
      <c r="F632" s="77">
        <v>0.3333333333333333</v>
      </c>
      <c r="G632" s="62" t="b">
        <v>1</v>
      </c>
      <c r="H632" s="78" t="b">
        <f>IF(VLOOKUP(C632,Projetos!A:L,12,false)=TRUE,TRUE,FALSE)</f>
        <v>1</v>
      </c>
      <c r="I632" s="68">
        <v>150.60488258778258</v>
      </c>
      <c r="J632" s="68">
        <f t="shared" si="1"/>
        <v>1204.839061</v>
      </c>
      <c r="K632" s="68" t="b">
        <v>1</v>
      </c>
    </row>
    <row r="633" hidden="1">
      <c r="A633" s="75">
        <v>627.0</v>
      </c>
      <c r="B633" s="62" t="s">
        <v>356</v>
      </c>
      <c r="C633" s="62" t="s">
        <v>90</v>
      </c>
      <c r="D633" s="62" t="s">
        <v>463</v>
      </c>
      <c r="E633" s="76">
        <v>44120.0</v>
      </c>
      <c r="F633" s="77">
        <v>0.041666666666666664</v>
      </c>
      <c r="G633" s="62" t="b">
        <v>1</v>
      </c>
      <c r="H633" s="78" t="b">
        <f>IF(VLOOKUP(C633,Projetos!A:L,12,false)=TRUE,TRUE,FALSE)</f>
        <v>1</v>
      </c>
      <c r="I633" s="68">
        <v>150.60488258778258</v>
      </c>
      <c r="J633" s="68">
        <f t="shared" si="1"/>
        <v>150.6048826</v>
      </c>
      <c r="K633" s="68" t="b">
        <v>1</v>
      </c>
    </row>
    <row r="634" hidden="1">
      <c r="A634" s="75">
        <v>628.0</v>
      </c>
      <c r="B634" s="62" t="s">
        <v>356</v>
      </c>
      <c r="C634" s="62" t="s">
        <v>90</v>
      </c>
      <c r="D634" s="62" t="s">
        <v>464</v>
      </c>
      <c r="E634" s="76">
        <v>44130.0</v>
      </c>
      <c r="F634" s="77">
        <v>0.041666666666666664</v>
      </c>
      <c r="G634" s="62" t="b">
        <v>1</v>
      </c>
      <c r="H634" s="78" t="b">
        <f>IF(VLOOKUP(C634,Projetos!A:L,12,false)=TRUE,TRUE,FALSE)</f>
        <v>1</v>
      </c>
      <c r="I634" s="68">
        <v>150.60488258778258</v>
      </c>
      <c r="J634" s="68">
        <f t="shared" si="1"/>
        <v>150.6048826</v>
      </c>
      <c r="K634" s="68" t="b">
        <v>1</v>
      </c>
    </row>
    <row r="635" hidden="1">
      <c r="A635" s="75">
        <v>629.0</v>
      </c>
      <c r="B635" s="62" t="s">
        <v>356</v>
      </c>
      <c r="C635" s="62" t="s">
        <v>90</v>
      </c>
      <c r="D635" s="62" t="s">
        <v>465</v>
      </c>
      <c r="E635" s="76">
        <v>44130.0</v>
      </c>
      <c r="F635" s="77">
        <v>0.08333333333333333</v>
      </c>
      <c r="G635" s="62" t="b">
        <v>1</v>
      </c>
      <c r="H635" s="78" t="b">
        <f>IF(VLOOKUP(C635,Projetos!A:L,12,false)=TRUE,TRUE,FALSE)</f>
        <v>1</v>
      </c>
      <c r="I635" s="68">
        <v>150.60488258778258</v>
      </c>
      <c r="J635" s="68">
        <f t="shared" si="1"/>
        <v>301.2097652</v>
      </c>
      <c r="K635" s="68" t="b">
        <v>1</v>
      </c>
    </row>
    <row r="636" hidden="1">
      <c r="A636" s="75">
        <v>630.0</v>
      </c>
      <c r="B636" s="62" t="s">
        <v>356</v>
      </c>
      <c r="C636" s="62" t="s">
        <v>90</v>
      </c>
      <c r="D636" s="62" t="s">
        <v>466</v>
      </c>
      <c r="E636" s="76">
        <v>44133.0</v>
      </c>
      <c r="F636" s="77">
        <v>0.125</v>
      </c>
      <c r="G636" s="62" t="b">
        <v>1</v>
      </c>
      <c r="H636" s="78" t="b">
        <f>IF(VLOOKUP(C636,Projetos!A:L,12,false)=TRUE,TRUE,FALSE)</f>
        <v>1</v>
      </c>
      <c r="I636" s="68">
        <v>150.60488258778258</v>
      </c>
      <c r="J636" s="68">
        <f t="shared" si="1"/>
        <v>451.8146478</v>
      </c>
      <c r="K636" s="68" t="b">
        <v>1</v>
      </c>
    </row>
    <row r="637" hidden="1">
      <c r="A637" s="75">
        <v>631.0</v>
      </c>
      <c r="B637" s="62" t="s">
        <v>356</v>
      </c>
      <c r="C637" s="62" t="s">
        <v>90</v>
      </c>
      <c r="D637" s="62" t="s">
        <v>467</v>
      </c>
      <c r="E637" s="76">
        <v>44134.0</v>
      </c>
      <c r="F637" s="77">
        <v>0.041666666666666664</v>
      </c>
      <c r="G637" s="62" t="b">
        <v>0</v>
      </c>
      <c r="H637" s="78" t="b">
        <f>IF(VLOOKUP(C637,Projetos!A:L,12,false)=TRUE,TRUE,FALSE)</f>
        <v>1</v>
      </c>
      <c r="I637" s="68">
        <v>150.60488258778258</v>
      </c>
      <c r="J637" s="68">
        <f t="shared" si="1"/>
        <v>0</v>
      </c>
      <c r="K637" s="68" t="b">
        <v>1</v>
      </c>
    </row>
    <row r="638" hidden="1">
      <c r="A638" s="75">
        <v>632.0</v>
      </c>
      <c r="B638" s="62" t="s">
        <v>356</v>
      </c>
      <c r="C638" s="62" t="s">
        <v>97</v>
      </c>
      <c r="D638" s="62" t="s">
        <v>468</v>
      </c>
      <c r="E638" s="76">
        <v>44119.0</v>
      </c>
      <c r="F638" s="77">
        <v>0.16666666666666666</v>
      </c>
      <c r="G638" s="62" t="b">
        <v>1</v>
      </c>
      <c r="H638" s="78" t="b">
        <f>IF(VLOOKUP(C638,Projetos!A:L,12,false)=TRUE,TRUE,FALSE)</f>
        <v>1</v>
      </c>
      <c r="I638" s="68">
        <v>150.60488258778258</v>
      </c>
      <c r="J638" s="68">
        <f t="shared" si="1"/>
        <v>602.4195304</v>
      </c>
      <c r="K638" s="68" t="b">
        <v>1</v>
      </c>
    </row>
    <row r="639" hidden="1">
      <c r="A639" s="75">
        <v>633.0</v>
      </c>
      <c r="B639" s="62" t="s">
        <v>356</v>
      </c>
      <c r="C639" s="62" t="s">
        <v>97</v>
      </c>
      <c r="D639" s="62" t="s">
        <v>468</v>
      </c>
      <c r="E639" s="76">
        <v>44120.0</v>
      </c>
      <c r="F639" s="77">
        <v>0.16666666666666666</v>
      </c>
      <c r="G639" s="62" t="b">
        <v>1</v>
      </c>
      <c r="H639" s="78" t="b">
        <f>IF(VLOOKUP(C639,Projetos!A:L,12,false)=TRUE,TRUE,FALSE)</f>
        <v>1</v>
      </c>
      <c r="I639" s="68">
        <v>150.60488258778258</v>
      </c>
      <c r="J639" s="68">
        <f t="shared" si="1"/>
        <v>602.4195304</v>
      </c>
      <c r="K639" s="68" t="b">
        <v>1</v>
      </c>
    </row>
    <row r="640" hidden="1">
      <c r="A640" s="75">
        <v>634.0</v>
      </c>
      <c r="B640" s="62" t="s">
        <v>356</v>
      </c>
      <c r="C640" s="62" t="s">
        <v>97</v>
      </c>
      <c r="D640" s="62" t="s">
        <v>469</v>
      </c>
      <c r="E640" s="76">
        <v>44131.0</v>
      </c>
      <c r="F640" s="77">
        <v>0.125</v>
      </c>
      <c r="G640" s="62" t="b">
        <v>1</v>
      </c>
      <c r="H640" s="78" t="b">
        <f>IF(VLOOKUP(C640,Projetos!A:L,12,false)=TRUE,TRUE,FALSE)</f>
        <v>1</v>
      </c>
      <c r="I640" s="68">
        <v>150.60488258778258</v>
      </c>
      <c r="J640" s="68">
        <f t="shared" si="1"/>
        <v>451.8146478</v>
      </c>
      <c r="K640" s="68" t="b">
        <v>1</v>
      </c>
    </row>
    <row r="641" hidden="1">
      <c r="A641" s="75">
        <v>635.0</v>
      </c>
      <c r="B641" s="62" t="s">
        <v>356</v>
      </c>
      <c r="C641" s="62" t="s">
        <v>102</v>
      </c>
      <c r="D641" s="62" t="s">
        <v>470</v>
      </c>
      <c r="E641" s="76">
        <v>44117.0</v>
      </c>
      <c r="F641" s="77">
        <v>0.041666666666666664</v>
      </c>
      <c r="G641" s="62" t="b">
        <v>0</v>
      </c>
      <c r="H641" s="78" t="b">
        <f>IF(VLOOKUP(C641,Projetos!A:L,12,false)=TRUE,TRUE,FALSE)</f>
        <v>0</v>
      </c>
      <c r="I641" s="68">
        <v>150.60488258778258</v>
      </c>
      <c r="J641" s="68">
        <f t="shared" si="1"/>
        <v>0</v>
      </c>
      <c r="K641" s="68" t="b">
        <v>0</v>
      </c>
    </row>
    <row r="642" hidden="1">
      <c r="A642" s="75">
        <v>636.0</v>
      </c>
      <c r="B642" s="62" t="s">
        <v>356</v>
      </c>
      <c r="C642" s="62" t="s">
        <v>102</v>
      </c>
      <c r="D642" s="62" t="s">
        <v>471</v>
      </c>
      <c r="E642" s="76">
        <v>44131.0</v>
      </c>
      <c r="F642" s="77">
        <v>0.041666666666666664</v>
      </c>
      <c r="G642" s="62" t="b">
        <v>0</v>
      </c>
      <c r="H642" s="78" t="b">
        <f>IF(VLOOKUP(C642,Projetos!A:L,12,false)=TRUE,TRUE,FALSE)</f>
        <v>0</v>
      </c>
      <c r="I642" s="68">
        <v>150.60488258778258</v>
      </c>
      <c r="J642" s="68">
        <f t="shared" si="1"/>
        <v>0</v>
      </c>
      <c r="K642" s="68" t="b">
        <v>0</v>
      </c>
    </row>
    <row r="643" hidden="1">
      <c r="A643" s="75">
        <v>637.0</v>
      </c>
      <c r="B643" s="62" t="s">
        <v>356</v>
      </c>
      <c r="C643" s="62" t="s">
        <v>105</v>
      </c>
      <c r="D643" s="62" t="s">
        <v>472</v>
      </c>
      <c r="E643" s="76">
        <v>44132.0</v>
      </c>
      <c r="F643" s="77">
        <v>0.041666666666666664</v>
      </c>
      <c r="G643" s="62" t="b">
        <v>1</v>
      </c>
      <c r="H643" s="78" t="b">
        <f>IF(VLOOKUP(C643,Projetos!A:L,12,false)=TRUE,TRUE,FALSE)</f>
        <v>1</v>
      </c>
      <c r="I643" s="68">
        <v>150.60488258778258</v>
      </c>
      <c r="J643" s="68">
        <f t="shared" si="1"/>
        <v>150.6048826</v>
      </c>
      <c r="K643" s="68" t="b">
        <v>1</v>
      </c>
    </row>
    <row r="644" hidden="1">
      <c r="A644" s="75">
        <v>638.0</v>
      </c>
      <c r="B644" s="62" t="s">
        <v>356</v>
      </c>
      <c r="C644" s="62" t="s">
        <v>108</v>
      </c>
      <c r="D644" s="62" t="s">
        <v>473</v>
      </c>
      <c r="E644" s="76">
        <v>44109.0</v>
      </c>
      <c r="F644" s="77">
        <v>0.041666666666666664</v>
      </c>
      <c r="G644" s="62" t="b">
        <v>0</v>
      </c>
      <c r="H644" s="78" t="b">
        <f>IF(VLOOKUP(C644,Projetos!A:L,12,false)=TRUE,TRUE,FALSE)</f>
        <v>1</v>
      </c>
      <c r="I644" s="68">
        <v>150.60488258778258</v>
      </c>
      <c r="J644" s="68">
        <f t="shared" si="1"/>
        <v>0</v>
      </c>
      <c r="K644" s="68" t="b">
        <v>1</v>
      </c>
    </row>
    <row r="645" hidden="1">
      <c r="A645" s="75">
        <v>639.0</v>
      </c>
      <c r="B645" s="62" t="s">
        <v>356</v>
      </c>
      <c r="C645" s="62" t="s">
        <v>108</v>
      </c>
      <c r="D645" s="62" t="s">
        <v>474</v>
      </c>
      <c r="E645" s="76">
        <v>44111.0</v>
      </c>
      <c r="F645" s="77">
        <v>0.08333333333333333</v>
      </c>
      <c r="G645" s="62" t="b">
        <v>0</v>
      </c>
      <c r="H645" s="78" t="b">
        <f>IF(VLOOKUP(C645,Projetos!A:L,12,false)=TRUE,TRUE,FALSE)</f>
        <v>1</v>
      </c>
      <c r="I645" s="68">
        <v>150.60488258778258</v>
      </c>
      <c r="J645" s="68">
        <f t="shared" si="1"/>
        <v>0</v>
      </c>
      <c r="K645" s="68" t="b">
        <v>1</v>
      </c>
    </row>
    <row r="646" hidden="1">
      <c r="A646" s="75">
        <v>640.0</v>
      </c>
      <c r="B646" s="62" t="s">
        <v>356</v>
      </c>
      <c r="C646" s="62" t="s">
        <v>108</v>
      </c>
      <c r="D646" s="62" t="s">
        <v>473</v>
      </c>
      <c r="E646" s="76">
        <v>44120.0</v>
      </c>
      <c r="F646" s="77">
        <v>0.041666666666666664</v>
      </c>
      <c r="G646" s="62" t="b">
        <v>0</v>
      </c>
      <c r="H646" s="78" t="b">
        <f>IF(VLOOKUP(C646,Projetos!A:L,12,false)=TRUE,TRUE,FALSE)</f>
        <v>1</v>
      </c>
      <c r="I646" s="68">
        <v>150.60488258778258</v>
      </c>
      <c r="J646" s="68">
        <f t="shared" si="1"/>
        <v>0</v>
      </c>
      <c r="K646" s="68" t="b">
        <v>1</v>
      </c>
    </row>
    <row r="647" hidden="1">
      <c r="A647" s="75">
        <v>641.0</v>
      </c>
      <c r="B647" s="62" t="s">
        <v>356</v>
      </c>
      <c r="C647" s="62" t="s">
        <v>108</v>
      </c>
      <c r="D647" s="62" t="s">
        <v>475</v>
      </c>
      <c r="E647" s="76">
        <v>44123.0</v>
      </c>
      <c r="F647" s="77">
        <v>0.4166666666666667</v>
      </c>
      <c r="G647" s="62" t="b">
        <v>1</v>
      </c>
      <c r="H647" s="78" t="b">
        <f>IF(VLOOKUP(C647,Projetos!A:L,12,false)=TRUE,TRUE,FALSE)</f>
        <v>1</v>
      </c>
      <c r="I647" s="68">
        <v>150.60488258778258</v>
      </c>
      <c r="J647" s="68">
        <f t="shared" si="1"/>
        <v>1506.048826</v>
      </c>
      <c r="K647" s="68" t="b">
        <v>1</v>
      </c>
    </row>
    <row r="648" hidden="1">
      <c r="A648" s="75">
        <v>642.0</v>
      </c>
      <c r="B648" s="62" t="s">
        <v>356</v>
      </c>
      <c r="C648" s="62" t="s">
        <v>108</v>
      </c>
      <c r="D648" s="62" t="s">
        <v>475</v>
      </c>
      <c r="E648" s="76">
        <v>44124.0</v>
      </c>
      <c r="F648" s="77">
        <v>0.4166666666666667</v>
      </c>
      <c r="G648" s="62" t="b">
        <v>1</v>
      </c>
      <c r="H648" s="78" t="b">
        <f>IF(VLOOKUP(C648,Projetos!A:L,12,false)=TRUE,TRUE,FALSE)</f>
        <v>1</v>
      </c>
      <c r="I648" s="68">
        <v>150.60488258778258</v>
      </c>
      <c r="J648" s="68">
        <f t="shared" si="1"/>
        <v>1506.048826</v>
      </c>
      <c r="K648" s="68" t="b">
        <v>1</v>
      </c>
    </row>
    <row r="649" hidden="1">
      <c r="A649" s="75">
        <v>643.0</v>
      </c>
      <c r="B649" s="62" t="s">
        <v>356</v>
      </c>
      <c r="C649" s="62" t="s">
        <v>108</v>
      </c>
      <c r="D649" s="62" t="s">
        <v>475</v>
      </c>
      <c r="E649" s="76">
        <v>44125.0</v>
      </c>
      <c r="F649" s="77">
        <v>0.4166666666666667</v>
      </c>
      <c r="G649" s="62" t="b">
        <v>1</v>
      </c>
      <c r="H649" s="78" t="b">
        <f>IF(VLOOKUP(C649,Projetos!A:L,12,false)=TRUE,TRUE,FALSE)</f>
        <v>1</v>
      </c>
      <c r="I649" s="68">
        <v>150.60488258778258</v>
      </c>
      <c r="J649" s="68">
        <f t="shared" si="1"/>
        <v>1506.048826</v>
      </c>
      <c r="K649" s="68" t="b">
        <v>1</v>
      </c>
    </row>
    <row r="650" hidden="1">
      <c r="A650" s="75">
        <v>644.0</v>
      </c>
      <c r="B650" s="62" t="s">
        <v>356</v>
      </c>
      <c r="C650" s="62" t="s">
        <v>108</v>
      </c>
      <c r="D650" s="62" t="s">
        <v>475</v>
      </c>
      <c r="E650" s="76">
        <v>44126.0</v>
      </c>
      <c r="F650" s="77">
        <v>0.4166666666666667</v>
      </c>
      <c r="G650" s="62" t="b">
        <v>1</v>
      </c>
      <c r="H650" s="78" t="b">
        <f>IF(VLOOKUP(C650,Projetos!A:L,12,false)=TRUE,TRUE,FALSE)</f>
        <v>1</v>
      </c>
      <c r="I650" s="68">
        <v>150.60488258778258</v>
      </c>
      <c r="J650" s="68">
        <f t="shared" si="1"/>
        <v>1506.048826</v>
      </c>
      <c r="K650" s="68" t="b">
        <v>1</v>
      </c>
    </row>
    <row r="651" hidden="1">
      <c r="A651" s="75">
        <v>645.0</v>
      </c>
      <c r="B651" s="62" t="s">
        <v>356</v>
      </c>
      <c r="C651" s="62" t="s">
        <v>108</v>
      </c>
      <c r="D651" s="62" t="s">
        <v>476</v>
      </c>
      <c r="E651" s="76">
        <v>44131.0</v>
      </c>
      <c r="F651" s="77">
        <v>0.041666666666666664</v>
      </c>
      <c r="G651" s="62" t="b">
        <v>1</v>
      </c>
      <c r="H651" s="78" t="b">
        <f>IF(VLOOKUP(C651,Projetos!A:L,12,false)=TRUE,TRUE,FALSE)</f>
        <v>1</v>
      </c>
      <c r="I651" s="68">
        <v>150.60488258778258</v>
      </c>
      <c r="J651" s="68">
        <f t="shared" si="1"/>
        <v>150.6048826</v>
      </c>
      <c r="K651" s="68" t="b">
        <v>1</v>
      </c>
    </row>
    <row r="652" hidden="1">
      <c r="A652" s="75">
        <v>646.0</v>
      </c>
      <c r="B652" s="62" t="s">
        <v>356</v>
      </c>
      <c r="C652" s="62" t="s">
        <v>109</v>
      </c>
      <c r="D652" s="62" t="s">
        <v>477</v>
      </c>
      <c r="E652" s="76">
        <v>44106.0</v>
      </c>
      <c r="F652" s="77">
        <v>0.041666666666666664</v>
      </c>
      <c r="G652" s="62" t="b">
        <v>0</v>
      </c>
      <c r="H652" s="78" t="b">
        <f>IF(VLOOKUP(C652,Projetos!A:L,12,false)=TRUE,TRUE,FALSE)</f>
        <v>0</v>
      </c>
      <c r="I652" s="68">
        <v>150.60488258778258</v>
      </c>
      <c r="J652" s="68">
        <f t="shared" si="1"/>
        <v>0</v>
      </c>
      <c r="K652" s="68" t="b">
        <v>0</v>
      </c>
    </row>
    <row r="653" hidden="1">
      <c r="A653" s="75">
        <v>647.0</v>
      </c>
      <c r="B653" s="62" t="s">
        <v>356</v>
      </c>
      <c r="C653" s="62" t="s">
        <v>109</v>
      </c>
      <c r="D653" s="62" t="s">
        <v>478</v>
      </c>
      <c r="E653" s="76">
        <v>44112.0</v>
      </c>
      <c r="F653" s="77">
        <v>0.041666666666666664</v>
      </c>
      <c r="G653" s="62" t="b">
        <v>0</v>
      </c>
      <c r="H653" s="78" t="b">
        <f>IF(VLOOKUP(C653,Projetos!A:L,12,false)=TRUE,TRUE,FALSE)</f>
        <v>0</v>
      </c>
      <c r="I653" s="68">
        <v>150.60488258778258</v>
      </c>
      <c r="J653" s="68">
        <f t="shared" si="1"/>
        <v>0</v>
      </c>
      <c r="K653" s="68" t="b">
        <v>0</v>
      </c>
    </row>
    <row r="654" hidden="1">
      <c r="A654" s="75">
        <v>648.0</v>
      </c>
      <c r="B654" s="62" t="s">
        <v>356</v>
      </c>
      <c r="C654" s="62" t="s">
        <v>90</v>
      </c>
      <c r="D654" s="62" t="s">
        <v>463</v>
      </c>
      <c r="E654" s="76">
        <v>44141.0</v>
      </c>
      <c r="F654" s="77">
        <v>0.041666666666666664</v>
      </c>
      <c r="G654" s="62" t="b">
        <v>1</v>
      </c>
      <c r="H654" s="78" t="b">
        <f>IF(VLOOKUP(C654,Projetos!A:L,12,false)=TRUE,TRUE,FALSE)</f>
        <v>1</v>
      </c>
      <c r="I654" s="68">
        <v>146.1168501836547</v>
      </c>
      <c r="J654" s="68">
        <f t="shared" si="1"/>
        <v>146.1168502</v>
      </c>
      <c r="K654" s="68" t="b">
        <v>1</v>
      </c>
    </row>
    <row r="655" hidden="1">
      <c r="A655" s="75">
        <v>649.0</v>
      </c>
      <c r="B655" s="62" t="s">
        <v>356</v>
      </c>
      <c r="C655" s="62" t="s">
        <v>98</v>
      </c>
      <c r="D655" s="62" t="s">
        <v>479</v>
      </c>
      <c r="E655" s="76">
        <v>44144.0</v>
      </c>
      <c r="F655" s="77">
        <v>0.041666666666666664</v>
      </c>
      <c r="G655" s="62" t="b">
        <v>1</v>
      </c>
      <c r="H655" s="78" t="b">
        <f>IF(VLOOKUP(C655,Projetos!A:L,12,false)=TRUE,TRUE,FALSE)</f>
        <v>1</v>
      </c>
      <c r="I655" s="68">
        <v>146.1168501836547</v>
      </c>
      <c r="J655" s="68">
        <f t="shared" si="1"/>
        <v>146.1168502</v>
      </c>
      <c r="K655" s="68" t="b">
        <v>1</v>
      </c>
    </row>
    <row r="656" hidden="1">
      <c r="A656" s="75">
        <v>650.0</v>
      </c>
      <c r="B656" s="62" t="s">
        <v>356</v>
      </c>
      <c r="C656" s="62" t="s">
        <v>90</v>
      </c>
      <c r="D656" s="62" t="s">
        <v>480</v>
      </c>
      <c r="E656" s="76">
        <v>44144.0</v>
      </c>
      <c r="F656" s="77">
        <v>0.041666666666666664</v>
      </c>
      <c r="G656" s="62" t="b">
        <v>0</v>
      </c>
      <c r="H656" s="78" t="b">
        <f>IF(VLOOKUP(C656,Projetos!A:L,12,false)=TRUE,TRUE,FALSE)</f>
        <v>1</v>
      </c>
      <c r="I656" s="68">
        <v>146.1168501836547</v>
      </c>
      <c r="J656" s="68">
        <f t="shared" si="1"/>
        <v>0</v>
      </c>
      <c r="K656" s="68" t="b">
        <v>1</v>
      </c>
    </row>
    <row r="657" hidden="1">
      <c r="A657" s="75">
        <v>651.0</v>
      </c>
      <c r="B657" s="62" t="s">
        <v>356</v>
      </c>
      <c r="C657" s="62" t="s">
        <v>97</v>
      </c>
      <c r="D657" s="62" t="s">
        <v>481</v>
      </c>
      <c r="E657" s="76">
        <v>44145.0</v>
      </c>
      <c r="F657" s="77">
        <v>0.041666666666666664</v>
      </c>
      <c r="G657" s="62" t="b">
        <v>1</v>
      </c>
      <c r="H657" s="78" t="b">
        <f>IF(VLOOKUP(C657,Projetos!A:L,12,false)=TRUE,TRUE,FALSE)</f>
        <v>1</v>
      </c>
      <c r="I657" s="68">
        <v>146.1168501836547</v>
      </c>
      <c r="J657" s="68">
        <f t="shared" si="1"/>
        <v>146.1168502</v>
      </c>
      <c r="K657" s="68" t="b">
        <v>1</v>
      </c>
    </row>
    <row r="658" hidden="1">
      <c r="A658" s="75">
        <v>652.0</v>
      </c>
      <c r="B658" s="62" t="s">
        <v>356</v>
      </c>
      <c r="C658" s="62" t="s">
        <v>98</v>
      </c>
      <c r="D658" s="62" t="s">
        <v>482</v>
      </c>
      <c r="E658" s="76">
        <v>44146.0</v>
      </c>
      <c r="F658" s="77">
        <v>0.08125</v>
      </c>
      <c r="G658" s="62" t="b">
        <v>0</v>
      </c>
      <c r="H658" s="78" t="b">
        <f>IF(VLOOKUP(C658,Projetos!A:L,12,false)=TRUE,TRUE,FALSE)</f>
        <v>1</v>
      </c>
      <c r="I658" s="68">
        <v>146.1168501836547</v>
      </c>
      <c r="J658" s="68">
        <f t="shared" si="1"/>
        <v>0</v>
      </c>
      <c r="K658" s="68" t="b">
        <v>1</v>
      </c>
    </row>
    <row r="659" hidden="1">
      <c r="A659" s="75">
        <v>653.0</v>
      </c>
      <c r="B659" s="62" t="s">
        <v>356</v>
      </c>
      <c r="C659" s="62" t="s">
        <v>90</v>
      </c>
      <c r="D659" s="62" t="s">
        <v>463</v>
      </c>
      <c r="E659" s="76">
        <v>44147.0</v>
      </c>
      <c r="F659" s="77">
        <v>0.041666666666666664</v>
      </c>
      <c r="G659" s="62" t="b">
        <v>1</v>
      </c>
      <c r="H659" s="78" t="b">
        <f>IF(VLOOKUP(C659,Projetos!A:L,12,false)=TRUE,TRUE,FALSE)</f>
        <v>1</v>
      </c>
      <c r="I659" s="68">
        <v>146.1168501836547</v>
      </c>
      <c r="J659" s="68">
        <f t="shared" si="1"/>
        <v>146.1168502</v>
      </c>
      <c r="K659" s="68" t="b">
        <v>1</v>
      </c>
    </row>
    <row r="660" hidden="1">
      <c r="A660" s="75">
        <v>654.0</v>
      </c>
      <c r="B660" s="62" t="s">
        <v>356</v>
      </c>
      <c r="C660" s="62" t="s">
        <v>90</v>
      </c>
      <c r="D660" s="62" t="s">
        <v>463</v>
      </c>
      <c r="E660" s="76">
        <v>44148.0</v>
      </c>
      <c r="F660" s="77">
        <v>0.041666666666666664</v>
      </c>
      <c r="G660" s="62" t="b">
        <v>1</v>
      </c>
      <c r="H660" s="78" t="b">
        <f>IF(VLOOKUP(C660,Projetos!A:L,12,false)=TRUE,TRUE,FALSE)</f>
        <v>1</v>
      </c>
      <c r="I660" s="68">
        <v>146.1168501836547</v>
      </c>
      <c r="J660" s="68">
        <f t="shared" si="1"/>
        <v>146.1168502</v>
      </c>
      <c r="K660" s="68" t="b">
        <v>1</v>
      </c>
    </row>
    <row r="661" hidden="1">
      <c r="A661" s="75">
        <v>655.0</v>
      </c>
      <c r="B661" s="62" t="s">
        <v>356</v>
      </c>
      <c r="C661" s="62" t="s">
        <v>83</v>
      </c>
      <c r="D661" s="62" t="s">
        <v>483</v>
      </c>
      <c r="E661" s="76">
        <v>44148.0</v>
      </c>
      <c r="F661" s="77">
        <v>0.0625</v>
      </c>
      <c r="G661" s="62" t="b">
        <v>0</v>
      </c>
      <c r="H661" s="78" t="b">
        <f>IF(VLOOKUP(C661,Projetos!A:L,12,false)=TRUE,TRUE,FALSE)</f>
        <v>0</v>
      </c>
      <c r="I661" s="68">
        <v>146.1168501836547</v>
      </c>
      <c r="J661" s="68">
        <f t="shared" si="1"/>
        <v>0</v>
      </c>
      <c r="K661" s="68" t="b">
        <v>0</v>
      </c>
    </row>
    <row r="662" hidden="1">
      <c r="A662" s="75">
        <v>656.0</v>
      </c>
      <c r="B662" s="62" t="s">
        <v>356</v>
      </c>
      <c r="C662" s="62" t="s">
        <v>83</v>
      </c>
      <c r="D662" s="62" t="s">
        <v>484</v>
      </c>
      <c r="E662" s="76">
        <v>44151.0</v>
      </c>
      <c r="F662" s="77">
        <v>0.0625</v>
      </c>
      <c r="G662" s="62" t="b">
        <v>0</v>
      </c>
      <c r="H662" s="78" t="b">
        <f>IF(VLOOKUP(C662,Projetos!A:L,12,false)=TRUE,TRUE,FALSE)</f>
        <v>0</v>
      </c>
      <c r="I662" s="68">
        <v>146.1168501836547</v>
      </c>
      <c r="J662" s="68">
        <f t="shared" si="1"/>
        <v>0</v>
      </c>
      <c r="K662" s="68" t="b">
        <v>0</v>
      </c>
    </row>
    <row r="663" hidden="1">
      <c r="A663" s="75">
        <v>657.0</v>
      </c>
      <c r="B663" s="62" t="s">
        <v>356</v>
      </c>
      <c r="C663" s="62" t="s">
        <v>98</v>
      </c>
      <c r="D663" s="62" t="s">
        <v>485</v>
      </c>
      <c r="E663" s="76">
        <v>44152.0</v>
      </c>
      <c r="F663" s="77">
        <v>0.041666666666666664</v>
      </c>
      <c r="G663" s="62" t="b">
        <v>1</v>
      </c>
      <c r="H663" s="78" t="b">
        <f>IF(VLOOKUP(C663,Projetos!A:L,12,false)=TRUE,TRUE,FALSE)</f>
        <v>1</v>
      </c>
      <c r="I663" s="68">
        <v>146.1168501836547</v>
      </c>
      <c r="J663" s="68">
        <f t="shared" si="1"/>
        <v>146.1168502</v>
      </c>
      <c r="K663" s="68" t="b">
        <v>1</v>
      </c>
    </row>
    <row r="664" hidden="1">
      <c r="A664" s="75">
        <v>658.0</v>
      </c>
      <c r="B664" s="62" t="s">
        <v>356</v>
      </c>
      <c r="C664" s="62" t="s">
        <v>83</v>
      </c>
      <c r="D664" s="62" t="s">
        <v>484</v>
      </c>
      <c r="E664" s="76">
        <v>44153.0</v>
      </c>
      <c r="F664" s="77">
        <v>0.041666666666666664</v>
      </c>
      <c r="G664" s="62" t="b">
        <v>0</v>
      </c>
      <c r="H664" s="78" t="b">
        <f>IF(VLOOKUP(C664,Projetos!A:L,12,false)=TRUE,TRUE,FALSE)</f>
        <v>0</v>
      </c>
      <c r="I664" s="68">
        <v>146.1168501836547</v>
      </c>
      <c r="J664" s="68">
        <f t="shared" si="1"/>
        <v>0</v>
      </c>
      <c r="K664" s="68" t="b">
        <v>0</v>
      </c>
    </row>
    <row r="665" hidden="1">
      <c r="A665" s="75">
        <v>659.0</v>
      </c>
      <c r="B665" s="62" t="s">
        <v>356</v>
      </c>
      <c r="C665" s="62" t="s">
        <v>108</v>
      </c>
      <c r="D665" s="62" t="s">
        <v>486</v>
      </c>
      <c r="E665" s="76">
        <v>44154.0</v>
      </c>
      <c r="F665" s="77">
        <v>0.08333333333333333</v>
      </c>
      <c r="G665" s="62" t="b">
        <v>0</v>
      </c>
      <c r="H665" s="78" t="b">
        <f>IF(VLOOKUP(C665,Projetos!A:L,12,false)=TRUE,TRUE,FALSE)</f>
        <v>1</v>
      </c>
      <c r="I665" s="68">
        <v>146.1168501836547</v>
      </c>
      <c r="J665" s="68">
        <f t="shared" si="1"/>
        <v>0</v>
      </c>
      <c r="K665" s="68" t="b">
        <v>1</v>
      </c>
    </row>
    <row r="666" hidden="1">
      <c r="A666" s="75">
        <v>660.0</v>
      </c>
      <c r="B666" s="62" t="s">
        <v>356</v>
      </c>
      <c r="C666" s="62" t="s">
        <v>111</v>
      </c>
      <c r="D666" s="62" t="s">
        <v>487</v>
      </c>
      <c r="E666" s="76">
        <v>44154.0</v>
      </c>
      <c r="F666" s="77">
        <v>0.041666666666666664</v>
      </c>
      <c r="G666" s="62" t="b">
        <v>0</v>
      </c>
      <c r="H666" s="78" t="b">
        <f>IF(VLOOKUP(C666,Projetos!A:L,12,false)=TRUE,TRUE,FALSE)</f>
        <v>0</v>
      </c>
      <c r="I666" s="68">
        <v>146.1168501836547</v>
      </c>
      <c r="J666" s="68">
        <f t="shared" si="1"/>
        <v>0</v>
      </c>
      <c r="K666" s="68" t="b">
        <v>0</v>
      </c>
    </row>
    <row r="667" hidden="1">
      <c r="A667" s="75">
        <v>661.0</v>
      </c>
      <c r="B667" s="62" t="s">
        <v>356</v>
      </c>
      <c r="C667" s="62" t="s">
        <v>116</v>
      </c>
      <c r="D667" s="62" t="s">
        <v>488</v>
      </c>
      <c r="E667" s="76">
        <v>44158.0</v>
      </c>
      <c r="F667" s="77">
        <v>0.041666666666666664</v>
      </c>
      <c r="G667" s="62" t="b">
        <v>1</v>
      </c>
      <c r="H667" s="78" t="b">
        <f>IF(VLOOKUP(C667,Projetos!A:L,12,false)=TRUE,TRUE,FALSE)</f>
        <v>1</v>
      </c>
      <c r="I667" s="68">
        <v>146.1168501836547</v>
      </c>
      <c r="J667" s="68">
        <f t="shared" si="1"/>
        <v>146.1168502</v>
      </c>
      <c r="K667" s="68" t="b">
        <v>1</v>
      </c>
    </row>
    <row r="668" hidden="1">
      <c r="A668" s="75">
        <v>662.0</v>
      </c>
      <c r="B668" s="62" t="s">
        <v>356</v>
      </c>
      <c r="C668" s="62" t="s">
        <v>111</v>
      </c>
      <c r="D668" s="62" t="s">
        <v>489</v>
      </c>
      <c r="E668" s="76">
        <v>44158.0</v>
      </c>
      <c r="F668" s="77">
        <v>0.041666666666666664</v>
      </c>
      <c r="G668" s="62" t="b">
        <v>0</v>
      </c>
      <c r="H668" s="78" t="b">
        <f>IF(VLOOKUP(C668,Projetos!A:L,12,false)=TRUE,TRUE,FALSE)</f>
        <v>0</v>
      </c>
      <c r="I668" s="68">
        <v>146.1168501836547</v>
      </c>
      <c r="J668" s="68">
        <f t="shared" si="1"/>
        <v>0</v>
      </c>
      <c r="K668" s="68" t="b">
        <v>0</v>
      </c>
    </row>
    <row r="669" hidden="1">
      <c r="A669" s="75">
        <v>663.0</v>
      </c>
      <c r="B669" s="62" t="s">
        <v>356</v>
      </c>
      <c r="C669" s="62" t="s">
        <v>90</v>
      </c>
      <c r="D669" s="62" t="s">
        <v>490</v>
      </c>
      <c r="E669" s="76">
        <v>44158.0</v>
      </c>
      <c r="F669" s="77">
        <v>0.041666666666666664</v>
      </c>
      <c r="G669" s="62" t="b">
        <v>1</v>
      </c>
      <c r="H669" s="78" t="b">
        <f>IF(VLOOKUP(C669,Projetos!A:L,12,false)=TRUE,TRUE,FALSE)</f>
        <v>1</v>
      </c>
      <c r="I669" s="68">
        <v>146.1168501836547</v>
      </c>
      <c r="J669" s="68">
        <f t="shared" si="1"/>
        <v>146.1168502</v>
      </c>
      <c r="K669" s="68" t="b">
        <v>1</v>
      </c>
    </row>
    <row r="670" hidden="1">
      <c r="A670" s="75">
        <v>664.0</v>
      </c>
      <c r="B670" s="62" t="s">
        <v>356</v>
      </c>
      <c r="C670" s="62" t="s">
        <v>102</v>
      </c>
      <c r="D670" s="62" t="s">
        <v>491</v>
      </c>
      <c r="E670" s="76">
        <v>44159.0</v>
      </c>
      <c r="F670" s="77">
        <v>0.041666666666666664</v>
      </c>
      <c r="G670" s="62" t="b">
        <v>0</v>
      </c>
      <c r="H670" s="78" t="b">
        <f>IF(VLOOKUP(C670,Projetos!A:L,12,false)=TRUE,TRUE,FALSE)</f>
        <v>0</v>
      </c>
      <c r="I670" s="68">
        <v>146.1168501836547</v>
      </c>
      <c r="J670" s="68">
        <f t="shared" si="1"/>
        <v>0</v>
      </c>
      <c r="K670" s="68" t="b">
        <v>0</v>
      </c>
    </row>
    <row r="671" hidden="1">
      <c r="A671" s="75">
        <v>665.0</v>
      </c>
      <c r="B671" s="62" t="s">
        <v>356</v>
      </c>
      <c r="C671" s="62" t="s">
        <v>83</v>
      </c>
      <c r="D671" s="62" t="s">
        <v>484</v>
      </c>
      <c r="E671" s="76">
        <v>44159.0</v>
      </c>
      <c r="F671" s="77">
        <v>0.041666666666666664</v>
      </c>
      <c r="G671" s="62" t="b">
        <v>0</v>
      </c>
      <c r="H671" s="78" t="b">
        <f>IF(VLOOKUP(C671,Projetos!A:L,12,false)=TRUE,TRUE,FALSE)</f>
        <v>0</v>
      </c>
      <c r="I671" s="68">
        <v>146.1168501836547</v>
      </c>
      <c r="J671" s="68">
        <f t="shared" si="1"/>
        <v>0</v>
      </c>
      <c r="K671" s="68" t="b">
        <v>0</v>
      </c>
    </row>
    <row r="672" hidden="1">
      <c r="A672" s="75">
        <v>666.0</v>
      </c>
      <c r="B672" s="62" t="s">
        <v>356</v>
      </c>
      <c r="C672" s="62" t="s">
        <v>116</v>
      </c>
      <c r="D672" s="62" t="s">
        <v>488</v>
      </c>
      <c r="E672" s="76">
        <v>44160.0</v>
      </c>
      <c r="F672" s="77">
        <v>0.041666666666666664</v>
      </c>
      <c r="G672" s="62" t="b">
        <v>1</v>
      </c>
      <c r="H672" s="78" t="b">
        <f>IF(VLOOKUP(C672,Projetos!A:L,12,false)=TRUE,TRUE,FALSE)</f>
        <v>1</v>
      </c>
      <c r="I672" s="68">
        <v>146.1168501836547</v>
      </c>
      <c r="J672" s="68">
        <f t="shared" si="1"/>
        <v>146.1168502</v>
      </c>
      <c r="K672" s="68" t="b">
        <v>1</v>
      </c>
    </row>
    <row r="673" hidden="1">
      <c r="A673" s="75">
        <v>667.0</v>
      </c>
      <c r="B673" s="62" t="s">
        <v>356</v>
      </c>
      <c r="C673" s="62" t="s">
        <v>116</v>
      </c>
      <c r="D673" s="62" t="s">
        <v>492</v>
      </c>
      <c r="E673" s="76">
        <v>44160.0</v>
      </c>
      <c r="F673" s="77">
        <v>0.041666666666666664</v>
      </c>
      <c r="G673" s="62" t="b">
        <v>1</v>
      </c>
      <c r="H673" s="78" t="b">
        <f>IF(VLOOKUP(C673,Projetos!A:L,12,false)=TRUE,TRUE,FALSE)</f>
        <v>1</v>
      </c>
      <c r="I673" s="68">
        <v>146.1168501836547</v>
      </c>
      <c r="J673" s="68">
        <f t="shared" si="1"/>
        <v>146.1168502</v>
      </c>
      <c r="K673" s="68" t="b">
        <v>1</v>
      </c>
    </row>
    <row r="674" hidden="1">
      <c r="A674" s="75">
        <v>668.0</v>
      </c>
      <c r="B674" s="62" t="s">
        <v>356</v>
      </c>
      <c r="C674" s="62" t="s">
        <v>102</v>
      </c>
      <c r="D674" s="62" t="s">
        <v>493</v>
      </c>
      <c r="E674" s="76">
        <v>44161.0</v>
      </c>
      <c r="F674" s="77">
        <v>0.041666666666666664</v>
      </c>
      <c r="G674" s="62" t="b">
        <v>0</v>
      </c>
      <c r="H674" s="78" t="b">
        <f>IF(VLOOKUP(C674,Projetos!A:L,12,false)=TRUE,TRUE,FALSE)</f>
        <v>0</v>
      </c>
      <c r="I674" s="68">
        <v>146.1168501836547</v>
      </c>
      <c r="J674" s="68">
        <f t="shared" si="1"/>
        <v>0</v>
      </c>
      <c r="K674" s="68" t="b">
        <v>0</v>
      </c>
    </row>
    <row r="675" hidden="1">
      <c r="A675" s="75">
        <v>669.0</v>
      </c>
      <c r="B675" s="62" t="s">
        <v>356</v>
      </c>
      <c r="C675" s="62" t="s">
        <v>83</v>
      </c>
      <c r="D675" s="62" t="s">
        <v>494</v>
      </c>
      <c r="E675" s="76">
        <v>44162.0</v>
      </c>
      <c r="F675" s="77">
        <v>0.08333333333333333</v>
      </c>
      <c r="G675" s="62" t="b">
        <v>0</v>
      </c>
      <c r="H675" s="78" t="b">
        <f>IF(VLOOKUP(C675,Projetos!A:L,12,false)=TRUE,TRUE,FALSE)</f>
        <v>0</v>
      </c>
      <c r="I675" s="68">
        <v>146.1168501836547</v>
      </c>
      <c r="J675" s="68">
        <f t="shared" si="1"/>
        <v>0</v>
      </c>
      <c r="K675" s="68" t="b">
        <v>0</v>
      </c>
    </row>
    <row r="676" hidden="1">
      <c r="A676" s="75">
        <v>670.0</v>
      </c>
      <c r="B676" s="62" t="s">
        <v>356</v>
      </c>
      <c r="C676" s="62" t="s">
        <v>83</v>
      </c>
      <c r="D676" s="62" t="s">
        <v>495</v>
      </c>
      <c r="E676" s="76">
        <v>44166.0</v>
      </c>
      <c r="F676" s="77">
        <v>0.041666666666666664</v>
      </c>
      <c r="G676" s="62" t="b">
        <v>0</v>
      </c>
      <c r="H676" s="78" t="b">
        <f>IF(VLOOKUP(C676,Projetos!A:L,12,false)=TRUE,TRUE,FALSE)</f>
        <v>0</v>
      </c>
      <c r="I676" s="68">
        <v>153.0747954304954</v>
      </c>
      <c r="J676" s="68">
        <f t="shared" si="1"/>
        <v>0</v>
      </c>
      <c r="K676" s="68" t="b">
        <v>0</v>
      </c>
    </row>
    <row r="677" hidden="1">
      <c r="A677" s="75">
        <v>671.0</v>
      </c>
      <c r="B677" s="62" t="s">
        <v>356</v>
      </c>
      <c r="C677" s="62" t="s">
        <v>98</v>
      </c>
      <c r="D677" s="62" t="s">
        <v>496</v>
      </c>
      <c r="E677" s="76">
        <v>44167.0</v>
      </c>
      <c r="F677" s="77">
        <v>0.08333333333333333</v>
      </c>
      <c r="G677" s="62" t="b">
        <v>1</v>
      </c>
      <c r="H677" s="78" t="b">
        <f>IF(VLOOKUP(C677,Projetos!A:L,12,false)=TRUE,TRUE,FALSE)</f>
        <v>1</v>
      </c>
      <c r="I677" s="68">
        <v>153.0747954304954</v>
      </c>
      <c r="J677" s="68">
        <f t="shared" si="1"/>
        <v>306.1495909</v>
      </c>
      <c r="K677" s="68" t="b">
        <v>1</v>
      </c>
    </row>
    <row r="678" hidden="1">
      <c r="A678" s="75">
        <v>672.0</v>
      </c>
      <c r="B678" s="62" t="s">
        <v>356</v>
      </c>
      <c r="C678" s="62" t="s">
        <v>102</v>
      </c>
      <c r="D678" s="62" t="s">
        <v>497</v>
      </c>
      <c r="E678" s="76">
        <v>44168.0</v>
      </c>
      <c r="F678" s="77">
        <v>0.041666666666666664</v>
      </c>
      <c r="G678" s="62" t="b">
        <v>0</v>
      </c>
      <c r="H678" s="78" t="b">
        <f>IF(VLOOKUP(C678,Projetos!A:L,12,false)=TRUE,TRUE,FALSE)</f>
        <v>0</v>
      </c>
      <c r="I678" s="68">
        <v>153.0747954304954</v>
      </c>
      <c r="J678" s="68">
        <f t="shared" si="1"/>
        <v>0</v>
      </c>
      <c r="K678" s="68" t="b">
        <v>0</v>
      </c>
    </row>
    <row r="679" hidden="1">
      <c r="A679" s="75">
        <v>673.0</v>
      </c>
      <c r="B679" s="62" t="s">
        <v>356</v>
      </c>
      <c r="C679" s="62" t="s">
        <v>102</v>
      </c>
      <c r="D679" s="62" t="s">
        <v>498</v>
      </c>
      <c r="E679" s="76">
        <v>44168.0</v>
      </c>
      <c r="F679" s="77">
        <v>0.041666666666666664</v>
      </c>
      <c r="G679" s="62" t="b">
        <v>0</v>
      </c>
      <c r="H679" s="78" t="b">
        <f>IF(VLOOKUP(C679,Projetos!A:L,12,false)=TRUE,TRUE,FALSE)</f>
        <v>0</v>
      </c>
      <c r="I679" s="68">
        <v>153.0747954304954</v>
      </c>
      <c r="J679" s="68">
        <f t="shared" si="1"/>
        <v>0</v>
      </c>
      <c r="K679" s="68" t="b">
        <v>0</v>
      </c>
    </row>
    <row r="680" hidden="1">
      <c r="A680" s="75">
        <v>674.0</v>
      </c>
      <c r="B680" s="62" t="s">
        <v>356</v>
      </c>
      <c r="C680" s="62" t="s">
        <v>111</v>
      </c>
      <c r="D680" s="62" t="s">
        <v>499</v>
      </c>
      <c r="E680" s="76">
        <v>44168.0</v>
      </c>
      <c r="F680" s="77">
        <v>0.041666666666666664</v>
      </c>
      <c r="G680" s="62" t="b">
        <v>0</v>
      </c>
      <c r="H680" s="78" t="b">
        <f>IF(VLOOKUP(C680,Projetos!A:L,12,false)=TRUE,TRUE,FALSE)</f>
        <v>0</v>
      </c>
      <c r="I680" s="68">
        <v>153.0747954304954</v>
      </c>
      <c r="J680" s="68">
        <f t="shared" si="1"/>
        <v>0</v>
      </c>
      <c r="K680" s="68" t="b">
        <v>0</v>
      </c>
    </row>
    <row r="681" hidden="1">
      <c r="A681" s="75">
        <v>675.0</v>
      </c>
      <c r="B681" s="62" t="s">
        <v>356</v>
      </c>
      <c r="C681" s="62" t="s">
        <v>90</v>
      </c>
      <c r="D681" s="62" t="s">
        <v>463</v>
      </c>
      <c r="E681" s="76">
        <v>44169.0</v>
      </c>
      <c r="F681" s="77">
        <v>0.041666666666666664</v>
      </c>
      <c r="G681" s="62" t="b">
        <v>1</v>
      </c>
      <c r="H681" s="78" t="b">
        <f>IF(VLOOKUP(C681,Projetos!A:L,12,false)=TRUE,TRUE,FALSE)</f>
        <v>1</v>
      </c>
      <c r="I681" s="68">
        <v>153.0747954304954</v>
      </c>
      <c r="J681" s="68">
        <f t="shared" si="1"/>
        <v>153.0747954</v>
      </c>
      <c r="K681" s="68" t="b">
        <v>1</v>
      </c>
    </row>
    <row r="682" hidden="1">
      <c r="A682" s="75">
        <v>676.0</v>
      </c>
      <c r="B682" s="62" t="s">
        <v>356</v>
      </c>
      <c r="C682" s="62" t="s">
        <v>111</v>
      </c>
      <c r="D682" s="62" t="s">
        <v>499</v>
      </c>
      <c r="E682" s="76">
        <v>44169.0</v>
      </c>
      <c r="F682" s="77">
        <v>0.041666666666666664</v>
      </c>
      <c r="G682" s="62" t="b">
        <v>0</v>
      </c>
      <c r="H682" s="78" t="b">
        <f>IF(VLOOKUP(C682,Projetos!A:L,12,false)=TRUE,TRUE,FALSE)</f>
        <v>0</v>
      </c>
      <c r="I682" s="68">
        <v>153.0747954304954</v>
      </c>
      <c r="J682" s="68">
        <f t="shared" si="1"/>
        <v>0</v>
      </c>
      <c r="K682" s="68" t="b">
        <v>0</v>
      </c>
    </row>
    <row r="683" hidden="1">
      <c r="A683" s="75">
        <v>677.0</v>
      </c>
      <c r="B683" s="62" t="s">
        <v>356</v>
      </c>
      <c r="C683" s="62" t="s">
        <v>83</v>
      </c>
      <c r="D683" s="62" t="s">
        <v>500</v>
      </c>
      <c r="E683" s="76">
        <v>44172.0</v>
      </c>
      <c r="F683" s="77">
        <v>0.041666666666666664</v>
      </c>
      <c r="G683" s="62" t="b">
        <v>0</v>
      </c>
      <c r="H683" s="78" t="b">
        <f>IF(VLOOKUP(C683,Projetos!A:L,12,false)=TRUE,TRUE,FALSE)</f>
        <v>0</v>
      </c>
      <c r="I683" s="68">
        <v>153.0747954304954</v>
      </c>
      <c r="J683" s="68">
        <f t="shared" si="1"/>
        <v>0</v>
      </c>
      <c r="K683" s="68" t="b">
        <v>0</v>
      </c>
    </row>
    <row r="684" hidden="1">
      <c r="A684" s="75">
        <v>678.0</v>
      </c>
      <c r="B684" s="62" t="s">
        <v>356</v>
      </c>
      <c r="C684" s="62" t="s">
        <v>89</v>
      </c>
      <c r="D684" s="62" t="s">
        <v>501</v>
      </c>
      <c r="E684" s="76">
        <v>44172.0</v>
      </c>
      <c r="F684" s="77">
        <v>0.0625</v>
      </c>
      <c r="G684" s="62" t="b">
        <v>1</v>
      </c>
      <c r="H684" s="78" t="b">
        <f>IF(VLOOKUP(C684,Projetos!A:L,12,false)=TRUE,TRUE,FALSE)</f>
        <v>1</v>
      </c>
      <c r="I684" s="68">
        <v>153.0747954304954</v>
      </c>
      <c r="J684" s="68">
        <f t="shared" si="1"/>
        <v>229.6121931</v>
      </c>
      <c r="K684" s="68" t="b">
        <v>1</v>
      </c>
    </row>
    <row r="685" hidden="1">
      <c r="A685" s="75">
        <v>679.0</v>
      </c>
      <c r="B685" s="62" t="s">
        <v>356</v>
      </c>
      <c r="C685" s="62" t="s">
        <v>90</v>
      </c>
      <c r="D685" s="62" t="s">
        <v>502</v>
      </c>
      <c r="E685" s="76">
        <v>44173.0</v>
      </c>
      <c r="F685" s="77">
        <v>0.125</v>
      </c>
      <c r="G685" s="62" t="b">
        <v>1</v>
      </c>
      <c r="H685" s="78" t="b">
        <f>IF(VLOOKUP(C685,Projetos!A:L,12,false)=TRUE,TRUE,FALSE)</f>
        <v>1</v>
      </c>
      <c r="I685" s="68">
        <v>153.0747954304954</v>
      </c>
      <c r="J685" s="68">
        <f t="shared" si="1"/>
        <v>459.2243863</v>
      </c>
      <c r="K685" s="68" t="b">
        <v>1</v>
      </c>
    </row>
    <row r="686" hidden="1">
      <c r="A686" s="75">
        <v>680.0</v>
      </c>
      <c r="B686" s="62" t="s">
        <v>356</v>
      </c>
      <c r="C686" s="62" t="s">
        <v>83</v>
      </c>
      <c r="D686" s="62" t="s">
        <v>483</v>
      </c>
      <c r="E686" s="76">
        <v>44173.0</v>
      </c>
      <c r="F686" s="77">
        <v>0.125</v>
      </c>
      <c r="G686" s="62" t="b">
        <v>0</v>
      </c>
      <c r="H686" s="78" t="b">
        <f>IF(VLOOKUP(C686,Projetos!A:L,12,false)=TRUE,TRUE,FALSE)</f>
        <v>0</v>
      </c>
      <c r="I686" s="68">
        <v>153.0747954304954</v>
      </c>
      <c r="J686" s="68">
        <f t="shared" si="1"/>
        <v>0</v>
      </c>
      <c r="K686" s="68" t="b">
        <v>0</v>
      </c>
    </row>
    <row r="687" hidden="1">
      <c r="A687" s="75">
        <v>681.0</v>
      </c>
      <c r="B687" s="62" t="s">
        <v>356</v>
      </c>
      <c r="C687" s="62" t="s">
        <v>138</v>
      </c>
      <c r="D687" s="62" t="s">
        <v>503</v>
      </c>
      <c r="E687" s="76">
        <v>44175.0</v>
      </c>
      <c r="F687" s="77">
        <v>0.041666666666666664</v>
      </c>
      <c r="G687" s="62" t="b">
        <v>0</v>
      </c>
      <c r="H687" s="78" t="b">
        <f>IF(VLOOKUP(C687,Projetos!A:L,12,false)=TRUE,TRUE,FALSE)</f>
        <v>1</v>
      </c>
      <c r="I687" s="68">
        <v>153.0747954304954</v>
      </c>
      <c r="J687" s="68">
        <f t="shared" si="1"/>
        <v>0</v>
      </c>
      <c r="K687" s="68" t="b">
        <v>1</v>
      </c>
    </row>
    <row r="688" hidden="1">
      <c r="A688" s="75">
        <v>682.0</v>
      </c>
      <c r="B688" s="62" t="s">
        <v>356</v>
      </c>
      <c r="C688" s="62" t="s">
        <v>97</v>
      </c>
      <c r="D688" s="62" t="s">
        <v>504</v>
      </c>
      <c r="E688" s="76">
        <v>44179.0</v>
      </c>
      <c r="F688" s="77">
        <v>0.0625</v>
      </c>
      <c r="G688" s="62" t="b">
        <v>0</v>
      </c>
      <c r="H688" s="78" t="b">
        <f>IF(VLOOKUP(C688,Projetos!A:L,12,false)=TRUE,TRUE,FALSE)</f>
        <v>1</v>
      </c>
      <c r="I688" s="68">
        <v>153.0747954304954</v>
      </c>
      <c r="J688" s="68">
        <f t="shared" si="1"/>
        <v>0</v>
      </c>
      <c r="K688" s="68" t="b">
        <v>1</v>
      </c>
    </row>
    <row r="689">
      <c r="A689" s="75">
        <v>683.0</v>
      </c>
      <c r="B689" s="62" t="s">
        <v>356</v>
      </c>
      <c r="C689" s="62" t="s">
        <v>104</v>
      </c>
      <c r="D689" s="62" t="s">
        <v>505</v>
      </c>
      <c r="E689" s="76">
        <v>44179.0</v>
      </c>
      <c r="F689" s="77">
        <v>0.041666666666666664</v>
      </c>
      <c r="G689" s="62" t="b">
        <v>0</v>
      </c>
      <c r="H689" s="78" t="b">
        <f>IF(VLOOKUP(C689,Projetos!A:L,12,false)=TRUE,TRUE,FALSE)</f>
        <v>1</v>
      </c>
      <c r="I689" s="68">
        <v>153.0747954304954</v>
      </c>
      <c r="J689" s="68">
        <f t="shared" si="1"/>
        <v>0</v>
      </c>
      <c r="K689" s="68" t="b">
        <v>1</v>
      </c>
    </row>
    <row r="690" hidden="1">
      <c r="A690" s="75">
        <v>684.0</v>
      </c>
      <c r="B690" s="62" t="s">
        <v>356</v>
      </c>
      <c r="C690" s="62" t="s">
        <v>112</v>
      </c>
      <c r="D690" s="62" t="s">
        <v>506</v>
      </c>
      <c r="E690" s="76">
        <v>44180.0</v>
      </c>
      <c r="F690" s="77">
        <v>0.041666666666666664</v>
      </c>
      <c r="G690" s="62" t="b">
        <v>1</v>
      </c>
      <c r="H690" s="78" t="b">
        <f>IF(VLOOKUP(C690,Projetos!A:L,12,false)=TRUE,TRUE,FALSE)</f>
        <v>1</v>
      </c>
      <c r="I690" s="68">
        <v>153.0747954304954</v>
      </c>
      <c r="J690" s="68">
        <f t="shared" si="1"/>
        <v>153.0747954</v>
      </c>
      <c r="K690" s="68" t="b">
        <v>1</v>
      </c>
    </row>
    <row r="691" hidden="1">
      <c r="A691" s="75">
        <v>685.0</v>
      </c>
      <c r="B691" s="62" t="s">
        <v>356</v>
      </c>
      <c r="C691" s="62" t="s">
        <v>108</v>
      </c>
      <c r="D691" s="62" t="s">
        <v>507</v>
      </c>
      <c r="E691" s="76">
        <v>44180.0</v>
      </c>
      <c r="F691" s="77">
        <v>0.041666666666666664</v>
      </c>
      <c r="G691" s="62" t="b">
        <v>0</v>
      </c>
      <c r="H691" s="78" t="b">
        <f>IF(VLOOKUP(C691,Projetos!A:L,12,false)=TRUE,TRUE,FALSE)</f>
        <v>1</v>
      </c>
      <c r="I691" s="68">
        <v>153.0747954304954</v>
      </c>
      <c r="J691" s="68">
        <f t="shared" si="1"/>
        <v>0</v>
      </c>
      <c r="K691" s="68" t="b">
        <v>1</v>
      </c>
    </row>
    <row r="692" hidden="1">
      <c r="A692" s="75">
        <v>686.0</v>
      </c>
      <c r="B692" s="62" t="s">
        <v>356</v>
      </c>
      <c r="C692" s="62" t="s">
        <v>116</v>
      </c>
      <c r="D692" s="62" t="s">
        <v>488</v>
      </c>
      <c r="E692" s="76">
        <v>44182.0</v>
      </c>
      <c r="F692" s="77">
        <v>0.0625</v>
      </c>
      <c r="G692" s="62" t="b">
        <v>1</v>
      </c>
      <c r="H692" s="78" t="b">
        <f>IF(VLOOKUP(C692,Projetos!A:L,12,false)=TRUE,TRUE,FALSE)</f>
        <v>1</v>
      </c>
      <c r="I692" s="68">
        <v>153.0747954304954</v>
      </c>
      <c r="J692" s="68">
        <f t="shared" si="1"/>
        <v>229.6121931</v>
      </c>
      <c r="K692" s="68" t="b">
        <v>1</v>
      </c>
    </row>
    <row r="693" hidden="1">
      <c r="A693" s="75">
        <v>687.0</v>
      </c>
      <c r="B693" s="62" t="s">
        <v>356</v>
      </c>
      <c r="C693" s="62" t="s">
        <v>83</v>
      </c>
      <c r="D693" s="62" t="s">
        <v>483</v>
      </c>
      <c r="E693" s="76">
        <v>44183.0</v>
      </c>
      <c r="F693" s="77">
        <v>0.0625</v>
      </c>
      <c r="G693" s="62" t="b">
        <v>0</v>
      </c>
      <c r="H693" s="78" t="b">
        <f>IF(VLOOKUP(C693,Projetos!A:L,12,false)=TRUE,TRUE,FALSE)</f>
        <v>0</v>
      </c>
      <c r="I693" s="68">
        <v>153.0747954304954</v>
      </c>
      <c r="J693" s="68">
        <f t="shared" si="1"/>
        <v>0</v>
      </c>
      <c r="K693" s="68" t="b">
        <v>0</v>
      </c>
    </row>
    <row r="694" hidden="1">
      <c r="A694" s="75">
        <v>688.0</v>
      </c>
      <c r="B694" s="62" t="s">
        <v>508</v>
      </c>
      <c r="C694" s="62" t="s">
        <v>102</v>
      </c>
      <c r="D694" s="62" t="s">
        <v>509</v>
      </c>
      <c r="E694" s="76">
        <v>43845.0</v>
      </c>
      <c r="F694" s="77">
        <v>0.23958333333333334</v>
      </c>
      <c r="G694" s="62" t="b">
        <v>0</v>
      </c>
      <c r="H694" s="78" t="b">
        <f>IF(VLOOKUP(C694,Projetos!A:L,12,false)=TRUE,TRUE,FALSE)</f>
        <v>0</v>
      </c>
      <c r="I694" s="68">
        <v>32.2362044522607</v>
      </c>
      <c r="J694" s="68">
        <f t="shared" si="1"/>
        <v>0</v>
      </c>
      <c r="K694" s="68" t="b">
        <v>0</v>
      </c>
    </row>
    <row r="695" hidden="1">
      <c r="A695" s="75">
        <v>689.0</v>
      </c>
      <c r="B695" s="62" t="s">
        <v>508</v>
      </c>
      <c r="C695" s="62" t="s">
        <v>101</v>
      </c>
      <c r="D695" s="62" t="s">
        <v>131</v>
      </c>
      <c r="E695" s="76">
        <v>43846.0</v>
      </c>
      <c r="F695" s="77">
        <v>0.125</v>
      </c>
      <c r="G695" s="62" t="b">
        <v>1</v>
      </c>
      <c r="H695" s="78" t="b">
        <f>IF(VLOOKUP(C695,Projetos!A:L,12,false)=TRUE,TRUE,FALSE)</f>
        <v>1</v>
      </c>
      <c r="I695" s="68">
        <v>32.2362044522607</v>
      </c>
      <c r="J695" s="68">
        <f t="shared" si="1"/>
        <v>96.70861336</v>
      </c>
      <c r="K695" s="68" t="b">
        <v>1</v>
      </c>
    </row>
    <row r="696" hidden="1">
      <c r="A696" s="75">
        <v>690.0</v>
      </c>
      <c r="B696" s="62" t="s">
        <v>508</v>
      </c>
      <c r="C696" s="62" t="s">
        <v>103</v>
      </c>
      <c r="D696" s="62" t="s">
        <v>133</v>
      </c>
      <c r="E696" s="76">
        <v>43850.0</v>
      </c>
      <c r="F696" s="77">
        <v>0.40625</v>
      </c>
      <c r="G696" s="62" t="b">
        <v>1</v>
      </c>
      <c r="H696" s="78" t="b">
        <f>IF(VLOOKUP(C696,Projetos!A:L,12,false)=TRUE,TRUE,FALSE)</f>
        <v>1</v>
      </c>
      <c r="I696" s="68">
        <v>32.2362044522607</v>
      </c>
      <c r="J696" s="68">
        <f t="shared" si="1"/>
        <v>314.3029934</v>
      </c>
      <c r="K696" s="68" t="b">
        <v>1</v>
      </c>
    </row>
    <row r="697" hidden="1">
      <c r="A697" s="75">
        <v>691.0</v>
      </c>
      <c r="B697" s="62" t="s">
        <v>508</v>
      </c>
      <c r="C697" s="62" t="s">
        <v>102</v>
      </c>
      <c r="D697" s="62" t="s">
        <v>510</v>
      </c>
      <c r="E697" s="76">
        <v>43858.0</v>
      </c>
      <c r="F697" s="77">
        <v>0.15625</v>
      </c>
      <c r="G697" s="62" t="b">
        <v>0</v>
      </c>
      <c r="H697" s="78" t="b">
        <f>IF(VLOOKUP(C697,Projetos!A:L,12,false)=TRUE,TRUE,FALSE)</f>
        <v>0</v>
      </c>
      <c r="I697" s="68">
        <v>32.2362044522607</v>
      </c>
      <c r="J697" s="68">
        <f t="shared" si="1"/>
        <v>0</v>
      </c>
      <c r="K697" s="68" t="b">
        <v>0</v>
      </c>
    </row>
    <row r="698" hidden="1">
      <c r="A698" s="75">
        <v>692.0</v>
      </c>
      <c r="B698" s="62" t="s">
        <v>508</v>
      </c>
      <c r="C698" s="62" t="s">
        <v>102</v>
      </c>
      <c r="D698" s="62" t="s">
        <v>511</v>
      </c>
      <c r="E698" s="76">
        <v>43847.0</v>
      </c>
      <c r="F698" s="77">
        <v>0.004166666666666667</v>
      </c>
      <c r="G698" s="62" t="b">
        <v>0</v>
      </c>
      <c r="H698" s="78" t="b">
        <f>IF(VLOOKUP(C698,Projetos!A:L,12,false)=TRUE,TRUE,FALSE)</f>
        <v>0</v>
      </c>
      <c r="I698" s="68">
        <v>32.2362044522607</v>
      </c>
      <c r="J698" s="68">
        <f t="shared" si="1"/>
        <v>0</v>
      </c>
      <c r="K698" s="68" t="b">
        <v>0</v>
      </c>
    </row>
    <row r="699" hidden="1">
      <c r="A699" s="75">
        <v>693.0</v>
      </c>
      <c r="B699" s="62" t="s">
        <v>508</v>
      </c>
      <c r="C699" s="62" t="s">
        <v>102</v>
      </c>
      <c r="D699" s="62" t="s">
        <v>511</v>
      </c>
      <c r="E699" s="76">
        <v>43850.0</v>
      </c>
      <c r="F699" s="77">
        <v>0.052083333333333336</v>
      </c>
      <c r="G699" s="62" t="b">
        <v>0</v>
      </c>
      <c r="H699" s="78" t="b">
        <f>IF(VLOOKUP(C699,Projetos!A:L,12,false)=TRUE,TRUE,FALSE)</f>
        <v>0</v>
      </c>
      <c r="I699" s="68">
        <v>32.2362044522607</v>
      </c>
      <c r="J699" s="68">
        <f t="shared" si="1"/>
        <v>0</v>
      </c>
      <c r="K699" s="68" t="b">
        <v>0</v>
      </c>
    </row>
    <row r="700" hidden="1">
      <c r="A700" s="75">
        <v>694.0</v>
      </c>
      <c r="B700" s="62" t="s">
        <v>508</v>
      </c>
      <c r="C700" s="62" t="s">
        <v>102</v>
      </c>
      <c r="D700" s="62" t="s">
        <v>511</v>
      </c>
      <c r="E700" s="76">
        <v>43851.0</v>
      </c>
      <c r="F700" s="77">
        <v>0.08680555555555555</v>
      </c>
      <c r="G700" s="62" t="b">
        <v>0</v>
      </c>
      <c r="H700" s="78" t="b">
        <f>IF(VLOOKUP(C700,Projetos!A:L,12,false)=TRUE,TRUE,FALSE)</f>
        <v>0</v>
      </c>
      <c r="I700" s="68">
        <v>32.2362044522607</v>
      </c>
      <c r="J700" s="68">
        <f t="shared" si="1"/>
        <v>0</v>
      </c>
      <c r="K700" s="68" t="b">
        <v>0</v>
      </c>
    </row>
    <row r="701" hidden="1">
      <c r="A701" s="75">
        <v>695.0</v>
      </c>
      <c r="B701" s="62" t="s">
        <v>508</v>
      </c>
      <c r="C701" s="62" t="s">
        <v>102</v>
      </c>
      <c r="D701" s="62" t="s">
        <v>511</v>
      </c>
      <c r="E701" s="76">
        <v>43853.0</v>
      </c>
      <c r="F701" s="77">
        <v>0.08541666666666667</v>
      </c>
      <c r="G701" s="62" t="b">
        <v>0</v>
      </c>
      <c r="H701" s="78" t="b">
        <f>IF(VLOOKUP(C701,Projetos!A:L,12,false)=TRUE,TRUE,FALSE)</f>
        <v>0</v>
      </c>
      <c r="I701" s="68">
        <v>32.2362044522607</v>
      </c>
      <c r="J701" s="68">
        <f t="shared" si="1"/>
        <v>0</v>
      </c>
      <c r="K701" s="68" t="b">
        <v>0</v>
      </c>
    </row>
    <row r="702" hidden="1">
      <c r="A702" s="75">
        <v>696.0</v>
      </c>
      <c r="B702" s="62" t="s">
        <v>508</v>
      </c>
      <c r="C702" s="62" t="s">
        <v>102</v>
      </c>
      <c r="D702" s="62" t="s">
        <v>511</v>
      </c>
      <c r="E702" s="76">
        <v>43859.0</v>
      </c>
      <c r="F702" s="77">
        <v>0.07291666666666667</v>
      </c>
      <c r="G702" s="62" t="b">
        <v>0</v>
      </c>
      <c r="H702" s="78" t="b">
        <f>IF(VLOOKUP(C702,Projetos!A:L,12,false)=TRUE,TRUE,FALSE)</f>
        <v>0</v>
      </c>
      <c r="I702" s="68">
        <v>32.2362044522607</v>
      </c>
      <c r="J702" s="68">
        <f t="shared" si="1"/>
        <v>0</v>
      </c>
      <c r="K702" s="68" t="b">
        <v>0</v>
      </c>
    </row>
    <row r="703" hidden="1">
      <c r="A703" s="75">
        <v>697.0</v>
      </c>
      <c r="B703" s="62" t="s">
        <v>508</v>
      </c>
      <c r="C703" s="62" t="s">
        <v>138</v>
      </c>
      <c r="D703" s="62" t="s">
        <v>512</v>
      </c>
      <c r="E703" s="76">
        <v>43879.0</v>
      </c>
      <c r="F703" s="77">
        <v>0.01597222222222222</v>
      </c>
      <c r="G703" s="62" t="b">
        <v>0</v>
      </c>
      <c r="H703" s="78" t="b">
        <f>IF(VLOOKUP(C703,Projetos!A:L,12,false)=TRUE,TRUE,FALSE)</f>
        <v>1</v>
      </c>
      <c r="I703" s="68">
        <v>30.770922431703394</v>
      </c>
      <c r="J703" s="68">
        <f t="shared" si="1"/>
        <v>0</v>
      </c>
      <c r="K703" s="68" t="b">
        <v>1</v>
      </c>
    </row>
    <row r="704" hidden="1">
      <c r="A704" s="75">
        <v>698.0</v>
      </c>
      <c r="B704" s="62" t="s">
        <v>508</v>
      </c>
      <c r="C704" s="62" t="s">
        <v>138</v>
      </c>
      <c r="D704" s="62" t="s">
        <v>513</v>
      </c>
      <c r="E704" s="76">
        <v>43879.0</v>
      </c>
      <c r="F704" s="77">
        <v>0.020833333333333332</v>
      </c>
      <c r="G704" s="62" t="b">
        <v>1</v>
      </c>
      <c r="H704" s="78" t="b">
        <f>IF(VLOOKUP(C704,Projetos!A:L,12,false)=TRUE,TRUE,FALSE)</f>
        <v>1</v>
      </c>
      <c r="I704" s="68">
        <v>30.770922431703394</v>
      </c>
      <c r="J704" s="68">
        <f t="shared" si="1"/>
        <v>15.38546122</v>
      </c>
      <c r="K704" s="68" t="b">
        <v>1</v>
      </c>
    </row>
    <row r="705" hidden="1">
      <c r="A705" s="75">
        <v>699.0</v>
      </c>
      <c r="B705" s="62" t="s">
        <v>508</v>
      </c>
      <c r="C705" s="62" t="s">
        <v>103</v>
      </c>
      <c r="D705" s="62" t="s">
        <v>514</v>
      </c>
      <c r="E705" s="76">
        <v>43872.0</v>
      </c>
      <c r="F705" s="77">
        <v>0.125</v>
      </c>
      <c r="G705" s="62" t="b">
        <v>1</v>
      </c>
      <c r="H705" s="78" t="b">
        <f>IF(VLOOKUP(C705,Projetos!A:L,12,false)=TRUE,TRUE,FALSE)</f>
        <v>1</v>
      </c>
      <c r="I705" s="68">
        <v>30.770922431703394</v>
      </c>
      <c r="J705" s="68">
        <f t="shared" si="1"/>
        <v>92.3127673</v>
      </c>
      <c r="K705" s="68" t="b">
        <v>1</v>
      </c>
    </row>
    <row r="706" hidden="1">
      <c r="A706" s="75">
        <v>700.0</v>
      </c>
      <c r="B706" s="62" t="s">
        <v>508</v>
      </c>
      <c r="C706" s="62" t="s">
        <v>102</v>
      </c>
      <c r="D706" s="62" t="s">
        <v>511</v>
      </c>
      <c r="E706" s="76">
        <v>43875.0</v>
      </c>
      <c r="F706" s="77">
        <v>0.11805555555555555</v>
      </c>
      <c r="G706" s="62" t="b">
        <v>0</v>
      </c>
      <c r="H706" s="78" t="b">
        <f>IF(VLOOKUP(C706,Projetos!A:L,12,false)=TRUE,TRUE,FALSE)</f>
        <v>0</v>
      </c>
      <c r="I706" s="68">
        <v>30.770922431703394</v>
      </c>
      <c r="J706" s="68">
        <f t="shared" si="1"/>
        <v>0</v>
      </c>
      <c r="K706" s="68" t="b">
        <v>0</v>
      </c>
    </row>
    <row r="707" hidden="1">
      <c r="A707" s="75">
        <v>701.0</v>
      </c>
      <c r="B707" s="62" t="s">
        <v>508</v>
      </c>
      <c r="C707" s="62" t="s">
        <v>102</v>
      </c>
      <c r="D707" s="62" t="s">
        <v>511</v>
      </c>
      <c r="E707" s="76">
        <v>43875.0</v>
      </c>
      <c r="F707" s="77">
        <v>0.017361111111111112</v>
      </c>
      <c r="G707" s="62" t="b">
        <v>0</v>
      </c>
      <c r="H707" s="78" t="b">
        <f>IF(VLOOKUP(C707,Projetos!A:L,12,false)=TRUE,TRUE,FALSE)</f>
        <v>0</v>
      </c>
      <c r="I707" s="68">
        <v>30.770922431703394</v>
      </c>
      <c r="J707" s="68">
        <f t="shared" si="1"/>
        <v>0</v>
      </c>
      <c r="K707" s="68" t="b">
        <v>0</v>
      </c>
    </row>
    <row r="708" hidden="1">
      <c r="A708" s="75">
        <v>702.0</v>
      </c>
      <c r="B708" s="62" t="s">
        <v>508</v>
      </c>
      <c r="C708" s="62" t="s">
        <v>102</v>
      </c>
      <c r="D708" s="62" t="s">
        <v>511</v>
      </c>
      <c r="E708" s="76">
        <v>43875.0</v>
      </c>
      <c r="F708" s="77">
        <v>0.020833333333333332</v>
      </c>
      <c r="G708" s="62" t="b">
        <v>0</v>
      </c>
      <c r="H708" s="78" t="b">
        <f>IF(VLOOKUP(C708,Projetos!A:L,12,false)=TRUE,TRUE,FALSE)</f>
        <v>0</v>
      </c>
      <c r="I708" s="68">
        <v>30.770922431703394</v>
      </c>
      <c r="J708" s="68">
        <f t="shared" si="1"/>
        <v>0</v>
      </c>
      <c r="K708" s="68" t="b">
        <v>0</v>
      </c>
    </row>
    <row r="709" hidden="1">
      <c r="A709" s="75">
        <v>703.0</v>
      </c>
      <c r="B709" s="62" t="s">
        <v>508</v>
      </c>
      <c r="C709" s="62" t="s">
        <v>102</v>
      </c>
      <c r="D709" s="62" t="s">
        <v>511</v>
      </c>
      <c r="E709" s="76">
        <v>43875.0</v>
      </c>
      <c r="F709" s="77">
        <v>0.005555555555555556</v>
      </c>
      <c r="G709" s="62" t="b">
        <v>0</v>
      </c>
      <c r="H709" s="78" t="b">
        <f>IF(VLOOKUP(C709,Projetos!A:L,12,false)=TRUE,TRUE,FALSE)</f>
        <v>0</v>
      </c>
      <c r="I709" s="68">
        <v>30.770922431703394</v>
      </c>
      <c r="J709" s="68">
        <f t="shared" si="1"/>
        <v>0</v>
      </c>
      <c r="K709" s="68" t="b">
        <v>0</v>
      </c>
    </row>
    <row r="710" hidden="1">
      <c r="A710" s="75">
        <v>704.0</v>
      </c>
      <c r="B710" s="62" t="s">
        <v>508</v>
      </c>
      <c r="C710" s="62" t="s">
        <v>102</v>
      </c>
      <c r="D710" s="62" t="s">
        <v>511</v>
      </c>
      <c r="E710" s="76">
        <v>43868.0</v>
      </c>
      <c r="F710" s="77">
        <v>0.19791666666666666</v>
      </c>
      <c r="G710" s="62" t="b">
        <v>0</v>
      </c>
      <c r="H710" s="78" t="b">
        <f>IF(VLOOKUP(C710,Projetos!A:L,12,false)=TRUE,TRUE,FALSE)</f>
        <v>0</v>
      </c>
      <c r="I710" s="68">
        <v>30.770922431703394</v>
      </c>
      <c r="J710" s="68">
        <f t="shared" si="1"/>
        <v>0</v>
      </c>
      <c r="K710" s="68" t="b">
        <v>0</v>
      </c>
    </row>
    <row r="711" hidden="1">
      <c r="A711" s="75">
        <v>705.0</v>
      </c>
      <c r="B711" s="62" t="s">
        <v>508</v>
      </c>
      <c r="C711" s="62" t="s">
        <v>138</v>
      </c>
      <c r="D711" s="62" t="s">
        <v>515</v>
      </c>
      <c r="E711" s="76">
        <v>43921.0</v>
      </c>
      <c r="F711" s="77">
        <v>0.04375</v>
      </c>
      <c r="G711" s="62" t="b">
        <v>1</v>
      </c>
      <c r="H711" s="78" t="b">
        <f>IF(VLOOKUP(C711,Projetos!A:L,12,false)=TRUE,TRUE,FALSE)</f>
        <v>1</v>
      </c>
      <c r="I711" s="68">
        <v>32.2362044522607</v>
      </c>
      <c r="J711" s="68">
        <f t="shared" si="1"/>
        <v>33.84801467</v>
      </c>
      <c r="K711" s="68" t="b">
        <v>1</v>
      </c>
    </row>
    <row r="712" hidden="1">
      <c r="A712" s="75">
        <v>706.0</v>
      </c>
      <c r="B712" s="62" t="s">
        <v>508</v>
      </c>
      <c r="C712" s="62" t="s">
        <v>103</v>
      </c>
      <c r="D712" s="62" t="s">
        <v>516</v>
      </c>
      <c r="E712" s="76">
        <v>43920.0</v>
      </c>
      <c r="F712" s="77">
        <v>0.09375</v>
      </c>
      <c r="G712" s="62" t="b">
        <v>1</v>
      </c>
      <c r="H712" s="78" t="b">
        <f>IF(VLOOKUP(C712,Projetos!A:L,12,false)=TRUE,TRUE,FALSE)</f>
        <v>1</v>
      </c>
      <c r="I712" s="68">
        <v>32.2362044522607</v>
      </c>
      <c r="J712" s="68">
        <f t="shared" si="1"/>
        <v>72.53146002</v>
      </c>
      <c r="K712" s="68" t="b">
        <v>1</v>
      </c>
    </row>
    <row r="713" hidden="1">
      <c r="A713" s="75">
        <v>707.0</v>
      </c>
      <c r="B713" s="62" t="s">
        <v>508</v>
      </c>
      <c r="C713" s="62" t="s">
        <v>109</v>
      </c>
      <c r="D713" s="62" t="s">
        <v>517</v>
      </c>
      <c r="E713" s="76">
        <v>43920.0</v>
      </c>
      <c r="F713" s="77">
        <v>0.3229166666666667</v>
      </c>
      <c r="G713" s="62" t="b">
        <v>0</v>
      </c>
      <c r="H713" s="78" t="b">
        <f>IF(VLOOKUP(C713,Projetos!A:L,12,false)=TRUE,TRUE,FALSE)</f>
        <v>0</v>
      </c>
      <c r="I713" s="68">
        <v>32.2362044522607</v>
      </c>
      <c r="J713" s="68">
        <f t="shared" si="1"/>
        <v>0</v>
      </c>
      <c r="K713" s="68" t="b">
        <v>0</v>
      </c>
    </row>
    <row r="714" hidden="1">
      <c r="A714" s="75">
        <v>708.0</v>
      </c>
      <c r="B714" s="62" t="s">
        <v>508</v>
      </c>
      <c r="C714" s="62" t="s">
        <v>109</v>
      </c>
      <c r="D714" s="62" t="s">
        <v>518</v>
      </c>
      <c r="E714" s="76">
        <v>43899.0</v>
      </c>
      <c r="F714" s="77">
        <v>0.020833333333333332</v>
      </c>
      <c r="G714" s="62" t="b">
        <v>0</v>
      </c>
      <c r="H714" s="78" t="b">
        <f>IF(VLOOKUP(C714,Projetos!A:L,12,false)=TRUE,TRUE,FALSE)</f>
        <v>0</v>
      </c>
      <c r="I714" s="68">
        <v>32.2362044522607</v>
      </c>
      <c r="J714" s="68">
        <f t="shared" si="1"/>
        <v>0</v>
      </c>
      <c r="K714" s="68" t="b">
        <v>0</v>
      </c>
    </row>
    <row r="715" hidden="1">
      <c r="A715" s="75">
        <v>709.0</v>
      </c>
      <c r="B715" s="62" t="s">
        <v>508</v>
      </c>
      <c r="C715" s="62" t="s">
        <v>98</v>
      </c>
      <c r="D715" s="62" t="s">
        <v>518</v>
      </c>
      <c r="E715" s="76">
        <v>43902.0</v>
      </c>
      <c r="F715" s="77">
        <v>0.020833333333333332</v>
      </c>
      <c r="G715" s="62" t="b">
        <v>0</v>
      </c>
      <c r="H715" s="78" t="b">
        <f>IF(VLOOKUP(C715,Projetos!A:L,12,false)=TRUE,TRUE,FALSE)</f>
        <v>1</v>
      </c>
      <c r="I715" s="68">
        <v>32.2362044522607</v>
      </c>
      <c r="J715" s="68">
        <f t="shared" si="1"/>
        <v>0</v>
      </c>
      <c r="K715" s="68" t="b">
        <v>1</v>
      </c>
    </row>
    <row r="716" hidden="1">
      <c r="A716" s="75">
        <v>710.0</v>
      </c>
      <c r="B716" s="62" t="s">
        <v>508</v>
      </c>
      <c r="C716" s="62" t="s">
        <v>101</v>
      </c>
      <c r="D716" s="62" t="s">
        <v>147</v>
      </c>
      <c r="E716" s="76">
        <v>43951.0</v>
      </c>
      <c r="F716" s="77">
        <v>0.027777777777777776</v>
      </c>
      <c r="G716" s="62" t="b">
        <v>1</v>
      </c>
      <c r="H716" s="78" t="b">
        <f>IF(VLOOKUP(C716,Projetos!A:L,12,false)=TRUE,TRUE,FALSE)</f>
        <v>1</v>
      </c>
      <c r="I716" s="68">
        <v>30.770922431703394</v>
      </c>
      <c r="J716" s="68">
        <f t="shared" si="1"/>
        <v>20.51394829</v>
      </c>
      <c r="K716" s="68" t="b">
        <v>1</v>
      </c>
    </row>
    <row r="717" hidden="1">
      <c r="A717" s="75">
        <v>711.0</v>
      </c>
      <c r="B717" s="62" t="s">
        <v>508</v>
      </c>
      <c r="C717" s="62" t="s">
        <v>101</v>
      </c>
      <c r="D717" s="62" t="s">
        <v>148</v>
      </c>
      <c r="E717" s="76">
        <v>43950.0</v>
      </c>
      <c r="F717" s="77">
        <v>0.10416666666666667</v>
      </c>
      <c r="G717" s="62" t="b">
        <v>1</v>
      </c>
      <c r="H717" s="78" t="b">
        <f>IF(VLOOKUP(C717,Projetos!A:L,12,false)=TRUE,TRUE,FALSE)</f>
        <v>1</v>
      </c>
      <c r="I717" s="68">
        <v>30.770922431703394</v>
      </c>
      <c r="J717" s="68">
        <f t="shared" si="1"/>
        <v>76.92730608</v>
      </c>
      <c r="K717" s="68" t="b">
        <v>1</v>
      </c>
    </row>
    <row r="718" hidden="1">
      <c r="A718" s="75">
        <v>712.0</v>
      </c>
      <c r="B718" s="62" t="s">
        <v>508</v>
      </c>
      <c r="C718" s="62" t="s">
        <v>138</v>
      </c>
      <c r="D718" s="62" t="s">
        <v>149</v>
      </c>
      <c r="E718" s="76">
        <v>43950.0</v>
      </c>
      <c r="F718" s="77">
        <v>0.052083333333333336</v>
      </c>
      <c r="G718" s="62" t="b">
        <v>1</v>
      </c>
      <c r="H718" s="78" t="b">
        <f>IF(VLOOKUP(C718,Projetos!A:L,12,false)=TRUE,TRUE,FALSE)</f>
        <v>1</v>
      </c>
      <c r="I718" s="68">
        <v>30.770922431703394</v>
      </c>
      <c r="J718" s="68">
        <f t="shared" si="1"/>
        <v>38.46365304</v>
      </c>
      <c r="K718" s="68" t="b">
        <v>1</v>
      </c>
    </row>
    <row r="719" hidden="1">
      <c r="A719" s="75">
        <v>713.0</v>
      </c>
      <c r="B719" s="62" t="s">
        <v>508</v>
      </c>
      <c r="C719" s="62" t="s">
        <v>101</v>
      </c>
      <c r="D719" s="62" t="s">
        <v>148</v>
      </c>
      <c r="E719" s="76">
        <v>43934.0</v>
      </c>
      <c r="F719" s="77">
        <v>0.09375</v>
      </c>
      <c r="G719" s="62" t="b">
        <v>1</v>
      </c>
      <c r="H719" s="78" t="b">
        <f>IF(VLOOKUP(C719,Projetos!A:L,12,false)=TRUE,TRUE,FALSE)</f>
        <v>1</v>
      </c>
      <c r="I719" s="68">
        <v>30.770922431703394</v>
      </c>
      <c r="J719" s="68">
        <f t="shared" si="1"/>
        <v>69.23457547</v>
      </c>
      <c r="K719" s="68" t="b">
        <v>1</v>
      </c>
    </row>
    <row r="720" hidden="1">
      <c r="A720" s="75">
        <v>714.0</v>
      </c>
      <c r="B720" s="62" t="s">
        <v>508</v>
      </c>
      <c r="C720" s="62" t="s">
        <v>103</v>
      </c>
      <c r="D720" s="62" t="s">
        <v>519</v>
      </c>
      <c r="E720" s="76">
        <v>43950.0</v>
      </c>
      <c r="F720" s="77">
        <v>0.07291666666666667</v>
      </c>
      <c r="G720" s="62" t="b">
        <v>1</v>
      </c>
      <c r="H720" s="78" t="b">
        <f>IF(VLOOKUP(C720,Projetos!A:L,12,false)=TRUE,TRUE,FALSE)</f>
        <v>1</v>
      </c>
      <c r="I720" s="68">
        <v>30.770922431703394</v>
      </c>
      <c r="J720" s="68">
        <f t="shared" si="1"/>
        <v>53.84911426</v>
      </c>
      <c r="K720" s="68" t="b">
        <v>1</v>
      </c>
    </row>
    <row r="721" hidden="1">
      <c r="A721" s="75">
        <v>715.0</v>
      </c>
      <c r="B721" s="62" t="s">
        <v>508</v>
      </c>
      <c r="C721" s="62" t="s">
        <v>138</v>
      </c>
      <c r="D721" s="62" t="s">
        <v>151</v>
      </c>
      <c r="E721" s="76">
        <v>43973.0</v>
      </c>
      <c r="F721" s="77">
        <v>0.14583333333333334</v>
      </c>
      <c r="G721" s="62" t="b">
        <v>1</v>
      </c>
      <c r="H721" s="78" t="b">
        <f>IF(VLOOKUP(C721,Projetos!A:L,12,false)=TRUE,TRUE,FALSE)</f>
        <v>1</v>
      </c>
      <c r="I721" s="68">
        <v>32.2362044522607</v>
      </c>
      <c r="J721" s="68">
        <f t="shared" si="1"/>
        <v>112.8267156</v>
      </c>
      <c r="K721" s="68" t="b">
        <v>1</v>
      </c>
    </row>
    <row r="722" hidden="1">
      <c r="A722" s="75">
        <v>716.0</v>
      </c>
      <c r="B722" s="62" t="s">
        <v>508</v>
      </c>
      <c r="C722" s="62" t="s">
        <v>101</v>
      </c>
      <c r="D722" s="62" t="s">
        <v>152</v>
      </c>
      <c r="E722" s="76">
        <v>43966.0</v>
      </c>
      <c r="F722" s="77">
        <v>0.0625</v>
      </c>
      <c r="G722" s="62" t="b">
        <v>1</v>
      </c>
      <c r="H722" s="78" t="b">
        <f>IF(VLOOKUP(C722,Projetos!A:L,12,false)=TRUE,TRUE,FALSE)</f>
        <v>1</v>
      </c>
      <c r="I722" s="68">
        <v>32.2362044522607</v>
      </c>
      <c r="J722" s="68">
        <f t="shared" si="1"/>
        <v>48.35430668</v>
      </c>
      <c r="K722" s="68" t="b">
        <v>1</v>
      </c>
    </row>
    <row r="723" hidden="1">
      <c r="A723" s="75">
        <v>717.0</v>
      </c>
      <c r="B723" s="62" t="s">
        <v>508</v>
      </c>
      <c r="C723" s="62" t="s">
        <v>109</v>
      </c>
      <c r="D723" s="62" t="s">
        <v>159</v>
      </c>
      <c r="E723" s="76">
        <v>43983.0</v>
      </c>
      <c r="F723" s="77">
        <v>0.4166666666666667</v>
      </c>
      <c r="G723" s="62" t="b">
        <v>0</v>
      </c>
      <c r="H723" s="78" t="b">
        <f>IF(VLOOKUP(C723,Projetos!A:L,12,false)=TRUE,TRUE,FALSE)</f>
        <v>0</v>
      </c>
      <c r="I723" s="68">
        <v>30.770922431703394</v>
      </c>
      <c r="J723" s="68">
        <f t="shared" si="1"/>
        <v>0</v>
      </c>
      <c r="K723" s="68" t="b">
        <v>0</v>
      </c>
    </row>
    <row r="724" hidden="1">
      <c r="A724" s="75">
        <v>718.0</v>
      </c>
      <c r="B724" s="62" t="s">
        <v>508</v>
      </c>
      <c r="C724" s="62" t="s">
        <v>109</v>
      </c>
      <c r="D724" s="62" t="s">
        <v>160</v>
      </c>
      <c r="E724" s="76">
        <v>43985.0</v>
      </c>
      <c r="F724" s="77">
        <v>0.08333333333333333</v>
      </c>
      <c r="G724" s="62" t="b">
        <v>0</v>
      </c>
      <c r="H724" s="78" t="b">
        <f>IF(VLOOKUP(C724,Projetos!A:L,12,false)=TRUE,TRUE,FALSE)</f>
        <v>0</v>
      </c>
      <c r="I724" s="68">
        <v>30.770922431703394</v>
      </c>
      <c r="J724" s="68">
        <f t="shared" si="1"/>
        <v>0</v>
      </c>
      <c r="K724" s="68" t="b">
        <v>0</v>
      </c>
    </row>
    <row r="725" hidden="1">
      <c r="A725" s="75">
        <v>719.0</v>
      </c>
      <c r="B725" s="62" t="s">
        <v>508</v>
      </c>
      <c r="C725" s="62" t="s">
        <v>109</v>
      </c>
      <c r="D725" s="62" t="s">
        <v>161</v>
      </c>
      <c r="E725" s="76">
        <v>43992.0</v>
      </c>
      <c r="F725" s="77">
        <v>0.3333333333333333</v>
      </c>
      <c r="G725" s="62" t="b">
        <v>0</v>
      </c>
      <c r="H725" s="78" t="b">
        <f>IF(VLOOKUP(C725,Projetos!A:L,12,false)=TRUE,TRUE,FALSE)</f>
        <v>0</v>
      </c>
      <c r="I725" s="68">
        <v>30.770922431703394</v>
      </c>
      <c r="J725" s="68">
        <f t="shared" si="1"/>
        <v>0</v>
      </c>
      <c r="K725" s="68" t="b">
        <v>0</v>
      </c>
    </row>
    <row r="726" hidden="1">
      <c r="A726" s="75">
        <v>720.0</v>
      </c>
      <c r="B726" s="62" t="s">
        <v>508</v>
      </c>
      <c r="C726" s="62" t="s">
        <v>103</v>
      </c>
      <c r="D726" s="62" t="s">
        <v>162</v>
      </c>
      <c r="E726" s="76">
        <v>43999.0</v>
      </c>
      <c r="F726" s="77">
        <v>0.25</v>
      </c>
      <c r="G726" s="62" t="b">
        <v>1</v>
      </c>
      <c r="H726" s="78" t="b">
        <f>IF(VLOOKUP(C726,Projetos!A:L,12,false)=TRUE,TRUE,FALSE)</f>
        <v>1</v>
      </c>
      <c r="I726" s="68">
        <v>30.770922431703394</v>
      </c>
      <c r="J726" s="68">
        <f t="shared" si="1"/>
        <v>184.6255346</v>
      </c>
      <c r="K726" s="68" t="b">
        <v>1</v>
      </c>
    </row>
    <row r="727" hidden="1">
      <c r="A727" s="75">
        <v>721.0</v>
      </c>
      <c r="B727" s="62" t="s">
        <v>508</v>
      </c>
      <c r="C727" s="62" t="s">
        <v>101</v>
      </c>
      <c r="D727" s="62" t="s">
        <v>163</v>
      </c>
      <c r="E727" s="76">
        <v>44000.0</v>
      </c>
      <c r="F727" s="77">
        <v>0.041666666666666664</v>
      </c>
      <c r="G727" s="62" t="b">
        <v>1</v>
      </c>
      <c r="H727" s="78" t="b">
        <f>IF(VLOOKUP(C727,Projetos!A:L,12,false)=TRUE,TRUE,FALSE)</f>
        <v>1</v>
      </c>
      <c r="I727" s="68">
        <v>30.770922431703394</v>
      </c>
      <c r="J727" s="68">
        <f t="shared" si="1"/>
        <v>30.77092243</v>
      </c>
      <c r="K727" s="68" t="b">
        <v>1</v>
      </c>
    </row>
    <row r="728" hidden="1">
      <c r="A728" s="75">
        <v>722.0</v>
      </c>
      <c r="B728" s="62" t="s">
        <v>508</v>
      </c>
      <c r="C728" s="62" t="s">
        <v>101</v>
      </c>
      <c r="D728" s="62" t="s">
        <v>152</v>
      </c>
      <c r="E728" s="76">
        <v>44028.0</v>
      </c>
      <c r="F728" s="77">
        <v>0.25</v>
      </c>
      <c r="G728" s="62" t="b">
        <v>1</v>
      </c>
      <c r="H728" s="78" t="b">
        <f>IF(VLOOKUP(C728,Projetos!A:L,12,false)=TRUE,TRUE,FALSE)</f>
        <v>1</v>
      </c>
      <c r="I728" s="68">
        <v>32.2362044522607</v>
      </c>
      <c r="J728" s="68">
        <f t="shared" si="1"/>
        <v>193.4172267</v>
      </c>
      <c r="K728" s="68" t="b">
        <v>1</v>
      </c>
    </row>
    <row r="729" hidden="1">
      <c r="A729" s="75">
        <v>723.0</v>
      </c>
      <c r="B729" s="62" t="s">
        <v>508</v>
      </c>
      <c r="C729" s="62" t="s">
        <v>102</v>
      </c>
      <c r="D729" s="62" t="s">
        <v>167</v>
      </c>
      <c r="E729" s="76">
        <v>44049.0</v>
      </c>
      <c r="F729" s="77">
        <v>0.0625</v>
      </c>
      <c r="G729" s="62" t="b">
        <v>0</v>
      </c>
      <c r="H729" s="78" t="b">
        <f>IF(VLOOKUP(C729,Projetos!A:L,12,false)=TRUE,TRUE,FALSE)</f>
        <v>0</v>
      </c>
      <c r="I729" s="68">
        <v>32.2362044522607</v>
      </c>
      <c r="J729" s="68">
        <f t="shared" si="1"/>
        <v>0</v>
      </c>
      <c r="K729" s="68" t="b">
        <v>0</v>
      </c>
    </row>
    <row r="730" hidden="1">
      <c r="A730" s="75">
        <v>724.0</v>
      </c>
      <c r="B730" s="62" t="s">
        <v>508</v>
      </c>
      <c r="C730" s="62" t="s">
        <v>98</v>
      </c>
      <c r="D730" s="62" t="s">
        <v>520</v>
      </c>
      <c r="E730" s="76">
        <v>44049.0</v>
      </c>
      <c r="F730" s="77">
        <v>0.0625</v>
      </c>
      <c r="G730" s="62" t="b">
        <v>1</v>
      </c>
      <c r="H730" s="78" t="b">
        <f>IF(VLOOKUP(C730,Projetos!A:L,12,false)=TRUE,TRUE,FALSE)</f>
        <v>1</v>
      </c>
      <c r="I730" s="68">
        <v>32.2362044522607</v>
      </c>
      <c r="J730" s="68">
        <f t="shared" si="1"/>
        <v>48.35430668</v>
      </c>
      <c r="K730" s="68" t="b">
        <v>1</v>
      </c>
    </row>
    <row r="731" hidden="1">
      <c r="A731" s="75">
        <v>725.0</v>
      </c>
      <c r="B731" s="62" t="s">
        <v>508</v>
      </c>
      <c r="C731" s="62" t="s">
        <v>102</v>
      </c>
      <c r="D731" s="62" t="s">
        <v>169</v>
      </c>
      <c r="E731" s="76">
        <v>44050.0</v>
      </c>
      <c r="F731" s="77">
        <v>0.2916666666666667</v>
      </c>
      <c r="G731" s="62" t="b">
        <v>0</v>
      </c>
      <c r="H731" s="78" t="b">
        <f>IF(VLOOKUP(C731,Projetos!A:L,12,false)=TRUE,TRUE,FALSE)</f>
        <v>0</v>
      </c>
      <c r="I731" s="68">
        <v>32.2362044522607</v>
      </c>
      <c r="J731" s="68">
        <f t="shared" si="1"/>
        <v>0</v>
      </c>
      <c r="K731" s="68" t="b">
        <v>0</v>
      </c>
    </row>
    <row r="732" hidden="1">
      <c r="A732" s="75">
        <v>726.0</v>
      </c>
      <c r="B732" s="62" t="s">
        <v>508</v>
      </c>
      <c r="C732" s="62" t="s">
        <v>102</v>
      </c>
      <c r="D732" s="62" t="s">
        <v>169</v>
      </c>
      <c r="E732" s="76">
        <v>44053.0</v>
      </c>
      <c r="F732" s="77">
        <v>0.25</v>
      </c>
      <c r="G732" s="62" t="b">
        <v>0</v>
      </c>
      <c r="H732" s="78" t="b">
        <f>IF(VLOOKUP(C732,Projetos!A:L,12,false)=TRUE,TRUE,FALSE)</f>
        <v>0</v>
      </c>
      <c r="I732" s="68">
        <v>32.2362044522607</v>
      </c>
      <c r="J732" s="68">
        <f t="shared" si="1"/>
        <v>0</v>
      </c>
      <c r="K732" s="68" t="b">
        <v>0</v>
      </c>
    </row>
    <row r="733" hidden="1">
      <c r="A733" s="75">
        <v>727.0</v>
      </c>
      <c r="B733" s="62" t="s">
        <v>508</v>
      </c>
      <c r="C733" s="62" t="s">
        <v>102</v>
      </c>
      <c r="D733" s="62" t="s">
        <v>169</v>
      </c>
      <c r="E733" s="76">
        <v>44054.0</v>
      </c>
      <c r="F733" s="77">
        <v>0.20833333333333334</v>
      </c>
      <c r="G733" s="62" t="b">
        <v>0</v>
      </c>
      <c r="H733" s="78" t="b">
        <f>IF(VLOOKUP(C733,Projetos!A:L,12,false)=TRUE,TRUE,FALSE)</f>
        <v>0</v>
      </c>
      <c r="I733" s="68">
        <v>32.2362044522607</v>
      </c>
      <c r="J733" s="68">
        <f t="shared" si="1"/>
        <v>0</v>
      </c>
      <c r="K733" s="68" t="b">
        <v>0</v>
      </c>
    </row>
    <row r="734" hidden="1">
      <c r="A734" s="75">
        <v>728.0</v>
      </c>
      <c r="B734" s="62" t="s">
        <v>508</v>
      </c>
      <c r="C734" s="62" t="s">
        <v>102</v>
      </c>
      <c r="D734" s="62" t="s">
        <v>319</v>
      </c>
      <c r="E734" s="76">
        <v>44060.0</v>
      </c>
      <c r="F734" s="77">
        <v>0.23958333333333334</v>
      </c>
      <c r="G734" s="62" t="b">
        <v>0</v>
      </c>
      <c r="H734" s="78" t="b">
        <f>IF(VLOOKUP(C734,Projetos!A:L,12,false)=TRUE,TRUE,FALSE)</f>
        <v>0</v>
      </c>
      <c r="I734" s="68">
        <v>32.2362044522607</v>
      </c>
      <c r="J734" s="68">
        <f t="shared" si="1"/>
        <v>0</v>
      </c>
      <c r="K734" s="68" t="b">
        <v>0</v>
      </c>
    </row>
    <row r="735" hidden="1">
      <c r="A735" s="75">
        <v>729.0</v>
      </c>
      <c r="B735" s="62" t="s">
        <v>508</v>
      </c>
      <c r="C735" s="62" t="s">
        <v>98</v>
      </c>
      <c r="D735" s="62" t="s">
        <v>325</v>
      </c>
      <c r="E735" s="76">
        <v>44068.0</v>
      </c>
      <c r="F735" s="77">
        <v>0.1111111111111111</v>
      </c>
      <c r="G735" s="62" t="b">
        <v>1</v>
      </c>
      <c r="H735" s="78" t="b">
        <f>IF(VLOOKUP(C735,Projetos!A:L,12,false)=TRUE,TRUE,FALSE)</f>
        <v>1</v>
      </c>
      <c r="I735" s="68">
        <v>32.2362044522607</v>
      </c>
      <c r="J735" s="68">
        <f t="shared" si="1"/>
        <v>85.96321187</v>
      </c>
      <c r="K735" s="68" t="b">
        <v>1</v>
      </c>
    </row>
    <row r="736" hidden="1">
      <c r="A736" s="75">
        <v>730.0</v>
      </c>
      <c r="B736" s="62" t="s">
        <v>508</v>
      </c>
      <c r="C736" s="62" t="s">
        <v>103</v>
      </c>
      <c r="D736" s="62" t="s">
        <v>170</v>
      </c>
      <c r="E736" s="76">
        <v>44077.0</v>
      </c>
      <c r="F736" s="77">
        <v>0.08333333333333333</v>
      </c>
      <c r="G736" s="62" t="b">
        <v>1</v>
      </c>
      <c r="H736" s="78" t="b">
        <f>IF(VLOOKUP(C736,Projetos!A:L,12,false)=TRUE,TRUE,FALSE)</f>
        <v>1</v>
      </c>
      <c r="I736" s="68">
        <v>30.770922431703394</v>
      </c>
      <c r="J736" s="68">
        <f t="shared" si="1"/>
        <v>61.54184486</v>
      </c>
      <c r="K736" s="68" t="b">
        <v>1</v>
      </c>
    </row>
    <row r="737" hidden="1">
      <c r="A737" s="75">
        <v>731.0</v>
      </c>
      <c r="B737" s="62" t="s">
        <v>508</v>
      </c>
      <c r="C737" s="62" t="s">
        <v>101</v>
      </c>
      <c r="D737" s="62" t="s">
        <v>171</v>
      </c>
      <c r="E737" s="76">
        <v>44078.0</v>
      </c>
      <c r="F737" s="77">
        <v>0.08333333333333333</v>
      </c>
      <c r="G737" s="62" t="b">
        <v>1</v>
      </c>
      <c r="H737" s="78" t="b">
        <f>IF(VLOOKUP(C737,Projetos!A:L,12,false)=TRUE,TRUE,FALSE)</f>
        <v>1</v>
      </c>
      <c r="I737" s="68">
        <v>30.770922431703394</v>
      </c>
      <c r="J737" s="68">
        <f t="shared" si="1"/>
        <v>61.54184486</v>
      </c>
      <c r="K737" s="68" t="b">
        <v>1</v>
      </c>
    </row>
    <row r="738" hidden="1">
      <c r="A738" s="75">
        <v>732.0</v>
      </c>
      <c r="B738" s="62" t="s">
        <v>508</v>
      </c>
      <c r="C738" s="62" t="s">
        <v>101</v>
      </c>
      <c r="D738" s="62" t="s">
        <v>173</v>
      </c>
      <c r="E738" s="76">
        <v>44078.0</v>
      </c>
      <c r="F738" s="77">
        <v>0.041666666666666664</v>
      </c>
      <c r="G738" s="62" t="b">
        <v>1</v>
      </c>
      <c r="H738" s="78" t="b">
        <f>IF(VLOOKUP(C738,Projetos!A:L,12,false)=TRUE,TRUE,FALSE)</f>
        <v>1</v>
      </c>
      <c r="I738" s="68">
        <v>30.770922431703394</v>
      </c>
      <c r="J738" s="68">
        <f t="shared" si="1"/>
        <v>30.77092243</v>
      </c>
      <c r="K738" s="68" t="b">
        <v>1</v>
      </c>
    </row>
    <row r="739" hidden="1">
      <c r="A739" s="75">
        <v>733.0</v>
      </c>
      <c r="B739" s="62" t="s">
        <v>508</v>
      </c>
      <c r="C739" s="62" t="s">
        <v>102</v>
      </c>
      <c r="D739" s="62" t="s">
        <v>521</v>
      </c>
      <c r="E739" s="76">
        <v>44104.0</v>
      </c>
      <c r="F739" s="77">
        <v>0.041666666666666664</v>
      </c>
      <c r="G739" s="62" t="b">
        <v>0</v>
      </c>
      <c r="H739" s="78" t="b">
        <f>IF(VLOOKUP(C739,Projetos!A:L,12,false)=TRUE,TRUE,FALSE)</f>
        <v>0</v>
      </c>
      <c r="I739" s="68">
        <v>30.770922431703394</v>
      </c>
      <c r="J739" s="68">
        <f t="shared" si="1"/>
        <v>0</v>
      </c>
      <c r="K739" s="68" t="b">
        <v>0</v>
      </c>
    </row>
    <row r="740" hidden="1">
      <c r="A740" s="75">
        <v>734.0</v>
      </c>
      <c r="B740" s="62" t="s">
        <v>508</v>
      </c>
      <c r="C740" s="62" t="s">
        <v>98</v>
      </c>
      <c r="D740" s="62" t="s">
        <v>522</v>
      </c>
      <c r="E740" s="76">
        <v>44105.0</v>
      </c>
      <c r="F740" s="77">
        <v>0.04861111111111111</v>
      </c>
      <c r="G740" s="62" t="b">
        <v>1</v>
      </c>
      <c r="H740" s="78" t="b">
        <f>IF(VLOOKUP(C740,Projetos!A:L,12,false)=TRUE,TRUE,FALSE)</f>
        <v>1</v>
      </c>
      <c r="I740" s="68">
        <v>32.2362044522607</v>
      </c>
      <c r="J740" s="68">
        <f t="shared" si="1"/>
        <v>37.60890519</v>
      </c>
      <c r="K740" s="68" t="b">
        <v>1</v>
      </c>
    </row>
    <row r="741" hidden="1">
      <c r="A741" s="75">
        <v>735.0</v>
      </c>
      <c r="B741" s="62" t="s">
        <v>508</v>
      </c>
      <c r="C741" s="62" t="s">
        <v>101</v>
      </c>
      <c r="D741" s="62" t="s">
        <v>152</v>
      </c>
      <c r="E741" s="76">
        <v>44106.0</v>
      </c>
      <c r="F741" s="77">
        <v>0.08333333333333333</v>
      </c>
      <c r="G741" s="62" t="b">
        <v>1</v>
      </c>
      <c r="H741" s="78" t="b">
        <f>IF(VLOOKUP(C741,Projetos!A:L,12,false)=TRUE,TRUE,FALSE)</f>
        <v>1</v>
      </c>
      <c r="I741" s="68">
        <v>32.2362044522607</v>
      </c>
      <c r="J741" s="68">
        <f t="shared" si="1"/>
        <v>64.4724089</v>
      </c>
      <c r="K741" s="68" t="b">
        <v>1</v>
      </c>
    </row>
    <row r="742" hidden="1">
      <c r="A742" s="75">
        <v>736.0</v>
      </c>
      <c r="B742" s="62" t="s">
        <v>508</v>
      </c>
      <c r="C742" s="62" t="s">
        <v>108</v>
      </c>
      <c r="D742" s="62" t="s">
        <v>523</v>
      </c>
      <c r="E742" s="76">
        <v>44123.0</v>
      </c>
      <c r="F742" s="77">
        <v>0.14583333333333334</v>
      </c>
      <c r="G742" s="62" t="b">
        <v>0</v>
      </c>
      <c r="H742" s="78" t="b">
        <f>IF(VLOOKUP(C742,Projetos!A:L,12,false)=TRUE,TRUE,FALSE)</f>
        <v>1</v>
      </c>
      <c r="I742" s="68">
        <v>32.2362044522607</v>
      </c>
      <c r="J742" s="68">
        <f t="shared" si="1"/>
        <v>0</v>
      </c>
      <c r="K742" s="68" t="b">
        <v>1</v>
      </c>
    </row>
    <row r="743" hidden="1">
      <c r="A743" s="75">
        <v>737.0</v>
      </c>
      <c r="B743" s="62" t="s">
        <v>508</v>
      </c>
      <c r="C743" s="62" t="s">
        <v>108</v>
      </c>
      <c r="D743" s="62" t="s">
        <v>524</v>
      </c>
      <c r="E743" s="76">
        <v>44130.0</v>
      </c>
      <c r="F743" s="77">
        <v>0.027777777777777776</v>
      </c>
      <c r="G743" s="62" t="b">
        <v>0</v>
      </c>
      <c r="H743" s="78" t="b">
        <f>IF(VLOOKUP(C743,Projetos!A:L,12,false)=TRUE,TRUE,FALSE)</f>
        <v>1</v>
      </c>
      <c r="I743" s="68">
        <v>32.2362044522607</v>
      </c>
      <c r="J743" s="68">
        <f t="shared" si="1"/>
        <v>0</v>
      </c>
      <c r="K743" s="68" t="b">
        <v>1</v>
      </c>
    </row>
    <row r="744" hidden="1">
      <c r="A744" s="75">
        <v>738.0</v>
      </c>
      <c r="B744" s="62" t="s">
        <v>508</v>
      </c>
      <c r="C744" s="62" t="s">
        <v>101</v>
      </c>
      <c r="D744" s="62" t="s">
        <v>177</v>
      </c>
      <c r="E744" s="76">
        <v>44147.0</v>
      </c>
      <c r="F744" s="77">
        <v>0.125</v>
      </c>
      <c r="G744" s="62" t="b">
        <v>1</v>
      </c>
      <c r="H744" s="78" t="b">
        <f>IF(VLOOKUP(C744,Projetos!A:L,12,false)=TRUE,TRUE,FALSE)</f>
        <v>1</v>
      </c>
      <c r="I744" s="68">
        <v>31.275539241850318</v>
      </c>
      <c r="J744" s="68">
        <f t="shared" si="1"/>
        <v>93.82661773</v>
      </c>
      <c r="K744" s="68" t="b">
        <v>1</v>
      </c>
    </row>
    <row r="745" hidden="1">
      <c r="A745" s="75">
        <v>739.0</v>
      </c>
      <c r="B745" s="62" t="s">
        <v>508</v>
      </c>
      <c r="C745" s="62" t="s">
        <v>101</v>
      </c>
      <c r="D745" s="62" t="s">
        <v>178</v>
      </c>
      <c r="E745" s="76">
        <v>44165.0</v>
      </c>
      <c r="F745" s="77">
        <v>0.05555555555555555</v>
      </c>
      <c r="G745" s="62" t="b">
        <v>1</v>
      </c>
      <c r="H745" s="78" t="b">
        <f>IF(VLOOKUP(C745,Projetos!A:L,12,false)=TRUE,TRUE,FALSE)</f>
        <v>1</v>
      </c>
      <c r="I745" s="68">
        <v>31.275539241850318</v>
      </c>
      <c r="J745" s="68">
        <f t="shared" si="1"/>
        <v>41.70071899</v>
      </c>
      <c r="K745" s="68" t="b">
        <v>1</v>
      </c>
    </row>
    <row r="746" hidden="1">
      <c r="A746" s="75">
        <v>740.0</v>
      </c>
      <c r="B746" s="62" t="s">
        <v>508</v>
      </c>
      <c r="C746" s="62" t="s">
        <v>103</v>
      </c>
      <c r="D746" s="62" t="s">
        <v>179</v>
      </c>
      <c r="E746" s="76">
        <v>44140.0</v>
      </c>
      <c r="F746" s="77">
        <v>0.10416666666666667</v>
      </c>
      <c r="G746" s="62" t="b">
        <v>1</v>
      </c>
      <c r="H746" s="78" t="b">
        <f>IF(VLOOKUP(C746,Projetos!A:L,12,false)=TRUE,TRUE,FALSE)</f>
        <v>1</v>
      </c>
      <c r="I746" s="68">
        <v>31.275539241850318</v>
      </c>
      <c r="J746" s="68">
        <f t="shared" si="1"/>
        <v>78.1888481</v>
      </c>
      <c r="K746" s="68" t="b">
        <v>1</v>
      </c>
    </row>
    <row r="747" hidden="1">
      <c r="A747" s="75">
        <v>741.0</v>
      </c>
      <c r="B747" s="62" t="s">
        <v>508</v>
      </c>
      <c r="C747" s="62" t="s">
        <v>102</v>
      </c>
      <c r="D747" s="62" t="s">
        <v>180</v>
      </c>
      <c r="E747" s="76">
        <v>44147.0</v>
      </c>
      <c r="F747" s="77">
        <v>0.041666666666666664</v>
      </c>
      <c r="G747" s="62" t="b">
        <v>0</v>
      </c>
      <c r="H747" s="78" t="b">
        <f>IF(VLOOKUP(C747,Projetos!A:L,12,false)=TRUE,TRUE,FALSE)</f>
        <v>0</v>
      </c>
      <c r="I747" s="68">
        <v>31.275539241850318</v>
      </c>
      <c r="J747" s="68">
        <f t="shared" si="1"/>
        <v>0</v>
      </c>
      <c r="K747" s="68" t="b">
        <v>0</v>
      </c>
    </row>
    <row r="748" hidden="1">
      <c r="A748" s="75">
        <v>742.0</v>
      </c>
      <c r="B748" s="62" t="s">
        <v>508</v>
      </c>
      <c r="C748" s="62" t="s">
        <v>102</v>
      </c>
      <c r="D748" s="62" t="s">
        <v>181</v>
      </c>
      <c r="E748" s="76">
        <v>44147.0</v>
      </c>
      <c r="F748" s="77">
        <v>0.125</v>
      </c>
      <c r="G748" s="62" t="b">
        <v>0</v>
      </c>
      <c r="H748" s="78" t="b">
        <f>IF(VLOOKUP(C748,Projetos!A:L,12,false)=TRUE,TRUE,FALSE)</f>
        <v>0</v>
      </c>
      <c r="I748" s="68">
        <v>31.275539241850318</v>
      </c>
      <c r="J748" s="68">
        <f t="shared" si="1"/>
        <v>0</v>
      </c>
      <c r="K748" s="68" t="b">
        <v>0</v>
      </c>
    </row>
    <row r="749" hidden="1">
      <c r="A749" s="75">
        <v>743.0</v>
      </c>
      <c r="B749" s="62" t="s">
        <v>508</v>
      </c>
      <c r="C749" s="62" t="s">
        <v>102</v>
      </c>
      <c r="D749" s="62" t="s">
        <v>182</v>
      </c>
      <c r="E749" s="76">
        <v>44155.0</v>
      </c>
      <c r="F749" s="77">
        <v>0.027777777777777776</v>
      </c>
      <c r="G749" s="62" t="b">
        <v>0</v>
      </c>
      <c r="H749" s="78" t="b">
        <f>IF(VLOOKUP(C749,Projetos!A:L,12,false)=TRUE,TRUE,FALSE)</f>
        <v>0</v>
      </c>
      <c r="I749" s="68">
        <v>31.275539241850318</v>
      </c>
      <c r="J749" s="68">
        <f t="shared" si="1"/>
        <v>0</v>
      </c>
      <c r="K749" s="68" t="b">
        <v>0</v>
      </c>
    </row>
    <row r="750" hidden="1">
      <c r="A750" s="75">
        <v>744.0</v>
      </c>
      <c r="B750" s="62" t="s">
        <v>508</v>
      </c>
      <c r="C750" s="62" t="s">
        <v>102</v>
      </c>
      <c r="D750" s="62" t="s">
        <v>183</v>
      </c>
      <c r="E750" s="76">
        <v>44152.0</v>
      </c>
      <c r="F750" s="77">
        <v>0.1111111111111111</v>
      </c>
      <c r="G750" s="62" t="b">
        <v>0</v>
      </c>
      <c r="H750" s="78" t="b">
        <f>IF(VLOOKUP(C750,Projetos!A:L,12,false)=TRUE,TRUE,FALSE)</f>
        <v>0</v>
      </c>
      <c r="I750" s="68">
        <v>31.275539241850318</v>
      </c>
      <c r="J750" s="68">
        <f t="shared" si="1"/>
        <v>0</v>
      </c>
      <c r="K750" s="68" t="b">
        <v>0</v>
      </c>
    </row>
    <row r="751" hidden="1">
      <c r="A751" s="75">
        <v>745.0</v>
      </c>
      <c r="B751" s="62" t="s">
        <v>508</v>
      </c>
      <c r="C751" s="62" t="s">
        <v>102</v>
      </c>
      <c r="D751" s="62" t="s">
        <v>184</v>
      </c>
      <c r="E751" s="76">
        <v>44153.0</v>
      </c>
      <c r="F751" s="77">
        <v>0.09722222222222222</v>
      </c>
      <c r="G751" s="62" t="b">
        <v>0</v>
      </c>
      <c r="H751" s="78" t="b">
        <f>IF(VLOOKUP(C751,Projetos!A:L,12,false)=TRUE,TRUE,FALSE)</f>
        <v>0</v>
      </c>
      <c r="I751" s="68">
        <v>31.275539241850318</v>
      </c>
      <c r="J751" s="68">
        <f t="shared" si="1"/>
        <v>0</v>
      </c>
      <c r="K751" s="68" t="b">
        <v>0</v>
      </c>
    </row>
    <row r="752" hidden="1">
      <c r="A752" s="75">
        <v>746.0</v>
      </c>
      <c r="B752" s="62" t="s">
        <v>508</v>
      </c>
      <c r="C752" s="62" t="s">
        <v>109</v>
      </c>
      <c r="D752" s="62" t="s">
        <v>185</v>
      </c>
      <c r="E752" s="76">
        <v>44154.0</v>
      </c>
      <c r="F752" s="77">
        <v>0.020833333333333332</v>
      </c>
      <c r="G752" s="62" t="b">
        <v>0</v>
      </c>
      <c r="H752" s="78" t="b">
        <f>IF(VLOOKUP(C752,Projetos!A:L,12,false)=TRUE,TRUE,FALSE)</f>
        <v>0</v>
      </c>
      <c r="I752" s="68">
        <v>31.275539241850318</v>
      </c>
      <c r="J752" s="68">
        <f t="shared" si="1"/>
        <v>0</v>
      </c>
      <c r="K752" s="68" t="b">
        <v>0</v>
      </c>
    </row>
    <row r="753" hidden="1">
      <c r="A753" s="75">
        <v>747.0</v>
      </c>
      <c r="B753" s="62" t="s">
        <v>508</v>
      </c>
      <c r="C753" s="62" t="s">
        <v>102</v>
      </c>
      <c r="D753" s="62" t="s">
        <v>186</v>
      </c>
      <c r="E753" s="76">
        <v>44161.0</v>
      </c>
      <c r="F753" s="77">
        <v>0.2520833333333333</v>
      </c>
      <c r="G753" s="62" t="b">
        <v>0</v>
      </c>
      <c r="H753" s="78" t="b">
        <f>IF(VLOOKUP(C753,Projetos!A:L,12,false)=TRUE,TRUE,FALSE)</f>
        <v>0</v>
      </c>
      <c r="I753" s="68">
        <v>31.275539241850318</v>
      </c>
      <c r="J753" s="68">
        <f t="shared" si="1"/>
        <v>0</v>
      </c>
      <c r="K753" s="68" t="b">
        <v>0</v>
      </c>
    </row>
    <row r="754" hidden="1">
      <c r="A754" s="75">
        <v>748.0</v>
      </c>
      <c r="B754" s="62" t="s">
        <v>508</v>
      </c>
      <c r="C754" s="62" t="s">
        <v>101</v>
      </c>
      <c r="D754" s="62" t="s">
        <v>525</v>
      </c>
      <c r="E754" s="76">
        <v>44166.0</v>
      </c>
      <c r="F754" s="77">
        <v>0.041666666666666664</v>
      </c>
      <c r="G754" s="62" t="b">
        <v>1</v>
      </c>
      <c r="H754" s="78" t="b">
        <f>IF(VLOOKUP(C754,Projetos!A:L,12,false)=TRUE,TRUE,FALSE)</f>
        <v>1</v>
      </c>
      <c r="I754" s="68">
        <v>32.76485063431939</v>
      </c>
      <c r="J754" s="68">
        <f t="shared" si="1"/>
        <v>32.76485063</v>
      </c>
      <c r="K754" s="68" t="b">
        <v>1</v>
      </c>
    </row>
    <row r="755" hidden="1">
      <c r="A755" s="75">
        <v>749.0</v>
      </c>
      <c r="B755" s="62" t="s">
        <v>508</v>
      </c>
      <c r="C755" s="62" t="s">
        <v>117</v>
      </c>
      <c r="D755" s="62" t="s">
        <v>526</v>
      </c>
      <c r="E755" s="76">
        <v>44166.0</v>
      </c>
      <c r="F755" s="77">
        <v>0.08333333333333333</v>
      </c>
      <c r="G755" s="62" t="b">
        <v>0</v>
      </c>
      <c r="H755" s="78" t="b">
        <f>IF(VLOOKUP(C755,Projetos!A:L,12,false)=TRUE,TRUE,FALSE)</f>
        <v>0</v>
      </c>
      <c r="I755" s="68">
        <v>32.76485063431939</v>
      </c>
      <c r="J755" s="68">
        <f t="shared" si="1"/>
        <v>0</v>
      </c>
      <c r="K755" s="68" t="b">
        <v>0</v>
      </c>
    </row>
    <row r="756" hidden="1">
      <c r="A756" s="75">
        <v>750.0</v>
      </c>
      <c r="B756" s="62" t="s">
        <v>508</v>
      </c>
      <c r="C756" s="62" t="s">
        <v>117</v>
      </c>
      <c r="D756" s="62" t="s">
        <v>527</v>
      </c>
      <c r="E756" s="76">
        <v>44172.0</v>
      </c>
      <c r="F756" s="77">
        <v>0.0625</v>
      </c>
      <c r="G756" s="62" t="b">
        <v>0</v>
      </c>
      <c r="H756" s="78" t="b">
        <f>IF(VLOOKUP(C756,Projetos!A:L,12,false)=TRUE,TRUE,FALSE)</f>
        <v>0</v>
      </c>
      <c r="I756" s="68">
        <v>32.76485063431939</v>
      </c>
      <c r="J756" s="68">
        <f t="shared" si="1"/>
        <v>0</v>
      </c>
      <c r="K756" s="68" t="b">
        <v>0</v>
      </c>
    </row>
    <row r="757">
      <c r="A757" s="75">
        <v>751.0</v>
      </c>
      <c r="B757" s="62" t="s">
        <v>528</v>
      </c>
      <c r="C757" s="62" t="s">
        <v>104</v>
      </c>
      <c r="D757" s="62" t="s">
        <v>241</v>
      </c>
      <c r="E757" s="76">
        <v>44096.0</v>
      </c>
      <c r="F757" s="77">
        <v>0.08333333333333333</v>
      </c>
      <c r="G757" s="62" t="b">
        <v>1</v>
      </c>
      <c r="H757" s="78" t="b">
        <f>IF(VLOOKUP(C757,Projetos!A:L,12,false)=TRUE,TRUE,FALSE)</f>
        <v>1</v>
      </c>
      <c r="I757" s="68">
        <v>41.57521470959595</v>
      </c>
      <c r="J757" s="68">
        <f t="shared" si="1"/>
        <v>83.15042942</v>
      </c>
      <c r="K757" s="68" t="b">
        <v>1</v>
      </c>
    </row>
    <row r="758">
      <c r="A758" s="75">
        <v>752.0</v>
      </c>
      <c r="B758" s="62" t="s">
        <v>528</v>
      </c>
      <c r="C758" s="62" t="s">
        <v>104</v>
      </c>
      <c r="D758" s="62" t="s">
        <v>529</v>
      </c>
      <c r="E758" s="76">
        <v>44102.0</v>
      </c>
      <c r="F758" s="77">
        <v>0.125</v>
      </c>
      <c r="G758" s="62" t="b">
        <v>0</v>
      </c>
      <c r="H758" s="78" t="b">
        <f>IF(VLOOKUP(C758,Projetos!A:L,12,false)=TRUE,TRUE,FALSE)</f>
        <v>1</v>
      </c>
      <c r="I758" s="68">
        <v>41.57521470959595</v>
      </c>
      <c r="J758" s="68">
        <f t="shared" si="1"/>
        <v>0</v>
      </c>
      <c r="K758" s="68" t="b">
        <v>1</v>
      </c>
    </row>
    <row r="759" hidden="1">
      <c r="A759" s="75">
        <v>753.0</v>
      </c>
      <c r="B759" s="62" t="s">
        <v>528</v>
      </c>
      <c r="C759" s="62" t="s">
        <v>109</v>
      </c>
      <c r="D759" s="62" t="s">
        <v>234</v>
      </c>
      <c r="E759" s="76">
        <v>44112.0</v>
      </c>
      <c r="F759" s="77">
        <v>0.041666666666666664</v>
      </c>
      <c r="G759" s="62" t="b">
        <v>0</v>
      </c>
      <c r="H759" s="78" t="b">
        <f>IF(VLOOKUP(C759,Projetos!A:L,12,false)=TRUE,TRUE,FALSE)</f>
        <v>0</v>
      </c>
      <c r="I759" s="68">
        <v>43.55498683862433</v>
      </c>
      <c r="J759" s="68">
        <f t="shared" si="1"/>
        <v>0</v>
      </c>
      <c r="K759" s="68" t="b">
        <v>0</v>
      </c>
    </row>
    <row r="760" hidden="1">
      <c r="A760" s="75">
        <v>754.0</v>
      </c>
      <c r="B760" s="62" t="s">
        <v>528</v>
      </c>
      <c r="C760" s="62" t="s">
        <v>109</v>
      </c>
      <c r="D760" s="62" t="s">
        <v>234</v>
      </c>
      <c r="E760" s="76">
        <v>44125.0</v>
      </c>
      <c r="F760" s="77">
        <v>0.020833333333333332</v>
      </c>
      <c r="G760" s="62" t="b">
        <v>0</v>
      </c>
      <c r="H760" s="78" t="b">
        <f>IF(VLOOKUP(C760,Projetos!A:L,12,false)=TRUE,TRUE,FALSE)</f>
        <v>0</v>
      </c>
      <c r="I760" s="68">
        <v>43.55498683862433</v>
      </c>
      <c r="J760" s="68">
        <f t="shared" si="1"/>
        <v>0</v>
      </c>
      <c r="K760" s="68" t="b">
        <v>0</v>
      </c>
    </row>
    <row r="761" hidden="1">
      <c r="A761" s="75">
        <v>755.0</v>
      </c>
      <c r="B761" s="62" t="s">
        <v>528</v>
      </c>
      <c r="C761" s="62" t="s">
        <v>109</v>
      </c>
      <c r="D761" s="62" t="s">
        <v>234</v>
      </c>
      <c r="E761" s="76">
        <v>44134.0</v>
      </c>
      <c r="F761" s="77">
        <v>0.041666666666666664</v>
      </c>
      <c r="G761" s="62" t="b">
        <v>0</v>
      </c>
      <c r="H761" s="78" t="b">
        <f>IF(VLOOKUP(C761,Projetos!A:L,12,false)=TRUE,TRUE,FALSE)</f>
        <v>0</v>
      </c>
      <c r="I761" s="68">
        <v>43.55498683862433</v>
      </c>
      <c r="J761" s="68">
        <f t="shared" si="1"/>
        <v>0</v>
      </c>
      <c r="K761" s="68" t="b">
        <v>0</v>
      </c>
    </row>
    <row r="762">
      <c r="A762" s="75">
        <v>756.0</v>
      </c>
      <c r="B762" s="62" t="s">
        <v>528</v>
      </c>
      <c r="C762" s="62" t="s">
        <v>104</v>
      </c>
      <c r="D762" s="62" t="s">
        <v>241</v>
      </c>
      <c r="E762" s="76">
        <v>44146.0</v>
      </c>
      <c r="F762" s="77">
        <v>0.041666666666666664</v>
      </c>
      <c r="G762" s="62" t="b">
        <v>1</v>
      </c>
      <c r="H762" s="78" t="b">
        <f>IF(VLOOKUP(C762,Projetos!A:L,12,false)=TRUE,TRUE,FALSE)</f>
        <v>1</v>
      </c>
      <c r="I762" s="68">
        <v>42.25705307621671</v>
      </c>
      <c r="J762" s="68">
        <f t="shared" si="1"/>
        <v>42.25705308</v>
      </c>
      <c r="K762" s="68" t="b">
        <v>1</v>
      </c>
    </row>
    <row r="763" hidden="1">
      <c r="A763" s="75">
        <v>757.0</v>
      </c>
      <c r="B763" s="62" t="s">
        <v>528</v>
      </c>
      <c r="C763" s="62" t="s">
        <v>109</v>
      </c>
      <c r="D763" s="62" t="s">
        <v>241</v>
      </c>
      <c r="E763" s="76">
        <v>44152.0</v>
      </c>
      <c r="F763" s="77">
        <v>0.041666666666666664</v>
      </c>
      <c r="G763" s="62" t="b">
        <v>0</v>
      </c>
      <c r="H763" s="78" t="b">
        <f>IF(VLOOKUP(C763,Projetos!A:L,12,false)=TRUE,TRUE,FALSE)</f>
        <v>0</v>
      </c>
      <c r="I763" s="68">
        <v>42.25705307621671</v>
      </c>
      <c r="J763" s="68">
        <f t="shared" si="1"/>
        <v>0</v>
      </c>
      <c r="K763" s="68" t="b">
        <v>0</v>
      </c>
    </row>
    <row r="764" hidden="1">
      <c r="A764" s="75">
        <v>758.0</v>
      </c>
      <c r="B764" s="62" t="s">
        <v>528</v>
      </c>
      <c r="C764" s="62" t="s">
        <v>109</v>
      </c>
      <c r="D764" s="62" t="s">
        <v>241</v>
      </c>
      <c r="E764" s="76">
        <v>44161.0</v>
      </c>
      <c r="F764" s="77">
        <v>0.020833333333333332</v>
      </c>
      <c r="G764" s="62" t="b">
        <v>0</v>
      </c>
      <c r="H764" s="78" t="b">
        <f>IF(VLOOKUP(C764,Projetos!A:L,12,false)=TRUE,TRUE,FALSE)</f>
        <v>0</v>
      </c>
      <c r="I764" s="68">
        <v>42.25705307621671</v>
      </c>
      <c r="J764" s="68">
        <f t="shared" si="1"/>
        <v>0</v>
      </c>
      <c r="K764" s="68" t="b">
        <v>0</v>
      </c>
    </row>
    <row r="765" hidden="1">
      <c r="A765" s="75">
        <v>759.0</v>
      </c>
      <c r="B765" s="62" t="s">
        <v>528</v>
      </c>
      <c r="C765" s="62" t="s">
        <v>109</v>
      </c>
      <c r="D765" s="62" t="s">
        <v>530</v>
      </c>
      <c r="E765" s="76">
        <v>44173.0</v>
      </c>
      <c r="F765" s="77">
        <v>0.041666666666666664</v>
      </c>
      <c r="G765" s="62" t="b">
        <v>0</v>
      </c>
      <c r="H765" s="78" t="b">
        <f>IF(VLOOKUP(C765,Projetos!A:L,12,false)=TRUE,TRUE,FALSE)</f>
        <v>0</v>
      </c>
      <c r="I765" s="68">
        <v>44.26929369889369</v>
      </c>
      <c r="J765" s="68">
        <f t="shared" si="1"/>
        <v>0</v>
      </c>
      <c r="K765" s="68" t="b">
        <v>0</v>
      </c>
    </row>
    <row r="766" hidden="1">
      <c r="A766" s="75">
        <v>760.0</v>
      </c>
      <c r="B766" s="62" t="s">
        <v>528</v>
      </c>
      <c r="C766" s="62" t="s">
        <v>117</v>
      </c>
      <c r="D766" s="62" t="s">
        <v>530</v>
      </c>
      <c r="E766" s="76">
        <v>44179.0</v>
      </c>
      <c r="F766" s="77">
        <v>0.0625</v>
      </c>
      <c r="G766" s="62" t="b">
        <v>0</v>
      </c>
      <c r="H766" s="78" t="b">
        <f>IF(VLOOKUP(C766,Projetos!A:L,12,false)=TRUE,TRUE,FALSE)</f>
        <v>0</v>
      </c>
      <c r="I766" s="68">
        <v>44.26929369889369</v>
      </c>
      <c r="J766" s="68">
        <f t="shared" si="1"/>
        <v>0</v>
      </c>
      <c r="K766" s="68" t="b">
        <v>0</v>
      </c>
    </row>
    <row r="767" hidden="1">
      <c r="A767" s="75">
        <v>761.0</v>
      </c>
      <c r="B767" s="62" t="s">
        <v>528</v>
      </c>
      <c r="C767" s="62" t="s">
        <v>109</v>
      </c>
      <c r="D767" s="62" t="s">
        <v>531</v>
      </c>
      <c r="E767" s="76">
        <v>44186.0</v>
      </c>
      <c r="F767" s="77">
        <v>0.125</v>
      </c>
      <c r="G767" s="62" t="b">
        <v>0</v>
      </c>
      <c r="H767" s="78" t="b">
        <f>IF(VLOOKUP(C767,Projetos!A:L,12,false)=TRUE,TRUE,FALSE)</f>
        <v>0</v>
      </c>
      <c r="I767" s="68">
        <v>44.26929369889369</v>
      </c>
      <c r="J767" s="68">
        <f t="shared" si="1"/>
        <v>0</v>
      </c>
      <c r="K767" s="68" t="b">
        <v>0</v>
      </c>
    </row>
    <row r="768" hidden="1">
      <c r="A768" s="75">
        <v>762.0</v>
      </c>
      <c r="B768" s="62" t="s">
        <v>532</v>
      </c>
      <c r="C768" s="62" t="s">
        <v>101</v>
      </c>
      <c r="D768" s="62" t="s">
        <v>533</v>
      </c>
      <c r="E768" s="76">
        <v>43970.0</v>
      </c>
      <c r="F768" s="77">
        <v>0.041666666666666664</v>
      </c>
      <c r="G768" s="62" t="b">
        <v>0</v>
      </c>
      <c r="H768" s="78" t="b">
        <f>IF(VLOOKUP(C768,Projetos!A:L,12,false)=TRUE,TRUE,FALSE)</f>
        <v>1</v>
      </c>
      <c r="I768" s="68">
        <v>33.89072271524771</v>
      </c>
      <c r="J768" s="68">
        <f t="shared" si="1"/>
        <v>0</v>
      </c>
      <c r="K768" s="68" t="b">
        <v>1</v>
      </c>
    </row>
    <row r="769" hidden="1">
      <c r="A769" s="75">
        <v>763.0</v>
      </c>
      <c r="B769" s="62" t="s">
        <v>532</v>
      </c>
      <c r="C769" s="62" t="s">
        <v>101</v>
      </c>
      <c r="D769" s="62" t="s">
        <v>534</v>
      </c>
      <c r="E769" s="76">
        <v>43973.0</v>
      </c>
      <c r="F769" s="77">
        <v>0.041666666666666664</v>
      </c>
      <c r="G769" s="62" t="b">
        <v>0</v>
      </c>
      <c r="H769" s="78" t="b">
        <f>IF(VLOOKUP(C769,Projetos!A:L,12,false)=TRUE,TRUE,FALSE)</f>
        <v>1</v>
      </c>
      <c r="I769" s="68">
        <v>33.89072271524771</v>
      </c>
      <c r="J769" s="68">
        <f t="shared" si="1"/>
        <v>0</v>
      </c>
      <c r="K769" s="68" t="b">
        <v>1</v>
      </c>
    </row>
    <row r="770">
      <c r="A770" s="75">
        <v>764.0</v>
      </c>
      <c r="B770" s="62" t="s">
        <v>532</v>
      </c>
      <c r="C770" s="62" t="s">
        <v>104</v>
      </c>
      <c r="D770" s="62" t="s">
        <v>535</v>
      </c>
      <c r="E770" s="76">
        <v>43976.0</v>
      </c>
      <c r="F770" s="77">
        <v>0.08333333333333333</v>
      </c>
      <c r="G770" s="62" t="b">
        <v>1</v>
      </c>
      <c r="H770" s="78" t="b">
        <f>IF(VLOOKUP(C770,Projetos!A:L,12,false)=TRUE,TRUE,FALSE)</f>
        <v>1</v>
      </c>
      <c r="I770" s="68">
        <v>33.89072271524771</v>
      </c>
      <c r="J770" s="68">
        <f t="shared" si="1"/>
        <v>67.78144543</v>
      </c>
      <c r="K770" s="68" t="b">
        <v>1</v>
      </c>
    </row>
    <row r="771">
      <c r="A771" s="75">
        <v>765.0</v>
      </c>
      <c r="B771" s="62" t="s">
        <v>532</v>
      </c>
      <c r="C771" s="62" t="s">
        <v>104</v>
      </c>
      <c r="D771" s="62" t="s">
        <v>535</v>
      </c>
      <c r="E771" s="76">
        <v>43980.0</v>
      </c>
      <c r="F771" s="77">
        <v>0.0625</v>
      </c>
      <c r="G771" s="62" t="b">
        <v>1</v>
      </c>
      <c r="H771" s="78" t="b">
        <f>IF(VLOOKUP(C771,Projetos!A:L,12,false)=TRUE,TRUE,FALSE)</f>
        <v>1</v>
      </c>
      <c r="I771" s="68">
        <v>33.89072271524771</v>
      </c>
      <c r="J771" s="68">
        <f t="shared" si="1"/>
        <v>50.83608407</v>
      </c>
      <c r="K771" s="68" t="b">
        <v>1</v>
      </c>
    </row>
    <row r="772" hidden="1">
      <c r="A772" s="75">
        <v>766.0</v>
      </c>
      <c r="B772" s="62" t="s">
        <v>532</v>
      </c>
      <c r="C772" s="62" t="s">
        <v>138</v>
      </c>
      <c r="D772" s="62" t="s">
        <v>536</v>
      </c>
      <c r="E772" s="76">
        <v>43971.0</v>
      </c>
      <c r="F772" s="77">
        <v>0.0625</v>
      </c>
      <c r="G772" s="62" t="b">
        <v>0</v>
      </c>
      <c r="H772" s="78" t="b">
        <f>IF(VLOOKUP(C772,Projetos!A:L,12,false)=TRUE,TRUE,FALSE)</f>
        <v>1</v>
      </c>
      <c r="I772" s="68">
        <v>33.89072271524771</v>
      </c>
      <c r="J772" s="68">
        <f t="shared" si="1"/>
        <v>0</v>
      </c>
      <c r="K772" s="68" t="b">
        <v>1</v>
      </c>
    </row>
    <row r="773" hidden="1">
      <c r="A773" s="75">
        <v>767.0</v>
      </c>
      <c r="B773" s="62" t="s">
        <v>532</v>
      </c>
      <c r="C773" s="62" t="s">
        <v>138</v>
      </c>
      <c r="D773" s="62" t="s">
        <v>536</v>
      </c>
      <c r="E773" s="76">
        <v>44008.0</v>
      </c>
      <c r="F773" s="77">
        <v>0.0625</v>
      </c>
      <c r="G773" s="62" t="b">
        <v>0</v>
      </c>
      <c r="H773" s="78" t="b">
        <f>IF(VLOOKUP(C773,Projetos!A:L,12,false)=TRUE,TRUE,FALSE)</f>
        <v>1</v>
      </c>
      <c r="I773" s="68">
        <v>32.350235319100086</v>
      </c>
      <c r="J773" s="68">
        <f t="shared" si="1"/>
        <v>0</v>
      </c>
      <c r="K773" s="68" t="b">
        <v>1</v>
      </c>
    </row>
    <row r="774" hidden="1">
      <c r="A774" s="75">
        <v>768.0</v>
      </c>
      <c r="B774" s="62" t="s">
        <v>532</v>
      </c>
      <c r="C774" s="62" t="s">
        <v>101</v>
      </c>
      <c r="D774" s="62" t="s">
        <v>537</v>
      </c>
      <c r="E774" s="76">
        <v>43983.0</v>
      </c>
      <c r="F774" s="77">
        <v>0.08333333333333333</v>
      </c>
      <c r="G774" s="62" t="b">
        <v>1</v>
      </c>
      <c r="H774" s="78" t="b">
        <f>IF(VLOOKUP(C774,Projetos!A:L,12,false)=TRUE,TRUE,FALSE)</f>
        <v>1</v>
      </c>
      <c r="I774" s="68">
        <v>32.350235319100086</v>
      </c>
      <c r="J774" s="68">
        <f t="shared" si="1"/>
        <v>64.70047064</v>
      </c>
      <c r="K774" s="68" t="b">
        <v>1</v>
      </c>
    </row>
    <row r="775" hidden="1">
      <c r="A775" s="75">
        <v>769.0</v>
      </c>
      <c r="B775" s="62" t="s">
        <v>532</v>
      </c>
      <c r="C775" s="62" t="s">
        <v>101</v>
      </c>
      <c r="D775" s="62" t="s">
        <v>538</v>
      </c>
      <c r="E775" s="76">
        <v>43985.0</v>
      </c>
      <c r="F775" s="77">
        <v>0.16666666666666666</v>
      </c>
      <c r="G775" s="62" t="b">
        <v>0</v>
      </c>
      <c r="H775" s="78" t="b">
        <f>IF(VLOOKUP(C775,Projetos!A:L,12,false)=TRUE,TRUE,FALSE)</f>
        <v>1</v>
      </c>
      <c r="I775" s="68">
        <v>32.350235319100086</v>
      </c>
      <c r="J775" s="68">
        <f t="shared" si="1"/>
        <v>0</v>
      </c>
      <c r="K775" s="68" t="b">
        <v>1</v>
      </c>
    </row>
    <row r="776" hidden="1">
      <c r="A776" s="75">
        <v>770.0</v>
      </c>
      <c r="B776" s="62" t="s">
        <v>532</v>
      </c>
      <c r="C776" s="62" t="s">
        <v>101</v>
      </c>
      <c r="D776" s="62" t="s">
        <v>539</v>
      </c>
      <c r="E776" s="76">
        <v>43998.0</v>
      </c>
      <c r="F776" s="77">
        <v>0.0625</v>
      </c>
      <c r="G776" s="62" t="b">
        <v>1</v>
      </c>
      <c r="H776" s="78" t="b">
        <f>IF(VLOOKUP(C776,Projetos!A:L,12,false)=TRUE,TRUE,FALSE)</f>
        <v>1</v>
      </c>
      <c r="I776" s="68">
        <v>32.350235319100086</v>
      </c>
      <c r="J776" s="68">
        <f t="shared" si="1"/>
        <v>48.52535298</v>
      </c>
      <c r="K776" s="68" t="b">
        <v>1</v>
      </c>
    </row>
    <row r="777">
      <c r="A777" s="75">
        <v>771.0</v>
      </c>
      <c r="B777" s="62" t="s">
        <v>532</v>
      </c>
      <c r="C777" s="62" t="s">
        <v>104</v>
      </c>
      <c r="D777" s="62" t="s">
        <v>540</v>
      </c>
      <c r="E777" s="76">
        <v>43992.0</v>
      </c>
      <c r="F777" s="77">
        <v>0.16666666666666666</v>
      </c>
      <c r="G777" s="62" t="b">
        <v>0</v>
      </c>
      <c r="H777" s="78" t="b">
        <f>IF(VLOOKUP(C777,Projetos!A:L,12,false)=TRUE,TRUE,FALSE)</f>
        <v>1</v>
      </c>
      <c r="I777" s="68">
        <v>32.350235319100086</v>
      </c>
      <c r="J777" s="68">
        <f t="shared" si="1"/>
        <v>0</v>
      </c>
      <c r="K777" s="68" t="b">
        <v>1</v>
      </c>
    </row>
    <row r="778">
      <c r="A778" s="75">
        <v>772.0</v>
      </c>
      <c r="B778" s="62" t="s">
        <v>532</v>
      </c>
      <c r="C778" s="62" t="s">
        <v>104</v>
      </c>
      <c r="D778" s="62" t="s">
        <v>541</v>
      </c>
      <c r="E778" s="76">
        <v>43997.0</v>
      </c>
      <c r="F778" s="77">
        <v>0.08333333333333333</v>
      </c>
      <c r="G778" s="62" t="b">
        <v>1</v>
      </c>
      <c r="H778" s="78" t="b">
        <f>IF(VLOOKUP(C778,Projetos!A:L,12,false)=TRUE,TRUE,FALSE)</f>
        <v>1</v>
      </c>
      <c r="I778" s="68">
        <v>32.350235319100086</v>
      </c>
      <c r="J778" s="68">
        <f t="shared" si="1"/>
        <v>64.70047064</v>
      </c>
      <c r="K778" s="68" t="b">
        <v>1</v>
      </c>
    </row>
    <row r="779">
      <c r="A779" s="75">
        <v>773.0</v>
      </c>
      <c r="B779" s="62" t="s">
        <v>532</v>
      </c>
      <c r="C779" s="62" t="s">
        <v>104</v>
      </c>
      <c r="D779" s="62" t="s">
        <v>542</v>
      </c>
      <c r="E779" s="76">
        <v>44004.0</v>
      </c>
      <c r="F779" s="77">
        <v>0.08333333333333333</v>
      </c>
      <c r="G779" s="62" t="b">
        <v>1</v>
      </c>
      <c r="H779" s="78" t="b">
        <f>IF(VLOOKUP(C779,Projetos!A:L,12,false)=TRUE,TRUE,FALSE)</f>
        <v>1</v>
      </c>
      <c r="I779" s="68">
        <v>32.350235319100086</v>
      </c>
      <c r="J779" s="68">
        <f t="shared" si="1"/>
        <v>64.70047064</v>
      </c>
      <c r="K779" s="68" t="b">
        <v>1</v>
      </c>
    </row>
    <row r="780" hidden="1">
      <c r="A780" s="75">
        <v>774.0</v>
      </c>
      <c r="B780" s="62" t="s">
        <v>532</v>
      </c>
      <c r="C780" s="62" t="s">
        <v>109</v>
      </c>
      <c r="D780" s="62" t="s">
        <v>543</v>
      </c>
      <c r="E780" s="76">
        <v>43999.0</v>
      </c>
      <c r="F780" s="77">
        <v>0.041666666666666664</v>
      </c>
      <c r="G780" s="62" t="b">
        <v>0</v>
      </c>
      <c r="H780" s="78" t="b">
        <f>IF(VLOOKUP(C780,Projetos!A:L,12,false)=TRUE,TRUE,FALSE)</f>
        <v>0</v>
      </c>
      <c r="I780" s="68">
        <v>32.350235319100086</v>
      </c>
      <c r="J780" s="68">
        <f t="shared" si="1"/>
        <v>0</v>
      </c>
      <c r="K780" s="68" t="b">
        <v>0</v>
      </c>
    </row>
    <row r="781" hidden="1">
      <c r="A781" s="75">
        <v>775.0</v>
      </c>
      <c r="B781" s="62" t="s">
        <v>532</v>
      </c>
      <c r="C781" s="62" t="s">
        <v>109</v>
      </c>
      <c r="D781" s="62" t="s">
        <v>544</v>
      </c>
      <c r="E781" s="76">
        <v>44006.0</v>
      </c>
      <c r="F781" s="77">
        <v>0.041666666666666664</v>
      </c>
      <c r="G781" s="62" t="b">
        <v>0</v>
      </c>
      <c r="H781" s="78" t="b">
        <f>IF(VLOOKUP(C781,Projetos!A:L,12,false)=TRUE,TRUE,FALSE)</f>
        <v>0</v>
      </c>
      <c r="I781" s="68">
        <v>32.350235319100086</v>
      </c>
      <c r="J781" s="68">
        <f t="shared" si="1"/>
        <v>0</v>
      </c>
      <c r="K781" s="68" t="b">
        <v>0</v>
      </c>
    </row>
    <row r="782" hidden="1">
      <c r="A782" s="75">
        <v>776.0</v>
      </c>
      <c r="B782" s="62" t="s">
        <v>532</v>
      </c>
      <c r="C782" s="62" t="s">
        <v>109</v>
      </c>
      <c r="D782" s="62" t="s">
        <v>545</v>
      </c>
      <c r="E782" s="76">
        <v>44008.0</v>
      </c>
      <c r="F782" s="77">
        <v>0.041666666666666664</v>
      </c>
      <c r="G782" s="62" t="b">
        <v>0</v>
      </c>
      <c r="H782" s="78" t="b">
        <f>IF(VLOOKUP(C782,Projetos!A:L,12,false)=TRUE,TRUE,FALSE)</f>
        <v>0</v>
      </c>
      <c r="I782" s="68">
        <v>32.350235319100086</v>
      </c>
      <c r="J782" s="68">
        <f t="shared" si="1"/>
        <v>0</v>
      </c>
      <c r="K782" s="68" t="b">
        <v>0</v>
      </c>
    </row>
    <row r="783" hidden="1">
      <c r="A783" s="75">
        <v>777.0</v>
      </c>
      <c r="B783" s="62" t="s">
        <v>532</v>
      </c>
      <c r="C783" s="62" t="s">
        <v>138</v>
      </c>
      <c r="D783" s="62" t="s">
        <v>546</v>
      </c>
      <c r="E783" s="76">
        <v>44011.0</v>
      </c>
      <c r="F783" s="77">
        <v>0.08333333333333333</v>
      </c>
      <c r="G783" s="62" t="b">
        <v>0</v>
      </c>
      <c r="H783" s="78" t="b">
        <f>IF(VLOOKUP(C783,Projetos!A:L,12,false)=TRUE,TRUE,FALSE)</f>
        <v>1</v>
      </c>
      <c r="I783" s="68">
        <v>32.350235319100086</v>
      </c>
      <c r="J783" s="68">
        <f t="shared" si="1"/>
        <v>0</v>
      </c>
      <c r="K783" s="68" t="b">
        <v>1</v>
      </c>
    </row>
    <row r="784">
      <c r="A784" s="75">
        <v>778.0</v>
      </c>
      <c r="B784" s="62" t="s">
        <v>532</v>
      </c>
      <c r="C784" s="62" t="s">
        <v>104</v>
      </c>
      <c r="D784" s="62" t="s">
        <v>547</v>
      </c>
      <c r="E784" s="76">
        <v>44001.0</v>
      </c>
      <c r="F784" s="77">
        <v>0.041666666666666664</v>
      </c>
      <c r="G784" s="62" t="b">
        <v>0</v>
      </c>
      <c r="H784" s="78" t="b">
        <f>IF(VLOOKUP(C784,Projetos!A:L,12,false)=TRUE,TRUE,FALSE)</f>
        <v>1</v>
      </c>
      <c r="I784" s="68">
        <v>32.350235319100086</v>
      </c>
      <c r="J784" s="68">
        <f t="shared" si="1"/>
        <v>0</v>
      </c>
      <c r="K784" s="68" t="b">
        <v>1</v>
      </c>
    </row>
    <row r="785" hidden="1">
      <c r="A785" s="75">
        <v>779.0</v>
      </c>
      <c r="B785" s="62" t="s">
        <v>532</v>
      </c>
      <c r="C785" s="62" t="s">
        <v>103</v>
      </c>
      <c r="D785" s="62" t="s">
        <v>548</v>
      </c>
      <c r="E785" s="76">
        <v>43994.0</v>
      </c>
      <c r="F785" s="77">
        <v>0.041666666666666664</v>
      </c>
      <c r="G785" s="62" t="b">
        <v>1</v>
      </c>
      <c r="H785" s="78" t="b">
        <f>IF(VLOOKUP(C785,Projetos!A:L,12,false)=TRUE,TRUE,FALSE)</f>
        <v>1</v>
      </c>
      <c r="I785" s="68">
        <v>32.350235319100086</v>
      </c>
      <c r="J785" s="68">
        <f t="shared" si="1"/>
        <v>32.35023532</v>
      </c>
      <c r="K785" s="68" t="b">
        <v>1</v>
      </c>
    </row>
    <row r="786" hidden="1">
      <c r="A786" s="75">
        <v>780.0</v>
      </c>
      <c r="B786" s="62" t="s">
        <v>532</v>
      </c>
      <c r="C786" s="62" t="s">
        <v>103</v>
      </c>
      <c r="D786" s="62" t="s">
        <v>549</v>
      </c>
      <c r="E786" s="76">
        <v>44001.0</v>
      </c>
      <c r="F786" s="77">
        <v>0.020833333333333332</v>
      </c>
      <c r="G786" s="62" t="b">
        <v>1</v>
      </c>
      <c r="H786" s="78" t="b">
        <f>IF(VLOOKUP(C786,Projetos!A:L,12,false)=TRUE,TRUE,FALSE)</f>
        <v>1</v>
      </c>
      <c r="I786" s="68">
        <v>32.350235319100086</v>
      </c>
      <c r="J786" s="68">
        <f t="shared" si="1"/>
        <v>16.17511766</v>
      </c>
      <c r="K786" s="68" t="b">
        <v>1</v>
      </c>
    </row>
    <row r="787">
      <c r="A787" s="75">
        <v>781.0</v>
      </c>
      <c r="B787" s="62" t="s">
        <v>532</v>
      </c>
      <c r="C787" s="62" t="s">
        <v>104</v>
      </c>
      <c r="D787" s="62" t="s">
        <v>550</v>
      </c>
      <c r="E787" s="76">
        <v>44021.0</v>
      </c>
      <c r="F787" s="77">
        <v>0.041666666666666664</v>
      </c>
      <c r="G787" s="62" t="b">
        <v>1</v>
      </c>
      <c r="H787" s="78" t="b">
        <f>IF(VLOOKUP(C787,Projetos!A:L,12,false)=TRUE,TRUE,FALSE)</f>
        <v>1</v>
      </c>
      <c r="I787" s="68">
        <v>33.89072271524771</v>
      </c>
      <c r="J787" s="68">
        <f t="shared" si="1"/>
        <v>33.89072272</v>
      </c>
      <c r="K787" s="68" t="b">
        <v>1</v>
      </c>
    </row>
    <row r="788">
      <c r="A788" s="75">
        <v>782.0</v>
      </c>
      <c r="B788" s="62" t="s">
        <v>532</v>
      </c>
      <c r="C788" s="62" t="s">
        <v>104</v>
      </c>
      <c r="D788" s="62" t="s">
        <v>551</v>
      </c>
      <c r="E788" s="76">
        <v>44025.0</v>
      </c>
      <c r="F788" s="77">
        <v>0.20833333333333334</v>
      </c>
      <c r="G788" s="62" t="b">
        <v>1</v>
      </c>
      <c r="H788" s="78" t="b">
        <f>IF(VLOOKUP(C788,Projetos!A:L,12,false)=TRUE,TRUE,FALSE)</f>
        <v>1</v>
      </c>
      <c r="I788" s="68">
        <v>33.89072271524771</v>
      </c>
      <c r="J788" s="68">
        <f t="shared" si="1"/>
        <v>169.4536136</v>
      </c>
      <c r="K788" s="68" t="b">
        <v>1</v>
      </c>
    </row>
    <row r="789">
      <c r="A789" s="75">
        <v>783.0</v>
      </c>
      <c r="B789" s="62" t="s">
        <v>532</v>
      </c>
      <c r="C789" s="62" t="s">
        <v>104</v>
      </c>
      <c r="D789" s="62" t="s">
        <v>552</v>
      </c>
      <c r="E789" s="76">
        <v>44026.0</v>
      </c>
      <c r="F789" s="77">
        <v>0.125</v>
      </c>
      <c r="G789" s="62" t="b">
        <v>0</v>
      </c>
      <c r="H789" s="78" t="b">
        <f>IF(VLOOKUP(C789,Projetos!A:L,12,false)=TRUE,TRUE,FALSE)</f>
        <v>1</v>
      </c>
      <c r="I789" s="68">
        <v>33.89072271524771</v>
      </c>
      <c r="J789" s="68">
        <f t="shared" si="1"/>
        <v>0</v>
      </c>
      <c r="K789" s="68" t="b">
        <v>1</v>
      </c>
    </row>
    <row r="790">
      <c r="A790" s="75">
        <v>784.0</v>
      </c>
      <c r="B790" s="62" t="s">
        <v>532</v>
      </c>
      <c r="C790" s="62" t="s">
        <v>104</v>
      </c>
      <c r="D790" s="62" t="s">
        <v>553</v>
      </c>
      <c r="E790" s="76">
        <v>44032.0</v>
      </c>
      <c r="F790" s="77">
        <v>0.125</v>
      </c>
      <c r="G790" s="62" t="b">
        <v>0</v>
      </c>
      <c r="H790" s="78" t="b">
        <f>IF(VLOOKUP(C790,Projetos!A:L,12,false)=TRUE,TRUE,FALSE)</f>
        <v>1</v>
      </c>
      <c r="I790" s="68">
        <v>33.89072271524771</v>
      </c>
      <c r="J790" s="68">
        <f t="shared" si="1"/>
        <v>0</v>
      </c>
      <c r="K790" s="68" t="b">
        <v>1</v>
      </c>
    </row>
    <row r="791">
      <c r="A791" s="75">
        <v>785.0</v>
      </c>
      <c r="B791" s="62" t="s">
        <v>532</v>
      </c>
      <c r="C791" s="62" t="s">
        <v>104</v>
      </c>
      <c r="D791" s="62" t="s">
        <v>553</v>
      </c>
      <c r="E791" s="76">
        <v>44036.0</v>
      </c>
      <c r="F791" s="77">
        <v>0.08333333333333333</v>
      </c>
      <c r="G791" s="62" t="b">
        <v>0</v>
      </c>
      <c r="H791" s="78" t="b">
        <f>IF(VLOOKUP(C791,Projetos!A:L,12,false)=TRUE,TRUE,FALSE)</f>
        <v>1</v>
      </c>
      <c r="I791" s="68">
        <v>33.89072271524771</v>
      </c>
      <c r="J791" s="68">
        <f t="shared" si="1"/>
        <v>0</v>
      </c>
      <c r="K791" s="68" t="b">
        <v>1</v>
      </c>
    </row>
    <row r="792">
      <c r="A792" s="75">
        <v>786.0</v>
      </c>
      <c r="B792" s="62" t="s">
        <v>532</v>
      </c>
      <c r="C792" s="62" t="s">
        <v>104</v>
      </c>
      <c r="D792" s="62" t="s">
        <v>550</v>
      </c>
      <c r="E792" s="76">
        <v>44033.0</v>
      </c>
      <c r="F792" s="77">
        <v>0.041666666666666664</v>
      </c>
      <c r="G792" s="62" t="b">
        <v>1</v>
      </c>
      <c r="H792" s="78" t="b">
        <f>IF(VLOOKUP(C792,Projetos!A:L,12,false)=TRUE,TRUE,FALSE)</f>
        <v>1</v>
      </c>
      <c r="I792" s="68">
        <v>33.89072271524771</v>
      </c>
      <c r="J792" s="68">
        <f t="shared" si="1"/>
        <v>33.89072272</v>
      </c>
      <c r="K792" s="68" t="b">
        <v>1</v>
      </c>
    </row>
    <row r="793">
      <c r="A793" s="75">
        <v>787.0</v>
      </c>
      <c r="B793" s="62" t="s">
        <v>532</v>
      </c>
      <c r="C793" s="62" t="s">
        <v>104</v>
      </c>
      <c r="D793" s="62" t="s">
        <v>553</v>
      </c>
      <c r="E793" s="76">
        <v>44040.0</v>
      </c>
      <c r="F793" s="77">
        <v>0.041666666666666664</v>
      </c>
      <c r="G793" s="62" t="b">
        <v>0</v>
      </c>
      <c r="H793" s="78" t="b">
        <f>IF(VLOOKUP(C793,Projetos!A:L,12,false)=TRUE,TRUE,FALSE)</f>
        <v>1</v>
      </c>
      <c r="I793" s="68">
        <v>33.89072271524771</v>
      </c>
      <c r="J793" s="68">
        <f t="shared" si="1"/>
        <v>0</v>
      </c>
      <c r="K793" s="68" t="b">
        <v>1</v>
      </c>
    </row>
    <row r="794">
      <c r="A794" s="75">
        <v>788.0</v>
      </c>
      <c r="B794" s="62" t="s">
        <v>532</v>
      </c>
      <c r="C794" s="62" t="s">
        <v>104</v>
      </c>
      <c r="D794" s="62" t="s">
        <v>553</v>
      </c>
      <c r="E794" s="76">
        <v>44042.0</v>
      </c>
      <c r="F794" s="77">
        <v>0.0625</v>
      </c>
      <c r="G794" s="62" t="b">
        <v>0</v>
      </c>
      <c r="H794" s="78" t="b">
        <f>IF(VLOOKUP(C794,Projetos!A:L,12,false)=TRUE,TRUE,FALSE)</f>
        <v>1</v>
      </c>
      <c r="I794" s="68">
        <v>33.89072271524771</v>
      </c>
      <c r="J794" s="68">
        <f t="shared" si="1"/>
        <v>0</v>
      </c>
      <c r="K794" s="68" t="b">
        <v>1</v>
      </c>
    </row>
    <row r="795" hidden="1">
      <c r="A795" s="75">
        <v>789.0</v>
      </c>
      <c r="B795" s="62" t="s">
        <v>532</v>
      </c>
      <c r="C795" s="62" t="s">
        <v>103</v>
      </c>
      <c r="D795" s="62" t="s">
        <v>554</v>
      </c>
      <c r="E795" s="76">
        <v>44027.0</v>
      </c>
      <c r="F795" s="77">
        <v>0.020833333333333332</v>
      </c>
      <c r="G795" s="62" t="b">
        <v>1</v>
      </c>
      <c r="H795" s="78" t="b">
        <f>IF(VLOOKUP(C795,Projetos!A:L,12,false)=TRUE,TRUE,FALSE)</f>
        <v>1</v>
      </c>
      <c r="I795" s="68">
        <v>33.89072271524771</v>
      </c>
      <c r="J795" s="68">
        <f t="shared" si="1"/>
        <v>16.94536136</v>
      </c>
      <c r="K795" s="68" t="b">
        <v>1</v>
      </c>
    </row>
    <row r="796">
      <c r="A796" s="75">
        <v>790.0</v>
      </c>
      <c r="B796" s="62" t="s">
        <v>532</v>
      </c>
      <c r="C796" s="62" t="s">
        <v>104</v>
      </c>
      <c r="D796" s="62" t="s">
        <v>555</v>
      </c>
      <c r="E796" s="76">
        <v>44051.0</v>
      </c>
      <c r="F796" s="77">
        <v>0.041666666666666664</v>
      </c>
      <c r="G796" s="62" t="b">
        <v>1</v>
      </c>
      <c r="H796" s="78" t="b">
        <f>IF(VLOOKUP(C796,Projetos!A:L,12,false)=TRUE,TRUE,FALSE)</f>
        <v>1</v>
      </c>
      <c r="I796" s="68">
        <v>33.89072271524771</v>
      </c>
      <c r="J796" s="68">
        <f t="shared" si="1"/>
        <v>33.89072272</v>
      </c>
      <c r="K796" s="68" t="b">
        <v>1</v>
      </c>
    </row>
    <row r="797">
      <c r="A797" s="75">
        <v>791.0</v>
      </c>
      <c r="B797" s="62" t="s">
        <v>532</v>
      </c>
      <c r="C797" s="62" t="s">
        <v>104</v>
      </c>
      <c r="D797" s="62" t="s">
        <v>556</v>
      </c>
      <c r="E797" s="76">
        <v>44060.0</v>
      </c>
      <c r="F797" s="77">
        <v>0.020833333333333332</v>
      </c>
      <c r="G797" s="62" t="b">
        <v>1</v>
      </c>
      <c r="H797" s="78" t="b">
        <f>IF(VLOOKUP(C797,Projetos!A:L,12,false)=TRUE,TRUE,FALSE)</f>
        <v>1</v>
      </c>
      <c r="I797" s="68">
        <v>33.89072271524771</v>
      </c>
      <c r="J797" s="68">
        <f t="shared" si="1"/>
        <v>16.94536136</v>
      </c>
      <c r="K797" s="68" t="b">
        <v>1</v>
      </c>
    </row>
    <row r="798">
      <c r="A798" s="75">
        <v>792.0</v>
      </c>
      <c r="B798" s="62" t="s">
        <v>532</v>
      </c>
      <c r="C798" s="62" t="s">
        <v>104</v>
      </c>
      <c r="D798" s="62" t="s">
        <v>556</v>
      </c>
      <c r="E798" s="76">
        <v>44064.0</v>
      </c>
      <c r="F798" s="77">
        <v>0.020833333333333332</v>
      </c>
      <c r="G798" s="62" t="b">
        <v>1</v>
      </c>
      <c r="H798" s="78" t="b">
        <f>IF(VLOOKUP(C798,Projetos!A:L,12,false)=TRUE,TRUE,FALSE)</f>
        <v>1</v>
      </c>
      <c r="I798" s="68">
        <v>33.89072271524771</v>
      </c>
      <c r="J798" s="68">
        <f t="shared" si="1"/>
        <v>16.94536136</v>
      </c>
      <c r="K798" s="68" t="b">
        <v>1</v>
      </c>
    </row>
    <row r="799">
      <c r="A799" s="75">
        <v>793.0</v>
      </c>
      <c r="B799" s="62" t="s">
        <v>532</v>
      </c>
      <c r="C799" s="62" t="s">
        <v>104</v>
      </c>
      <c r="D799" s="62" t="s">
        <v>557</v>
      </c>
      <c r="E799" s="76">
        <v>44074.0</v>
      </c>
      <c r="F799" s="77">
        <v>0.041666666666666664</v>
      </c>
      <c r="G799" s="62" t="b">
        <v>1</v>
      </c>
      <c r="H799" s="78" t="b">
        <f>IF(VLOOKUP(C799,Projetos!A:L,12,false)=TRUE,TRUE,FALSE)</f>
        <v>1</v>
      </c>
      <c r="I799" s="68">
        <v>33.89072271524771</v>
      </c>
      <c r="J799" s="68">
        <f t="shared" si="1"/>
        <v>33.89072272</v>
      </c>
      <c r="K799" s="68" t="b">
        <v>1</v>
      </c>
    </row>
    <row r="800">
      <c r="A800" s="75">
        <v>794.0</v>
      </c>
      <c r="B800" s="62" t="s">
        <v>532</v>
      </c>
      <c r="C800" s="62" t="s">
        <v>104</v>
      </c>
      <c r="D800" s="62" t="s">
        <v>558</v>
      </c>
      <c r="E800" s="76">
        <v>44062.0</v>
      </c>
      <c r="F800" s="77">
        <v>0.20833333333333334</v>
      </c>
      <c r="G800" s="62" t="b">
        <v>0</v>
      </c>
      <c r="H800" s="78" t="b">
        <f>IF(VLOOKUP(C800,Projetos!A:L,12,false)=TRUE,TRUE,FALSE)</f>
        <v>1</v>
      </c>
      <c r="I800" s="68">
        <v>33.89072271524771</v>
      </c>
      <c r="J800" s="68">
        <f t="shared" si="1"/>
        <v>0</v>
      </c>
      <c r="K800" s="68" t="b">
        <v>1</v>
      </c>
    </row>
    <row r="801">
      <c r="A801" s="75">
        <v>795.0</v>
      </c>
      <c r="B801" s="62" t="s">
        <v>532</v>
      </c>
      <c r="C801" s="62" t="s">
        <v>104</v>
      </c>
      <c r="D801" s="62" t="s">
        <v>559</v>
      </c>
      <c r="E801" s="76">
        <v>44064.0</v>
      </c>
      <c r="F801" s="77">
        <v>0.0625</v>
      </c>
      <c r="G801" s="62" t="b">
        <v>0</v>
      </c>
      <c r="H801" s="78" t="b">
        <f>IF(VLOOKUP(C801,Projetos!A:L,12,false)=TRUE,TRUE,FALSE)</f>
        <v>1</v>
      </c>
      <c r="I801" s="68">
        <v>33.89072271524771</v>
      </c>
      <c r="J801" s="68">
        <f t="shared" si="1"/>
        <v>0</v>
      </c>
      <c r="K801" s="68" t="b">
        <v>1</v>
      </c>
    </row>
    <row r="802">
      <c r="A802" s="75">
        <v>796.0</v>
      </c>
      <c r="B802" s="62" t="s">
        <v>532</v>
      </c>
      <c r="C802" s="62" t="s">
        <v>104</v>
      </c>
      <c r="D802" s="62" t="s">
        <v>560</v>
      </c>
      <c r="E802" s="76">
        <v>44046.0</v>
      </c>
      <c r="F802" s="77">
        <v>0.20833333333333334</v>
      </c>
      <c r="G802" s="62" t="b">
        <v>0</v>
      </c>
      <c r="H802" s="78" t="b">
        <f>IF(VLOOKUP(C802,Projetos!A:L,12,false)=TRUE,TRUE,FALSE)</f>
        <v>1</v>
      </c>
      <c r="I802" s="68">
        <v>33.89072271524771</v>
      </c>
      <c r="J802" s="68">
        <f t="shared" si="1"/>
        <v>0</v>
      </c>
      <c r="K802" s="68" t="b">
        <v>1</v>
      </c>
    </row>
    <row r="803" hidden="1">
      <c r="A803" s="75">
        <v>797.0</v>
      </c>
      <c r="B803" s="62" t="s">
        <v>532</v>
      </c>
      <c r="C803" s="62" t="s">
        <v>103</v>
      </c>
      <c r="D803" s="62" t="s">
        <v>561</v>
      </c>
      <c r="E803" s="76">
        <v>44068.0</v>
      </c>
      <c r="F803" s="77">
        <v>0.041666666666666664</v>
      </c>
      <c r="G803" s="62" t="b">
        <v>0</v>
      </c>
      <c r="H803" s="78" t="b">
        <f>IF(VLOOKUP(C803,Projetos!A:L,12,false)=TRUE,TRUE,FALSE)</f>
        <v>1</v>
      </c>
      <c r="I803" s="68">
        <v>33.89072271524771</v>
      </c>
      <c r="J803" s="68">
        <f t="shared" si="1"/>
        <v>0</v>
      </c>
      <c r="K803" s="68" t="b">
        <v>1</v>
      </c>
    </row>
    <row r="804">
      <c r="A804" s="75">
        <v>798.0</v>
      </c>
      <c r="B804" s="62" t="s">
        <v>532</v>
      </c>
      <c r="C804" s="62" t="s">
        <v>104</v>
      </c>
      <c r="D804" s="62" t="s">
        <v>562</v>
      </c>
      <c r="E804" s="76">
        <v>44117.0</v>
      </c>
      <c r="F804" s="77">
        <v>0.041666666666666664</v>
      </c>
      <c r="G804" s="62" t="b">
        <v>0</v>
      </c>
      <c r="H804" s="78" t="b">
        <f>IF(VLOOKUP(C804,Projetos!A:L,12,false)=TRUE,TRUE,FALSE)</f>
        <v>1</v>
      </c>
      <c r="I804" s="68">
        <v>33.89072271524771</v>
      </c>
      <c r="J804" s="68">
        <f t="shared" si="1"/>
        <v>0</v>
      </c>
      <c r="K804" s="68" t="b">
        <v>1</v>
      </c>
    </row>
    <row r="805">
      <c r="A805" s="75">
        <v>799.0</v>
      </c>
      <c r="B805" s="62" t="s">
        <v>532</v>
      </c>
      <c r="C805" s="62" t="s">
        <v>104</v>
      </c>
      <c r="D805" s="62" t="s">
        <v>562</v>
      </c>
      <c r="E805" s="76">
        <v>44119.0</v>
      </c>
      <c r="F805" s="77">
        <v>0.020833333333333332</v>
      </c>
      <c r="G805" s="62" t="b">
        <v>0</v>
      </c>
      <c r="H805" s="78" t="b">
        <f>IF(VLOOKUP(C805,Projetos!A:L,12,false)=TRUE,TRUE,FALSE)</f>
        <v>1</v>
      </c>
      <c r="I805" s="68">
        <v>33.89072271524771</v>
      </c>
      <c r="J805" s="68">
        <f t="shared" si="1"/>
        <v>0</v>
      </c>
      <c r="K805" s="68" t="b">
        <v>1</v>
      </c>
    </row>
    <row r="806">
      <c r="A806" s="75">
        <v>800.0</v>
      </c>
      <c r="B806" s="62" t="s">
        <v>532</v>
      </c>
      <c r="C806" s="62" t="s">
        <v>104</v>
      </c>
      <c r="D806" s="62" t="s">
        <v>562</v>
      </c>
      <c r="E806" s="76">
        <v>44130.0</v>
      </c>
      <c r="F806" s="77">
        <v>0.020833333333333332</v>
      </c>
      <c r="G806" s="62" t="b">
        <v>0</v>
      </c>
      <c r="H806" s="78" t="b">
        <f>IF(VLOOKUP(C806,Projetos!A:L,12,false)=TRUE,TRUE,FALSE)</f>
        <v>1</v>
      </c>
      <c r="I806" s="68">
        <v>33.89072271524771</v>
      </c>
      <c r="J806" s="68">
        <f t="shared" si="1"/>
        <v>0</v>
      </c>
      <c r="K806" s="68" t="b">
        <v>1</v>
      </c>
    </row>
    <row r="807" hidden="1">
      <c r="A807" s="75">
        <v>801.0</v>
      </c>
      <c r="B807" s="62" t="s">
        <v>532</v>
      </c>
      <c r="C807" s="62" t="s">
        <v>108</v>
      </c>
      <c r="D807" s="62" t="s">
        <v>563</v>
      </c>
      <c r="E807" s="76">
        <v>44110.0</v>
      </c>
      <c r="F807" s="77">
        <v>0.16666666666666666</v>
      </c>
      <c r="G807" s="62" t="b">
        <v>0</v>
      </c>
      <c r="H807" s="78" t="b">
        <f>IF(VLOOKUP(C807,Projetos!A:L,12,false)=TRUE,TRUE,FALSE)</f>
        <v>1</v>
      </c>
      <c r="I807" s="68">
        <v>33.89072271524771</v>
      </c>
      <c r="J807" s="68">
        <f t="shared" si="1"/>
        <v>0</v>
      </c>
      <c r="K807" s="68" t="b">
        <v>1</v>
      </c>
    </row>
    <row r="808" hidden="1">
      <c r="A808" s="75">
        <v>802.0</v>
      </c>
      <c r="B808" s="62" t="s">
        <v>532</v>
      </c>
      <c r="C808" s="62" t="s">
        <v>108</v>
      </c>
      <c r="D808" s="62" t="s">
        <v>564</v>
      </c>
      <c r="E808" s="76">
        <v>44116.0</v>
      </c>
      <c r="F808" s="77">
        <v>0.041666666666666664</v>
      </c>
      <c r="G808" s="62" t="b">
        <v>0</v>
      </c>
      <c r="H808" s="78" t="b">
        <f>IF(VLOOKUP(C808,Projetos!A:L,12,false)=TRUE,TRUE,FALSE)</f>
        <v>1</v>
      </c>
      <c r="I808" s="68">
        <v>33.89072271524771</v>
      </c>
      <c r="J808" s="68">
        <f t="shared" si="1"/>
        <v>0</v>
      </c>
      <c r="K808" s="68" t="b">
        <v>1</v>
      </c>
    </row>
    <row r="809" hidden="1">
      <c r="A809" s="75">
        <v>803.0</v>
      </c>
      <c r="B809" s="62" t="s">
        <v>532</v>
      </c>
      <c r="C809" s="62" t="s">
        <v>108</v>
      </c>
      <c r="D809" s="62" t="s">
        <v>565</v>
      </c>
      <c r="E809" s="76">
        <v>44119.0</v>
      </c>
      <c r="F809" s="77">
        <v>0.020833333333333332</v>
      </c>
      <c r="G809" s="62" t="b">
        <v>0</v>
      </c>
      <c r="H809" s="78" t="b">
        <f>IF(VLOOKUP(C809,Projetos!A:L,12,false)=TRUE,TRUE,FALSE)</f>
        <v>1</v>
      </c>
      <c r="I809" s="68">
        <v>33.89072271524771</v>
      </c>
      <c r="J809" s="68">
        <f t="shared" si="1"/>
        <v>0</v>
      </c>
      <c r="K809" s="68" t="b">
        <v>1</v>
      </c>
    </row>
    <row r="810" hidden="1">
      <c r="A810" s="75">
        <v>804.0</v>
      </c>
      <c r="B810" s="62" t="s">
        <v>532</v>
      </c>
      <c r="C810" s="62" t="s">
        <v>109</v>
      </c>
      <c r="D810" s="62" t="s">
        <v>204</v>
      </c>
      <c r="E810" s="76">
        <v>44109.0</v>
      </c>
      <c r="F810" s="77">
        <v>0.041666666666666664</v>
      </c>
      <c r="G810" s="62" t="b">
        <v>0</v>
      </c>
      <c r="H810" s="78" t="b">
        <f>IF(VLOOKUP(C810,Projetos!A:L,12,false)=TRUE,TRUE,FALSE)</f>
        <v>0</v>
      </c>
      <c r="I810" s="68">
        <v>33.89072271524771</v>
      </c>
      <c r="J810" s="68">
        <f t="shared" si="1"/>
        <v>0</v>
      </c>
      <c r="K810" s="68" t="b">
        <v>0</v>
      </c>
    </row>
    <row r="811" hidden="1">
      <c r="A811" s="75">
        <v>805.0</v>
      </c>
      <c r="B811" s="62" t="s">
        <v>532</v>
      </c>
      <c r="C811" s="62" t="s">
        <v>109</v>
      </c>
      <c r="D811" s="62" t="s">
        <v>204</v>
      </c>
      <c r="E811" s="76">
        <v>44112.0</v>
      </c>
      <c r="F811" s="77">
        <v>0.041666666666666664</v>
      </c>
      <c r="G811" s="62" t="b">
        <v>0</v>
      </c>
      <c r="H811" s="78" t="b">
        <f>IF(VLOOKUP(C811,Projetos!A:L,12,false)=TRUE,TRUE,FALSE)</f>
        <v>0</v>
      </c>
      <c r="I811" s="68">
        <v>33.89072271524771</v>
      </c>
      <c r="J811" s="68">
        <f t="shared" si="1"/>
        <v>0</v>
      </c>
      <c r="K811" s="68" t="b">
        <v>0</v>
      </c>
    </row>
    <row r="812" hidden="1">
      <c r="A812" s="75">
        <v>806.0</v>
      </c>
      <c r="B812" s="62" t="s">
        <v>532</v>
      </c>
      <c r="C812" s="62" t="s">
        <v>109</v>
      </c>
      <c r="D812" s="62" t="s">
        <v>204</v>
      </c>
      <c r="E812" s="76">
        <v>44120.0</v>
      </c>
      <c r="F812" s="77">
        <v>0.041666666666666664</v>
      </c>
      <c r="G812" s="62" t="b">
        <v>0</v>
      </c>
      <c r="H812" s="78" t="b">
        <f>IF(VLOOKUP(C812,Projetos!A:L,12,false)=TRUE,TRUE,FALSE)</f>
        <v>0</v>
      </c>
      <c r="I812" s="68">
        <v>33.89072271524771</v>
      </c>
      <c r="J812" s="68">
        <f t="shared" si="1"/>
        <v>0</v>
      </c>
      <c r="K812" s="68" t="b">
        <v>0</v>
      </c>
    </row>
    <row r="813" hidden="1">
      <c r="A813" s="75">
        <v>807.0</v>
      </c>
      <c r="B813" s="62" t="s">
        <v>532</v>
      </c>
      <c r="C813" s="62" t="s">
        <v>109</v>
      </c>
      <c r="D813" s="62" t="s">
        <v>204</v>
      </c>
      <c r="E813" s="76">
        <v>44124.0</v>
      </c>
      <c r="F813" s="77">
        <v>0.041666666666666664</v>
      </c>
      <c r="G813" s="62" t="b">
        <v>0</v>
      </c>
      <c r="H813" s="78" t="b">
        <f>IF(VLOOKUP(C813,Projetos!A:L,12,false)=TRUE,TRUE,FALSE)</f>
        <v>0</v>
      </c>
      <c r="I813" s="68">
        <v>33.89072271524771</v>
      </c>
      <c r="J813" s="68">
        <f t="shared" si="1"/>
        <v>0</v>
      </c>
      <c r="K813" s="68" t="b">
        <v>0</v>
      </c>
    </row>
    <row r="814" hidden="1">
      <c r="A814" s="75">
        <v>808.0</v>
      </c>
      <c r="B814" s="62" t="s">
        <v>532</v>
      </c>
      <c r="C814" s="62" t="s">
        <v>109</v>
      </c>
      <c r="D814" s="62" t="s">
        <v>204</v>
      </c>
      <c r="E814" s="76">
        <v>44126.0</v>
      </c>
      <c r="F814" s="77">
        <v>0.041666666666666664</v>
      </c>
      <c r="G814" s="62" t="b">
        <v>0</v>
      </c>
      <c r="H814" s="78" t="b">
        <f>IF(VLOOKUP(C814,Projetos!A:L,12,false)=TRUE,TRUE,FALSE)</f>
        <v>0</v>
      </c>
      <c r="I814" s="68">
        <v>33.89072271524771</v>
      </c>
      <c r="J814" s="68">
        <f t="shared" si="1"/>
        <v>0</v>
      </c>
      <c r="K814" s="68" t="b">
        <v>0</v>
      </c>
    </row>
    <row r="815" hidden="1">
      <c r="A815" s="75">
        <v>809.0</v>
      </c>
      <c r="B815" s="62" t="s">
        <v>532</v>
      </c>
      <c r="C815" s="62" t="s">
        <v>109</v>
      </c>
      <c r="D815" s="62" t="s">
        <v>204</v>
      </c>
      <c r="E815" s="76">
        <v>44131.0</v>
      </c>
      <c r="F815" s="77">
        <v>0.041666666666666664</v>
      </c>
      <c r="G815" s="62" t="b">
        <v>0</v>
      </c>
      <c r="H815" s="78" t="b">
        <f>IF(VLOOKUP(C815,Projetos!A:L,12,false)=TRUE,TRUE,FALSE)</f>
        <v>0</v>
      </c>
      <c r="I815" s="68">
        <v>33.89072271524771</v>
      </c>
      <c r="J815" s="68">
        <f t="shared" si="1"/>
        <v>0</v>
      </c>
      <c r="K815" s="68" t="b">
        <v>0</v>
      </c>
    </row>
    <row r="816" hidden="1">
      <c r="A816" s="75">
        <v>810.0</v>
      </c>
      <c r="B816" s="62" t="s">
        <v>532</v>
      </c>
      <c r="C816" s="62" t="s">
        <v>116</v>
      </c>
      <c r="D816" s="62" t="s">
        <v>566</v>
      </c>
      <c r="E816" s="76">
        <v>44115.0</v>
      </c>
      <c r="F816" s="77">
        <v>0.08333333333333333</v>
      </c>
      <c r="G816" s="62" t="b">
        <v>1</v>
      </c>
      <c r="H816" s="78" t="b">
        <f>IF(VLOOKUP(C816,Projetos!A:L,12,false)=TRUE,TRUE,FALSE)</f>
        <v>1</v>
      </c>
      <c r="I816" s="68">
        <v>33.89072271524771</v>
      </c>
      <c r="J816" s="68">
        <f t="shared" si="1"/>
        <v>67.78144543</v>
      </c>
      <c r="K816" s="68" t="b">
        <v>1</v>
      </c>
    </row>
    <row r="817">
      <c r="A817" s="75">
        <v>811.0</v>
      </c>
      <c r="B817" s="62" t="s">
        <v>532</v>
      </c>
      <c r="C817" s="62" t="s">
        <v>104</v>
      </c>
      <c r="D817" s="62" t="s">
        <v>567</v>
      </c>
      <c r="E817" s="76">
        <v>44118.0</v>
      </c>
      <c r="F817" s="77">
        <v>0.041666666666666664</v>
      </c>
      <c r="G817" s="62" t="b">
        <v>1</v>
      </c>
      <c r="H817" s="78" t="b">
        <f>IF(VLOOKUP(C817,Projetos!A:L,12,false)=TRUE,TRUE,FALSE)</f>
        <v>1</v>
      </c>
      <c r="I817" s="68">
        <v>33.89072271524771</v>
      </c>
      <c r="J817" s="68">
        <f t="shared" si="1"/>
        <v>33.89072272</v>
      </c>
      <c r="K817" s="68" t="b">
        <v>1</v>
      </c>
    </row>
    <row r="818">
      <c r="A818" s="75">
        <v>812.0</v>
      </c>
      <c r="B818" s="62" t="s">
        <v>532</v>
      </c>
      <c r="C818" s="62" t="s">
        <v>104</v>
      </c>
      <c r="D818" s="62" t="s">
        <v>568</v>
      </c>
      <c r="E818" s="76">
        <v>44132.0</v>
      </c>
      <c r="F818" s="77">
        <v>0.041666666666666664</v>
      </c>
      <c r="G818" s="62" t="b">
        <v>1</v>
      </c>
      <c r="H818" s="78" t="b">
        <f>IF(VLOOKUP(C818,Projetos!A:L,12,false)=TRUE,TRUE,FALSE)</f>
        <v>1</v>
      </c>
      <c r="I818" s="68">
        <v>33.89072271524771</v>
      </c>
      <c r="J818" s="68">
        <f t="shared" si="1"/>
        <v>33.89072272</v>
      </c>
      <c r="K818" s="68" t="b">
        <v>1</v>
      </c>
    </row>
    <row r="819">
      <c r="A819" s="75">
        <v>813.0</v>
      </c>
      <c r="B819" s="62" t="s">
        <v>532</v>
      </c>
      <c r="C819" s="62" t="s">
        <v>104</v>
      </c>
      <c r="D819" s="62" t="s">
        <v>555</v>
      </c>
      <c r="E819" s="76">
        <v>44145.0</v>
      </c>
      <c r="F819" s="77">
        <v>0.041666666666666664</v>
      </c>
      <c r="G819" s="62" t="b">
        <v>1</v>
      </c>
      <c r="H819" s="78" t="b">
        <f>IF(VLOOKUP(C819,Projetos!A:L,12,false)=TRUE,TRUE,FALSE)</f>
        <v>1</v>
      </c>
      <c r="I819" s="68">
        <v>32.880738424012854</v>
      </c>
      <c r="J819" s="68">
        <f t="shared" si="1"/>
        <v>32.88073842</v>
      </c>
      <c r="K819" s="68" t="b">
        <v>1</v>
      </c>
    </row>
    <row r="820">
      <c r="A820" s="75">
        <v>814.0</v>
      </c>
      <c r="B820" s="62" t="s">
        <v>532</v>
      </c>
      <c r="C820" s="62" t="s">
        <v>104</v>
      </c>
      <c r="D820" s="62" t="s">
        <v>569</v>
      </c>
      <c r="E820" s="76">
        <v>44148.0</v>
      </c>
      <c r="F820" s="77">
        <v>0.125</v>
      </c>
      <c r="G820" s="62" t="b">
        <v>0</v>
      </c>
      <c r="H820" s="78" t="b">
        <f>IF(VLOOKUP(C820,Projetos!A:L,12,false)=TRUE,TRUE,FALSE)</f>
        <v>1</v>
      </c>
      <c r="I820" s="68">
        <v>32.880738424012854</v>
      </c>
      <c r="J820" s="68">
        <f t="shared" si="1"/>
        <v>0</v>
      </c>
      <c r="K820" s="68" t="b">
        <v>1</v>
      </c>
    </row>
    <row r="821">
      <c r="A821" s="75">
        <v>815.0</v>
      </c>
      <c r="B821" s="62" t="s">
        <v>532</v>
      </c>
      <c r="C821" s="62" t="s">
        <v>104</v>
      </c>
      <c r="D821" s="62" t="s">
        <v>570</v>
      </c>
      <c r="E821" s="76">
        <v>44147.0</v>
      </c>
      <c r="F821" s="77">
        <v>0.020833333333333332</v>
      </c>
      <c r="G821" s="62" t="b">
        <v>1</v>
      </c>
      <c r="H821" s="78" t="b">
        <f>IF(VLOOKUP(C821,Projetos!A:L,12,false)=TRUE,TRUE,FALSE)</f>
        <v>1</v>
      </c>
      <c r="I821" s="68">
        <v>32.880738424012854</v>
      </c>
      <c r="J821" s="68">
        <f t="shared" si="1"/>
        <v>16.44036921</v>
      </c>
      <c r="K821" s="68" t="b">
        <v>1</v>
      </c>
    </row>
    <row r="822">
      <c r="A822" s="75">
        <v>816.0</v>
      </c>
      <c r="B822" s="62" t="s">
        <v>532</v>
      </c>
      <c r="C822" s="62" t="s">
        <v>104</v>
      </c>
      <c r="D822" s="62" t="s">
        <v>571</v>
      </c>
      <c r="E822" s="76">
        <v>44160.0</v>
      </c>
      <c r="F822" s="77">
        <v>0.375</v>
      </c>
      <c r="G822" s="62" t="b">
        <v>0</v>
      </c>
      <c r="H822" s="78" t="b">
        <f>IF(VLOOKUP(C822,Projetos!A:L,12,false)=TRUE,TRUE,FALSE)</f>
        <v>1</v>
      </c>
      <c r="I822" s="68">
        <v>32.880738424012854</v>
      </c>
      <c r="J822" s="68">
        <f t="shared" si="1"/>
        <v>0</v>
      </c>
      <c r="K822" s="68" t="b">
        <v>1</v>
      </c>
    </row>
    <row r="823" hidden="1">
      <c r="A823" s="75">
        <v>817.0</v>
      </c>
      <c r="B823" s="62" t="s">
        <v>532</v>
      </c>
      <c r="C823" s="62" t="s">
        <v>109</v>
      </c>
      <c r="D823" s="62" t="s">
        <v>572</v>
      </c>
      <c r="E823" s="76">
        <v>44153.0</v>
      </c>
      <c r="F823" s="77">
        <v>0.08333333333333333</v>
      </c>
      <c r="G823" s="62" t="b">
        <v>0</v>
      </c>
      <c r="H823" s="78" t="b">
        <f>IF(VLOOKUP(C823,Projetos!A:L,12,false)=TRUE,TRUE,FALSE)</f>
        <v>0</v>
      </c>
      <c r="I823" s="68">
        <v>32.880738424012854</v>
      </c>
      <c r="J823" s="68">
        <f t="shared" si="1"/>
        <v>0</v>
      </c>
      <c r="K823" s="68" t="b">
        <v>0</v>
      </c>
    </row>
    <row r="824" hidden="1">
      <c r="A824" s="75">
        <v>818.0</v>
      </c>
      <c r="B824" s="62" t="s">
        <v>532</v>
      </c>
      <c r="C824" s="62" t="s">
        <v>109</v>
      </c>
      <c r="D824" s="62" t="s">
        <v>573</v>
      </c>
      <c r="E824" s="76">
        <v>44154.0</v>
      </c>
      <c r="F824" s="77">
        <v>0.041666666666666664</v>
      </c>
      <c r="G824" s="62" t="b">
        <v>0</v>
      </c>
      <c r="H824" s="78" t="b">
        <f>IF(VLOOKUP(C824,Projetos!A:L,12,false)=TRUE,TRUE,FALSE)</f>
        <v>0</v>
      </c>
      <c r="I824" s="68">
        <v>32.880738424012854</v>
      </c>
      <c r="J824" s="68">
        <f t="shared" si="1"/>
        <v>0</v>
      </c>
      <c r="K824" s="68" t="b">
        <v>0</v>
      </c>
    </row>
    <row r="825" hidden="1">
      <c r="A825" s="75">
        <v>819.0</v>
      </c>
      <c r="B825" s="62" t="s">
        <v>532</v>
      </c>
      <c r="C825" s="62" t="s">
        <v>109</v>
      </c>
      <c r="D825" s="62" t="s">
        <v>574</v>
      </c>
      <c r="E825" s="76">
        <v>44155.0</v>
      </c>
      <c r="F825" s="77">
        <v>0.041666666666666664</v>
      </c>
      <c r="G825" s="62" t="b">
        <v>0</v>
      </c>
      <c r="H825" s="78" t="b">
        <f>IF(VLOOKUP(C825,Projetos!A:L,12,false)=TRUE,TRUE,FALSE)</f>
        <v>0</v>
      </c>
      <c r="I825" s="68">
        <v>32.880738424012854</v>
      </c>
      <c r="J825" s="68">
        <f t="shared" si="1"/>
        <v>0</v>
      </c>
      <c r="K825" s="68" t="b">
        <v>0</v>
      </c>
    </row>
    <row r="826" hidden="1">
      <c r="A826" s="75">
        <v>820.0</v>
      </c>
      <c r="B826" s="62" t="s">
        <v>532</v>
      </c>
      <c r="C826" s="62" t="s">
        <v>109</v>
      </c>
      <c r="D826" s="62" t="s">
        <v>575</v>
      </c>
      <c r="E826" s="76">
        <v>44162.0</v>
      </c>
      <c r="F826" s="77">
        <v>0.020833333333333332</v>
      </c>
      <c r="G826" s="62" t="b">
        <v>0</v>
      </c>
      <c r="H826" s="78" t="b">
        <f>IF(VLOOKUP(C826,Projetos!A:L,12,false)=TRUE,TRUE,FALSE)</f>
        <v>0</v>
      </c>
      <c r="I826" s="68">
        <v>32.880738424012854</v>
      </c>
      <c r="J826" s="68">
        <f t="shared" si="1"/>
        <v>0</v>
      </c>
      <c r="K826" s="68" t="b">
        <v>0</v>
      </c>
    </row>
    <row r="827" hidden="1">
      <c r="A827" s="75">
        <v>821.0</v>
      </c>
      <c r="B827" s="62" t="s">
        <v>532</v>
      </c>
      <c r="C827" s="62" t="s">
        <v>109</v>
      </c>
      <c r="D827" s="62" t="s">
        <v>576</v>
      </c>
      <c r="E827" s="76">
        <v>44162.0</v>
      </c>
      <c r="F827" s="77">
        <v>0.020833333333333332</v>
      </c>
      <c r="G827" s="62" t="b">
        <v>0</v>
      </c>
      <c r="H827" s="78" t="b">
        <f>IF(VLOOKUP(C827,Projetos!A:L,12,false)=TRUE,TRUE,FALSE)</f>
        <v>0</v>
      </c>
      <c r="I827" s="68">
        <v>32.880738424012854</v>
      </c>
      <c r="J827" s="68">
        <f t="shared" si="1"/>
        <v>0</v>
      </c>
      <c r="K827" s="68" t="b">
        <v>0</v>
      </c>
    </row>
    <row r="828" hidden="1">
      <c r="A828" s="75">
        <v>822.0</v>
      </c>
      <c r="B828" s="62" t="s">
        <v>532</v>
      </c>
      <c r="C828" s="62" t="s">
        <v>113</v>
      </c>
      <c r="D828" s="62" t="s">
        <v>577</v>
      </c>
      <c r="E828" s="76">
        <v>44137.0</v>
      </c>
      <c r="F828" s="77">
        <v>0.10416666666666667</v>
      </c>
      <c r="G828" s="62" t="b">
        <v>1</v>
      </c>
      <c r="H828" s="78" t="b">
        <f>IF(VLOOKUP(C828,Projetos!A:L,12,false)=TRUE,TRUE,FALSE)</f>
        <v>1</v>
      </c>
      <c r="I828" s="68">
        <v>32.880738424012854</v>
      </c>
      <c r="J828" s="68">
        <f t="shared" si="1"/>
        <v>82.20184606</v>
      </c>
      <c r="K828" s="68" t="b">
        <v>1</v>
      </c>
    </row>
    <row r="829" hidden="1">
      <c r="A829" s="75">
        <v>823.0</v>
      </c>
      <c r="B829" s="62" t="s">
        <v>532</v>
      </c>
      <c r="C829" s="62" t="s">
        <v>113</v>
      </c>
      <c r="D829" s="62" t="s">
        <v>578</v>
      </c>
      <c r="E829" s="76">
        <v>44144.0</v>
      </c>
      <c r="F829" s="77">
        <v>0.08333333333333333</v>
      </c>
      <c r="G829" s="62" t="b">
        <v>0</v>
      </c>
      <c r="H829" s="78" t="b">
        <f>IF(VLOOKUP(C829,Projetos!A:L,12,false)=TRUE,TRUE,FALSE)</f>
        <v>1</v>
      </c>
      <c r="I829" s="68">
        <v>32.880738424012854</v>
      </c>
      <c r="J829" s="68">
        <f t="shared" si="1"/>
        <v>0</v>
      </c>
      <c r="K829" s="68" t="b">
        <v>1</v>
      </c>
    </row>
    <row r="830" hidden="1">
      <c r="A830" s="75">
        <v>824.0</v>
      </c>
      <c r="B830" s="62" t="s">
        <v>532</v>
      </c>
      <c r="C830" s="62" t="s">
        <v>113</v>
      </c>
      <c r="D830" s="62" t="s">
        <v>579</v>
      </c>
      <c r="E830" s="76">
        <v>44151.0</v>
      </c>
      <c r="F830" s="77">
        <v>0.041666666666666664</v>
      </c>
      <c r="G830" s="62" t="b">
        <v>1</v>
      </c>
      <c r="H830" s="78" t="b">
        <f>IF(VLOOKUP(C830,Projetos!A:L,12,false)=TRUE,TRUE,FALSE)</f>
        <v>1</v>
      </c>
      <c r="I830" s="68">
        <v>32.880738424012854</v>
      </c>
      <c r="J830" s="68">
        <f t="shared" si="1"/>
        <v>32.88073842</v>
      </c>
      <c r="K830" s="68" t="b">
        <v>1</v>
      </c>
    </row>
    <row r="831" hidden="1">
      <c r="A831" s="75">
        <v>825.0</v>
      </c>
      <c r="B831" s="62" t="s">
        <v>532</v>
      </c>
      <c r="C831" s="62" t="s">
        <v>113</v>
      </c>
      <c r="D831" s="62" t="s">
        <v>579</v>
      </c>
      <c r="E831" s="76">
        <v>44152.0</v>
      </c>
      <c r="F831" s="77">
        <v>0.020833333333333332</v>
      </c>
      <c r="G831" s="62" t="b">
        <v>1</v>
      </c>
      <c r="H831" s="78" t="b">
        <f>IF(VLOOKUP(C831,Projetos!A:L,12,false)=TRUE,TRUE,FALSE)</f>
        <v>1</v>
      </c>
      <c r="I831" s="68">
        <v>32.880738424012854</v>
      </c>
      <c r="J831" s="68">
        <f t="shared" si="1"/>
        <v>16.44036921</v>
      </c>
      <c r="K831" s="68" t="b">
        <v>1</v>
      </c>
    </row>
    <row r="832" hidden="1">
      <c r="A832" s="75">
        <v>826.0</v>
      </c>
      <c r="B832" s="62" t="s">
        <v>532</v>
      </c>
      <c r="C832" s="62" t="s">
        <v>113</v>
      </c>
      <c r="D832" s="62" t="s">
        <v>579</v>
      </c>
      <c r="E832" s="76">
        <v>44154.0</v>
      </c>
      <c r="F832" s="77">
        <v>0.020833333333333332</v>
      </c>
      <c r="G832" s="62" t="b">
        <v>1</v>
      </c>
      <c r="H832" s="78" t="b">
        <f>IF(VLOOKUP(C832,Projetos!A:L,12,false)=TRUE,TRUE,FALSE)</f>
        <v>1</v>
      </c>
      <c r="I832" s="68">
        <v>32.880738424012854</v>
      </c>
      <c r="J832" s="68">
        <f t="shared" si="1"/>
        <v>16.44036921</v>
      </c>
      <c r="K832" s="68" t="b">
        <v>1</v>
      </c>
    </row>
    <row r="833" hidden="1">
      <c r="A833" s="75">
        <v>827.0</v>
      </c>
      <c r="B833" s="62" t="s">
        <v>532</v>
      </c>
      <c r="C833" s="62" t="s">
        <v>113</v>
      </c>
      <c r="D833" s="62" t="s">
        <v>579</v>
      </c>
      <c r="E833" s="76">
        <v>44160.0</v>
      </c>
      <c r="F833" s="77">
        <v>0.020833333333333332</v>
      </c>
      <c r="G833" s="62" t="b">
        <v>1</v>
      </c>
      <c r="H833" s="78" t="b">
        <f>IF(VLOOKUP(C833,Projetos!A:L,12,false)=TRUE,TRUE,FALSE)</f>
        <v>1</v>
      </c>
      <c r="I833" s="68">
        <v>32.880738424012854</v>
      </c>
      <c r="J833" s="68">
        <f t="shared" si="1"/>
        <v>16.44036921</v>
      </c>
      <c r="K833" s="68" t="b">
        <v>1</v>
      </c>
    </row>
    <row r="834">
      <c r="A834" s="75">
        <v>828.0</v>
      </c>
      <c r="B834" s="62" t="s">
        <v>532</v>
      </c>
      <c r="C834" s="62" t="s">
        <v>104</v>
      </c>
      <c r="D834" s="62" t="s">
        <v>580</v>
      </c>
      <c r="E834" s="76">
        <v>44186.0</v>
      </c>
      <c r="F834" s="77">
        <v>0.08333333333333333</v>
      </c>
      <c r="G834" s="62" t="b">
        <v>0</v>
      </c>
      <c r="H834" s="78" t="b">
        <f>IF(VLOOKUP(C834,Projetos!A:L,12,false)=TRUE,TRUE,FALSE)</f>
        <v>1</v>
      </c>
      <c r="I834" s="68">
        <v>34.44648787277537</v>
      </c>
      <c r="J834" s="68">
        <f t="shared" si="1"/>
        <v>0</v>
      </c>
      <c r="K834" s="68" t="b">
        <v>1</v>
      </c>
    </row>
    <row r="835">
      <c r="A835" s="75">
        <v>829.0</v>
      </c>
      <c r="B835" s="62" t="s">
        <v>532</v>
      </c>
      <c r="C835" s="62" t="s">
        <v>104</v>
      </c>
      <c r="D835" s="62" t="s">
        <v>580</v>
      </c>
      <c r="E835" s="76">
        <v>44188.0</v>
      </c>
      <c r="F835" s="77">
        <v>0.041666666666666664</v>
      </c>
      <c r="G835" s="62" t="b">
        <v>0</v>
      </c>
      <c r="H835" s="78" t="b">
        <f>IF(VLOOKUP(C835,Projetos!A:L,12,false)=TRUE,TRUE,FALSE)</f>
        <v>1</v>
      </c>
      <c r="I835" s="68">
        <v>34.44648787277537</v>
      </c>
      <c r="J835" s="68">
        <f t="shared" si="1"/>
        <v>0</v>
      </c>
      <c r="K835" s="68" t="b">
        <v>1</v>
      </c>
    </row>
    <row r="836" hidden="1">
      <c r="A836" s="75">
        <v>830.0</v>
      </c>
      <c r="B836" s="62" t="s">
        <v>532</v>
      </c>
      <c r="C836" s="62" t="s">
        <v>109</v>
      </c>
      <c r="D836" s="62" t="s">
        <v>581</v>
      </c>
      <c r="E836" s="76">
        <v>44170.0</v>
      </c>
      <c r="F836" s="77">
        <v>0.041666666666666664</v>
      </c>
      <c r="G836" s="62" t="b">
        <v>0</v>
      </c>
      <c r="H836" s="78" t="b">
        <f>IF(VLOOKUP(C836,Projetos!A:L,12,false)=TRUE,TRUE,FALSE)</f>
        <v>0</v>
      </c>
      <c r="I836" s="68">
        <v>34.44648787277537</v>
      </c>
      <c r="J836" s="68">
        <f t="shared" si="1"/>
        <v>0</v>
      </c>
      <c r="K836" s="68" t="b">
        <v>0</v>
      </c>
    </row>
    <row r="837" hidden="1">
      <c r="A837" s="75">
        <v>831.0</v>
      </c>
      <c r="B837" s="62" t="s">
        <v>532</v>
      </c>
      <c r="C837" s="62" t="s">
        <v>109</v>
      </c>
      <c r="D837" s="62" t="s">
        <v>582</v>
      </c>
      <c r="E837" s="76">
        <v>44172.0</v>
      </c>
      <c r="F837" s="77">
        <v>0.0625</v>
      </c>
      <c r="G837" s="62" t="b">
        <v>0</v>
      </c>
      <c r="H837" s="78" t="b">
        <f>IF(VLOOKUP(C837,Projetos!A:L,12,false)=TRUE,TRUE,FALSE)</f>
        <v>0</v>
      </c>
      <c r="I837" s="68">
        <v>34.44648787277537</v>
      </c>
      <c r="J837" s="68">
        <f t="shared" si="1"/>
        <v>0</v>
      </c>
      <c r="K837" s="68" t="b">
        <v>0</v>
      </c>
    </row>
    <row r="838" hidden="1">
      <c r="A838" s="75">
        <v>832.0</v>
      </c>
      <c r="B838" s="62" t="s">
        <v>532</v>
      </c>
      <c r="C838" s="62" t="s">
        <v>109</v>
      </c>
      <c r="D838" s="62" t="s">
        <v>583</v>
      </c>
      <c r="E838" s="76">
        <v>44182.0</v>
      </c>
      <c r="F838" s="77">
        <v>0.020833333333333332</v>
      </c>
      <c r="G838" s="62" t="b">
        <v>0</v>
      </c>
      <c r="H838" s="78" t="b">
        <f>IF(VLOOKUP(C838,Projetos!A:L,12,false)=TRUE,TRUE,FALSE)</f>
        <v>0</v>
      </c>
      <c r="I838" s="68">
        <v>34.44648787277537</v>
      </c>
      <c r="J838" s="68">
        <f t="shared" si="1"/>
        <v>0</v>
      </c>
      <c r="K838" s="68" t="b">
        <v>0</v>
      </c>
    </row>
    <row r="839" hidden="1">
      <c r="A839" s="75">
        <v>833.0</v>
      </c>
      <c r="B839" s="62" t="s">
        <v>532</v>
      </c>
      <c r="C839" s="62" t="s">
        <v>109</v>
      </c>
      <c r="D839" s="62" t="s">
        <v>581</v>
      </c>
      <c r="E839" s="76">
        <v>44194.0</v>
      </c>
      <c r="F839" s="77">
        <v>0.16666666666666666</v>
      </c>
      <c r="G839" s="62" t="b">
        <v>0</v>
      </c>
      <c r="H839" s="78" t="b">
        <f>IF(VLOOKUP(C839,Projetos!A:L,12,false)=TRUE,TRUE,FALSE)</f>
        <v>0</v>
      </c>
      <c r="I839" s="68">
        <v>34.44648787277537</v>
      </c>
      <c r="J839" s="68">
        <f t="shared" si="1"/>
        <v>0</v>
      </c>
      <c r="K839" s="68" t="b">
        <v>0</v>
      </c>
    </row>
    <row r="840" hidden="1">
      <c r="A840" s="75">
        <v>834.0</v>
      </c>
      <c r="B840" s="62" t="s">
        <v>532</v>
      </c>
      <c r="C840" s="62" t="s">
        <v>113</v>
      </c>
      <c r="D840" s="62" t="s">
        <v>584</v>
      </c>
      <c r="E840" s="76">
        <v>44179.0</v>
      </c>
      <c r="F840" s="77">
        <v>0.041666666666666664</v>
      </c>
      <c r="G840" s="62" t="b">
        <v>1</v>
      </c>
      <c r="H840" s="78" t="b">
        <f>IF(VLOOKUP(C840,Projetos!A:L,12,false)=TRUE,TRUE,FALSE)</f>
        <v>1</v>
      </c>
      <c r="I840" s="68">
        <v>34.44648787277537</v>
      </c>
      <c r="J840" s="68">
        <f t="shared" si="1"/>
        <v>34.44648787</v>
      </c>
      <c r="K840" s="68" t="b">
        <v>1</v>
      </c>
    </row>
    <row r="841" hidden="1">
      <c r="A841" s="75">
        <v>835.0</v>
      </c>
      <c r="B841" s="62" t="s">
        <v>532</v>
      </c>
      <c r="C841" s="62" t="s">
        <v>113</v>
      </c>
      <c r="D841" s="62" t="s">
        <v>585</v>
      </c>
      <c r="E841" s="76">
        <v>44189.0</v>
      </c>
      <c r="F841" s="77">
        <v>0.020833333333333332</v>
      </c>
      <c r="G841" s="62" t="b">
        <v>1</v>
      </c>
      <c r="H841" s="78" t="b">
        <f>IF(VLOOKUP(C841,Projetos!A:L,12,false)=TRUE,TRUE,FALSE)</f>
        <v>1</v>
      </c>
      <c r="I841" s="68">
        <v>34.44648787277537</v>
      </c>
      <c r="J841" s="68">
        <f t="shared" si="1"/>
        <v>17.22324394</v>
      </c>
      <c r="K841" s="68" t="b">
        <v>1</v>
      </c>
    </row>
    <row r="842" hidden="1">
      <c r="A842" s="75">
        <v>836.0</v>
      </c>
      <c r="B842" s="62" t="s">
        <v>532</v>
      </c>
      <c r="C842" s="62" t="s">
        <v>113</v>
      </c>
      <c r="D842" s="62" t="s">
        <v>585</v>
      </c>
      <c r="E842" s="76">
        <v>44193.0</v>
      </c>
      <c r="F842" s="77">
        <v>0.020833333333333332</v>
      </c>
      <c r="G842" s="62" t="b">
        <v>1</v>
      </c>
      <c r="H842" s="78" t="b">
        <f>IF(VLOOKUP(C842,Projetos!A:L,12,false)=TRUE,TRUE,FALSE)</f>
        <v>1</v>
      </c>
      <c r="I842" s="68">
        <v>34.44648787277537</v>
      </c>
      <c r="J842" s="68">
        <f t="shared" si="1"/>
        <v>17.22324394</v>
      </c>
      <c r="K842" s="68" t="b">
        <v>1</v>
      </c>
    </row>
    <row r="843" hidden="1">
      <c r="A843" s="75">
        <v>837.0</v>
      </c>
      <c r="B843" s="62" t="s">
        <v>532</v>
      </c>
      <c r="C843" s="62" t="s">
        <v>117</v>
      </c>
      <c r="D843" s="62" t="s">
        <v>586</v>
      </c>
      <c r="E843" s="76">
        <v>44166.0</v>
      </c>
      <c r="F843" s="77">
        <v>0.041666666666666664</v>
      </c>
      <c r="G843" s="62" t="b">
        <v>0</v>
      </c>
      <c r="H843" s="78" t="b">
        <f>IF(VLOOKUP(C843,Projetos!A:L,12,false)=TRUE,TRUE,FALSE)</f>
        <v>0</v>
      </c>
      <c r="I843" s="68">
        <v>34.44648787277537</v>
      </c>
      <c r="J843" s="68">
        <f t="shared" si="1"/>
        <v>0</v>
      </c>
      <c r="K843" s="68" t="b">
        <v>0</v>
      </c>
    </row>
    <row r="844" hidden="1">
      <c r="A844" s="75">
        <v>838.0</v>
      </c>
      <c r="B844" s="62" t="s">
        <v>532</v>
      </c>
      <c r="C844" s="62" t="s">
        <v>117</v>
      </c>
      <c r="D844" s="62" t="s">
        <v>587</v>
      </c>
      <c r="E844" s="76">
        <v>44169.0</v>
      </c>
      <c r="F844" s="77">
        <v>0.041666666666666664</v>
      </c>
      <c r="G844" s="62" t="b">
        <v>0</v>
      </c>
      <c r="H844" s="78" t="b">
        <f>IF(VLOOKUP(C844,Projetos!A:L,12,false)=TRUE,TRUE,FALSE)</f>
        <v>0</v>
      </c>
      <c r="I844" s="68">
        <v>34.44648787277537</v>
      </c>
      <c r="J844" s="68">
        <f t="shared" si="1"/>
        <v>0</v>
      </c>
      <c r="K844" s="68" t="b">
        <v>0</v>
      </c>
    </row>
    <row r="845" hidden="1">
      <c r="A845" s="75">
        <v>839.0</v>
      </c>
      <c r="B845" s="62" t="s">
        <v>532</v>
      </c>
      <c r="C845" s="62" t="s">
        <v>117</v>
      </c>
      <c r="D845" s="62" t="s">
        <v>588</v>
      </c>
      <c r="E845" s="76">
        <v>44175.0</v>
      </c>
      <c r="F845" s="77">
        <v>0.08333333333333333</v>
      </c>
      <c r="G845" s="62" t="b">
        <v>0</v>
      </c>
      <c r="H845" s="78" t="b">
        <f>IF(VLOOKUP(C845,Projetos!A:L,12,false)=TRUE,TRUE,FALSE)</f>
        <v>0</v>
      </c>
      <c r="I845" s="68">
        <v>34.44648787277537</v>
      </c>
      <c r="J845" s="68">
        <f t="shared" si="1"/>
        <v>0</v>
      </c>
      <c r="K845" s="68" t="b">
        <v>0</v>
      </c>
    </row>
    <row r="846" hidden="1">
      <c r="A846" s="75">
        <v>840.0</v>
      </c>
      <c r="B846" s="62" t="s">
        <v>532</v>
      </c>
      <c r="C846" s="62" t="s">
        <v>117</v>
      </c>
      <c r="D846" s="62" t="s">
        <v>589</v>
      </c>
      <c r="E846" s="76">
        <v>44181.0</v>
      </c>
      <c r="F846" s="77">
        <v>0.041666666666666664</v>
      </c>
      <c r="G846" s="62" t="b">
        <v>0</v>
      </c>
      <c r="H846" s="78" t="b">
        <f>IF(VLOOKUP(C846,Projetos!A:L,12,false)=TRUE,TRUE,FALSE)</f>
        <v>0</v>
      </c>
      <c r="I846" s="68">
        <v>34.44648787277537</v>
      </c>
      <c r="J846" s="68">
        <f t="shared" si="1"/>
        <v>0</v>
      </c>
      <c r="K846" s="68" t="b">
        <v>0</v>
      </c>
    </row>
    <row r="847" hidden="1">
      <c r="A847" s="75">
        <v>841.0</v>
      </c>
      <c r="B847" s="62" t="s">
        <v>532</v>
      </c>
      <c r="C847" s="62" t="s">
        <v>117</v>
      </c>
      <c r="D847" s="62" t="s">
        <v>590</v>
      </c>
      <c r="E847" s="76">
        <v>44183.0</v>
      </c>
      <c r="F847" s="77">
        <v>0.10416666666666667</v>
      </c>
      <c r="G847" s="62" t="b">
        <v>0</v>
      </c>
      <c r="H847" s="78" t="b">
        <f>IF(VLOOKUP(C847,Projetos!A:L,12,false)=TRUE,TRUE,FALSE)</f>
        <v>0</v>
      </c>
      <c r="I847" s="68">
        <v>34.44648787277537</v>
      </c>
      <c r="J847" s="68">
        <f t="shared" si="1"/>
        <v>0</v>
      </c>
      <c r="K847" s="68" t="b">
        <v>0</v>
      </c>
    </row>
    <row r="848" hidden="1">
      <c r="A848" s="75">
        <v>842.0</v>
      </c>
      <c r="B848" s="62" t="s">
        <v>591</v>
      </c>
      <c r="C848" s="62" t="s">
        <v>98</v>
      </c>
      <c r="D848" s="62" t="s">
        <v>592</v>
      </c>
      <c r="E848" s="76">
        <v>43843.0</v>
      </c>
      <c r="F848" s="77">
        <v>0.041666666666666664</v>
      </c>
      <c r="G848" s="62" t="b">
        <v>1</v>
      </c>
      <c r="H848" s="78" t="b">
        <f>IF(VLOOKUP(C848,Projetos!A:L,12,false)=TRUE,TRUE,FALSE)</f>
        <v>1</v>
      </c>
      <c r="I848" s="68">
        <v>169.0374654280904</v>
      </c>
      <c r="J848" s="68">
        <f t="shared" si="1"/>
        <v>169.0374654</v>
      </c>
      <c r="K848" s="68" t="b">
        <v>1</v>
      </c>
    </row>
    <row r="849" hidden="1">
      <c r="A849" s="75">
        <v>843.0</v>
      </c>
      <c r="B849" s="62" t="s">
        <v>591</v>
      </c>
      <c r="C849" s="62" t="s">
        <v>98</v>
      </c>
      <c r="D849" s="62" t="s">
        <v>593</v>
      </c>
      <c r="E849" s="76">
        <v>43844.0</v>
      </c>
      <c r="F849" s="77">
        <v>0.125</v>
      </c>
      <c r="G849" s="62" t="b">
        <v>1</v>
      </c>
      <c r="H849" s="78" t="b">
        <f>IF(VLOOKUP(C849,Projetos!A:L,12,false)=TRUE,TRUE,FALSE)</f>
        <v>1</v>
      </c>
      <c r="I849" s="68">
        <v>169.0374654280904</v>
      </c>
      <c r="J849" s="68">
        <f t="shared" si="1"/>
        <v>507.1123963</v>
      </c>
      <c r="K849" s="68" t="b">
        <v>1</v>
      </c>
    </row>
    <row r="850" hidden="1">
      <c r="A850" s="75">
        <v>844.0</v>
      </c>
      <c r="B850" s="62" t="s">
        <v>591</v>
      </c>
      <c r="C850" s="62" t="s">
        <v>102</v>
      </c>
      <c r="D850" s="62" t="s">
        <v>594</v>
      </c>
      <c r="E850" s="76">
        <v>43844.0</v>
      </c>
      <c r="F850" s="77">
        <v>0.041666666666666664</v>
      </c>
      <c r="G850" s="62" t="b">
        <v>0</v>
      </c>
      <c r="H850" s="78" t="b">
        <f>IF(VLOOKUP(C850,Projetos!A:L,12,false)=TRUE,TRUE,FALSE)</f>
        <v>0</v>
      </c>
      <c r="I850" s="68">
        <v>169.0374654280904</v>
      </c>
      <c r="J850" s="68">
        <f t="shared" si="1"/>
        <v>0</v>
      </c>
      <c r="K850" s="68" t="b">
        <v>0</v>
      </c>
    </row>
    <row r="851" hidden="1">
      <c r="A851" s="75">
        <v>845.0</v>
      </c>
      <c r="B851" s="62" t="s">
        <v>591</v>
      </c>
      <c r="C851" s="62" t="s">
        <v>102</v>
      </c>
      <c r="D851" s="62" t="s">
        <v>594</v>
      </c>
      <c r="E851" s="76">
        <v>43844.0</v>
      </c>
      <c r="F851" s="77">
        <v>0.041666666666666664</v>
      </c>
      <c r="G851" s="62" t="b">
        <v>0</v>
      </c>
      <c r="H851" s="78" t="b">
        <f>IF(VLOOKUP(C851,Projetos!A:L,12,false)=TRUE,TRUE,FALSE)</f>
        <v>0</v>
      </c>
      <c r="I851" s="68">
        <v>169.0374654280904</v>
      </c>
      <c r="J851" s="68">
        <f t="shared" si="1"/>
        <v>0</v>
      </c>
      <c r="K851" s="68" t="b">
        <v>0</v>
      </c>
    </row>
    <row r="852">
      <c r="A852" s="75">
        <v>846.0</v>
      </c>
      <c r="B852" s="62" t="s">
        <v>591</v>
      </c>
      <c r="C852" s="62" t="s">
        <v>104</v>
      </c>
      <c r="D852" s="62" t="s">
        <v>595</v>
      </c>
      <c r="E852" s="76">
        <v>43836.0</v>
      </c>
      <c r="F852" s="77">
        <v>0.08333333333333333</v>
      </c>
      <c r="G852" s="62" t="b">
        <v>1</v>
      </c>
      <c r="H852" s="78" t="b">
        <f>IF(VLOOKUP(C852,Projetos!A:L,12,false)=TRUE,TRUE,FALSE)</f>
        <v>1</v>
      </c>
      <c r="I852" s="68">
        <v>169.0374654280904</v>
      </c>
      <c r="J852" s="68">
        <f t="shared" si="1"/>
        <v>338.0749309</v>
      </c>
      <c r="K852" s="68" t="b">
        <v>1</v>
      </c>
    </row>
    <row r="853">
      <c r="A853" s="75">
        <v>847.0</v>
      </c>
      <c r="B853" s="62" t="s">
        <v>591</v>
      </c>
      <c r="C853" s="62" t="s">
        <v>104</v>
      </c>
      <c r="D853" s="62" t="s">
        <v>596</v>
      </c>
      <c r="E853" s="76">
        <v>43838.0</v>
      </c>
      <c r="F853" s="77">
        <v>0.041666666666666664</v>
      </c>
      <c r="G853" s="62" t="b">
        <v>1</v>
      </c>
      <c r="H853" s="78" t="b">
        <f>IF(VLOOKUP(C853,Projetos!A:L,12,false)=TRUE,TRUE,FALSE)</f>
        <v>1</v>
      </c>
      <c r="I853" s="68">
        <v>169.0374654280904</v>
      </c>
      <c r="J853" s="68">
        <f t="shared" si="1"/>
        <v>169.0374654</v>
      </c>
      <c r="K853" s="68" t="b">
        <v>1</v>
      </c>
    </row>
    <row r="854">
      <c r="A854" s="75">
        <v>848.0</v>
      </c>
      <c r="B854" s="62" t="s">
        <v>591</v>
      </c>
      <c r="C854" s="62" t="s">
        <v>104</v>
      </c>
      <c r="D854" s="62" t="s">
        <v>597</v>
      </c>
      <c r="E854" s="76">
        <v>43838.0</v>
      </c>
      <c r="F854" s="77">
        <v>0.041666666666666664</v>
      </c>
      <c r="G854" s="62" t="b">
        <v>1</v>
      </c>
      <c r="H854" s="78" t="b">
        <f>IF(VLOOKUP(C854,Projetos!A:L,12,false)=TRUE,TRUE,FALSE)</f>
        <v>1</v>
      </c>
      <c r="I854" s="68">
        <v>169.0374654280904</v>
      </c>
      <c r="J854" s="68">
        <f t="shared" si="1"/>
        <v>169.0374654</v>
      </c>
      <c r="K854" s="68" t="b">
        <v>1</v>
      </c>
    </row>
    <row r="855">
      <c r="A855" s="75">
        <v>849.0</v>
      </c>
      <c r="B855" s="62" t="s">
        <v>591</v>
      </c>
      <c r="C855" s="62" t="s">
        <v>104</v>
      </c>
      <c r="D855" s="62" t="s">
        <v>598</v>
      </c>
      <c r="E855" s="76">
        <v>43844.0</v>
      </c>
      <c r="F855" s="77">
        <v>0.041666666666666664</v>
      </c>
      <c r="G855" s="62" t="b">
        <v>1</v>
      </c>
      <c r="H855" s="78" t="b">
        <f>IF(VLOOKUP(C855,Projetos!A:L,12,false)=TRUE,TRUE,FALSE)</f>
        <v>1</v>
      </c>
      <c r="I855" s="68">
        <v>169.0374654280904</v>
      </c>
      <c r="J855" s="68">
        <f t="shared" si="1"/>
        <v>169.0374654</v>
      </c>
      <c r="K855" s="68" t="b">
        <v>1</v>
      </c>
    </row>
    <row r="856">
      <c r="A856" s="75">
        <v>850.0</v>
      </c>
      <c r="B856" s="62" t="s">
        <v>591</v>
      </c>
      <c r="C856" s="62" t="s">
        <v>104</v>
      </c>
      <c r="D856" s="62" t="s">
        <v>599</v>
      </c>
      <c r="E856" s="76">
        <v>43844.0</v>
      </c>
      <c r="F856" s="77">
        <v>0.020833333333333332</v>
      </c>
      <c r="G856" s="62" t="b">
        <v>1</v>
      </c>
      <c r="H856" s="78" t="b">
        <f>IF(VLOOKUP(C856,Projetos!A:L,12,false)=TRUE,TRUE,FALSE)</f>
        <v>1</v>
      </c>
      <c r="I856" s="68">
        <v>169.0374654280904</v>
      </c>
      <c r="J856" s="68">
        <f t="shared" si="1"/>
        <v>84.51873271</v>
      </c>
      <c r="K856" s="68" t="b">
        <v>1</v>
      </c>
    </row>
    <row r="857">
      <c r="A857" s="75">
        <v>851.0</v>
      </c>
      <c r="B857" s="62" t="s">
        <v>591</v>
      </c>
      <c r="C857" s="62" t="s">
        <v>104</v>
      </c>
      <c r="D857" s="62" t="s">
        <v>599</v>
      </c>
      <c r="E857" s="76"/>
      <c r="F857" s="77">
        <v>0.0</v>
      </c>
      <c r="G857" s="62" t="b">
        <v>0</v>
      </c>
      <c r="H857" s="78" t="b">
        <f>IF(VLOOKUP(C857,Projetos!A:L,12,false)=TRUE,TRUE,FALSE)</f>
        <v>1</v>
      </c>
      <c r="I857" s="68">
        <v>169.0374654280904</v>
      </c>
      <c r="J857" s="68">
        <f t="shared" si="1"/>
        <v>0</v>
      </c>
      <c r="K857" s="68" t="b">
        <v>1</v>
      </c>
    </row>
    <row r="858" hidden="1">
      <c r="A858" s="75">
        <v>852.0</v>
      </c>
      <c r="B858" s="62" t="s">
        <v>591</v>
      </c>
      <c r="C858" s="62" t="s">
        <v>108</v>
      </c>
      <c r="D858" s="62" t="s">
        <v>600</v>
      </c>
      <c r="E858" s="76">
        <v>43837.0</v>
      </c>
      <c r="F858" s="77">
        <v>0.0625</v>
      </c>
      <c r="G858" s="62" t="b">
        <v>0</v>
      </c>
      <c r="H858" s="78" t="b">
        <f>IF(VLOOKUP(C858,Projetos!A:L,12,false)=TRUE,TRUE,FALSE)</f>
        <v>1</v>
      </c>
      <c r="I858" s="68">
        <v>169.0374654280904</v>
      </c>
      <c r="J858" s="68">
        <f t="shared" si="1"/>
        <v>0</v>
      </c>
      <c r="K858" s="68" t="b">
        <v>1</v>
      </c>
    </row>
    <row r="859" hidden="1">
      <c r="A859" s="75">
        <v>853.0</v>
      </c>
      <c r="B859" s="62" t="s">
        <v>591</v>
      </c>
      <c r="C859" s="62" t="s">
        <v>108</v>
      </c>
      <c r="D859" s="62" t="s">
        <v>601</v>
      </c>
      <c r="E859" s="76">
        <v>43838.0</v>
      </c>
      <c r="F859" s="77">
        <v>0.08333333333333333</v>
      </c>
      <c r="G859" s="62" t="b">
        <v>0</v>
      </c>
      <c r="H859" s="78" t="b">
        <f>IF(VLOOKUP(C859,Projetos!A:L,12,false)=TRUE,TRUE,FALSE)</f>
        <v>1</v>
      </c>
      <c r="I859" s="68">
        <v>169.0374654280904</v>
      </c>
      <c r="J859" s="68">
        <f t="shared" si="1"/>
        <v>0</v>
      </c>
      <c r="K859" s="68" t="b">
        <v>1</v>
      </c>
    </row>
    <row r="860" hidden="1">
      <c r="A860" s="75">
        <v>854.0</v>
      </c>
      <c r="B860" s="62" t="s">
        <v>591</v>
      </c>
      <c r="C860" s="62" t="s">
        <v>108</v>
      </c>
      <c r="D860" s="62" t="s">
        <v>602</v>
      </c>
      <c r="E860" s="76">
        <v>43858.0</v>
      </c>
      <c r="F860" s="77">
        <v>0.041666666666666664</v>
      </c>
      <c r="G860" s="62" t="b">
        <v>0</v>
      </c>
      <c r="H860" s="78" t="b">
        <f>IF(VLOOKUP(C860,Projetos!A:L,12,false)=TRUE,TRUE,FALSE)</f>
        <v>1</v>
      </c>
      <c r="I860" s="68">
        <v>169.0374654280904</v>
      </c>
      <c r="J860" s="68">
        <f t="shared" si="1"/>
        <v>0</v>
      </c>
      <c r="K860" s="68" t="b">
        <v>1</v>
      </c>
    </row>
    <row r="861" hidden="1">
      <c r="A861" s="75">
        <v>855.0</v>
      </c>
      <c r="B861" s="62" t="s">
        <v>591</v>
      </c>
      <c r="C861" s="62" t="s">
        <v>110</v>
      </c>
      <c r="D861" s="62" t="s">
        <v>603</v>
      </c>
      <c r="E861" s="76">
        <v>43837.0</v>
      </c>
      <c r="F861" s="77">
        <v>0.041666666666666664</v>
      </c>
      <c r="G861" s="62" t="b">
        <v>1</v>
      </c>
      <c r="H861" s="78" t="b">
        <f>IF(VLOOKUP(C861,Projetos!A:L,12,false)=TRUE,TRUE,FALSE)</f>
        <v>1</v>
      </c>
      <c r="I861" s="68">
        <v>169.0374654280904</v>
      </c>
      <c r="J861" s="68">
        <f t="shared" si="1"/>
        <v>169.0374654</v>
      </c>
      <c r="K861" s="68" t="b">
        <v>1</v>
      </c>
    </row>
    <row r="862">
      <c r="A862" s="75">
        <v>856.0</v>
      </c>
      <c r="B862" s="62" t="s">
        <v>591</v>
      </c>
      <c r="C862" s="62" t="s">
        <v>104</v>
      </c>
      <c r="D862" s="62" t="s">
        <v>604</v>
      </c>
      <c r="E862" s="76">
        <v>43873.0</v>
      </c>
      <c r="F862" s="77">
        <v>0.041666666666666664</v>
      </c>
      <c r="G862" s="62" t="b">
        <v>1</v>
      </c>
      <c r="H862" s="78" t="b">
        <f>IF(VLOOKUP(C862,Projetos!A:L,12,false)=TRUE,TRUE,FALSE)</f>
        <v>1</v>
      </c>
      <c r="I862" s="68">
        <v>161.35394427226808</v>
      </c>
      <c r="J862" s="68">
        <f t="shared" si="1"/>
        <v>161.3539443</v>
      </c>
      <c r="K862" s="68" t="b">
        <v>1</v>
      </c>
    </row>
    <row r="863" hidden="1">
      <c r="A863" s="75">
        <v>857.0</v>
      </c>
      <c r="B863" s="62" t="s">
        <v>591</v>
      </c>
      <c r="C863" s="62" t="s">
        <v>108</v>
      </c>
      <c r="D863" s="62" t="s">
        <v>605</v>
      </c>
      <c r="E863" s="76">
        <v>43866.0</v>
      </c>
      <c r="F863" s="77">
        <v>0.041666666666666664</v>
      </c>
      <c r="G863" s="62" t="b">
        <v>1</v>
      </c>
      <c r="H863" s="78" t="b">
        <f>IF(VLOOKUP(C863,Projetos!A:L,12,false)=TRUE,TRUE,FALSE)</f>
        <v>1</v>
      </c>
      <c r="I863" s="68">
        <v>161.35394427226808</v>
      </c>
      <c r="J863" s="68">
        <f t="shared" si="1"/>
        <v>161.3539443</v>
      </c>
      <c r="K863" s="68" t="b">
        <v>1</v>
      </c>
    </row>
    <row r="864" hidden="1">
      <c r="A864" s="75">
        <v>858.0</v>
      </c>
      <c r="B864" s="62" t="s">
        <v>591</v>
      </c>
      <c r="C864" s="62" t="s">
        <v>108</v>
      </c>
      <c r="D864" s="62" t="s">
        <v>606</v>
      </c>
      <c r="E864" s="76">
        <v>43871.0</v>
      </c>
      <c r="F864" s="77">
        <v>0.0625</v>
      </c>
      <c r="G864" s="62" t="b">
        <v>0</v>
      </c>
      <c r="H864" s="78" t="b">
        <f>IF(VLOOKUP(C864,Projetos!A:L,12,false)=TRUE,TRUE,FALSE)</f>
        <v>1</v>
      </c>
      <c r="I864" s="68">
        <v>161.35394427226808</v>
      </c>
      <c r="J864" s="68">
        <f t="shared" si="1"/>
        <v>0</v>
      </c>
      <c r="K864" s="68" t="b">
        <v>1</v>
      </c>
    </row>
    <row r="865" hidden="1">
      <c r="A865" s="75">
        <v>859.0</v>
      </c>
      <c r="B865" s="62" t="s">
        <v>591</v>
      </c>
      <c r="C865" s="62" t="s">
        <v>108</v>
      </c>
      <c r="D865" s="62" t="s">
        <v>599</v>
      </c>
      <c r="E865" s="76">
        <v>43872.0</v>
      </c>
      <c r="F865" s="77">
        <v>0.041666666666666664</v>
      </c>
      <c r="G865" s="62" t="b">
        <v>1</v>
      </c>
      <c r="H865" s="78" t="b">
        <f>IF(VLOOKUP(C865,Projetos!A:L,12,false)=TRUE,TRUE,FALSE)</f>
        <v>1</v>
      </c>
      <c r="I865" s="68">
        <v>161.35394427226808</v>
      </c>
      <c r="J865" s="68">
        <f t="shared" si="1"/>
        <v>161.3539443</v>
      </c>
      <c r="K865" s="68" t="b">
        <v>1</v>
      </c>
    </row>
    <row r="866" hidden="1">
      <c r="A866" s="75">
        <v>860.0</v>
      </c>
      <c r="B866" s="62" t="s">
        <v>591</v>
      </c>
      <c r="C866" s="62" t="s">
        <v>108</v>
      </c>
      <c r="D866" s="62" t="s">
        <v>607</v>
      </c>
      <c r="E866" s="76">
        <v>43873.0</v>
      </c>
      <c r="F866" s="77">
        <v>0.020833333333333332</v>
      </c>
      <c r="G866" s="62" t="b">
        <v>1</v>
      </c>
      <c r="H866" s="78" t="b">
        <f>IF(VLOOKUP(C866,Projetos!A:L,12,false)=TRUE,TRUE,FALSE)</f>
        <v>1</v>
      </c>
      <c r="I866" s="68">
        <v>161.35394427226808</v>
      </c>
      <c r="J866" s="68">
        <f t="shared" si="1"/>
        <v>80.67697214</v>
      </c>
      <c r="K866" s="68" t="b">
        <v>1</v>
      </c>
    </row>
    <row r="867" hidden="1">
      <c r="A867" s="75">
        <v>861.0</v>
      </c>
      <c r="B867" s="62" t="s">
        <v>591</v>
      </c>
      <c r="C867" s="62" t="s">
        <v>108</v>
      </c>
      <c r="D867" s="62" t="s">
        <v>608</v>
      </c>
      <c r="E867" s="76">
        <v>43878.0</v>
      </c>
      <c r="F867" s="77">
        <v>0.4166666666666667</v>
      </c>
      <c r="G867" s="62" t="b">
        <v>1</v>
      </c>
      <c r="H867" s="78" t="b">
        <f>IF(VLOOKUP(C867,Projetos!A:L,12,false)=TRUE,TRUE,FALSE)</f>
        <v>1</v>
      </c>
      <c r="I867" s="68">
        <v>161.35394427226808</v>
      </c>
      <c r="J867" s="68">
        <f t="shared" si="1"/>
        <v>1613.539443</v>
      </c>
      <c r="K867" s="68" t="b">
        <v>1</v>
      </c>
    </row>
    <row r="868" hidden="1">
      <c r="A868" s="75">
        <v>862.0</v>
      </c>
      <c r="B868" s="62" t="s">
        <v>591</v>
      </c>
      <c r="C868" s="62" t="s">
        <v>108</v>
      </c>
      <c r="D868" s="62" t="s">
        <v>608</v>
      </c>
      <c r="E868" s="76">
        <v>43879.0</v>
      </c>
      <c r="F868" s="77">
        <v>0.4166666666666667</v>
      </c>
      <c r="G868" s="62" t="b">
        <v>1</v>
      </c>
      <c r="H868" s="78" t="b">
        <f>IF(VLOOKUP(C868,Projetos!A:L,12,false)=TRUE,TRUE,FALSE)</f>
        <v>1</v>
      </c>
      <c r="I868" s="68">
        <v>161.35394427226808</v>
      </c>
      <c r="J868" s="68">
        <f t="shared" si="1"/>
        <v>1613.539443</v>
      </c>
      <c r="K868" s="68" t="b">
        <v>1</v>
      </c>
    </row>
    <row r="869" hidden="1">
      <c r="A869" s="75">
        <v>863.0</v>
      </c>
      <c r="B869" s="62" t="s">
        <v>591</v>
      </c>
      <c r="C869" s="62" t="s">
        <v>108</v>
      </c>
      <c r="D869" s="62" t="s">
        <v>609</v>
      </c>
      <c r="E869" s="76">
        <v>43889.0</v>
      </c>
      <c r="F869" s="77">
        <v>0.041666666666666664</v>
      </c>
      <c r="G869" s="62" t="b">
        <v>1</v>
      </c>
      <c r="H869" s="78" t="b">
        <f>IF(VLOOKUP(C869,Projetos!A:L,12,false)=TRUE,TRUE,FALSE)</f>
        <v>1</v>
      </c>
      <c r="I869" s="68">
        <v>161.35394427226808</v>
      </c>
      <c r="J869" s="68">
        <f t="shared" si="1"/>
        <v>161.3539443</v>
      </c>
      <c r="K869" s="68" t="b">
        <v>1</v>
      </c>
    </row>
    <row r="870" hidden="1">
      <c r="A870" s="75">
        <v>864.0</v>
      </c>
      <c r="B870" s="62" t="s">
        <v>591</v>
      </c>
      <c r="C870" s="62" t="s">
        <v>110</v>
      </c>
      <c r="D870" s="62" t="s">
        <v>599</v>
      </c>
      <c r="E870" s="76">
        <v>43873.0</v>
      </c>
      <c r="F870" s="77">
        <v>0.10416666666666667</v>
      </c>
      <c r="G870" s="62" t="b">
        <v>1</v>
      </c>
      <c r="H870" s="78" t="b">
        <f>IF(VLOOKUP(C870,Projetos!A:L,12,false)=TRUE,TRUE,FALSE)</f>
        <v>1</v>
      </c>
      <c r="I870" s="68">
        <v>161.35394427226808</v>
      </c>
      <c r="J870" s="68">
        <f t="shared" si="1"/>
        <v>403.3848607</v>
      </c>
      <c r="K870" s="68" t="b">
        <v>1</v>
      </c>
    </row>
    <row r="871" hidden="1">
      <c r="A871" s="75">
        <v>865.0</v>
      </c>
      <c r="B871" s="62" t="s">
        <v>591</v>
      </c>
      <c r="C871" s="62" t="s">
        <v>95</v>
      </c>
      <c r="D871" s="62" t="s">
        <v>610</v>
      </c>
      <c r="E871" s="76">
        <v>43909.0</v>
      </c>
      <c r="F871" s="77">
        <v>0.08333333333333333</v>
      </c>
      <c r="G871" s="62" t="b">
        <v>1</v>
      </c>
      <c r="H871" s="78" t="b">
        <f>IF(VLOOKUP(C871,Projetos!A:L,12,false)=TRUE,TRUE,FALSE)</f>
        <v>1</v>
      </c>
      <c r="I871" s="68">
        <v>169.0374654280904</v>
      </c>
      <c r="J871" s="68">
        <f t="shared" si="1"/>
        <v>338.0749309</v>
      </c>
      <c r="K871" s="68" t="b">
        <v>1</v>
      </c>
    </row>
    <row r="872" hidden="1">
      <c r="A872" s="75">
        <v>866.0</v>
      </c>
      <c r="B872" s="62" t="s">
        <v>591</v>
      </c>
      <c r="C872" s="62" t="s">
        <v>97</v>
      </c>
      <c r="D872" s="62" t="s">
        <v>611</v>
      </c>
      <c r="E872" s="76">
        <v>43913.0</v>
      </c>
      <c r="F872" s="77">
        <v>0.041666666666666664</v>
      </c>
      <c r="G872" s="62" t="b">
        <v>1</v>
      </c>
      <c r="H872" s="78" t="b">
        <f>IF(VLOOKUP(C872,Projetos!A:L,12,false)=TRUE,TRUE,FALSE)</f>
        <v>1</v>
      </c>
      <c r="I872" s="68">
        <v>169.0374654280904</v>
      </c>
      <c r="J872" s="68">
        <f t="shared" si="1"/>
        <v>169.0374654</v>
      </c>
      <c r="K872" s="68" t="b">
        <v>1</v>
      </c>
    </row>
    <row r="873" hidden="1">
      <c r="A873" s="75">
        <v>867.0</v>
      </c>
      <c r="B873" s="62" t="s">
        <v>591</v>
      </c>
      <c r="C873" s="62" t="s">
        <v>98</v>
      </c>
      <c r="D873" s="62" t="s">
        <v>612</v>
      </c>
      <c r="E873" s="76">
        <v>43908.0</v>
      </c>
      <c r="F873" s="77">
        <v>0.020833333333333332</v>
      </c>
      <c r="G873" s="62" t="b">
        <v>1</v>
      </c>
      <c r="H873" s="78" t="b">
        <f>IF(VLOOKUP(C873,Projetos!A:L,12,false)=TRUE,TRUE,FALSE)</f>
        <v>1</v>
      </c>
      <c r="I873" s="68">
        <v>169.0374654280904</v>
      </c>
      <c r="J873" s="68">
        <f t="shared" si="1"/>
        <v>84.51873271</v>
      </c>
      <c r="K873" s="68" t="b">
        <v>1</v>
      </c>
    </row>
    <row r="874" hidden="1">
      <c r="A874" s="75">
        <v>868.0</v>
      </c>
      <c r="B874" s="62" t="s">
        <v>591</v>
      </c>
      <c r="C874" s="62" t="s">
        <v>98</v>
      </c>
      <c r="D874" s="62" t="s">
        <v>613</v>
      </c>
      <c r="E874" s="76">
        <v>43921.0</v>
      </c>
      <c r="F874" s="77">
        <v>0.041666666666666664</v>
      </c>
      <c r="G874" s="62" t="b">
        <v>1</v>
      </c>
      <c r="H874" s="78" t="b">
        <f>IF(VLOOKUP(C874,Projetos!A:L,12,false)=TRUE,TRUE,FALSE)</f>
        <v>1</v>
      </c>
      <c r="I874" s="68">
        <v>169.0374654280904</v>
      </c>
      <c r="J874" s="68">
        <f t="shared" si="1"/>
        <v>169.0374654</v>
      </c>
      <c r="K874" s="68" t="b">
        <v>1</v>
      </c>
    </row>
    <row r="875" hidden="1">
      <c r="A875" s="75">
        <v>869.0</v>
      </c>
      <c r="B875" s="62" t="s">
        <v>591</v>
      </c>
      <c r="C875" s="62" t="s">
        <v>100</v>
      </c>
      <c r="D875" s="62" t="s">
        <v>614</v>
      </c>
      <c r="E875" s="76">
        <v>43913.0</v>
      </c>
      <c r="F875" s="77">
        <v>0.020833333333333332</v>
      </c>
      <c r="G875" s="62" t="b">
        <v>1</v>
      </c>
      <c r="H875" s="78" t="b">
        <f>IF(VLOOKUP(C875,Projetos!A:L,12,false)=TRUE,TRUE,FALSE)</f>
        <v>1</v>
      </c>
      <c r="I875" s="68">
        <v>169.0374654280904</v>
      </c>
      <c r="J875" s="68">
        <f t="shared" si="1"/>
        <v>84.51873271</v>
      </c>
      <c r="K875" s="68" t="b">
        <v>1</v>
      </c>
    </row>
    <row r="876" hidden="1">
      <c r="A876" s="75">
        <v>870.0</v>
      </c>
      <c r="B876" s="62" t="s">
        <v>591</v>
      </c>
      <c r="C876" s="62" t="s">
        <v>101</v>
      </c>
      <c r="D876" s="62" t="s">
        <v>615</v>
      </c>
      <c r="E876" s="76">
        <v>43910.0</v>
      </c>
      <c r="F876" s="77">
        <v>0.013888888888888888</v>
      </c>
      <c r="G876" s="62" t="b">
        <v>1</v>
      </c>
      <c r="H876" s="78" t="b">
        <f>IF(VLOOKUP(C876,Projetos!A:L,12,false)=TRUE,TRUE,FALSE)</f>
        <v>1</v>
      </c>
      <c r="I876" s="68">
        <v>169.0374654280904</v>
      </c>
      <c r="J876" s="68">
        <f t="shared" si="1"/>
        <v>56.34582181</v>
      </c>
      <c r="K876" s="68" t="b">
        <v>1</v>
      </c>
    </row>
    <row r="877" hidden="1">
      <c r="A877" s="75">
        <v>871.0</v>
      </c>
      <c r="B877" s="62" t="s">
        <v>591</v>
      </c>
      <c r="C877" s="62" t="s">
        <v>102</v>
      </c>
      <c r="D877" s="62" t="s">
        <v>616</v>
      </c>
      <c r="E877" s="76">
        <v>43894.0</v>
      </c>
      <c r="F877" s="77">
        <v>0.020833333333333332</v>
      </c>
      <c r="G877" s="62" t="b">
        <v>0</v>
      </c>
      <c r="H877" s="78" t="b">
        <f>IF(VLOOKUP(C877,Projetos!A:L,12,false)=TRUE,TRUE,FALSE)</f>
        <v>0</v>
      </c>
      <c r="I877" s="68">
        <v>169.0374654280904</v>
      </c>
      <c r="J877" s="68">
        <f t="shared" si="1"/>
        <v>0</v>
      </c>
      <c r="K877" s="68" t="b">
        <v>0</v>
      </c>
    </row>
    <row r="878" hidden="1">
      <c r="A878" s="75">
        <v>872.0</v>
      </c>
      <c r="B878" s="62" t="s">
        <v>591</v>
      </c>
      <c r="C878" s="62" t="s">
        <v>102</v>
      </c>
      <c r="D878" s="62" t="s">
        <v>617</v>
      </c>
      <c r="E878" s="76">
        <v>43906.0</v>
      </c>
      <c r="F878" s="77">
        <v>0.020833333333333332</v>
      </c>
      <c r="G878" s="62" t="b">
        <v>0</v>
      </c>
      <c r="H878" s="78" t="b">
        <f>IF(VLOOKUP(C878,Projetos!A:L,12,false)=TRUE,TRUE,FALSE)</f>
        <v>0</v>
      </c>
      <c r="I878" s="68">
        <v>169.0374654280904</v>
      </c>
      <c r="J878" s="68">
        <f t="shared" si="1"/>
        <v>0</v>
      </c>
      <c r="K878" s="68" t="b">
        <v>0</v>
      </c>
    </row>
    <row r="879" hidden="1">
      <c r="A879" s="75">
        <v>873.0</v>
      </c>
      <c r="B879" s="62" t="s">
        <v>591</v>
      </c>
      <c r="C879" s="62" t="s">
        <v>103</v>
      </c>
      <c r="D879" s="62" t="s">
        <v>618</v>
      </c>
      <c r="E879" s="76">
        <v>43892.0</v>
      </c>
      <c r="F879" s="77">
        <v>0.041666666666666664</v>
      </c>
      <c r="G879" s="62" t="b">
        <v>1</v>
      </c>
      <c r="H879" s="78" t="b">
        <f>IF(VLOOKUP(C879,Projetos!A:L,12,false)=TRUE,TRUE,FALSE)</f>
        <v>1</v>
      </c>
      <c r="I879" s="68">
        <v>169.0374654280904</v>
      </c>
      <c r="J879" s="68">
        <f t="shared" si="1"/>
        <v>169.0374654</v>
      </c>
      <c r="K879" s="68" t="b">
        <v>1</v>
      </c>
    </row>
    <row r="880" hidden="1">
      <c r="A880" s="75">
        <v>874.0</v>
      </c>
      <c r="B880" s="62" t="s">
        <v>591</v>
      </c>
      <c r="C880" s="62" t="s">
        <v>103</v>
      </c>
      <c r="D880" s="62" t="s">
        <v>619</v>
      </c>
      <c r="E880" s="76">
        <v>43896.0</v>
      </c>
      <c r="F880" s="77">
        <v>0.020833333333333332</v>
      </c>
      <c r="G880" s="62" t="b">
        <v>0</v>
      </c>
      <c r="H880" s="78" t="b">
        <f>IF(VLOOKUP(C880,Projetos!A:L,12,false)=TRUE,TRUE,FALSE)</f>
        <v>1</v>
      </c>
      <c r="I880" s="68">
        <v>169.0374654280904</v>
      </c>
      <c r="J880" s="68">
        <f t="shared" si="1"/>
        <v>0</v>
      </c>
      <c r="K880" s="68" t="b">
        <v>1</v>
      </c>
    </row>
    <row r="881" hidden="1">
      <c r="A881" s="75">
        <v>875.0</v>
      </c>
      <c r="B881" s="62" t="s">
        <v>591</v>
      </c>
      <c r="C881" s="62" t="s">
        <v>103</v>
      </c>
      <c r="D881" s="62" t="s">
        <v>620</v>
      </c>
      <c r="E881" s="76">
        <v>43920.0</v>
      </c>
      <c r="F881" s="77">
        <v>0.020833333333333332</v>
      </c>
      <c r="G881" s="62" t="b">
        <v>1</v>
      </c>
      <c r="H881" s="78" t="b">
        <f>IF(VLOOKUP(C881,Projetos!A:L,12,false)=TRUE,TRUE,FALSE)</f>
        <v>1</v>
      </c>
      <c r="I881" s="68">
        <v>169.0374654280904</v>
      </c>
      <c r="J881" s="68">
        <f t="shared" si="1"/>
        <v>84.51873271</v>
      </c>
      <c r="K881" s="68" t="b">
        <v>1</v>
      </c>
    </row>
    <row r="882">
      <c r="A882" s="75">
        <v>876.0</v>
      </c>
      <c r="B882" s="62" t="s">
        <v>591</v>
      </c>
      <c r="C882" s="62" t="s">
        <v>104</v>
      </c>
      <c r="D882" s="62" t="s">
        <v>621</v>
      </c>
      <c r="E882" s="76">
        <v>43892.0</v>
      </c>
      <c r="F882" s="77">
        <v>0.020833333333333332</v>
      </c>
      <c r="G882" s="62" t="b">
        <v>1</v>
      </c>
      <c r="H882" s="78" t="b">
        <f>IF(VLOOKUP(C882,Projetos!A:L,12,false)=TRUE,TRUE,FALSE)</f>
        <v>1</v>
      </c>
      <c r="I882" s="68">
        <v>169.0374654280904</v>
      </c>
      <c r="J882" s="68">
        <f t="shared" si="1"/>
        <v>84.51873271</v>
      </c>
      <c r="K882" s="68" t="b">
        <v>1</v>
      </c>
    </row>
    <row r="883">
      <c r="A883" s="75">
        <v>877.0</v>
      </c>
      <c r="B883" s="62" t="s">
        <v>591</v>
      </c>
      <c r="C883" s="62" t="s">
        <v>104</v>
      </c>
      <c r="D883" s="62" t="s">
        <v>612</v>
      </c>
      <c r="E883" s="76">
        <v>43893.0</v>
      </c>
      <c r="F883" s="77">
        <v>0.041666666666666664</v>
      </c>
      <c r="G883" s="62" t="b">
        <v>1</v>
      </c>
      <c r="H883" s="78" t="b">
        <f>IF(VLOOKUP(C883,Projetos!A:L,12,false)=TRUE,TRUE,FALSE)</f>
        <v>1</v>
      </c>
      <c r="I883" s="68">
        <v>169.0374654280904</v>
      </c>
      <c r="J883" s="68">
        <f t="shared" si="1"/>
        <v>169.0374654</v>
      </c>
      <c r="K883" s="68" t="b">
        <v>1</v>
      </c>
    </row>
    <row r="884">
      <c r="A884" s="75">
        <v>878.0</v>
      </c>
      <c r="B884" s="62" t="s">
        <v>591</v>
      </c>
      <c r="C884" s="62" t="s">
        <v>104</v>
      </c>
      <c r="D884" s="62" t="s">
        <v>599</v>
      </c>
      <c r="E884" s="76">
        <v>43895.0</v>
      </c>
      <c r="F884" s="77">
        <v>0.041666666666666664</v>
      </c>
      <c r="G884" s="62" t="b">
        <v>1</v>
      </c>
      <c r="H884" s="78" t="b">
        <f>IF(VLOOKUP(C884,Projetos!A:L,12,false)=TRUE,TRUE,FALSE)</f>
        <v>1</v>
      </c>
      <c r="I884" s="68">
        <v>169.0374654280904</v>
      </c>
      <c r="J884" s="68">
        <f t="shared" si="1"/>
        <v>169.0374654</v>
      </c>
      <c r="K884" s="68" t="b">
        <v>1</v>
      </c>
    </row>
    <row r="885">
      <c r="A885" s="75">
        <v>879.0</v>
      </c>
      <c r="B885" s="62" t="s">
        <v>591</v>
      </c>
      <c r="C885" s="62" t="s">
        <v>104</v>
      </c>
      <c r="D885" s="62" t="s">
        <v>622</v>
      </c>
      <c r="E885" s="76">
        <v>43896.0</v>
      </c>
      <c r="F885" s="77">
        <v>0.08333333333333333</v>
      </c>
      <c r="G885" s="62" t="b">
        <v>0</v>
      </c>
      <c r="H885" s="78" t="b">
        <f>IF(VLOOKUP(C885,Projetos!A:L,12,false)=TRUE,TRUE,FALSE)</f>
        <v>1</v>
      </c>
      <c r="I885" s="68">
        <v>169.0374654280904</v>
      </c>
      <c r="J885" s="68">
        <f t="shared" si="1"/>
        <v>0</v>
      </c>
      <c r="K885" s="68" t="b">
        <v>1</v>
      </c>
    </row>
    <row r="886">
      <c r="A886" s="75">
        <v>880.0</v>
      </c>
      <c r="B886" s="62" t="s">
        <v>591</v>
      </c>
      <c r="C886" s="62" t="s">
        <v>104</v>
      </c>
      <c r="D886" s="62" t="s">
        <v>623</v>
      </c>
      <c r="E886" s="76">
        <v>43901.0</v>
      </c>
      <c r="F886" s="77">
        <v>0.020833333333333332</v>
      </c>
      <c r="G886" s="62" t="b">
        <v>1</v>
      </c>
      <c r="H886" s="78" t="b">
        <f>IF(VLOOKUP(C886,Projetos!A:L,12,false)=TRUE,TRUE,FALSE)</f>
        <v>1</v>
      </c>
      <c r="I886" s="68">
        <v>169.0374654280904</v>
      </c>
      <c r="J886" s="68">
        <f t="shared" si="1"/>
        <v>84.51873271</v>
      </c>
      <c r="K886" s="68" t="b">
        <v>1</v>
      </c>
    </row>
    <row r="887">
      <c r="A887" s="75">
        <v>881.0</v>
      </c>
      <c r="B887" s="62" t="s">
        <v>591</v>
      </c>
      <c r="C887" s="62" t="s">
        <v>104</v>
      </c>
      <c r="D887" s="62" t="s">
        <v>622</v>
      </c>
      <c r="E887" s="76">
        <v>43903.0</v>
      </c>
      <c r="F887" s="77">
        <v>0.041666666666666664</v>
      </c>
      <c r="G887" s="62" t="b">
        <v>0</v>
      </c>
      <c r="H887" s="78" t="b">
        <f>IF(VLOOKUP(C887,Projetos!A:L,12,false)=TRUE,TRUE,FALSE)</f>
        <v>1</v>
      </c>
      <c r="I887" s="68">
        <v>169.0374654280904</v>
      </c>
      <c r="J887" s="68">
        <f t="shared" si="1"/>
        <v>0</v>
      </c>
      <c r="K887" s="68" t="b">
        <v>1</v>
      </c>
    </row>
    <row r="888">
      <c r="A888" s="75">
        <v>882.0</v>
      </c>
      <c r="B888" s="62" t="s">
        <v>591</v>
      </c>
      <c r="C888" s="62" t="s">
        <v>104</v>
      </c>
      <c r="D888" s="62" t="s">
        <v>624</v>
      </c>
      <c r="E888" s="76">
        <v>43905.0</v>
      </c>
      <c r="F888" s="77">
        <v>0.020833333333333332</v>
      </c>
      <c r="G888" s="62" t="b">
        <v>1</v>
      </c>
      <c r="H888" s="78" t="b">
        <f>IF(VLOOKUP(C888,Projetos!A:L,12,false)=TRUE,TRUE,FALSE)</f>
        <v>1</v>
      </c>
      <c r="I888" s="68">
        <v>169.0374654280904</v>
      </c>
      <c r="J888" s="68">
        <f t="shared" si="1"/>
        <v>84.51873271</v>
      </c>
      <c r="K888" s="68" t="b">
        <v>1</v>
      </c>
    </row>
    <row r="889">
      <c r="A889" s="75">
        <v>883.0</v>
      </c>
      <c r="B889" s="62" t="s">
        <v>591</v>
      </c>
      <c r="C889" s="62" t="s">
        <v>104</v>
      </c>
      <c r="D889" s="62" t="s">
        <v>625</v>
      </c>
      <c r="E889" s="76">
        <v>43906.0</v>
      </c>
      <c r="F889" s="77">
        <v>0.041666666666666664</v>
      </c>
      <c r="G889" s="62" t="b">
        <v>1</v>
      </c>
      <c r="H889" s="78" t="b">
        <f>IF(VLOOKUP(C889,Projetos!A:L,12,false)=TRUE,TRUE,FALSE)</f>
        <v>1</v>
      </c>
      <c r="I889" s="68">
        <v>169.0374654280904</v>
      </c>
      <c r="J889" s="68">
        <f t="shared" si="1"/>
        <v>169.0374654</v>
      </c>
      <c r="K889" s="68" t="b">
        <v>1</v>
      </c>
    </row>
    <row r="890">
      <c r="A890" s="75">
        <v>884.0</v>
      </c>
      <c r="B890" s="62" t="s">
        <v>591</v>
      </c>
      <c r="C890" s="62" t="s">
        <v>104</v>
      </c>
      <c r="D890" s="62" t="s">
        <v>614</v>
      </c>
      <c r="E890" s="76">
        <v>43906.0</v>
      </c>
      <c r="F890" s="77">
        <v>0.041666666666666664</v>
      </c>
      <c r="G890" s="62" t="b">
        <v>1</v>
      </c>
      <c r="H890" s="78" t="b">
        <f>IF(VLOOKUP(C890,Projetos!A:L,12,false)=TRUE,TRUE,FALSE)</f>
        <v>1</v>
      </c>
      <c r="I890" s="68">
        <v>169.0374654280904</v>
      </c>
      <c r="J890" s="68">
        <f t="shared" si="1"/>
        <v>169.0374654</v>
      </c>
      <c r="K890" s="68" t="b">
        <v>1</v>
      </c>
    </row>
    <row r="891">
      <c r="A891" s="75">
        <v>885.0</v>
      </c>
      <c r="B891" s="62" t="s">
        <v>591</v>
      </c>
      <c r="C891" s="62" t="s">
        <v>104</v>
      </c>
      <c r="D891" s="62" t="s">
        <v>622</v>
      </c>
      <c r="E891" s="76">
        <v>43907.0</v>
      </c>
      <c r="F891" s="77">
        <v>0.041666666666666664</v>
      </c>
      <c r="G891" s="62" t="b">
        <v>0</v>
      </c>
      <c r="H891" s="78" t="b">
        <f>IF(VLOOKUP(C891,Projetos!A:L,12,false)=TRUE,TRUE,FALSE)</f>
        <v>1</v>
      </c>
      <c r="I891" s="68">
        <v>169.0374654280904</v>
      </c>
      <c r="J891" s="68">
        <f t="shared" si="1"/>
        <v>0</v>
      </c>
      <c r="K891" s="68" t="b">
        <v>1</v>
      </c>
    </row>
    <row r="892">
      <c r="A892" s="75">
        <v>886.0</v>
      </c>
      <c r="B892" s="62" t="s">
        <v>591</v>
      </c>
      <c r="C892" s="62" t="s">
        <v>104</v>
      </c>
      <c r="D892" s="62" t="s">
        <v>622</v>
      </c>
      <c r="E892" s="76">
        <v>43908.0</v>
      </c>
      <c r="F892" s="77">
        <v>0.020833333333333332</v>
      </c>
      <c r="G892" s="62" t="b">
        <v>0</v>
      </c>
      <c r="H892" s="78" t="b">
        <f>IF(VLOOKUP(C892,Projetos!A:L,12,false)=TRUE,TRUE,FALSE)</f>
        <v>1</v>
      </c>
      <c r="I892" s="68">
        <v>169.0374654280904</v>
      </c>
      <c r="J892" s="68">
        <f t="shared" si="1"/>
        <v>0</v>
      </c>
      <c r="K892" s="68" t="b">
        <v>1</v>
      </c>
    </row>
    <row r="893">
      <c r="A893" s="75">
        <v>887.0</v>
      </c>
      <c r="B893" s="62" t="s">
        <v>591</v>
      </c>
      <c r="C893" s="62" t="s">
        <v>104</v>
      </c>
      <c r="D893" s="62" t="s">
        <v>626</v>
      </c>
      <c r="E893" s="76">
        <v>43909.0</v>
      </c>
      <c r="F893" s="77">
        <v>0.08333333333333333</v>
      </c>
      <c r="G893" s="62" t="b">
        <v>1</v>
      </c>
      <c r="H893" s="78" t="b">
        <f>IF(VLOOKUP(C893,Projetos!A:L,12,false)=TRUE,TRUE,FALSE)</f>
        <v>1</v>
      </c>
      <c r="I893" s="68">
        <v>169.0374654280904</v>
      </c>
      <c r="J893" s="68">
        <f t="shared" si="1"/>
        <v>338.0749309</v>
      </c>
      <c r="K893" s="68" t="b">
        <v>1</v>
      </c>
    </row>
    <row r="894">
      <c r="A894" s="75">
        <v>888.0</v>
      </c>
      <c r="B894" s="62" t="s">
        <v>591</v>
      </c>
      <c r="C894" s="62" t="s">
        <v>104</v>
      </c>
      <c r="D894" s="62" t="s">
        <v>622</v>
      </c>
      <c r="E894" s="76">
        <v>43913.0</v>
      </c>
      <c r="F894" s="77">
        <v>0.020833333333333332</v>
      </c>
      <c r="G894" s="62" t="b">
        <v>0</v>
      </c>
      <c r="H894" s="78" t="b">
        <f>IF(VLOOKUP(C894,Projetos!A:L,12,false)=TRUE,TRUE,FALSE)</f>
        <v>1</v>
      </c>
      <c r="I894" s="68">
        <v>169.0374654280904</v>
      </c>
      <c r="J894" s="68">
        <f t="shared" si="1"/>
        <v>0</v>
      </c>
      <c r="K894" s="68" t="b">
        <v>1</v>
      </c>
    </row>
    <row r="895">
      <c r="A895" s="75">
        <v>889.0</v>
      </c>
      <c r="B895" s="62" t="s">
        <v>591</v>
      </c>
      <c r="C895" s="62" t="s">
        <v>104</v>
      </c>
      <c r="D895" s="62" t="s">
        <v>627</v>
      </c>
      <c r="E895" s="76">
        <v>43915.0</v>
      </c>
      <c r="F895" s="77">
        <v>0.020833333333333332</v>
      </c>
      <c r="G895" s="62" t="b">
        <v>0</v>
      </c>
      <c r="H895" s="78" t="b">
        <f>IF(VLOOKUP(C895,Projetos!A:L,12,false)=TRUE,TRUE,FALSE)</f>
        <v>1</v>
      </c>
      <c r="I895" s="68">
        <v>169.0374654280904</v>
      </c>
      <c r="J895" s="68">
        <f t="shared" si="1"/>
        <v>0</v>
      </c>
      <c r="K895" s="68" t="b">
        <v>1</v>
      </c>
    </row>
    <row r="896">
      <c r="A896" s="75">
        <v>890.0</v>
      </c>
      <c r="B896" s="62" t="s">
        <v>591</v>
      </c>
      <c r="C896" s="62" t="s">
        <v>104</v>
      </c>
      <c r="D896" s="62" t="s">
        <v>625</v>
      </c>
      <c r="E896" s="76">
        <v>43916.0</v>
      </c>
      <c r="F896" s="77">
        <v>0.041666666666666664</v>
      </c>
      <c r="G896" s="62" t="b">
        <v>1</v>
      </c>
      <c r="H896" s="78" t="b">
        <f>IF(VLOOKUP(C896,Projetos!A:L,12,false)=TRUE,TRUE,FALSE)</f>
        <v>1</v>
      </c>
      <c r="I896" s="68">
        <v>169.0374654280904</v>
      </c>
      <c r="J896" s="68">
        <f t="shared" si="1"/>
        <v>169.0374654</v>
      </c>
      <c r="K896" s="68" t="b">
        <v>1</v>
      </c>
    </row>
    <row r="897" hidden="1">
      <c r="A897" s="75">
        <v>891.0</v>
      </c>
      <c r="B897" s="62" t="s">
        <v>591</v>
      </c>
      <c r="C897" s="62" t="s">
        <v>108</v>
      </c>
      <c r="D897" s="62" t="s">
        <v>628</v>
      </c>
      <c r="E897" s="76">
        <v>43892.0</v>
      </c>
      <c r="F897" s="77">
        <v>0.041666666666666664</v>
      </c>
      <c r="G897" s="62" t="b">
        <v>1</v>
      </c>
      <c r="H897" s="78" t="b">
        <f>IF(VLOOKUP(C897,Projetos!A:L,12,false)=TRUE,TRUE,FALSE)</f>
        <v>1</v>
      </c>
      <c r="I897" s="68">
        <v>169.0374654280904</v>
      </c>
      <c r="J897" s="68">
        <f t="shared" si="1"/>
        <v>169.0374654</v>
      </c>
      <c r="K897" s="68" t="b">
        <v>1</v>
      </c>
    </row>
    <row r="898" hidden="1">
      <c r="A898" s="75">
        <v>892.0</v>
      </c>
      <c r="B898" s="62" t="s">
        <v>591</v>
      </c>
      <c r="C898" s="62" t="s">
        <v>108</v>
      </c>
      <c r="D898" s="62" t="s">
        <v>629</v>
      </c>
      <c r="E898" s="76">
        <v>43893.0</v>
      </c>
      <c r="F898" s="77">
        <v>0.041666666666666664</v>
      </c>
      <c r="G898" s="62" t="b">
        <v>1</v>
      </c>
      <c r="H898" s="78" t="b">
        <f>IF(VLOOKUP(C898,Projetos!A:L,12,false)=TRUE,TRUE,FALSE)</f>
        <v>1</v>
      </c>
      <c r="I898" s="68">
        <v>169.0374654280904</v>
      </c>
      <c r="J898" s="68">
        <f t="shared" si="1"/>
        <v>169.0374654</v>
      </c>
      <c r="K898" s="68" t="b">
        <v>1</v>
      </c>
    </row>
    <row r="899" hidden="1">
      <c r="A899" s="75">
        <v>893.0</v>
      </c>
      <c r="B899" s="62" t="s">
        <v>591</v>
      </c>
      <c r="C899" s="62" t="s">
        <v>108</v>
      </c>
      <c r="D899" s="62" t="s">
        <v>630</v>
      </c>
      <c r="E899" s="76">
        <v>43896.0</v>
      </c>
      <c r="F899" s="77">
        <v>0.041666666666666664</v>
      </c>
      <c r="G899" s="62" t="b">
        <v>1</v>
      </c>
      <c r="H899" s="78" t="b">
        <f>IF(VLOOKUP(C899,Projetos!A:L,12,false)=TRUE,TRUE,FALSE)</f>
        <v>1</v>
      </c>
      <c r="I899" s="68">
        <v>169.0374654280904</v>
      </c>
      <c r="J899" s="68">
        <f t="shared" si="1"/>
        <v>169.0374654</v>
      </c>
      <c r="K899" s="68" t="b">
        <v>1</v>
      </c>
    </row>
    <row r="900" hidden="1">
      <c r="A900" s="75">
        <v>894.0</v>
      </c>
      <c r="B900" s="62" t="s">
        <v>591</v>
      </c>
      <c r="C900" s="62" t="s">
        <v>108</v>
      </c>
      <c r="D900" s="62" t="s">
        <v>631</v>
      </c>
      <c r="E900" s="76">
        <v>43899.0</v>
      </c>
      <c r="F900" s="77">
        <v>0.0625</v>
      </c>
      <c r="G900" s="62" t="b">
        <v>0</v>
      </c>
      <c r="H900" s="78" t="b">
        <f>IF(VLOOKUP(C900,Projetos!A:L,12,false)=TRUE,TRUE,FALSE)</f>
        <v>1</v>
      </c>
      <c r="I900" s="68">
        <v>169.0374654280904</v>
      </c>
      <c r="J900" s="68">
        <f t="shared" si="1"/>
        <v>0</v>
      </c>
      <c r="K900" s="68" t="b">
        <v>1</v>
      </c>
    </row>
    <row r="901" hidden="1">
      <c r="A901" s="75">
        <v>895.0</v>
      </c>
      <c r="B901" s="62" t="s">
        <v>591</v>
      </c>
      <c r="C901" s="62" t="s">
        <v>108</v>
      </c>
      <c r="D901" s="62" t="s">
        <v>632</v>
      </c>
      <c r="E901" s="76">
        <v>43906.0</v>
      </c>
      <c r="F901" s="77">
        <v>0.08333333333333333</v>
      </c>
      <c r="G901" s="62" t="b">
        <v>0</v>
      </c>
      <c r="H901" s="78" t="b">
        <f>IF(VLOOKUP(C901,Projetos!A:L,12,false)=TRUE,TRUE,FALSE)</f>
        <v>1</v>
      </c>
      <c r="I901" s="68">
        <v>169.0374654280904</v>
      </c>
      <c r="J901" s="68">
        <f t="shared" si="1"/>
        <v>0</v>
      </c>
      <c r="K901" s="68" t="b">
        <v>1</v>
      </c>
    </row>
    <row r="902" hidden="1">
      <c r="A902" s="75">
        <v>896.0</v>
      </c>
      <c r="B902" s="62" t="s">
        <v>591</v>
      </c>
      <c r="C902" s="62" t="s">
        <v>108</v>
      </c>
      <c r="D902" s="62" t="s">
        <v>629</v>
      </c>
      <c r="E902" s="76">
        <v>43908.0</v>
      </c>
      <c r="F902" s="77">
        <v>0.020833333333333332</v>
      </c>
      <c r="G902" s="62" t="b">
        <v>0</v>
      </c>
      <c r="H902" s="78" t="b">
        <f>IF(VLOOKUP(C902,Projetos!A:L,12,false)=TRUE,TRUE,FALSE)</f>
        <v>1</v>
      </c>
      <c r="I902" s="68">
        <v>169.0374654280904</v>
      </c>
      <c r="J902" s="68">
        <f t="shared" si="1"/>
        <v>0</v>
      </c>
      <c r="K902" s="68" t="b">
        <v>1</v>
      </c>
    </row>
    <row r="903" hidden="1">
      <c r="A903" s="75">
        <v>897.0</v>
      </c>
      <c r="B903" s="62" t="s">
        <v>591</v>
      </c>
      <c r="C903" s="62" t="s">
        <v>108</v>
      </c>
      <c r="D903" s="62" t="s">
        <v>633</v>
      </c>
      <c r="E903" s="76">
        <v>43915.0</v>
      </c>
      <c r="F903" s="77">
        <v>0.020833333333333332</v>
      </c>
      <c r="G903" s="62" t="b">
        <v>0</v>
      </c>
      <c r="H903" s="78" t="b">
        <f>IF(VLOOKUP(C903,Projetos!A:L,12,false)=TRUE,TRUE,FALSE)</f>
        <v>1</v>
      </c>
      <c r="I903" s="68">
        <v>169.0374654280904</v>
      </c>
      <c r="J903" s="68">
        <f t="shared" si="1"/>
        <v>0</v>
      </c>
      <c r="K903" s="68" t="b">
        <v>1</v>
      </c>
    </row>
    <row r="904" hidden="1">
      <c r="A904" s="75">
        <v>898.0</v>
      </c>
      <c r="B904" s="62" t="s">
        <v>591</v>
      </c>
      <c r="C904" s="62" t="s">
        <v>108</v>
      </c>
      <c r="D904" s="62" t="s">
        <v>629</v>
      </c>
      <c r="E904" s="76">
        <v>43916.0</v>
      </c>
      <c r="F904" s="77">
        <v>0.0625</v>
      </c>
      <c r="G904" s="62" t="b">
        <v>1</v>
      </c>
      <c r="H904" s="78" t="b">
        <f>IF(VLOOKUP(C904,Projetos!A:L,12,false)=TRUE,TRUE,FALSE)</f>
        <v>1</v>
      </c>
      <c r="I904" s="68">
        <v>169.0374654280904</v>
      </c>
      <c r="J904" s="68">
        <f t="shared" si="1"/>
        <v>253.5561981</v>
      </c>
      <c r="K904" s="68" t="b">
        <v>1</v>
      </c>
    </row>
    <row r="905" hidden="1">
      <c r="A905" s="75">
        <v>899.0</v>
      </c>
      <c r="B905" s="62" t="s">
        <v>591</v>
      </c>
      <c r="C905" s="62" t="s">
        <v>108</v>
      </c>
      <c r="D905" s="62" t="s">
        <v>634</v>
      </c>
      <c r="E905" s="76">
        <v>43920.0</v>
      </c>
      <c r="F905" s="77">
        <v>0.041666666666666664</v>
      </c>
      <c r="G905" s="62" t="b">
        <v>0</v>
      </c>
      <c r="H905" s="78" t="b">
        <f>IF(VLOOKUP(C905,Projetos!A:L,12,false)=TRUE,TRUE,FALSE)</f>
        <v>1</v>
      </c>
      <c r="I905" s="68">
        <v>169.0374654280904</v>
      </c>
      <c r="J905" s="68">
        <f t="shared" si="1"/>
        <v>0</v>
      </c>
      <c r="K905" s="68" t="b">
        <v>1</v>
      </c>
    </row>
    <row r="906" hidden="1">
      <c r="A906" s="75">
        <v>900.0</v>
      </c>
      <c r="B906" s="62" t="s">
        <v>591</v>
      </c>
      <c r="C906" s="62" t="s">
        <v>110</v>
      </c>
      <c r="D906" s="62" t="s">
        <v>599</v>
      </c>
      <c r="E906" s="76">
        <v>43902.0</v>
      </c>
      <c r="F906" s="77">
        <v>0.020833333333333332</v>
      </c>
      <c r="G906" s="62" t="b">
        <v>1</v>
      </c>
      <c r="H906" s="78" t="b">
        <f>IF(VLOOKUP(C906,Projetos!A:L,12,false)=TRUE,TRUE,FALSE)</f>
        <v>1</v>
      </c>
      <c r="I906" s="68">
        <v>169.0374654280904</v>
      </c>
      <c r="J906" s="68">
        <f t="shared" si="1"/>
        <v>84.51873271</v>
      </c>
      <c r="K906" s="68" t="b">
        <v>1</v>
      </c>
    </row>
    <row r="907" hidden="1">
      <c r="A907" s="75">
        <v>901.0</v>
      </c>
      <c r="B907" s="62" t="s">
        <v>591</v>
      </c>
      <c r="C907" s="62" t="s">
        <v>110</v>
      </c>
      <c r="D907" s="62" t="s">
        <v>599</v>
      </c>
      <c r="E907" s="76">
        <v>43906.0</v>
      </c>
      <c r="F907" s="77">
        <v>0.020833333333333332</v>
      </c>
      <c r="G907" s="62" t="b">
        <v>1</v>
      </c>
      <c r="H907" s="78" t="b">
        <f>IF(VLOOKUP(C907,Projetos!A:L,12,false)=TRUE,TRUE,FALSE)</f>
        <v>1</v>
      </c>
      <c r="I907" s="68">
        <v>169.0374654280904</v>
      </c>
      <c r="J907" s="68">
        <f t="shared" si="1"/>
        <v>84.51873271</v>
      </c>
      <c r="K907" s="68" t="b">
        <v>1</v>
      </c>
    </row>
    <row r="908" hidden="1">
      <c r="A908" s="75">
        <v>902.0</v>
      </c>
      <c r="B908" s="62" t="s">
        <v>591</v>
      </c>
      <c r="C908" s="62" t="s">
        <v>110</v>
      </c>
      <c r="D908" s="62" t="s">
        <v>635</v>
      </c>
      <c r="E908" s="76">
        <v>43906.0</v>
      </c>
      <c r="F908" s="77">
        <v>0.020833333333333332</v>
      </c>
      <c r="G908" s="62" t="b">
        <v>1</v>
      </c>
      <c r="H908" s="78" t="b">
        <f>IF(VLOOKUP(C908,Projetos!A:L,12,false)=TRUE,TRUE,FALSE)</f>
        <v>1</v>
      </c>
      <c r="I908" s="68">
        <v>169.0374654280904</v>
      </c>
      <c r="J908" s="68">
        <f t="shared" si="1"/>
        <v>84.51873271</v>
      </c>
      <c r="K908" s="68" t="b">
        <v>1</v>
      </c>
    </row>
    <row r="909" hidden="1">
      <c r="A909" s="75">
        <v>903.0</v>
      </c>
      <c r="B909" s="62" t="s">
        <v>591</v>
      </c>
      <c r="C909" s="62" t="s">
        <v>138</v>
      </c>
      <c r="D909" s="62" t="s">
        <v>636</v>
      </c>
      <c r="E909" s="76">
        <v>43956.0</v>
      </c>
      <c r="F909" s="77">
        <v>0.03125</v>
      </c>
      <c r="G909" s="62" t="b">
        <v>0</v>
      </c>
      <c r="H909" s="78" t="b">
        <f>IF(VLOOKUP(C909,Projetos!A:L,12,false)=TRUE,TRUE,FALSE)</f>
        <v>1</v>
      </c>
      <c r="I909" s="68">
        <v>169.0374654280904</v>
      </c>
      <c r="J909" s="68">
        <f t="shared" si="1"/>
        <v>0</v>
      </c>
      <c r="K909" s="68" t="b">
        <v>1</v>
      </c>
    </row>
    <row r="910" hidden="1">
      <c r="A910" s="75">
        <v>904.0</v>
      </c>
      <c r="B910" s="62" t="s">
        <v>591</v>
      </c>
      <c r="C910" s="62" t="s">
        <v>138</v>
      </c>
      <c r="D910" s="62" t="s">
        <v>637</v>
      </c>
      <c r="E910" s="76">
        <v>43958.0</v>
      </c>
      <c r="F910" s="77">
        <v>0.020833333333333332</v>
      </c>
      <c r="G910" s="62" t="b">
        <v>0</v>
      </c>
      <c r="H910" s="78" t="b">
        <f>IF(VLOOKUP(C910,Projetos!A:L,12,false)=TRUE,TRUE,FALSE)</f>
        <v>1</v>
      </c>
      <c r="I910" s="68">
        <v>169.0374654280904</v>
      </c>
      <c r="J910" s="68">
        <f t="shared" si="1"/>
        <v>0</v>
      </c>
      <c r="K910" s="68" t="b">
        <v>1</v>
      </c>
    </row>
    <row r="911" hidden="1">
      <c r="A911" s="75">
        <v>905.0</v>
      </c>
      <c r="B911" s="62" t="s">
        <v>591</v>
      </c>
      <c r="C911" s="62" t="s">
        <v>83</v>
      </c>
      <c r="D911" s="62" t="s">
        <v>638</v>
      </c>
      <c r="E911" s="76">
        <v>43956.0</v>
      </c>
      <c r="F911" s="77">
        <v>0.041666666666666664</v>
      </c>
      <c r="G911" s="62" t="b">
        <v>0</v>
      </c>
      <c r="H911" s="78" t="b">
        <f>IF(VLOOKUP(C911,Projetos!A:L,12,false)=TRUE,TRUE,FALSE)</f>
        <v>0</v>
      </c>
      <c r="I911" s="68">
        <v>169.0374654280904</v>
      </c>
      <c r="J911" s="68">
        <f t="shared" si="1"/>
        <v>0</v>
      </c>
      <c r="K911" s="68" t="b">
        <v>0</v>
      </c>
    </row>
    <row r="912" hidden="1">
      <c r="A912" s="75">
        <v>906.0</v>
      </c>
      <c r="B912" s="62" t="s">
        <v>591</v>
      </c>
      <c r="C912" s="62" t="s">
        <v>83</v>
      </c>
      <c r="D912" s="62" t="s">
        <v>639</v>
      </c>
      <c r="E912" s="76">
        <v>43957.0</v>
      </c>
      <c r="F912" s="77">
        <v>0.0625</v>
      </c>
      <c r="G912" s="62" t="b">
        <v>0</v>
      </c>
      <c r="H912" s="78" t="b">
        <f>IF(VLOOKUP(C912,Projetos!A:L,12,false)=TRUE,TRUE,FALSE)</f>
        <v>0</v>
      </c>
      <c r="I912" s="68">
        <v>169.0374654280904</v>
      </c>
      <c r="J912" s="68">
        <f t="shared" si="1"/>
        <v>0</v>
      </c>
      <c r="K912" s="68" t="b">
        <v>0</v>
      </c>
    </row>
    <row r="913" hidden="1">
      <c r="A913" s="75">
        <v>907.0</v>
      </c>
      <c r="B913" s="62" t="s">
        <v>591</v>
      </c>
      <c r="C913" s="62" t="s">
        <v>83</v>
      </c>
      <c r="D913" s="62" t="s">
        <v>640</v>
      </c>
      <c r="E913" s="76">
        <v>43958.0</v>
      </c>
      <c r="F913" s="77">
        <v>0.0625</v>
      </c>
      <c r="G913" s="62" t="b">
        <v>0</v>
      </c>
      <c r="H913" s="78" t="b">
        <f>IF(VLOOKUP(C913,Projetos!A:L,12,false)=TRUE,TRUE,FALSE)</f>
        <v>0</v>
      </c>
      <c r="I913" s="68">
        <v>169.0374654280904</v>
      </c>
      <c r="J913" s="68">
        <f t="shared" si="1"/>
        <v>0</v>
      </c>
      <c r="K913" s="68" t="b">
        <v>0</v>
      </c>
    </row>
    <row r="914" hidden="1">
      <c r="A914" s="75">
        <v>908.0</v>
      </c>
      <c r="B914" s="62" t="s">
        <v>591</v>
      </c>
      <c r="C914" s="62" t="s">
        <v>83</v>
      </c>
      <c r="D914" s="62" t="s">
        <v>641</v>
      </c>
      <c r="E914" s="76">
        <v>43962.0</v>
      </c>
      <c r="F914" s="77">
        <v>0.041666666666666664</v>
      </c>
      <c r="G914" s="62" t="b">
        <v>0</v>
      </c>
      <c r="H914" s="78" t="b">
        <f>IF(VLOOKUP(C914,Projetos!A:L,12,false)=TRUE,TRUE,FALSE)</f>
        <v>0</v>
      </c>
      <c r="I914" s="68">
        <v>169.0374654280904</v>
      </c>
      <c r="J914" s="68">
        <f t="shared" si="1"/>
        <v>0</v>
      </c>
      <c r="K914" s="68" t="b">
        <v>0</v>
      </c>
    </row>
    <row r="915" hidden="1">
      <c r="A915" s="75">
        <v>909.0</v>
      </c>
      <c r="B915" s="62" t="s">
        <v>591</v>
      </c>
      <c r="C915" s="62" t="s">
        <v>83</v>
      </c>
      <c r="D915" s="62" t="s">
        <v>639</v>
      </c>
      <c r="E915" s="76">
        <v>43965.0</v>
      </c>
      <c r="F915" s="77">
        <v>0.041666666666666664</v>
      </c>
      <c r="G915" s="62" t="b">
        <v>0</v>
      </c>
      <c r="H915" s="78" t="b">
        <f>IF(VLOOKUP(C915,Projetos!A:L,12,false)=TRUE,TRUE,FALSE)</f>
        <v>0</v>
      </c>
      <c r="I915" s="68">
        <v>169.0374654280904</v>
      </c>
      <c r="J915" s="68">
        <f t="shared" si="1"/>
        <v>0</v>
      </c>
      <c r="K915" s="68" t="b">
        <v>0</v>
      </c>
    </row>
    <row r="916" hidden="1">
      <c r="A916" s="75">
        <v>910.0</v>
      </c>
      <c r="B916" s="62" t="s">
        <v>591</v>
      </c>
      <c r="C916" s="62" t="s">
        <v>83</v>
      </c>
      <c r="D916" s="62" t="s">
        <v>642</v>
      </c>
      <c r="E916" s="76">
        <v>43966.0</v>
      </c>
      <c r="F916" s="77">
        <v>0.0625</v>
      </c>
      <c r="G916" s="62" t="b">
        <v>0</v>
      </c>
      <c r="H916" s="78" t="b">
        <f>IF(VLOOKUP(C916,Projetos!A:L,12,false)=TRUE,TRUE,FALSE)</f>
        <v>0</v>
      </c>
      <c r="I916" s="68">
        <v>169.0374654280904</v>
      </c>
      <c r="J916" s="68">
        <f t="shared" si="1"/>
        <v>0</v>
      </c>
      <c r="K916" s="68" t="b">
        <v>0</v>
      </c>
    </row>
    <row r="917" hidden="1">
      <c r="A917" s="75">
        <v>911.0</v>
      </c>
      <c r="B917" s="62" t="s">
        <v>591</v>
      </c>
      <c r="C917" s="62" t="s">
        <v>90</v>
      </c>
      <c r="D917" s="62" t="s">
        <v>643</v>
      </c>
      <c r="E917" s="76">
        <v>43976.0</v>
      </c>
      <c r="F917" s="77">
        <v>0.041666666666666664</v>
      </c>
      <c r="G917" s="62" t="b">
        <v>1</v>
      </c>
      <c r="H917" s="78" t="b">
        <f>IF(VLOOKUP(C917,Projetos!A:L,12,false)=TRUE,TRUE,FALSE)</f>
        <v>1</v>
      </c>
      <c r="I917" s="68">
        <v>169.0374654280904</v>
      </c>
      <c r="J917" s="68">
        <f t="shared" si="1"/>
        <v>169.0374654</v>
      </c>
      <c r="K917" s="68" t="b">
        <v>1</v>
      </c>
    </row>
    <row r="918" hidden="1">
      <c r="A918" s="75">
        <v>912.0</v>
      </c>
      <c r="B918" s="62" t="s">
        <v>591</v>
      </c>
      <c r="C918" s="62" t="s">
        <v>95</v>
      </c>
      <c r="D918" s="62" t="s">
        <v>644</v>
      </c>
      <c r="E918" s="76">
        <v>43958.0</v>
      </c>
      <c r="F918" s="77">
        <v>0.041666666666666664</v>
      </c>
      <c r="G918" s="62" t="b">
        <v>1</v>
      </c>
      <c r="H918" s="78" t="b">
        <f>IF(VLOOKUP(C918,Projetos!A:L,12,false)=TRUE,TRUE,FALSE)</f>
        <v>1</v>
      </c>
      <c r="I918" s="68">
        <v>169.0374654280904</v>
      </c>
      <c r="J918" s="68">
        <f t="shared" si="1"/>
        <v>169.0374654</v>
      </c>
      <c r="K918" s="68" t="b">
        <v>1</v>
      </c>
    </row>
    <row r="919" hidden="1">
      <c r="A919" s="75">
        <v>913.0</v>
      </c>
      <c r="B919" s="62" t="s">
        <v>591</v>
      </c>
      <c r="C919" s="62" t="s">
        <v>101</v>
      </c>
      <c r="D919" s="62" t="s">
        <v>645</v>
      </c>
      <c r="E919" s="76">
        <v>43956.0</v>
      </c>
      <c r="F919" s="77">
        <v>0.020833333333333332</v>
      </c>
      <c r="G919" s="62" t="b">
        <v>1</v>
      </c>
      <c r="H919" s="78" t="b">
        <f>IF(VLOOKUP(C919,Projetos!A:L,12,false)=TRUE,TRUE,FALSE)</f>
        <v>1</v>
      </c>
      <c r="I919" s="68">
        <v>169.0374654280904</v>
      </c>
      <c r="J919" s="68">
        <f t="shared" si="1"/>
        <v>84.51873271</v>
      </c>
      <c r="K919" s="68" t="b">
        <v>1</v>
      </c>
    </row>
    <row r="920" hidden="1">
      <c r="A920" s="75">
        <v>914.0</v>
      </c>
      <c r="B920" s="62" t="s">
        <v>591</v>
      </c>
      <c r="C920" s="62" t="s">
        <v>101</v>
      </c>
      <c r="D920" s="62" t="s">
        <v>645</v>
      </c>
      <c r="E920" s="76">
        <v>43958.0</v>
      </c>
      <c r="F920" s="77">
        <v>0.020833333333333332</v>
      </c>
      <c r="G920" s="62" t="b">
        <v>1</v>
      </c>
      <c r="H920" s="78" t="b">
        <f>IF(VLOOKUP(C920,Projetos!A:L,12,false)=TRUE,TRUE,FALSE)</f>
        <v>1</v>
      </c>
      <c r="I920" s="68">
        <v>169.0374654280904</v>
      </c>
      <c r="J920" s="68">
        <f t="shared" si="1"/>
        <v>84.51873271</v>
      </c>
      <c r="K920" s="68" t="b">
        <v>1</v>
      </c>
    </row>
    <row r="921">
      <c r="A921" s="75">
        <v>915.0</v>
      </c>
      <c r="B921" s="62" t="s">
        <v>591</v>
      </c>
      <c r="C921" s="62" t="s">
        <v>104</v>
      </c>
      <c r="D921" s="62" t="s">
        <v>645</v>
      </c>
      <c r="E921" s="76">
        <v>43957.0</v>
      </c>
      <c r="F921" s="77">
        <v>0.0</v>
      </c>
      <c r="G921" s="62" t="b">
        <v>0</v>
      </c>
      <c r="H921" s="78" t="b">
        <f>IF(VLOOKUP(C921,Projetos!A:L,12,false)=TRUE,TRUE,FALSE)</f>
        <v>1</v>
      </c>
      <c r="I921" s="68">
        <v>169.0374654280904</v>
      </c>
      <c r="J921" s="68">
        <f t="shared" si="1"/>
        <v>0</v>
      </c>
      <c r="K921" s="68" t="b">
        <v>1</v>
      </c>
    </row>
    <row r="922" hidden="1">
      <c r="A922" s="75">
        <v>916.0</v>
      </c>
      <c r="B922" s="62" t="s">
        <v>591</v>
      </c>
      <c r="C922" s="62" t="s">
        <v>108</v>
      </c>
      <c r="D922" s="62" t="s">
        <v>646</v>
      </c>
      <c r="E922" s="76">
        <v>43963.0</v>
      </c>
      <c r="F922" s="77">
        <v>0.0625</v>
      </c>
      <c r="G922" s="62" t="b">
        <v>1</v>
      </c>
      <c r="H922" s="78" t="b">
        <f>IF(VLOOKUP(C922,Projetos!A:L,12,false)=TRUE,TRUE,FALSE)</f>
        <v>1</v>
      </c>
      <c r="I922" s="68">
        <v>169.0374654280904</v>
      </c>
      <c r="J922" s="68">
        <f t="shared" si="1"/>
        <v>253.5561981</v>
      </c>
      <c r="K922" s="68" t="b">
        <v>1</v>
      </c>
    </row>
    <row r="923" hidden="1">
      <c r="A923" s="75">
        <v>917.0</v>
      </c>
      <c r="B923" s="62" t="s">
        <v>591</v>
      </c>
      <c r="C923" s="62" t="s">
        <v>108</v>
      </c>
      <c r="D923" s="62" t="s">
        <v>646</v>
      </c>
      <c r="E923" s="76">
        <v>43963.0</v>
      </c>
      <c r="F923" s="77">
        <v>0.041666666666666664</v>
      </c>
      <c r="G923" s="62" t="b">
        <v>1</v>
      </c>
      <c r="H923" s="78" t="b">
        <f>IF(VLOOKUP(C923,Projetos!A:L,12,false)=TRUE,TRUE,FALSE)</f>
        <v>1</v>
      </c>
      <c r="I923" s="68">
        <v>169.0374654280904</v>
      </c>
      <c r="J923" s="68">
        <f t="shared" si="1"/>
        <v>169.0374654</v>
      </c>
      <c r="K923" s="68" t="b">
        <v>1</v>
      </c>
    </row>
    <row r="924" hidden="1">
      <c r="A924" s="75">
        <v>918.0</v>
      </c>
      <c r="B924" s="62" t="s">
        <v>591</v>
      </c>
      <c r="C924" s="62" t="s">
        <v>108</v>
      </c>
      <c r="D924" s="62" t="s">
        <v>647</v>
      </c>
      <c r="E924" s="76">
        <v>43969.0</v>
      </c>
      <c r="F924" s="77">
        <v>0.041666666666666664</v>
      </c>
      <c r="G924" s="62" t="b">
        <v>1</v>
      </c>
      <c r="H924" s="78" t="b">
        <f>IF(VLOOKUP(C924,Projetos!A:L,12,false)=TRUE,TRUE,FALSE)</f>
        <v>1</v>
      </c>
      <c r="I924" s="68">
        <v>169.0374654280904</v>
      </c>
      <c r="J924" s="68">
        <f t="shared" si="1"/>
        <v>169.0374654</v>
      </c>
      <c r="K924" s="68" t="b">
        <v>1</v>
      </c>
    </row>
    <row r="925" hidden="1">
      <c r="A925" s="75">
        <v>919.0</v>
      </c>
      <c r="B925" s="62" t="s">
        <v>591</v>
      </c>
      <c r="C925" s="62" t="s">
        <v>110</v>
      </c>
      <c r="D925" s="62" t="s">
        <v>648</v>
      </c>
      <c r="E925" s="76">
        <v>43972.0</v>
      </c>
      <c r="F925" s="77">
        <v>0.041666666666666664</v>
      </c>
      <c r="G925" s="62" t="b">
        <v>1</v>
      </c>
      <c r="H925" s="78" t="b">
        <f>IF(VLOOKUP(C925,Projetos!A:L,12,false)=TRUE,TRUE,FALSE)</f>
        <v>1</v>
      </c>
      <c r="I925" s="68">
        <v>169.0374654280904</v>
      </c>
      <c r="J925" s="68">
        <f t="shared" si="1"/>
        <v>169.0374654</v>
      </c>
      <c r="K925" s="68" t="b">
        <v>1</v>
      </c>
    </row>
    <row r="926" hidden="1">
      <c r="A926" s="75">
        <v>920.0</v>
      </c>
      <c r="B926" s="62" t="s">
        <v>591</v>
      </c>
      <c r="C926" s="62" t="s">
        <v>83</v>
      </c>
      <c r="D926" s="62" t="s">
        <v>649</v>
      </c>
      <c r="E926" s="76">
        <v>43983.0</v>
      </c>
      <c r="F926" s="77">
        <v>0.041666666666666664</v>
      </c>
      <c r="G926" s="62" t="b">
        <v>0</v>
      </c>
      <c r="H926" s="78" t="b">
        <f>IF(VLOOKUP(C926,Projetos!A:L,12,false)=TRUE,TRUE,FALSE)</f>
        <v>0</v>
      </c>
      <c r="I926" s="68">
        <v>161.35394427226808</v>
      </c>
      <c r="J926" s="68">
        <f t="shared" si="1"/>
        <v>0</v>
      </c>
      <c r="K926" s="68" t="b">
        <v>0</v>
      </c>
    </row>
    <row r="927" hidden="1">
      <c r="A927" s="75">
        <v>921.0</v>
      </c>
      <c r="B927" s="62" t="s">
        <v>591</v>
      </c>
      <c r="C927" s="62" t="s">
        <v>83</v>
      </c>
      <c r="D927" s="62" t="s">
        <v>650</v>
      </c>
      <c r="E927" s="76">
        <v>43983.0</v>
      </c>
      <c r="F927" s="77">
        <v>0.041666666666666664</v>
      </c>
      <c r="G927" s="62" t="b">
        <v>0</v>
      </c>
      <c r="H927" s="78" t="b">
        <f>IF(VLOOKUP(C927,Projetos!A:L,12,false)=TRUE,TRUE,FALSE)</f>
        <v>0</v>
      </c>
      <c r="I927" s="68">
        <v>161.35394427226808</v>
      </c>
      <c r="J927" s="68">
        <f t="shared" si="1"/>
        <v>0</v>
      </c>
      <c r="K927" s="68" t="b">
        <v>0</v>
      </c>
    </row>
    <row r="928" hidden="1">
      <c r="A928" s="75">
        <v>922.0</v>
      </c>
      <c r="B928" s="62" t="s">
        <v>591</v>
      </c>
      <c r="C928" s="62" t="s">
        <v>83</v>
      </c>
      <c r="D928" s="62" t="s">
        <v>651</v>
      </c>
      <c r="E928" s="76">
        <v>44012.0</v>
      </c>
      <c r="F928" s="77">
        <v>0.08333333333333333</v>
      </c>
      <c r="G928" s="62" t="b">
        <v>0</v>
      </c>
      <c r="H928" s="78" t="b">
        <f>IF(VLOOKUP(C928,Projetos!A:L,12,false)=TRUE,TRUE,FALSE)</f>
        <v>0</v>
      </c>
      <c r="I928" s="68">
        <v>161.35394427226808</v>
      </c>
      <c r="J928" s="68">
        <f t="shared" si="1"/>
        <v>0</v>
      </c>
      <c r="K928" s="68" t="b">
        <v>0</v>
      </c>
    </row>
    <row r="929" hidden="1">
      <c r="A929" s="75">
        <v>923.0</v>
      </c>
      <c r="B929" s="62" t="s">
        <v>591</v>
      </c>
      <c r="C929" s="62" t="s">
        <v>90</v>
      </c>
      <c r="D929" s="62" t="s">
        <v>652</v>
      </c>
      <c r="E929" s="76">
        <v>43984.0</v>
      </c>
      <c r="F929" s="77">
        <v>0.041666666666666664</v>
      </c>
      <c r="G929" s="62" t="b">
        <v>1</v>
      </c>
      <c r="H929" s="78" t="b">
        <f>IF(VLOOKUP(C929,Projetos!A:L,12,false)=TRUE,TRUE,FALSE)</f>
        <v>1</v>
      </c>
      <c r="I929" s="68">
        <v>161.35394427226808</v>
      </c>
      <c r="J929" s="68">
        <f t="shared" si="1"/>
        <v>161.3539443</v>
      </c>
      <c r="K929" s="68" t="b">
        <v>1</v>
      </c>
    </row>
    <row r="930" hidden="1">
      <c r="A930" s="75">
        <v>924.0</v>
      </c>
      <c r="B930" s="62" t="s">
        <v>591</v>
      </c>
      <c r="C930" s="62" t="s">
        <v>90</v>
      </c>
      <c r="D930" s="62" t="s">
        <v>653</v>
      </c>
      <c r="E930" s="76">
        <v>43984.0</v>
      </c>
      <c r="F930" s="77">
        <v>0.020833333333333332</v>
      </c>
      <c r="G930" s="62" t="b">
        <v>1</v>
      </c>
      <c r="H930" s="78" t="b">
        <f>IF(VLOOKUP(C930,Projetos!A:L,12,false)=TRUE,TRUE,FALSE)</f>
        <v>1</v>
      </c>
      <c r="I930" s="68">
        <v>161.35394427226808</v>
      </c>
      <c r="J930" s="68">
        <f t="shared" si="1"/>
        <v>80.67697214</v>
      </c>
      <c r="K930" s="68" t="b">
        <v>1</v>
      </c>
    </row>
    <row r="931" hidden="1">
      <c r="A931" s="75">
        <v>925.0</v>
      </c>
      <c r="B931" s="62" t="s">
        <v>591</v>
      </c>
      <c r="C931" s="62" t="s">
        <v>90</v>
      </c>
      <c r="D931" s="62" t="s">
        <v>654</v>
      </c>
      <c r="E931" s="76">
        <v>43984.0</v>
      </c>
      <c r="F931" s="77">
        <v>0.0625</v>
      </c>
      <c r="G931" s="62" t="b">
        <v>1</v>
      </c>
      <c r="H931" s="78" t="b">
        <f>IF(VLOOKUP(C931,Projetos!A:L,12,false)=TRUE,TRUE,FALSE)</f>
        <v>1</v>
      </c>
      <c r="I931" s="68">
        <v>161.35394427226808</v>
      </c>
      <c r="J931" s="68">
        <f t="shared" si="1"/>
        <v>242.0309164</v>
      </c>
      <c r="K931" s="68" t="b">
        <v>1</v>
      </c>
    </row>
    <row r="932" hidden="1">
      <c r="A932" s="75">
        <v>926.0</v>
      </c>
      <c r="B932" s="62" t="s">
        <v>591</v>
      </c>
      <c r="C932" s="62" t="s">
        <v>90</v>
      </c>
      <c r="D932" s="62" t="s">
        <v>655</v>
      </c>
      <c r="E932" s="76">
        <v>43985.0</v>
      </c>
      <c r="F932" s="77">
        <v>0.0625</v>
      </c>
      <c r="G932" s="62" t="b">
        <v>0</v>
      </c>
      <c r="H932" s="78" t="b">
        <f>IF(VLOOKUP(C932,Projetos!A:L,12,false)=TRUE,TRUE,FALSE)</f>
        <v>1</v>
      </c>
      <c r="I932" s="68">
        <v>161.35394427226808</v>
      </c>
      <c r="J932" s="68">
        <f t="shared" si="1"/>
        <v>0</v>
      </c>
      <c r="K932" s="68" t="b">
        <v>1</v>
      </c>
    </row>
    <row r="933" hidden="1">
      <c r="A933" s="75">
        <v>927.0</v>
      </c>
      <c r="B933" s="62" t="s">
        <v>591</v>
      </c>
      <c r="C933" s="62" t="s">
        <v>90</v>
      </c>
      <c r="D933" s="62" t="s">
        <v>655</v>
      </c>
      <c r="E933" s="76">
        <v>43986.0</v>
      </c>
      <c r="F933" s="77">
        <v>0.0625</v>
      </c>
      <c r="G933" s="62" t="b">
        <v>0</v>
      </c>
      <c r="H933" s="78" t="b">
        <f>IF(VLOOKUP(C933,Projetos!A:L,12,false)=TRUE,TRUE,FALSE)</f>
        <v>1</v>
      </c>
      <c r="I933" s="68">
        <v>161.35394427226808</v>
      </c>
      <c r="J933" s="68">
        <f t="shared" si="1"/>
        <v>0</v>
      </c>
      <c r="K933" s="68" t="b">
        <v>1</v>
      </c>
    </row>
    <row r="934" hidden="1">
      <c r="A934" s="75">
        <v>928.0</v>
      </c>
      <c r="B934" s="62" t="s">
        <v>591</v>
      </c>
      <c r="C934" s="62" t="s">
        <v>90</v>
      </c>
      <c r="D934" s="62" t="s">
        <v>656</v>
      </c>
      <c r="E934" s="76">
        <v>43987.0</v>
      </c>
      <c r="F934" s="77">
        <v>0.020833333333333332</v>
      </c>
      <c r="G934" s="62" t="b">
        <v>1</v>
      </c>
      <c r="H934" s="78" t="b">
        <f>IF(VLOOKUP(C934,Projetos!A:L,12,false)=TRUE,TRUE,FALSE)</f>
        <v>1</v>
      </c>
      <c r="I934" s="68">
        <v>161.35394427226808</v>
      </c>
      <c r="J934" s="68">
        <f t="shared" si="1"/>
        <v>80.67697214</v>
      </c>
      <c r="K934" s="68" t="b">
        <v>1</v>
      </c>
    </row>
    <row r="935" hidden="1">
      <c r="A935" s="75">
        <v>929.0</v>
      </c>
      <c r="B935" s="62" t="s">
        <v>591</v>
      </c>
      <c r="C935" s="62" t="s">
        <v>90</v>
      </c>
      <c r="D935" s="62" t="s">
        <v>657</v>
      </c>
      <c r="E935" s="76">
        <v>44008.0</v>
      </c>
      <c r="F935" s="77">
        <v>0.041666666666666664</v>
      </c>
      <c r="G935" s="62" t="b">
        <v>1</v>
      </c>
      <c r="H935" s="78" t="b">
        <f>IF(VLOOKUP(C935,Projetos!A:L,12,false)=TRUE,TRUE,FALSE)</f>
        <v>1</v>
      </c>
      <c r="I935" s="68">
        <v>161.35394427226808</v>
      </c>
      <c r="J935" s="68">
        <f t="shared" si="1"/>
        <v>161.3539443</v>
      </c>
      <c r="K935" s="68" t="b">
        <v>1</v>
      </c>
    </row>
    <row r="936" hidden="1">
      <c r="A936" s="75">
        <v>930.0</v>
      </c>
      <c r="B936" s="62" t="s">
        <v>591</v>
      </c>
      <c r="C936" s="62" t="s">
        <v>95</v>
      </c>
      <c r="D936" s="62" t="s">
        <v>658</v>
      </c>
      <c r="E936" s="76">
        <v>43999.0</v>
      </c>
      <c r="F936" s="77">
        <v>0.041666666666666664</v>
      </c>
      <c r="G936" s="62" t="b">
        <v>1</v>
      </c>
      <c r="H936" s="78" t="b">
        <f>IF(VLOOKUP(C936,Projetos!A:L,12,false)=TRUE,TRUE,FALSE)</f>
        <v>1</v>
      </c>
      <c r="I936" s="68">
        <v>161.35394427226808</v>
      </c>
      <c r="J936" s="68">
        <f t="shared" si="1"/>
        <v>161.3539443</v>
      </c>
      <c r="K936" s="68" t="b">
        <v>1</v>
      </c>
    </row>
    <row r="937" hidden="1">
      <c r="A937" s="75">
        <v>931.0</v>
      </c>
      <c r="B937" s="62" t="s">
        <v>591</v>
      </c>
      <c r="C937" s="62" t="s">
        <v>95</v>
      </c>
      <c r="D937" s="62" t="s">
        <v>659</v>
      </c>
      <c r="E937" s="76">
        <v>44000.0</v>
      </c>
      <c r="F937" s="77">
        <v>0.041666666666666664</v>
      </c>
      <c r="G937" s="62" t="b">
        <v>1</v>
      </c>
      <c r="H937" s="78" t="b">
        <f>IF(VLOOKUP(C937,Projetos!A:L,12,false)=TRUE,TRUE,FALSE)</f>
        <v>1</v>
      </c>
      <c r="I937" s="68">
        <v>161.35394427226808</v>
      </c>
      <c r="J937" s="68">
        <f t="shared" si="1"/>
        <v>161.3539443</v>
      </c>
      <c r="K937" s="68" t="b">
        <v>1</v>
      </c>
    </row>
    <row r="938" hidden="1">
      <c r="A938" s="75">
        <v>932.0</v>
      </c>
      <c r="B938" s="62" t="s">
        <v>591</v>
      </c>
      <c r="C938" s="62" t="s">
        <v>98</v>
      </c>
      <c r="D938" s="62" t="s">
        <v>660</v>
      </c>
      <c r="E938" s="76">
        <v>44004.0</v>
      </c>
      <c r="F938" s="77">
        <v>0.041666666666666664</v>
      </c>
      <c r="G938" s="62" t="b">
        <v>1</v>
      </c>
      <c r="H938" s="78" t="b">
        <f>IF(VLOOKUP(C938,Projetos!A:L,12,false)=TRUE,TRUE,FALSE)</f>
        <v>1</v>
      </c>
      <c r="I938" s="68">
        <v>161.35394427226808</v>
      </c>
      <c r="J938" s="68">
        <f t="shared" si="1"/>
        <v>161.3539443</v>
      </c>
      <c r="K938" s="68" t="b">
        <v>1</v>
      </c>
    </row>
    <row r="939" hidden="1">
      <c r="A939" s="75">
        <v>933.0</v>
      </c>
      <c r="B939" s="62" t="s">
        <v>591</v>
      </c>
      <c r="C939" s="62" t="s">
        <v>98</v>
      </c>
      <c r="D939" s="62" t="s">
        <v>661</v>
      </c>
      <c r="E939" s="76">
        <v>44006.0</v>
      </c>
      <c r="F939" s="77">
        <v>0.041666666666666664</v>
      </c>
      <c r="G939" s="62" t="b">
        <v>1</v>
      </c>
      <c r="H939" s="78" t="b">
        <f>IF(VLOOKUP(C939,Projetos!A:L,12,false)=TRUE,TRUE,FALSE)</f>
        <v>1</v>
      </c>
      <c r="I939" s="68">
        <v>161.35394427226808</v>
      </c>
      <c r="J939" s="68">
        <f t="shared" si="1"/>
        <v>161.3539443</v>
      </c>
      <c r="K939" s="68" t="b">
        <v>1</v>
      </c>
    </row>
    <row r="940" hidden="1">
      <c r="A940" s="75">
        <v>934.0</v>
      </c>
      <c r="B940" s="62" t="s">
        <v>591</v>
      </c>
      <c r="C940" s="62" t="s">
        <v>100</v>
      </c>
      <c r="D940" s="62" t="s">
        <v>662</v>
      </c>
      <c r="E940" s="76">
        <v>44000.0</v>
      </c>
      <c r="F940" s="77">
        <v>0.041666666666666664</v>
      </c>
      <c r="G940" s="62" t="b">
        <v>1</v>
      </c>
      <c r="H940" s="78" t="b">
        <f>IF(VLOOKUP(C940,Projetos!A:L,12,false)=TRUE,TRUE,FALSE)</f>
        <v>1</v>
      </c>
      <c r="I940" s="68">
        <v>161.35394427226808</v>
      </c>
      <c r="J940" s="68">
        <f t="shared" si="1"/>
        <v>161.3539443</v>
      </c>
      <c r="K940" s="68" t="b">
        <v>1</v>
      </c>
    </row>
    <row r="941">
      <c r="A941" s="75">
        <v>935.0</v>
      </c>
      <c r="B941" s="62" t="s">
        <v>591</v>
      </c>
      <c r="C941" s="62" t="s">
        <v>104</v>
      </c>
      <c r="D941" s="62" t="s">
        <v>663</v>
      </c>
      <c r="E941" s="76">
        <v>43983.0</v>
      </c>
      <c r="F941" s="77">
        <v>0.041666666666666664</v>
      </c>
      <c r="G941" s="62" t="b">
        <v>1</v>
      </c>
      <c r="H941" s="78" t="b">
        <f>IF(VLOOKUP(C941,Projetos!A:L,12,false)=TRUE,TRUE,FALSE)</f>
        <v>1</v>
      </c>
      <c r="I941" s="68">
        <v>161.35394427226808</v>
      </c>
      <c r="J941" s="68">
        <f t="shared" si="1"/>
        <v>161.3539443</v>
      </c>
      <c r="K941" s="68" t="b">
        <v>1</v>
      </c>
    </row>
    <row r="942">
      <c r="A942" s="75">
        <v>936.0</v>
      </c>
      <c r="B942" s="62" t="s">
        <v>591</v>
      </c>
      <c r="C942" s="62" t="s">
        <v>104</v>
      </c>
      <c r="D942" s="62" t="s">
        <v>664</v>
      </c>
      <c r="E942" s="76">
        <v>43997.0</v>
      </c>
      <c r="F942" s="77">
        <v>0.041666666666666664</v>
      </c>
      <c r="G942" s="62" t="b">
        <v>1</v>
      </c>
      <c r="H942" s="78" t="b">
        <f>IF(VLOOKUP(C942,Projetos!A:L,12,false)=TRUE,TRUE,FALSE)</f>
        <v>1</v>
      </c>
      <c r="I942" s="68">
        <v>161.35394427226808</v>
      </c>
      <c r="J942" s="68">
        <f t="shared" si="1"/>
        <v>161.3539443</v>
      </c>
      <c r="K942" s="68" t="b">
        <v>1</v>
      </c>
    </row>
    <row r="943">
      <c r="A943" s="75">
        <v>937.0</v>
      </c>
      <c r="B943" s="62" t="s">
        <v>591</v>
      </c>
      <c r="C943" s="62" t="s">
        <v>104</v>
      </c>
      <c r="D943" s="62" t="s">
        <v>665</v>
      </c>
      <c r="E943" s="76">
        <v>44000.0</v>
      </c>
      <c r="F943" s="77">
        <v>0.020833333333333332</v>
      </c>
      <c r="G943" s="62" t="b">
        <v>0</v>
      </c>
      <c r="H943" s="78" t="b">
        <f>IF(VLOOKUP(C943,Projetos!A:L,12,false)=TRUE,TRUE,FALSE)</f>
        <v>1</v>
      </c>
      <c r="I943" s="68">
        <v>161.35394427226808</v>
      </c>
      <c r="J943" s="68">
        <f t="shared" si="1"/>
        <v>0</v>
      </c>
      <c r="K943" s="68" t="b">
        <v>1</v>
      </c>
    </row>
    <row r="944">
      <c r="A944" s="75">
        <v>938.0</v>
      </c>
      <c r="B944" s="62" t="s">
        <v>591</v>
      </c>
      <c r="C944" s="62" t="s">
        <v>104</v>
      </c>
      <c r="D944" s="62" t="s">
        <v>666</v>
      </c>
      <c r="E944" s="76">
        <v>44006.0</v>
      </c>
      <c r="F944" s="77">
        <v>0.08333333333333333</v>
      </c>
      <c r="G944" s="62" t="b">
        <v>0</v>
      </c>
      <c r="H944" s="78" t="b">
        <f>IF(VLOOKUP(C944,Projetos!A:L,12,false)=TRUE,TRUE,FALSE)</f>
        <v>1</v>
      </c>
      <c r="I944" s="68">
        <v>161.35394427226808</v>
      </c>
      <c r="J944" s="68">
        <f t="shared" si="1"/>
        <v>0</v>
      </c>
      <c r="K944" s="68" t="b">
        <v>1</v>
      </c>
    </row>
    <row r="945">
      <c r="A945" s="75">
        <v>939.0</v>
      </c>
      <c r="B945" s="62" t="s">
        <v>591</v>
      </c>
      <c r="C945" s="62" t="s">
        <v>104</v>
      </c>
      <c r="D945" s="62" t="s">
        <v>666</v>
      </c>
      <c r="E945" s="76">
        <v>44007.0</v>
      </c>
      <c r="F945" s="77">
        <v>0.041666666666666664</v>
      </c>
      <c r="G945" s="62" t="b">
        <v>0</v>
      </c>
      <c r="H945" s="78" t="b">
        <f>IF(VLOOKUP(C945,Projetos!A:L,12,false)=TRUE,TRUE,FALSE)</f>
        <v>1</v>
      </c>
      <c r="I945" s="68">
        <v>161.35394427226808</v>
      </c>
      <c r="J945" s="68">
        <f t="shared" si="1"/>
        <v>0</v>
      </c>
      <c r="K945" s="68" t="b">
        <v>1</v>
      </c>
    </row>
    <row r="946" hidden="1">
      <c r="A946" s="75">
        <v>940.0</v>
      </c>
      <c r="B946" s="62" t="s">
        <v>591</v>
      </c>
      <c r="C946" s="62" t="s">
        <v>108</v>
      </c>
      <c r="D946" s="62" t="s">
        <v>667</v>
      </c>
      <c r="E946" s="76">
        <v>43999.0</v>
      </c>
      <c r="F946" s="77">
        <v>0.020833333333333332</v>
      </c>
      <c r="G946" s="62" t="b">
        <v>1</v>
      </c>
      <c r="H946" s="78" t="b">
        <f>IF(VLOOKUP(C946,Projetos!A:L,12,false)=TRUE,TRUE,FALSE)</f>
        <v>1</v>
      </c>
      <c r="I946" s="68">
        <v>161.35394427226808</v>
      </c>
      <c r="J946" s="68">
        <f t="shared" si="1"/>
        <v>80.67697214</v>
      </c>
      <c r="K946" s="68" t="b">
        <v>1</v>
      </c>
    </row>
    <row r="947" hidden="1">
      <c r="A947" s="75">
        <v>941.0</v>
      </c>
      <c r="B947" s="62" t="s">
        <v>591</v>
      </c>
      <c r="C947" s="62" t="s">
        <v>108</v>
      </c>
      <c r="D947" s="62" t="s">
        <v>668</v>
      </c>
      <c r="E947" s="76">
        <v>44005.0</v>
      </c>
      <c r="F947" s="77">
        <v>0.041666666666666664</v>
      </c>
      <c r="G947" s="62" t="b">
        <v>0</v>
      </c>
      <c r="H947" s="78" t="b">
        <f>IF(VLOOKUP(C947,Projetos!A:L,12,false)=TRUE,TRUE,FALSE)</f>
        <v>1</v>
      </c>
      <c r="I947" s="68">
        <v>161.35394427226808</v>
      </c>
      <c r="J947" s="68">
        <f t="shared" si="1"/>
        <v>0</v>
      </c>
      <c r="K947" s="68" t="b">
        <v>1</v>
      </c>
    </row>
    <row r="948" hidden="1">
      <c r="A948" s="75">
        <v>942.0</v>
      </c>
      <c r="B948" s="62" t="s">
        <v>591</v>
      </c>
      <c r="C948" s="62" t="s">
        <v>110</v>
      </c>
      <c r="D948" s="62" t="s">
        <v>669</v>
      </c>
      <c r="E948" s="76">
        <v>43992.0</v>
      </c>
      <c r="F948" s="77">
        <v>0.041666666666666664</v>
      </c>
      <c r="G948" s="62" t="b">
        <v>1</v>
      </c>
      <c r="H948" s="78" t="b">
        <f>IF(VLOOKUP(C948,Projetos!A:L,12,false)=TRUE,TRUE,FALSE)</f>
        <v>1</v>
      </c>
      <c r="I948" s="68">
        <v>161.35394427226808</v>
      </c>
      <c r="J948" s="68">
        <f t="shared" si="1"/>
        <v>161.3539443</v>
      </c>
      <c r="K948" s="68" t="b">
        <v>1</v>
      </c>
    </row>
    <row r="949" hidden="1">
      <c r="A949" s="75">
        <v>943.0</v>
      </c>
      <c r="B949" s="62" t="s">
        <v>591</v>
      </c>
      <c r="C949" s="62" t="s">
        <v>115</v>
      </c>
      <c r="D949" s="62" t="s">
        <v>670</v>
      </c>
      <c r="E949" s="76">
        <v>43998.0</v>
      </c>
      <c r="F949" s="77">
        <v>0.041666666666666664</v>
      </c>
      <c r="G949" s="62" t="b">
        <v>1</v>
      </c>
      <c r="H949" s="78" t="b">
        <f>IF(VLOOKUP(C949,Projetos!A:L,12,false)=TRUE,TRUE,FALSE)</f>
        <v>1</v>
      </c>
      <c r="I949" s="68">
        <v>161.35394427226808</v>
      </c>
      <c r="J949" s="68">
        <f t="shared" si="1"/>
        <v>161.3539443</v>
      </c>
      <c r="K949" s="68" t="b">
        <v>1</v>
      </c>
    </row>
    <row r="950" hidden="1">
      <c r="A950" s="75">
        <v>944.0</v>
      </c>
      <c r="B950" s="62" t="s">
        <v>591</v>
      </c>
      <c r="C950" s="62" t="s">
        <v>115</v>
      </c>
      <c r="D950" s="62" t="s">
        <v>671</v>
      </c>
      <c r="E950" s="76">
        <v>43999.0</v>
      </c>
      <c r="F950" s="77">
        <v>0.041666666666666664</v>
      </c>
      <c r="G950" s="62" t="b">
        <v>1</v>
      </c>
      <c r="H950" s="78" t="b">
        <f>IF(VLOOKUP(C950,Projetos!A:L,12,false)=TRUE,TRUE,FALSE)</f>
        <v>1</v>
      </c>
      <c r="I950" s="68">
        <v>161.35394427226808</v>
      </c>
      <c r="J950" s="68">
        <f t="shared" si="1"/>
        <v>161.3539443</v>
      </c>
      <c r="K950" s="68" t="b">
        <v>1</v>
      </c>
    </row>
    <row r="951" hidden="1">
      <c r="A951" s="75">
        <v>945.0</v>
      </c>
      <c r="B951" s="62" t="s">
        <v>591</v>
      </c>
      <c r="C951" s="62" t="s">
        <v>115</v>
      </c>
      <c r="D951" s="62" t="s">
        <v>672</v>
      </c>
      <c r="E951" s="76">
        <v>44004.0</v>
      </c>
      <c r="F951" s="77">
        <v>0.041666666666666664</v>
      </c>
      <c r="G951" s="62" t="b">
        <v>1</v>
      </c>
      <c r="H951" s="78" t="b">
        <f>IF(VLOOKUP(C951,Projetos!A:L,12,false)=TRUE,TRUE,FALSE)</f>
        <v>1</v>
      </c>
      <c r="I951" s="68">
        <v>161.35394427226808</v>
      </c>
      <c r="J951" s="68">
        <f t="shared" si="1"/>
        <v>161.3539443</v>
      </c>
      <c r="K951" s="68" t="b">
        <v>1</v>
      </c>
    </row>
    <row r="952" hidden="1">
      <c r="A952" s="75">
        <v>946.0</v>
      </c>
      <c r="B952" s="62" t="s">
        <v>591</v>
      </c>
      <c r="C952" s="62" t="s">
        <v>83</v>
      </c>
      <c r="D952" s="62" t="s">
        <v>673</v>
      </c>
      <c r="E952" s="76">
        <v>44013.0</v>
      </c>
      <c r="F952" s="77">
        <v>0.041666666666666664</v>
      </c>
      <c r="G952" s="62" t="b">
        <v>0</v>
      </c>
      <c r="H952" s="78" t="b">
        <f>IF(VLOOKUP(C952,Projetos!A:L,12,false)=TRUE,TRUE,FALSE)</f>
        <v>0</v>
      </c>
      <c r="I952" s="68">
        <v>169.0374654280904</v>
      </c>
      <c r="J952" s="68">
        <f t="shared" si="1"/>
        <v>0</v>
      </c>
      <c r="K952" s="68" t="b">
        <v>0</v>
      </c>
    </row>
    <row r="953" hidden="1">
      <c r="A953" s="75">
        <v>947.0</v>
      </c>
      <c r="B953" s="62" t="s">
        <v>591</v>
      </c>
      <c r="C953" s="62" t="s">
        <v>83</v>
      </c>
      <c r="D953" s="62" t="s">
        <v>674</v>
      </c>
      <c r="E953" s="76">
        <v>44014.0</v>
      </c>
      <c r="F953" s="77">
        <v>0.041666666666666664</v>
      </c>
      <c r="G953" s="62" t="b">
        <v>0</v>
      </c>
      <c r="H953" s="78" t="b">
        <f>IF(VLOOKUP(C953,Projetos!A:L,12,false)=TRUE,TRUE,FALSE)</f>
        <v>0</v>
      </c>
      <c r="I953" s="68">
        <v>169.0374654280904</v>
      </c>
      <c r="J953" s="68">
        <f t="shared" si="1"/>
        <v>0</v>
      </c>
      <c r="K953" s="68" t="b">
        <v>0</v>
      </c>
    </row>
    <row r="954" hidden="1">
      <c r="A954" s="75">
        <v>948.0</v>
      </c>
      <c r="B954" s="62" t="s">
        <v>591</v>
      </c>
      <c r="C954" s="62" t="s">
        <v>83</v>
      </c>
      <c r="D954" s="62" t="s">
        <v>675</v>
      </c>
      <c r="E954" s="76">
        <v>44021.0</v>
      </c>
      <c r="F954" s="77">
        <v>0.0625</v>
      </c>
      <c r="G954" s="62" t="b">
        <v>0</v>
      </c>
      <c r="H954" s="78" t="b">
        <f>IF(VLOOKUP(C954,Projetos!A:L,12,false)=TRUE,TRUE,FALSE)</f>
        <v>0</v>
      </c>
      <c r="I954" s="68">
        <v>169.0374654280904</v>
      </c>
      <c r="J954" s="68">
        <f t="shared" si="1"/>
        <v>0</v>
      </c>
      <c r="K954" s="68" t="b">
        <v>0</v>
      </c>
    </row>
    <row r="955" hidden="1">
      <c r="A955" s="75">
        <v>949.0</v>
      </c>
      <c r="B955" s="62" t="s">
        <v>591</v>
      </c>
      <c r="C955" s="62" t="s">
        <v>83</v>
      </c>
      <c r="D955" s="62" t="s">
        <v>676</v>
      </c>
      <c r="E955" s="76">
        <v>44025.0</v>
      </c>
      <c r="F955" s="77">
        <v>0.041666666666666664</v>
      </c>
      <c r="G955" s="62" t="b">
        <v>0</v>
      </c>
      <c r="H955" s="78" t="b">
        <f>IF(VLOOKUP(C955,Projetos!A:L,12,false)=TRUE,TRUE,FALSE)</f>
        <v>0</v>
      </c>
      <c r="I955" s="68">
        <v>169.0374654280904</v>
      </c>
      <c r="J955" s="68">
        <f t="shared" si="1"/>
        <v>0</v>
      </c>
      <c r="K955" s="68" t="b">
        <v>0</v>
      </c>
    </row>
    <row r="956" hidden="1">
      <c r="A956" s="75">
        <v>950.0</v>
      </c>
      <c r="B956" s="62" t="s">
        <v>591</v>
      </c>
      <c r="C956" s="62" t="s">
        <v>83</v>
      </c>
      <c r="D956" s="62" t="s">
        <v>674</v>
      </c>
      <c r="E956" s="76">
        <v>44028.0</v>
      </c>
      <c r="F956" s="77">
        <v>0.041666666666666664</v>
      </c>
      <c r="G956" s="62" t="b">
        <v>0</v>
      </c>
      <c r="H956" s="78" t="b">
        <f>IF(VLOOKUP(C956,Projetos!A:L,12,false)=TRUE,TRUE,FALSE)</f>
        <v>0</v>
      </c>
      <c r="I956" s="68">
        <v>169.0374654280904</v>
      </c>
      <c r="J956" s="68">
        <f t="shared" si="1"/>
        <v>0</v>
      </c>
      <c r="K956" s="68" t="b">
        <v>0</v>
      </c>
    </row>
    <row r="957" hidden="1">
      <c r="A957" s="75">
        <v>951.0</v>
      </c>
      <c r="B957" s="62" t="s">
        <v>591</v>
      </c>
      <c r="C957" s="62" t="s">
        <v>83</v>
      </c>
      <c r="D957" s="62" t="s">
        <v>674</v>
      </c>
      <c r="E957" s="76">
        <v>44035.0</v>
      </c>
      <c r="F957" s="77">
        <v>0.041666666666666664</v>
      </c>
      <c r="G957" s="62" t="b">
        <v>0</v>
      </c>
      <c r="H957" s="78" t="b">
        <f>IF(VLOOKUP(C957,Projetos!A:L,12,false)=TRUE,TRUE,FALSE)</f>
        <v>0</v>
      </c>
      <c r="I957" s="68">
        <v>169.0374654280904</v>
      </c>
      <c r="J957" s="68">
        <f t="shared" si="1"/>
        <v>0</v>
      </c>
      <c r="K957" s="68" t="b">
        <v>0</v>
      </c>
    </row>
    <row r="958" hidden="1">
      <c r="A958" s="75">
        <v>952.0</v>
      </c>
      <c r="B958" s="62" t="s">
        <v>591</v>
      </c>
      <c r="C958" s="62" t="s">
        <v>90</v>
      </c>
      <c r="D958" s="62" t="s">
        <v>677</v>
      </c>
      <c r="E958" s="76">
        <v>44035.0</v>
      </c>
      <c r="F958" s="77">
        <v>0.041666666666666664</v>
      </c>
      <c r="G958" s="62" t="b">
        <v>1</v>
      </c>
      <c r="H958" s="78" t="b">
        <f>IF(VLOOKUP(C958,Projetos!A:L,12,false)=TRUE,TRUE,FALSE)</f>
        <v>1</v>
      </c>
      <c r="I958" s="68">
        <v>169.0374654280904</v>
      </c>
      <c r="J958" s="68">
        <f t="shared" si="1"/>
        <v>169.0374654</v>
      </c>
      <c r="K958" s="68" t="b">
        <v>1</v>
      </c>
    </row>
    <row r="959" hidden="1">
      <c r="A959" s="75">
        <v>953.0</v>
      </c>
      <c r="B959" s="62" t="s">
        <v>591</v>
      </c>
      <c r="C959" s="62" t="s">
        <v>90</v>
      </c>
      <c r="D959" s="62" t="s">
        <v>678</v>
      </c>
      <c r="E959" s="76">
        <v>44036.0</v>
      </c>
      <c r="F959" s="77">
        <v>0.041666666666666664</v>
      </c>
      <c r="G959" s="62" t="b">
        <v>1</v>
      </c>
      <c r="H959" s="78" t="b">
        <f>IF(VLOOKUP(C959,Projetos!A:L,12,false)=TRUE,TRUE,FALSE)</f>
        <v>1</v>
      </c>
      <c r="I959" s="68">
        <v>169.0374654280904</v>
      </c>
      <c r="J959" s="68">
        <f t="shared" si="1"/>
        <v>169.0374654</v>
      </c>
      <c r="K959" s="68" t="b">
        <v>1</v>
      </c>
    </row>
    <row r="960" hidden="1">
      <c r="A960" s="75">
        <v>954.0</v>
      </c>
      <c r="B960" s="62" t="s">
        <v>591</v>
      </c>
      <c r="C960" s="62" t="s">
        <v>90</v>
      </c>
      <c r="D960" s="62" t="s">
        <v>679</v>
      </c>
      <c r="E960" s="76">
        <v>44043.0</v>
      </c>
      <c r="F960" s="77">
        <v>0.041666666666666664</v>
      </c>
      <c r="G960" s="62" t="b">
        <v>1</v>
      </c>
      <c r="H960" s="78" t="b">
        <f>IF(VLOOKUP(C960,Projetos!A:L,12,false)=TRUE,TRUE,FALSE)</f>
        <v>1</v>
      </c>
      <c r="I960" s="68">
        <v>169.0374654280904</v>
      </c>
      <c r="J960" s="68">
        <f t="shared" si="1"/>
        <v>169.0374654</v>
      </c>
      <c r="K960" s="68" t="b">
        <v>1</v>
      </c>
    </row>
    <row r="961">
      <c r="A961" s="75">
        <v>955.0</v>
      </c>
      <c r="B961" s="62" t="s">
        <v>591</v>
      </c>
      <c r="C961" s="62" t="s">
        <v>104</v>
      </c>
      <c r="D961" s="62" t="s">
        <v>680</v>
      </c>
      <c r="E961" s="76">
        <v>44013.0</v>
      </c>
      <c r="F961" s="77">
        <v>0.041666666666666664</v>
      </c>
      <c r="G961" s="62" t="b">
        <v>1</v>
      </c>
      <c r="H961" s="78" t="b">
        <f>IF(VLOOKUP(C961,Projetos!A:L,12,false)=TRUE,TRUE,FALSE)</f>
        <v>1</v>
      </c>
      <c r="I961" s="68">
        <v>169.0374654280904</v>
      </c>
      <c r="J961" s="68">
        <f t="shared" si="1"/>
        <v>169.0374654</v>
      </c>
      <c r="K961" s="68" t="b">
        <v>1</v>
      </c>
    </row>
    <row r="962">
      <c r="A962" s="75">
        <v>956.0</v>
      </c>
      <c r="B962" s="62" t="s">
        <v>591</v>
      </c>
      <c r="C962" s="62" t="s">
        <v>104</v>
      </c>
      <c r="D962" s="62" t="s">
        <v>681</v>
      </c>
      <c r="E962" s="76">
        <v>44015.0</v>
      </c>
      <c r="F962" s="77">
        <v>0.041666666666666664</v>
      </c>
      <c r="G962" s="62" t="b">
        <v>1</v>
      </c>
      <c r="H962" s="78" t="b">
        <f>IF(VLOOKUP(C962,Projetos!A:L,12,false)=TRUE,TRUE,FALSE)</f>
        <v>1</v>
      </c>
      <c r="I962" s="68">
        <v>169.0374654280904</v>
      </c>
      <c r="J962" s="68">
        <f t="shared" si="1"/>
        <v>169.0374654</v>
      </c>
      <c r="K962" s="68" t="b">
        <v>1</v>
      </c>
    </row>
    <row r="963">
      <c r="A963" s="75">
        <v>957.0</v>
      </c>
      <c r="B963" s="62" t="s">
        <v>591</v>
      </c>
      <c r="C963" s="62" t="s">
        <v>104</v>
      </c>
      <c r="D963" s="62" t="s">
        <v>681</v>
      </c>
      <c r="E963" s="76">
        <v>44025.0</v>
      </c>
      <c r="F963" s="77">
        <v>0.041666666666666664</v>
      </c>
      <c r="G963" s="62" t="b">
        <v>1</v>
      </c>
      <c r="H963" s="78" t="b">
        <f>IF(VLOOKUP(C963,Projetos!A:L,12,false)=TRUE,TRUE,FALSE)</f>
        <v>1</v>
      </c>
      <c r="I963" s="68">
        <v>169.0374654280904</v>
      </c>
      <c r="J963" s="68">
        <f t="shared" si="1"/>
        <v>169.0374654</v>
      </c>
      <c r="K963" s="68" t="b">
        <v>1</v>
      </c>
    </row>
    <row r="964">
      <c r="A964" s="75">
        <v>958.0</v>
      </c>
      <c r="B964" s="62" t="s">
        <v>591</v>
      </c>
      <c r="C964" s="62" t="s">
        <v>104</v>
      </c>
      <c r="D964" s="62" t="s">
        <v>682</v>
      </c>
      <c r="E964" s="76">
        <v>44028.0</v>
      </c>
      <c r="F964" s="77">
        <v>0.041666666666666664</v>
      </c>
      <c r="G964" s="62" t="b">
        <v>1</v>
      </c>
      <c r="H964" s="78" t="b">
        <f>IF(VLOOKUP(C964,Projetos!A:L,12,false)=TRUE,TRUE,FALSE)</f>
        <v>1</v>
      </c>
      <c r="I964" s="68">
        <v>169.0374654280904</v>
      </c>
      <c r="J964" s="68">
        <f t="shared" si="1"/>
        <v>169.0374654</v>
      </c>
      <c r="K964" s="68" t="b">
        <v>1</v>
      </c>
    </row>
    <row r="965">
      <c r="A965" s="75">
        <v>959.0</v>
      </c>
      <c r="B965" s="62" t="s">
        <v>591</v>
      </c>
      <c r="C965" s="62" t="s">
        <v>104</v>
      </c>
      <c r="D965" s="62" t="s">
        <v>683</v>
      </c>
      <c r="E965" s="76">
        <v>44029.0</v>
      </c>
      <c r="F965" s="77">
        <v>0.020833333333333332</v>
      </c>
      <c r="G965" s="62" t="b">
        <v>1</v>
      </c>
      <c r="H965" s="78" t="b">
        <f>IF(VLOOKUP(C965,Projetos!A:L,12,false)=TRUE,TRUE,FALSE)</f>
        <v>1</v>
      </c>
      <c r="I965" s="68">
        <v>169.0374654280904</v>
      </c>
      <c r="J965" s="68">
        <f t="shared" si="1"/>
        <v>84.51873271</v>
      </c>
      <c r="K965" s="68" t="b">
        <v>1</v>
      </c>
    </row>
    <row r="966" hidden="1">
      <c r="A966" s="75">
        <v>960.0</v>
      </c>
      <c r="B966" s="62" t="s">
        <v>591</v>
      </c>
      <c r="C966" s="62" t="s">
        <v>108</v>
      </c>
      <c r="D966" s="62" t="s">
        <v>684</v>
      </c>
      <c r="E966" s="76">
        <v>44014.0</v>
      </c>
      <c r="F966" s="77">
        <v>0.041666666666666664</v>
      </c>
      <c r="G966" s="62" t="b">
        <v>0</v>
      </c>
      <c r="H966" s="78" t="b">
        <f>IF(VLOOKUP(C966,Projetos!A:L,12,false)=TRUE,TRUE,FALSE)</f>
        <v>1</v>
      </c>
      <c r="I966" s="68">
        <v>169.0374654280904</v>
      </c>
      <c r="J966" s="68">
        <f t="shared" si="1"/>
        <v>0</v>
      </c>
      <c r="K966" s="68" t="b">
        <v>1</v>
      </c>
    </row>
    <row r="967" hidden="1">
      <c r="A967" s="75">
        <v>961.0</v>
      </c>
      <c r="B967" s="62" t="s">
        <v>591</v>
      </c>
      <c r="C967" s="62" t="s">
        <v>108</v>
      </c>
      <c r="D967" s="62" t="s">
        <v>685</v>
      </c>
      <c r="E967" s="76">
        <v>44021.0</v>
      </c>
      <c r="F967" s="77">
        <v>0.041666666666666664</v>
      </c>
      <c r="G967" s="62" t="b">
        <v>0</v>
      </c>
      <c r="H967" s="78" t="b">
        <f>IF(VLOOKUP(C967,Projetos!A:L,12,false)=TRUE,TRUE,FALSE)</f>
        <v>1</v>
      </c>
      <c r="I967" s="68">
        <v>169.0374654280904</v>
      </c>
      <c r="J967" s="68">
        <f t="shared" si="1"/>
        <v>0</v>
      </c>
      <c r="K967" s="68" t="b">
        <v>1</v>
      </c>
    </row>
    <row r="968" hidden="1">
      <c r="A968" s="75">
        <v>962.0</v>
      </c>
      <c r="B968" s="62" t="s">
        <v>591</v>
      </c>
      <c r="C968" s="62" t="s">
        <v>108</v>
      </c>
      <c r="D968" s="62" t="s">
        <v>686</v>
      </c>
      <c r="E968" s="76">
        <v>44032.0</v>
      </c>
      <c r="F968" s="77">
        <v>0.041666666666666664</v>
      </c>
      <c r="G968" s="62" t="b">
        <v>0</v>
      </c>
      <c r="H968" s="78" t="b">
        <f>IF(VLOOKUP(C968,Projetos!A:L,12,false)=TRUE,TRUE,FALSE)</f>
        <v>1</v>
      </c>
      <c r="I968" s="68">
        <v>169.0374654280904</v>
      </c>
      <c r="J968" s="68">
        <f t="shared" si="1"/>
        <v>0</v>
      </c>
      <c r="K968" s="68" t="b">
        <v>1</v>
      </c>
    </row>
    <row r="969" hidden="1">
      <c r="A969" s="75">
        <v>963.0</v>
      </c>
      <c r="B969" s="62" t="s">
        <v>591</v>
      </c>
      <c r="C969" s="62" t="s">
        <v>108</v>
      </c>
      <c r="D969" s="62" t="s">
        <v>687</v>
      </c>
      <c r="E969" s="76">
        <v>44039.0</v>
      </c>
      <c r="F969" s="77">
        <v>0.041666666666666664</v>
      </c>
      <c r="G969" s="62" t="b">
        <v>0</v>
      </c>
      <c r="H969" s="78" t="b">
        <f>IF(VLOOKUP(C969,Projetos!A:L,12,false)=TRUE,TRUE,FALSE)</f>
        <v>1</v>
      </c>
      <c r="I969" s="68">
        <v>169.0374654280904</v>
      </c>
      <c r="J969" s="68">
        <f t="shared" si="1"/>
        <v>0</v>
      </c>
      <c r="K969" s="68" t="b">
        <v>1</v>
      </c>
    </row>
    <row r="970" hidden="1">
      <c r="A970" s="75">
        <v>964.0</v>
      </c>
      <c r="B970" s="62" t="s">
        <v>591</v>
      </c>
      <c r="C970" s="62" t="s">
        <v>108</v>
      </c>
      <c r="D970" s="62" t="s">
        <v>688</v>
      </c>
      <c r="E970" s="76">
        <v>44041.0</v>
      </c>
      <c r="F970" s="77">
        <v>0.0625</v>
      </c>
      <c r="G970" s="62" t="b">
        <v>0</v>
      </c>
      <c r="H970" s="78" t="b">
        <f>IF(VLOOKUP(C970,Projetos!A:L,12,false)=TRUE,TRUE,FALSE)</f>
        <v>1</v>
      </c>
      <c r="I970" s="68">
        <v>169.0374654280904</v>
      </c>
      <c r="J970" s="68">
        <f t="shared" si="1"/>
        <v>0</v>
      </c>
      <c r="K970" s="68" t="b">
        <v>1</v>
      </c>
    </row>
    <row r="971" hidden="1">
      <c r="A971" s="75">
        <v>965.0</v>
      </c>
      <c r="B971" s="62" t="s">
        <v>591</v>
      </c>
      <c r="C971" s="62" t="s">
        <v>108</v>
      </c>
      <c r="D971" s="62" t="s">
        <v>689</v>
      </c>
      <c r="E971" s="76">
        <v>44042.0</v>
      </c>
      <c r="F971" s="77">
        <v>0.041666666666666664</v>
      </c>
      <c r="G971" s="62" t="b">
        <v>0</v>
      </c>
      <c r="H971" s="78" t="b">
        <f>IF(VLOOKUP(C971,Projetos!A:L,12,false)=TRUE,TRUE,FALSE)</f>
        <v>1</v>
      </c>
      <c r="I971" s="68">
        <v>169.0374654280904</v>
      </c>
      <c r="J971" s="68">
        <f t="shared" si="1"/>
        <v>0</v>
      </c>
      <c r="K971" s="68" t="b">
        <v>1</v>
      </c>
    </row>
    <row r="972" hidden="1">
      <c r="A972" s="75">
        <v>966.0</v>
      </c>
      <c r="B972" s="62" t="s">
        <v>591</v>
      </c>
      <c r="C972" s="62" t="s">
        <v>110</v>
      </c>
      <c r="D972" s="62" t="s">
        <v>690</v>
      </c>
      <c r="E972" s="76">
        <v>44019.0</v>
      </c>
      <c r="F972" s="77">
        <v>0.020833333333333332</v>
      </c>
      <c r="G972" s="62" t="b">
        <v>1</v>
      </c>
      <c r="H972" s="78" t="b">
        <f>IF(VLOOKUP(C972,Projetos!A:L,12,false)=TRUE,TRUE,FALSE)</f>
        <v>1</v>
      </c>
      <c r="I972" s="68">
        <v>169.0374654280904</v>
      </c>
      <c r="J972" s="68">
        <f t="shared" si="1"/>
        <v>84.51873271</v>
      </c>
      <c r="K972" s="68" t="b">
        <v>1</v>
      </c>
    </row>
    <row r="973" hidden="1">
      <c r="A973" s="75">
        <v>967.0</v>
      </c>
      <c r="B973" s="62" t="s">
        <v>591</v>
      </c>
      <c r="C973" s="62" t="s">
        <v>115</v>
      </c>
      <c r="D973" s="62" t="s">
        <v>690</v>
      </c>
      <c r="E973" s="76">
        <v>44019.0</v>
      </c>
      <c r="F973" s="77">
        <v>0.020833333333333332</v>
      </c>
      <c r="G973" s="62" t="b">
        <v>1</v>
      </c>
      <c r="H973" s="78" t="b">
        <f>IF(VLOOKUP(C973,Projetos!A:L,12,false)=TRUE,TRUE,FALSE)</f>
        <v>1</v>
      </c>
      <c r="I973" s="68">
        <v>169.0374654280904</v>
      </c>
      <c r="J973" s="68">
        <f t="shared" si="1"/>
        <v>84.51873271</v>
      </c>
      <c r="K973" s="68" t="b">
        <v>1</v>
      </c>
    </row>
    <row r="974" hidden="1">
      <c r="A974" s="75">
        <v>968.0</v>
      </c>
      <c r="B974" s="62" t="s">
        <v>591</v>
      </c>
      <c r="C974" s="62" t="s">
        <v>115</v>
      </c>
      <c r="D974" s="62" t="s">
        <v>691</v>
      </c>
      <c r="E974" s="76">
        <v>44032.0</v>
      </c>
      <c r="F974" s="77">
        <v>0.08333333333333333</v>
      </c>
      <c r="G974" s="62" t="b">
        <v>1</v>
      </c>
      <c r="H974" s="78" t="b">
        <f>IF(VLOOKUP(C974,Projetos!A:L,12,false)=TRUE,TRUE,FALSE)</f>
        <v>1</v>
      </c>
      <c r="I974" s="68">
        <v>169.0374654280904</v>
      </c>
      <c r="J974" s="68">
        <f t="shared" si="1"/>
        <v>338.0749309</v>
      </c>
      <c r="K974" s="68" t="b">
        <v>1</v>
      </c>
    </row>
    <row r="975" hidden="1">
      <c r="A975" s="75">
        <v>969.0</v>
      </c>
      <c r="B975" s="62" t="s">
        <v>591</v>
      </c>
      <c r="C975" s="62" t="s">
        <v>115</v>
      </c>
      <c r="D975" s="62" t="s">
        <v>692</v>
      </c>
      <c r="E975" s="76">
        <v>44036.0</v>
      </c>
      <c r="F975" s="77">
        <v>0.020833333333333332</v>
      </c>
      <c r="G975" s="62" t="b">
        <v>1</v>
      </c>
      <c r="H975" s="78" t="b">
        <f>IF(VLOOKUP(C975,Projetos!A:L,12,false)=TRUE,TRUE,FALSE)</f>
        <v>1</v>
      </c>
      <c r="I975" s="68">
        <v>169.0374654280904</v>
      </c>
      <c r="J975" s="68">
        <f t="shared" si="1"/>
        <v>84.51873271</v>
      </c>
      <c r="K975" s="68" t="b">
        <v>1</v>
      </c>
    </row>
    <row r="976" hidden="1">
      <c r="A976" s="75">
        <v>970.0</v>
      </c>
      <c r="B976" s="62" t="s">
        <v>591</v>
      </c>
      <c r="C976" s="62" t="s">
        <v>115</v>
      </c>
      <c r="D976" s="62" t="s">
        <v>693</v>
      </c>
      <c r="E976" s="76">
        <v>44043.0</v>
      </c>
      <c r="F976" s="77">
        <v>0.041666666666666664</v>
      </c>
      <c r="G976" s="62" t="b">
        <v>1</v>
      </c>
      <c r="H976" s="78" t="b">
        <f>IF(VLOOKUP(C976,Projetos!A:L,12,false)=TRUE,TRUE,FALSE)</f>
        <v>1</v>
      </c>
      <c r="I976" s="68">
        <v>169.0374654280904</v>
      </c>
      <c r="J976" s="68">
        <f t="shared" si="1"/>
        <v>169.0374654</v>
      </c>
      <c r="K976" s="68" t="b">
        <v>1</v>
      </c>
    </row>
    <row r="977" hidden="1">
      <c r="A977" s="75">
        <v>971.0</v>
      </c>
      <c r="B977" s="62" t="s">
        <v>591</v>
      </c>
      <c r="C977" s="62" t="s">
        <v>83</v>
      </c>
      <c r="D977" s="79" t="s">
        <v>150</v>
      </c>
      <c r="E977" s="76">
        <v>44049.0</v>
      </c>
      <c r="F977" s="77">
        <v>0.0625</v>
      </c>
      <c r="G977" s="62" t="b">
        <v>0</v>
      </c>
      <c r="H977" s="78" t="b">
        <f>IF(VLOOKUP(C977,Projetos!A:L,12,false)=TRUE,TRUE,FALSE)</f>
        <v>0</v>
      </c>
      <c r="I977" s="68">
        <v>169.0374654280904</v>
      </c>
      <c r="J977" s="68">
        <f t="shared" si="1"/>
        <v>0</v>
      </c>
      <c r="K977" s="68" t="b">
        <v>0</v>
      </c>
    </row>
    <row r="978" hidden="1">
      <c r="A978" s="75">
        <v>972.0</v>
      </c>
      <c r="B978" s="62" t="s">
        <v>591</v>
      </c>
      <c r="C978" s="62" t="s">
        <v>83</v>
      </c>
      <c r="D978" s="79" t="s">
        <v>150</v>
      </c>
      <c r="E978" s="76">
        <v>44054.0</v>
      </c>
      <c r="F978" s="77">
        <v>0.10416666666666667</v>
      </c>
      <c r="G978" s="62" t="b">
        <v>0</v>
      </c>
      <c r="H978" s="78" t="b">
        <f>IF(VLOOKUP(C978,Projetos!A:L,12,false)=TRUE,TRUE,FALSE)</f>
        <v>0</v>
      </c>
      <c r="I978" s="68">
        <v>169.0374654280904</v>
      </c>
      <c r="J978" s="68">
        <f t="shared" si="1"/>
        <v>0</v>
      </c>
      <c r="K978" s="68" t="b">
        <v>0</v>
      </c>
    </row>
    <row r="979" hidden="1">
      <c r="A979" s="75">
        <v>973.0</v>
      </c>
      <c r="B979" s="62" t="s">
        <v>591</v>
      </c>
      <c r="C979" s="62" t="s">
        <v>83</v>
      </c>
      <c r="D979" s="79" t="s">
        <v>150</v>
      </c>
      <c r="E979" s="76">
        <v>44055.0</v>
      </c>
      <c r="F979" s="77">
        <v>0.041666666666666664</v>
      </c>
      <c r="G979" s="62" t="b">
        <v>0</v>
      </c>
      <c r="H979" s="78" t="b">
        <f>IF(VLOOKUP(C979,Projetos!A:L,12,false)=TRUE,TRUE,FALSE)</f>
        <v>0</v>
      </c>
      <c r="I979" s="68">
        <v>169.0374654280904</v>
      </c>
      <c r="J979" s="68">
        <f t="shared" si="1"/>
        <v>0</v>
      </c>
      <c r="K979" s="68" t="b">
        <v>0</v>
      </c>
    </row>
    <row r="980" hidden="1">
      <c r="A980" s="75">
        <v>974.0</v>
      </c>
      <c r="B980" s="62" t="s">
        <v>591</v>
      </c>
      <c r="C980" s="62" t="s">
        <v>83</v>
      </c>
      <c r="D980" s="79" t="s">
        <v>150</v>
      </c>
      <c r="E980" s="76">
        <v>44061.0</v>
      </c>
      <c r="F980" s="77">
        <v>0.0625</v>
      </c>
      <c r="G980" s="62" t="b">
        <v>0</v>
      </c>
      <c r="H980" s="78" t="b">
        <f>IF(VLOOKUP(C980,Projetos!A:L,12,false)=TRUE,TRUE,FALSE)</f>
        <v>0</v>
      </c>
      <c r="I980" s="68">
        <v>169.0374654280904</v>
      </c>
      <c r="J980" s="68">
        <f t="shared" si="1"/>
        <v>0</v>
      </c>
      <c r="K980" s="68" t="b">
        <v>0</v>
      </c>
    </row>
    <row r="981" hidden="1">
      <c r="A981" s="75">
        <v>975.0</v>
      </c>
      <c r="B981" s="62" t="s">
        <v>591</v>
      </c>
      <c r="C981" s="62" t="s">
        <v>90</v>
      </c>
      <c r="D981" s="79" t="s">
        <v>150</v>
      </c>
      <c r="E981" s="76">
        <v>44054.0</v>
      </c>
      <c r="F981" s="77">
        <v>0.041666666666666664</v>
      </c>
      <c r="G981" s="62" t="b">
        <v>0</v>
      </c>
      <c r="H981" s="78" t="b">
        <f>IF(VLOOKUP(C981,Projetos!A:L,12,false)=TRUE,TRUE,FALSE)</f>
        <v>1</v>
      </c>
      <c r="I981" s="68">
        <v>169.0374654280904</v>
      </c>
      <c r="J981" s="68">
        <f t="shared" si="1"/>
        <v>0</v>
      </c>
      <c r="K981" s="68" t="b">
        <v>1</v>
      </c>
    </row>
    <row r="982" hidden="1">
      <c r="A982" s="75">
        <v>976.0</v>
      </c>
      <c r="B982" s="62" t="s">
        <v>591</v>
      </c>
      <c r="C982" s="62" t="s">
        <v>90</v>
      </c>
      <c r="D982" s="79" t="s">
        <v>150</v>
      </c>
      <c r="E982" s="76">
        <v>44056.0</v>
      </c>
      <c r="F982" s="77">
        <v>0.041666666666666664</v>
      </c>
      <c r="G982" s="62" t="b">
        <v>0</v>
      </c>
      <c r="H982" s="78" t="b">
        <f>IF(VLOOKUP(C982,Projetos!A:L,12,false)=TRUE,TRUE,FALSE)</f>
        <v>1</v>
      </c>
      <c r="I982" s="68">
        <v>169.0374654280904</v>
      </c>
      <c r="J982" s="68">
        <f t="shared" si="1"/>
        <v>0</v>
      </c>
      <c r="K982" s="68" t="b">
        <v>1</v>
      </c>
    </row>
    <row r="983" hidden="1">
      <c r="A983" s="75">
        <v>977.0</v>
      </c>
      <c r="B983" s="62" t="s">
        <v>591</v>
      </c>
      <c r="C983" s="62" t="s">
        <v>90</v>
      </c>
      <c r="D983" s="79" t="s">
        <v>150</v>
      </c>
      <c r="E983" s="76">
        <v>44061.0</v>
      </c>
      <c r="F983" s="77">
        <v>0.08333333333333333</v>
      </c>
      <c r="G983" s="62" t="b">
        <v>0</v>
      </c>
      <c r="H983" s="78" t="b">
        <f>IF(VLOOKUP(C983,Projetos!A:L,12,false)=TRUE,TRUE,FALSE)</f>
        <v>1</v>
      </c>
      <c r="I983" s="68">
        <v>169.0374654280904</v>
      </c>
      <c r="J983" s="68">
        <f t="shared" si="1"/>
        <v>0</v>
      </c>
      <c r="K983" s="68" t="b">
        <v>1</v>
      </c>
    </row>
    <row r="984" hidden="1">
      <c r="A984" s="75">
        <v>978.0</v>
      </c>
      <c r="B984" s="62" t="s">
        <v>591</v>
      </c>
      <c r="C984" s="62" t="s">
        <v>90</v>
      </c>
      <c r="D984" s="79" t="s">
        <v>150</v>
      </c>
      <c r="E984" s="76">
        <v>44067.0</v>
      </c>
      <c r="F984" s="77">
        <v>0.08333333333333333</v>
      </c>
      <c r="G984" s="62" t="b">
        <v>0</v>
      </c>
      <c r="H984" s="78" t="b">
        <f>IF(VLOOKUP(C984,Projetos!A:L,12,false)=TRUE,TRUE,FALSE)</f>
        <v>1</v>
      </c>
      <c r="I984" s="68">
        <v>169.0374654280904</v>
      </c>
      <c r="J984" s="68">
        <f t="shared" si="1"/>
        <v>0</v>
      </c>
      <c r="K984" s="68" t="b">
        <v>1</v>
      </c>
    </row>
    <row r="985" hidden="1">
      <c r="A985" s="75">
        <v>979.0</v>
      </c>
      <c r="B985" s="62" t="s">
        <v>591</v>
      </c>
      <c r="C985" s="62" t="s">
        <v>90</v>
      </c>
      <c r="D985" s="79" t="s">
        <v>150</v>
      </c>
      <c r="E985" s="76">
        <v>44068.0</v>
      </c>
      <c r="F985" s="77">
        <v>0.020833333333333332</v>
      </c>
      <c r="G985" s="62" t="b">
        <v>0</v>
      </c>
      <c r="H985" s="78" t="b">
        <f>IF(VLOOKUP(C985,Projetos!A:L,12,false)=TRUE,TRUE,FALSE)</f>
        <v>1</v>
      </c>
      <c r="I985" s="68">
        <v>169.0374654280904</v>
      </c>
      <c r="J985" s="68">
        <f t="shared" si="1"/>
        <v>0</v>
      </c>
      <c r="K985" s="68" t="b">
        <v>1</v>
      </c>
    </row>
    <row r="986" hidden="1">
      <c r="A986" s="75">
        <v>980.0</v>
      </c>
      <c r="B986" s="62" t="s">
        <v>591</v>
      </c>
      <c r="C986" s="62" t="s">
        <v>98</v>
      </c>
      <c r="D986" s="79" t="s">
        <v>150</v>
      </c>
      <c r="E986" s="76">
        <v>44049.0</v>
      </c>
      <c r="F986" s="77">
        <v>0.020833333333333332</v>
      </c>
      <c r="G986" s="62" t="b">
        <v>0</v>
      </c>
      <c r="H986" s="78" t="b">
        <f>IF(VLOOKUP(C986,Projetos!A:L,12,false)=TRUE,TRUE,FALSE)</f>
        <v>1</v>
      </c>
      <c r="I986" s="68">
        <v>169.0374654280904</v>
      </c>
      <c r="J986" s="68">
        <f t="shared" si="1"/>
        <v>0</v>
      </c>
      <c r="K986" s="68" t="b">
        <v>1</v>
      </c>
    </row>
    <row r="987">
      <c r="A987" s="75">
        <v>981.0</v>
      </c>
      <c r="B987" s="62" t="s">
        <v>591</v>
      </c>
      <c r="C987" s="62" t="s">
        <v>104</v>
      </c>
      <c r="D987" s="79" t="s">
        <v>150</v>
      </c>
      <c r="E987" s="76">
        <v>44057.0</v>
      </c>
      <c r="F987" s="77">
        <v>0.041666666666666664</v>
      </c>
      <c r="G987" s="62" t="b">
        <v>0</v>
      </c>
      <c r="H987" s="78" t="b">
        <f>IF(VLOOKUP(C987,Projetos!A:L,12,false)=TRUE,TRUE,FALSE)</f>
        <v>1</v>
      </c>
      <c r="I987" s="68">
        <v>169.0374654280904</v>
      </c>
      <c r="J987" s="68">
        <f t="shared" si="1"/>
        <v>0</v>
      </c>
      <c r="K987" s="68" t="b">
        <v>1</v>
      </c>
    </row>
    <row r="988">
      <c r="A988" s="75">
        <v>982.0</v>
      </c>
      <c r="B988" s="62" t="s">
        <v>591</v>
      </c>
      <c r="C988" s="62" t="s">
        <v>104</v>
      </c>
      <c r="D988" s="79" t="s">
        <v>150</v>
      </c>
      <c r="E988" s="76">
        <v>44064.0</v>
      </c>
      <c r="F988" s="77">
        <v>0.041666666666666664</v>
      </c>
      <c r="G988" s="62" t="b">
        <v>0</v>
      </c>
      <c r="H988" s="78" t="b">
        <f>IF(VLOOKUP(C988,Projetos!A:L,12,false)=TRUE,TRUE,FALSE)</f>
        <v>1</v>
      </c>
      <c r="I988" s="68">
        <v>169.0374654280904</v>
      </c>
      <c r="J988" s="68">
        <f t="shared" si="1"/>
        <v>0</v>
      </c>
      <c r="K988" s="68" t="b">
        <v>1</v>
      </c>
    </row>
    <row r="989" hidden="1">
      <c r="A989" s="75">
        <v>983.0</v>
      </c>
      <c r="B989" s="62" t="s">
        <v>591</v>
      </c>
      <c r="C989" s="62" t="s">
        <v>108</v>
      </c>
      <c r="D989" s="79" t="s">
        <v>150</v>
      </c>
      <c r="E989" s="76">
        <v>44053.0</v>
      </c>
      <c r="F989" s="77">
        <v>0.0625</v>
      </c>
      <c r="G989" s="62" t="b">
        <v>0</v>
      </c>
      <c r="H989" s="78" t="b">
        <f>IF(VLOOKUP(C989,Projetos!A:L,12,false)=TRUE,TRUE,FALSE)</f>
        <v>1</v>
      </c>
      <c r="I989" s="68">
        <v>169.0374654280904</v>
      </c>
      <c r="J989" s="68">
        <f t="shared" si="1"/>
        <v>0</v>
      </c>
      <c r="K989" s="68" t="b">
        <v>1</v>
      </c>
    </row>
    <row r="990" hidden="1">
      <c r="A990" s="75">
        <v>984.0</v>
      </c>
      <c r="B990" s="62" t="s">
        <v>591</v>
      </c>
      <c r="C990" s="62" t="s">
        <v>83</v>
      </c>
      <c r="D990" s="79" t="s">
        <v>150</v>
      </c>
      <c r="E990" s="76">
        <v>44083.0</v>
      </c>
      <c r="F990" s="77">
        <v>0.020833333333333332</v>
      </c>
      <c r="G990" s="62" t="b">
        <v>0</v>
      </c>
      <c r="H990" s="78" t="b">
        <f>IF(VLOOKUP(C990,Projetos!A:L,12,false)=TRUE,TRUE,FALSE)</f>
        <v>0</v>
      </c>
      <c r="I990" s="68">
        <v>161.35394427226808</v>
      </c>
      <c r="J990" s="68">
        <f t="shared" si="1"/>
        <v>0</v>
      </c>
      <c r="K990" s="68" t="b">
        <v>0</v>
      </c>
    </row>
    <row r="991" hidden="1">
      <c r="A991" s="75">
        <v>985.0</v>
      </c>
      <c r="B991" s="62" t="s">
        <v>591</v>
      </c>
      <c r="C991" s="62" t="s">
        <v>83</v>
      </c>
      <c r="D991" s="79" t="s">
        <v>150</v>
      </c>
      <c r="E991" s="76">
        <v>44084.0</v>
      </c>
      <c r="F991" s="77">
        <v>0.0625</v>
      </c>
      <c r="G991" s="62" t="b">
        <v>0</v>
      </c>
      <c r="H991" s="78" t="b">
        <f>IF(VLOOKUP(C991,Projetos!A:L,12,false)=TRUE,TRUE,FALSE)</f>
        <v>0</v>
      </c>
      <c r="I991" s="68">
        <v>161.35394427226808</v>
      </c>
      <c r="J991" s="68">
        <f t="shared" si="1"/>
        <v>0</v>
      </c>
      <c r="K991" s="68" t="b">
        <v>0</v>
      </c>
    </row>
    <row r="992" hidden="1">
      <c r="A992" s="75">
        <v>986.0</v>
      </c>
      <c r="B992" s="62" t="s">
        <v>591</v>
      </c>
      <c r="C992" s="62" t="s">
        <v>83</v>
      </c>
      <c r="D992" s="79" t="s">
        <v>150</v>
      </c>
      <c r="E992" s="76">
        <v>44090.0</v>
      </c>
      <c r="F992" s="77">
        <v>0.020833333333333332</v>
      </c>
      <c r="G992" s="62" t="b">
        <v>0</v>
      </c>
      <c r="H992" s="78" t="b">
        <f>IF(VLOOKUP(C992,Projetos!A:L,12,false)=TRUE,TRUE,FALSE)</f>
        <v>0</v>
      </c>
      <c r="I992" s="68">
        <v>161.35394427226808</v>
      </c>
      <c r="J992" s="68">
        <f t="shared" si="1"/>
        <v>0</v>
      </c>
      <c r="K992" s="68" t="b">
        <v>0</v>
      </c>
    </row>
    <row r="993" hidden="1">
      <c r="A993" s="75">
        <v>987.0</v>
      </c>
      <c r="B993" s="62" t="s">
        <v>591</v>
      </c>
      <c r="C993" s="62" t="s">
        <v>83</v>
      </c>
      <c r="D993" s="79" t="s">
        <v>150</v>
      </c>
      <c r="E993" s="76">
        <v>44097.0</v>
      </c>
      <c r="F993" s="77">
        <v>0.0625</v>
      </c>
      <c r="G993" s="62" t="b">
        <v>0</v>
      </c>
      <c r="H993" s="78" t="b">
        <f>IF(VLOOKUP(C993,Projetos!A:L,12,false)=TRUE,TRUE,FALSE)</f>
        <v>0</v>
      </c>
      <c r="I993" s="68">
        <v>161.35394427226808</v>
      </c>
      <c r="J993" s="68">
        <f t="shared" si="1"/>
        <v>0</v>
      </c>
      <c r="K993" s="68" t="b">
        <v>0</v>
      </c>
    </row>
    <row r="994" hidden="1">
      <c r="A994" s="75">
        <v>988.0</v>
      </c>
      <c r="B994" s="62" t="s">
        <v>591</v>
      </c>
      <c r="C994" s="62" t="s">
        <v>90</v>
      </c>
      <c r="D994" s="79" t="s">
        <v>150</v>
      </c>
      <c r="E994" s="76">
        <v>44083.0</v>
      </c>
      <c r="F994" s="77">
        <v>0.041666666666666664</v>
      </c>
      <c r="G994" s="62" t="b">
        <v>0</v>
      </c>
      <c r="H994" s="78" t="b">
        <f>IF(VLOOKUP(C994,Projetos!A:L,12,false)=TRUE,TRUE,FALSE)</f>
        <v>1</v>
      </c>
      <c r="I994" s="68">
        <v>161.35394427226808</v>
      </c>
      <c r="J994" s="68">
        <f t="shared" si="1"/>
        <v>0</v>
      </c>
      <c r="K994" s="68" t="b">
        <v>1</v>
      </c>
    </row>
    <row r="995" hidden="1">
      <c r="A995" s="75">
        <v>989.0</v>
      </c>
      <c r="B995" s="62" t="s">
        <v>591</v>
      </c>
      <c r="C995" s="62" t="s">
        <v>90</v>
      </c>
      <c r="D995" s="79" t="s">
        <v>150</v>
      </c>
      <c r="E995" s="76">
        <v>44083.0</v>
      </c>
      <c r="F995" s="77">
        <v>0.0625</v>
      </c>
      <c r="G995" s="62" t="b">
        <v>0</v>
      </c>
      <c r="H995" s="78" t="b">
        <f>IF(VLOOKUP(C995,Projetos!A:L,12,false)=TRUE,TRUE,FALSE)</f>
        <v>1</v>
      </c>
      <c r="I995" s="68">
        <v>161.35394427226808</v>
      </c>
      <c r="J995" s="68">
        <f t="shared" si="1"/>
        <v>0</v>
      </c>
      <c r="K995" s="68" t="b">
        <v>1</v>
      </c>
    </row>
    <row r="996" hidden="1">
      <c r="A996" s="75">
        <v>990.0</v>
      </c>
      <c r="B996" s="62" t="s">
        <v>591</v>
      </c>
      <c r="C996" s="62" t="s">
        <v>90</v>
      </c>
      <c r="D996" s="79" t="s">
        <v>150</v>
      </c>
      <c r="E996" s="76">
        <v>44084.0</v>
      </c>
      <c r="F996" s="77">
        <v>0.041666666666666664</v>
      </c>
      <c r="G996" s="62" t="b">
        <v>0</v>
      </c>
      <c r="H996" s="78" t="b">
        <f>IF(VLOOKUP(C996,Projetos!A:L,12,false)=TRUE,TRUE,FALSE)</f>
        <v>1</v>
      </c>
      <c r="I996" s="68">
        <v>161.35394427226808</v>
      </c>
      <c r="J996" s="68">
        <f t="shared" si="1"/>
        <v>0</v>
      </c>
      <c r="K996" s="68" t="b">
        <v>1</v>
      </c>
    </row>
    <row r="997" hidden="1">
      <c r="A997" s="75">
        <v>991.0</v>
      </c>
      <c r="B997" s="62" t="s">
        <v>591</v>
      </c>
      <c r="C997" s="62" t="s">
        <v>90</v>
      </c>
      <c r="D997" s="79" t="s">
        <v>150</v>
      </c>
      <c r="E997" s="76">
        <v>44090.0</v>
      </c>
      <c r="F997" s="77">
        <v>0.020833333333333332</v>
      </c>
      <c r="G997" s="62" t="b">
        <v>0</v>
      </c>
      <c r="H997" s="78" t="b">
        <f>IF(VLOOKUP(C997,Projetos!A:L,12,false)=TRUE,TRUE,FALSE)</f>
        <v>1</v>
      </c>
      <c r="I997" s="68">
        <v>161.35394427226808</v>
      </c>
      <c r="J997" s="68">
        <f t="shared" si="1"/>
        <v>0</v>
      </c>
      <c r="K997" s="68" t="b">
        <v>1</v>
      </c>
    </row>
    <row r="998" hidden="1">
      <c r="A998" s="75">
        <v>992.0</v>
      </c>
      <c r="B998" s="62" t="s">
        <v>591</v>
      </c>
      <c r="C998" s="62" t="s">
        <v>90</v>
      </c>
      <c r="D998" s="79" t="s">
        <v>150</v>
      </c>
      <c r="E998" s="76">
        <v>44090.0</v>
      </c>
      <c r="F998" s="77">
        <v>0.0625</v>
      </c>
      <c r="G998" s="62" t="b">
        <v>0</v>
      </c>
      <c r="H998" s="78" t="b">
        <f>IF(VLOOKUP(C998,Projetos!A:L,12,false)=TRUE,TRUE,FALSE)</f>
        <v>1</v>
      </c>
      <c r="I998" s="68">
        <v>161.35394427226808</v>
      </c>
      <c r="J998" s="68">
        <f t="shared" si="1"/>
        <v>0</v>
      </c>
      <c r="K998" s="68" t="b">
        <v>1</v>
      </c>
    </row>
    <row r="999">
      <c r="A999" s="75">
        <v>993.0</v>
      </c>
      <c r="B999" s="62" t="s">
        <v>591</v>
      </c>
      <c r="C999" s="62" t="s">
        <v>104</v>
      </c>
      <c r="D999" s="79" t="s">
        <v>150</v>
      </c>
      <c r="E999" s="76">
        <v>44088.0</v>
      </c>
      <c r="F999" s="77">
        <v>0.041666666666666664</v>
      </c>
      <c r="G999" s="62" t="b">
        <v>0</v>
      </c>
      <c r="H999" s="78" t="b">
        <f>IF(VLOOKUP(C999,Projetos!A:L,12,false)=TRUE,TRUE,FALSE)</f>
        <v>1</v>
      </c>
      <c r="I999" s="68">
        <v>161.35394427226808</v>
      </c>
      <c r="J999" s="68">
        <f t="shared" si="1"/>
        <v>0</v>
      </c>
      <c r="K999" s="68" t="b">
        <v>1</v>
      </c>
    </row>
    <row r="1000">
      <c r="A1000" s="75">
        <v>994.0</v>
      </c>
      <c r="B1000" s="62" t="s">
        <v>591</v>
      </c>
      <c r="C1000" s="62" t="s">
        <v>104</v>
      </c>
      <c r="D1000" s="79" t="s">
        <v>150</v>
      </c>
      <c r="E1000" s="76">
        <v>44089.0</v>
      </c>
      <c r="F1000" s="77">
        <v>0.041666666666666664</v>
      </c>
      <c r="G1000" s="62" t="b">
        <v>0</v>
      </c>
      <c r="H1000" s="78" t="b">
        <f>IF(VLOOKUP(C1000,Projetos!A:L,12,false)=TRUE,TRUE,FALSE)</f>
        <v>1</v>
      </c>
      <c r="I1000" s="68">
        <v>161.35394427226808</v>
      </c>
      <c r="J1000" s="68">
        <f t="shared" si="1"/>
        <v>0</v>
      </c>
      <c r="K1000" s="68" t="b">
        <v>1</v>
      </c>
    </row>
    <row r="1001">
      <c r="A1001" s="75">
        <v>995.0</v>
      </c>
      <c r="B1001" s="62" t="s">
        <v>591</v>
      </c>
      <c r="C1001" s="62" t="s">
        <v>104</v>
      </c>
      <c r="D1001" s="79" t="s">
        <v>150</v>
      </c>
      <c r="E1001" s="76">
        <v>44103.0</v>
      </c>
      <c r="F1001" s="77">
        <v>0.020833333333333332</v>
      </c>
      <c r="G1001" s="62" t="b">
        <v>0</v>
      </c>
      <c r="H1001" s="78" t="b">
        <f>IF(VLOOKUP(C1001,Projetos!A:L,12,false)=TRUE,TRUE,FALSE)</f>
        <v>1</v>
      </c>
      <c r="I1001" s="68">
        <v>161.35394427226808</v>
      </c>
      <c r="J1001" s="68">
        <f t="shared" si="1"/>
        <v>0</v>
      </c>
      <c r="K1001" s="68" t="b">
        <v>1</v>
      </c>
    </row>
    <row r="1002">
      <c r="A1002" s="75">
        <v>996.0</v>
      </c>
      <c r="B1002" s="62" t="s">
        <v>591</v>
      </c>
      <c r="C1002" s="62" t="s">
        <v>104</v>
      </c>
      <c r="D1002" s="79" t="s">
        <v>150</v>
      </c>
      <c r="E1002" s="76">
        <v>44103.0</v>
      </c>
      <c r="F1002" s="77">
        <v>0.041666666666666664</v>
      </c>
      <c r="G1002" s="62" t="b">
        <v>0</v>
      </c>
      <c r="H1002" s="78" t="b">
        <f>IF(VLOOKUP(C1002,Projetos!A:L,12,false)=TRUE,TRUE,FALSE)</f>
        <v>1</v>
      </c>
      <c r="I1002" s="68">
        <v>161.35394427226808</v>
      </c>
      <c r="J1002" s="68">
        <f t="shared" si="1"/>
        <v>0</v>
      </c>
      <c r="K1002" s="68" t="b">
        <v>1</v>
      </c>
    </row>
    <row r="1003" hidden="1">
      <c r="A1003" s="75">
        <v>997.0</v>
      </c>
      <c r="B1003" s="62" t="s">
        <v>591</v>
      </c>
      <c r="C1003" s="62" t="s">
        <v>108</v>
      </c>
      <c r="D1003" s="79" t="s">
        <v>150</v>
      </c>
      <c r="E1003" s="76">
        <v>44089.0</v>
      </c>
      <c r="F1003" s="77">
        <v>0.041666666666666664</v>
      </c>
      <c r="G1003" s="62" t="b">
        <v>0</v>
      </c>
      <c r="H1003" s="78" t="b">
        <f>IF(VLOOKUP(C1003,Projetos!A:L,12,false)=TRUE,TRUE,FALSE)</f>
        <v>1</v>
      </c>
      <c r="I1003" s="68">
        <v>161.35394427226808</v>
      </c>
      <c r="J1003" s="68">
        <f t="shared" si="1"/>
        <v>0</v>
      </c>
      <c r="K1003" s="68" t="b">
        <v>1</v>
      </c>
    </row>
    <row r="1004" hidden="1">
      <c r="A1004" s="75">
        <v>998.0</v>
      </c>
      <c r="B1004" s="62" t="s">
        <v>591</v>
      </c>
      <c r="C1004" s="62" t="s">
        <v>108</v>
      </c>
      <c r="D1004" s="79" t="s">
        <v>150</v>
      </c>
      <c r="E1004" s="76">
        <v>44102.0</v>
      </c>
      <c r="F1004" s="77">
        <v>0.041666666666666664</v>
      </c>
      <c r="G1004" s="62" t="b">
        <v>0</v>
      </c>
      <c r="H1004" s="78" t="b">
        <f>IF(VLOOKUP(C1004,Projetos!A:L,12,false)=TRUE,TRUE,FALSE)</f>
        <v>1</v>
      </c>
      <c r="I1004" s="68">
        <v>161.35394427226808</v>
      </c>
      <c r="J1004" s="68">
        <f t="shared" si="1"/>
        <v>0</v>
      </c>
      <c r="K1004" s="68" t="b">
        <v>1</v>
      </c>
    </row>
    <row r="1005" hidden="1">
      <c r="A1005" s="75">
        <v>999.0</v>
      </c>
      <c r="B1005" s="62" t="s">
        <v>591</v>
      </c>
      <c r="C1005" s="62" t="s">
        <v>108</v>
      </c>
      <c r="D1005" s="79" t="s">
        <v>150</v>
      </c>
      <c r="E1005" s="76">
        <v>44104.0</v>
      </c>
      <c r="F1005" s="77">
        <v>0.041666666666666664</v>
      </c>
      <c r="G1005" s="62" t="b">
        <v>0</v>
      </c>
      <c r="H1005" s="78" t="b">
        <f>IF(VLOOKUP(C1005,Projetos!A:L,12,false)=TRUE,TRUE,FALSE)</f>
        <v>1</v>
      </c>
      <c r="I1005" s="68">
        <v>161.35394427226808</v>
      </c>
      <c r="J1005" s="68">
        <f t="shared" si="1"/>
        <v>0</v>
      </c>
      <c r="K1005" s="68" t="b">
        <v>1</v>
      </c>
    </row>
    <row r="1006" hidden="1">
      <c r="A1006" s="75">
        <v>1000.0</v>
      </c>
      <c r="B1006" s="62" t="s">
        <v>591</v>
      </c>
      <c r="C1006" s="62" t="s">
        <v>109</v>
      </c>
      <c r="D1006" s="79" t="s">
        <v>150</v>
      </c>
      <c r="E1006" s="76">
        <v>44088.0</v>
      </c>
      <c r="F1006" s="77">
        <v>0.020833333333333332</v>
      </c>
      <c r="G1006" s="62" t="b">
        <v>0</v>
      </c>
      <c r="H1006" s="78" t="b">
        <f>IF(VLOOKUP(C1006,Projetos!A:L,12,false)=TRUE,TRUE,FALSE)</f>
        <v>0</v>
      </c>
      <c r="I1006" s="68">
        <v>161.35394427226808</v>
      </c>
      <c r="J1006" s="68">
        <f t="shared" si="1"/>
        <v>0</v>
      </c>
      <c r="K1006" s="68" t="b">
        <v>0</v>
      </c>
    </row>
    <row r="1007" hidden="1">
      <c r="A1007" s="75">
        <v>1001.0</v>
      </c>
      <c r="B1007" s="62" t="s">
        <v>591</v>
      </c>
      <c r="C1007" s="62" t="s">
        <v>110</v>
      </c>
      <c r="D1007" s="79" t="s">
        <v>150</v>
      </c>
      <c r="E1007" s="76">
        <v>44104.0</v>
      </c>
      <c r="F1007" s="77">
        <v>0.041666666666666664</v>
      </c>
      <c r="G1007" s="62" t="b">
        <v>0</v>
      </c>
      <c r="H1007" s="78" t="b">
        <f>IF(VLOOKUP(C1007,Projetos!A:L,12,false)=TRUE,TRUE,FALSE)</f>
        <v>1</v>
      </c>
      <c r="I1007" s="68">
        <v>161.35394427226808</v>
      </c>
      <c r="J1007" s="68">
        <f t="shared" si="1"/>
        <v>0</v>
      </c>
      <c r="K1007" s="68" t="b">
        <v>1</v>
      </c>
    </row>
    <row r="1008" hidden="1">
      <c r="A1008" s="75">
        <v>1002.0</v>
      </c>
      <c r="B1008" s="62" t="s">
        <v>591</v>
      </c>
      <c r="C1008" s="62" t="s">
        <v>115</v>
      </c>
      <c r="D1008" s="79" t="s">
        <v>150</v>
      </c>
      <c r="E1008" s="76">
        <v>44084.0</v>
      </c>
      <c r="F1008" s="77">
        <v>0.020833333333333332</v>
      </c>
      <c r="G1008" s="62" t="b">
        <v>0</v>
      </c>
      <c r="H1008" s="78" t="b">
        <f>IF(VLOOKUP(C1008,Projetos!A:L,12,false)=TRUE,TRUE,FALSE)</f>
        <v>1</v>
      </c>
      <c r="I1008" s="68">
        <v>161.35394427226808</v>
      </c>
      <c r="J1008" s="68">
        <f t="shared" si="1"/>
        <v>0</v>
      </c>
      <c r="K1008" s="68" t="b">
        <v>1</v>
      </c>
    </row>
    <row r="1009" hidden="1">
      <c r="A1009" s="75">
        <v>1003.0</v>
      </c>
      <c r="B1009" s="62" t="s">
        <v>591</v>
      </c>
      <c r="C1009" s="62" t="s">
        <v>83</v>
      </c>
      <c r="D1009" s="62" t="s">
        <v>694</v>
      </c>
      <c r="E1009" s="76">
        <v>44105.0</v>
      </c>
      <c r="F1009" s="77">
        <v>0.041666666666666664</v>
      </c>
      <c r="G1009" s="62" t="b">
        <v>0</v>
      </c>
      <c r="H1009" s="78" t="b">
        <f>IF(VLOOKUP(C1009,Projetos!A:L,12,false)=TRUE,TRUE,FALSE)</f>
        <v>0</v>
      </c>
      <c r="I1009" s="68">
        <v>169.0374654280904</v>
      </c>
      <c r="J1009" s="68">
        <f t="shared" si="1"/>
        <v>0</v>
      </c>
      <c r="K1009" s="68" t="b">
        <v>0</v>
      </c>
    </row>
    <row r="1010" hidden="1">
      <c r="A1010" s="75">
        <v>1004.0</v>
      </c>
      <c r="B1010" s="62" t="s">
        <v>591</v>
      </c>
      <c r="C1010" s="62" t="s">
        <v>83</v>
      </c>
      <c r="D1010" s="62" t="s">
        <v>695</v>
      </c>
      <c r="E1010" s="76">
        <v>44127.0</v>
      </c>
      <c r="F1010" s="77">
        <v>0.041666666666666664</v>
      </c>
      <c r="G1010" s="62" t="b">
        <v>0</v>
      </c>
      <c r="H1010" s="78" t="b">
        <f>IF(VLOOKUP(C1010,Projetos!A:L,12,false)=TRUE,TRUE,FALSE)</f>
        <v>0</v>
      </c>
      <c r="I1010" s="68">
        <v>169.0374654280904</v>
      </c>
      <c r="J1010" s="68">
        <f t="shared" si="1"/>
        <v>0</v>
      </c>
      <c r="K1010" s="68" t="b">
        <v>0</v>
      </c>
    </row>
    <row r="1011" hidden="1">
      <c r="A1011" s="75">
        <v>1005.0</v>
      </c>
      <c r="B1011" s="62" t="s">
        <v>591</v>
      </c>
      <c r="C1011" s="62" t="s">
        <v>83</v>
      </c>
      <c r="D1011" s="62" t="s">
        <v>696</v>
      </c>
      <c r="E1011" s="76">
        <v>44127.0</v>
      </c>
      <c r="F1011" s="77">
        <v>0.08333333333333333</v>
      </c>
      <c r="G1011" s="62" t="b">
        <v>0</v>
      </c>
      <c r="H1011" s="78" t="b">
        <f>IF(VLOOKUP(C1011,Projetos!A:L,12,false)=TRUE,TRUE,FALSE)</f>
        <v>0</v>
      </c>
      <c r="I1011" s="68">
        <v>169.0374654280904</v>
      </c>
      <c r="J1011" s="68">
        <f t="shared" si="1"/>
        <v>0</v>
      </c>
      <c r="K1011" s="68" t="b">
        <v>0</v>
      </c>
    </row>
    <row r="1012" hidden="1">
      <c r="A1012" s="75">
        <v>1006.0</v>
      </c>
      <c r="B1012" s="62" t="s">
        <v>591</v>
      </c>
      <c r="C1012" s="62" t="s">
        <v>83</v>
      </c>
      <c r="D1012" s="62" t="s">
        <v>697</v>
      </c>
      <c r="E1012" s="76">
        <v>44132.0</v>
      </c>
      <c r="F1012" s="77">
        <v>0.0625</v>
      </c>
      <c r="G1012" s="62" t="b">
        <v>0</v>
      </c>
      <c r="H1012" s="78" t="b">
        <f>IF(VLOOKUP(C1012,Projetos!A:L,12,false)=TRUE,TRUE,FALSE)</f>
        <v>0</v>
      </c>
      <c r="I1012" s="68">
        <v>169.0374654280904</v>
      </c>
      <c r="J1012" s="68">
        <f t="shared" si="1"/>
        <v>0</v>
      </c>
      <c r="K1012" s="68" t="b">
        <v>0</v>
      </c>
    </row>
    <row r="1013" hidden="1">
      <c r="A1013" s="75">
        <v>1007.0</v>
      </c>
      <c r="B1013" s="62" t="s">
        <v>591</v>
      </c>
      <c r="C1013" s="62" t="s">
        <v>90</v>
      </c>
      <c r="D1013" s="62" t="s">
        <v>698</v>
      </c>
      <c r="E1013" s="76">
        <v>44118.0</v>
      </c>
      <c r="F1013" s="77">
        <v>0.041666666666666664</v>
      </c>
      <c r="G1013" s="62" t="b">
        <v>1</v>
      </c>
      <c r="H1013" s="78" t="b">
        <f>IF(VLOOKUP(C1013,Projetos!A:L,12,false)=TRUE,TRUE,FALSE)</f>
        <v>1</v>
      </c>
      <c r="I1013" s="68">
        <v>169.0374654280904</v>
      </c>
      <c r="J1013" s="68">
        <f t="shared" si="1"/>
        <v>169.0374654</v>
      </c>
      <c r="K1013" s="68" t="b">
        <v>1</v>
      </c>
    </row>
    <row r="1014" hidden="1">
      <c r="A1014" s="75">
        <v>1008.0</v>
      </c>
      <c r="B1014" s="62" t="s">
        <v>591</v>
      </c>
      <c r="C1014" s="62" t="s">
        <v>97</v>
      </c>
      <c r="D1014" s="62" t="s">
        <v>699</v>
      </c>
      <c r="E1014" s="76">
        <v>44117.0</v>
      </c>
      <c r="F1014" s="77">
        <v>0.020833333333333332</v>
      </c>
      <c r="G1014" s="62" t="b">
        <v>1</v>
      </c>
      <c r="H1014" s="78" t="b">
        <f>IF(VLOOKUP(C1014,Projetos!A:L,12,false)=TRUE,TRUE,FALSE)</f>
        <v>1</v>
      </c>
      <c r="I1014" s="68">
        <v>169.0374654280904</v>
      </c>
      <c r="J1014" s="68">
        <f t="shared" si="1"/>
        <v>84.51873271</v>
      </c>
      <c r="K1014" s="68" t="b">
        <v>1</v>
      </c>
    </row>
    <row r="1015" hidden="1">
      <c r="A1015" s="75">
        <v>1009.0</v>
      </c>
      <c r="B1015" s="62" t="s">
        <v>591</v>
      </c>
      <c r="C1015" s="62" t="s">
        <v>97</v>
      </c>
      <c r="D1015" s="62" t="s">
        <v>700</v>
      </c>
      <c r="E1015" s="76">
        <v>44117.0</v>
      </c>
      <c r="F1015" s="77">
        <v>0.03125</v>
      </c>
      <c r="G1015" s="62" t="b">
        <v>1</v>
      </c>
      <c r="H1015" s="78" t="b">
        <f>IF(VLOOKUP(C1015,Projetos!A:L,12,false)=TRUE,TRUE,FALSE)</f>
        <v>1</v>
      </c>
      <c r="I1015" s="68">
        <v>169.0374654280904</v>
      </c>
      <c r="J1015" s="68">
        <f t="shared" si="1"/>
        <v>126.7780991</v>
      </c>
      <c r="K1015" s="68" t="b">
        <v>1</v>
      </c>
    </row>
    <row r="1016" hidden="1">
      <c r="A1016" s="75">
        <v>1010.0</v>
      </c>
      <c r="B1016" s="62" t="s">
        <v>591</v>
      </c>
      <c r="C1016" s="62" t="s">
        <v>97</v>
      </c>
      <c r="D1016" s="62" t="s">
        <v>701</v>
      </c>
      <c r="E1016" s="76">
        <v>44117.0</v>
      </c>
      <c r="F1016" s="77">
        <v>0.020833333333333332</v>
      </c>
      <c r="G1016" s="62" t="b">
        <v>1</v>
      </c>
      <c r="H1016" s="78" t="b">
        <f>IF(VLOOKUP(C1016,Projetos!A:L,12,false)=TRUE,TRUE,FALSE)</f>
        <v>1</v>
      </c>
      <c r="I1016" s="68">
        <v>169.0374654280904</v>
      </c>
      <c r="J1016" s="68">
        <f t="shared" si="1"/>
        <v>84.51873271</v>
      </c>
      <c r="K1016" s="68" t="b">
        <v>1</v>
      </c>
    </row>
    <row r="1017">
      <c r="A1017" s="75">
        <v>1011.0</v>
      </c>
      <c r="B1017" s="62" t="s">
        <v>591</v>
      </c>
      <c r="C1017" s="62" t="s">
        <v>104</v>
      </c>
      <c r="D1017" s="62" t="s">
        <v>702</v>
      </c>
      <c r="E1017" s="76">
        <v>44113.0</v>
      </c>
      <c r="F1017" s="77">
        <v>0.020833333333333332</v>
      </c>
      <c r="G1017" s="62" t="b">
        <v>1</v>
      </c>
      <c r="H1017" s="78" t="b">
        <f>IF(VLOOKUP(C1017,Projetos!A:L,12,false)=TRUE,TRUE,FALSE)</f>
        <v>1</v>
      </c>
      <c r="I1017" s="68">
        <v>169.0374654280904</v>
      </c>
      <c r="J1017" s="68">
        <f t="shared" si="1"/>
        <v>84.51873271</v>
      </c>
      <c r="K1017" s="68" t="b">
        <v>1</v>
      </c>
    </row>
    <row r="1018">
      <c r="A1018" s="75">
        <v>1012.0</v>
      </c>
      <c r="B1018" s="62" t="s">
        <v>591</v>
      </c>
      <c r="C1018" s="62" t="s">
        <v>104</v>
      </c>
      <c r="D1018" s="62" t="s">
        <v>703</v>
      </c>
      <c r="E1018" s="76">
        <v>44125.0</v>
      </c>
      <c r="F1018" s="77">
        <v>0.041666666666666664</v>
      </c>
      <c r="G1018" s="62" t="b">
        <v>1</v>
      </c>
      <c r="H1018" s="78" t="b">
        <f>IF(VLOOKUP(C1018,Projetos!A:L,12,false)=TRUE,TRUE,FALSE)</f>
        <v>1</v>
      </c>
      <c r="I1018" s="68">
        <v>169.0374654280904</v>
      </c>
      <c r="J1018" s="68">
        <f t="shared" si="1"/>
        <v>169.0374654</v>
      </c>
      <c r="K1018" s="68" t="b">
        <v>1</v>
      </c>
    </row>
    <row r="1019" hidden="1">
      <c r="A1019" s="75">
        <v>1013.0</v>
      </c>
      <c r="B1019" s="62" t="s">
        <v>591</v>
      </c>
      <c r="C1019" s="62" t="s">
        <v>108</v>
      </c>
      <c r="D1019" s="62" t="s">
        <v>704</v>
      </c>
      <c r="E1019" s="76">
        <v>44105.0</v>
      </c>
      <c r="F1019" s="77">
        <v>0.03125</v>
      </c>
      <c r="G1019" s="62" t="b">
        <v>1</v>
      </c>
      <c r="H1019" s="78" t="b">
        <f>IF(VLOOKUP(C1019,Projetos!A:L,12,false)=TRUE,TRUE,FALSE)</f>
        <v>1</v>
      </c>
      <c r="I1019" s="68">
        <v>169.0374654280904</v>
      </c>
      <c r="J1019" s="68">
        <f t="shared" si="1"/>
        <v>126.7780991</v>
      </c>
      <c r="K1019" s="68" t="b">
        <v>1</v>
      </c>
    </row>
    <row r="1020" hidden="1">
      <c r="A1020" s="75">
        <v>1014.0</v>
      </c>
      <c r="B1020" s="62" t="s">
        <v>591</v>
      </c>
      <c r="C1020" s="62" t="s">
        <v>108</v>
      </c>
      <c r="D1020" s="62" t="s">
        <v>705</v>
      </c>
      <c r="E1020" s="76">
        <v>44109.0</v>
      </c>
      <c r="F1020" s="77">
        <v>0.020833333333333332</v>
      </c>
      <c r="G1020" s="62" t="b">
        <v>1</v>
      </c>
      <c r="H1020" s="78" t="b">
        <f>IF(VLOOKUP(C1020,Projetos!A:L,12,false)=TRUE,TRUE,FALSE)</f>
        <v>1</v>
      </c>
      <c r="I1020" s="68">
        <v>169.0374654280904</v>
      </c>
      <c r="J1020" s="68">
        <f t="shared" si="1"/>
        <v>84.51873271</v>
      </c>
      <c r="K1020" s="68" t="b">
        <v>1</v>
      </c>
    </row>
    <row r="1021" hidden="1">
      <c r="A1021" s="75">
        <v>1015.0</v>
      </c>
      <c r="B1021" s="62" t="s">
        <v>591</v>
      </c>
      <c r="C1021" s="62" t="s">
        <v>108</v>
      </c>
      <c r="D1021" s="62" t="s">
        <v>706</v>
      </c>
      <c r="E1021" s="76">
        <v>44110.0</v>
      </c>
      <c r="F1021" s="77">
        <v>0.041666666666666664</v>
      </c>
      <c r="G1021" s="62" t="b">
        <v>1</v>
      </c>
      <c r="H1021" s="78" t="b">
        <f>IF(VLOOKUP(C1021,Projetos!A:L,12,false)=TRUE,TRUE,FALSE)</f>
        <v>1</v>
      </c>
      <c r="I1021" s="68">
        <v>169.0374654280904</v>
      </c>
      <c r="J1021" s="68">
        <f t="shared" si="1"/>
        <v>169.0374654</v>
      </c>
      <c r="K1021" s="68" t="b">
        <v>1</v>
      </c>
    </row>
    <row r="1022" hidden="1">
      <c r="A1022" s="75">
        <v>1016.0</v>
      </c>
      <c r="B1022" s="62" t="s">
        <v>591</v>
      </c>
      <c r="C1022" s="62" t="s">
        <v>108</v>
      </c>
      <c r="D1022" s="62" t="s">
        <v>707</v>
      </c>
      <c r="E1022" s="76">
        <v>44111.0</v>
      </c>
      <c r="F1022" s="77">
        <v>0.08333333333333333</v>
      </c>
      <c r="G1022" s="62" t="b">
        <v>0</v>
      </c>
      <c r="H1022" s="78" t="b">
        <f>IF(VLOOKUP(C1022,Projetos!A:L,12,false)=TRUE,TRUE,FALSE)</f>
        <v>1</v>
      </c>
      <c r="I1022" s="68">
        <v>169.0374654280904</v>
      </c>
      <c r="J1022" s="68">
        <f t="shared" si="1"/>
        <v>0</v>
      </c>
      <c r="K1022" s="68" t="b">
        <v>1</v>
      </c>
    </row>
    <row r="1023" hidden="1">
      <c r="A1023" s="75">
        <v>1017.0</v>
      </c>
      <c r="B1023" s="62" t="s">
        <v>591</v>
      </c>
      <c r="C1023" s="62" t="s">
        <v>108</v>
      </c>
      <c r="D1023" s="62" t="s">
        <v>700</v>
      </c>
      <c r="E1023" s="76">
        <v>44117.0</v>
      </c>
      <c r="F1023" s="77">
        <v>0.03125</v>
      </c>
      <c r="G1023" s="62" t="b">
        <v>1</v>
      </c>
      <c r="H1023" s="78" t="b">
        <f>IF(VLOOKUP(C1023,Projetos!A:L,12,false)=TRUE,TRUE,FALSE)</f>
        <v>1</v>
      </c>
      <c r="I1023" s="68">
        <v>169.0374654280904</v>
      </c>
      <c r="J1023" s="68">
        <f t="shared" si="1"/>
        <v>126.7780991</v>
      </c>
      <c r="K1023" s="68" t="b">
        <v>1</v>
      </c>
    </row>
    <row r="1024" hidden="1">
      <c r="A1024" s="75">
        <v>1018.0</v>
      </c>
      <c r="B1024" s="62" t="s">
        <v>591</v>
      </c>
      <c r="C1024" s="62" t="s">
        <v>108</v>
      </c>
      <c r="D1024" s="62" t="s">
        <v>708</v>
      </c>
      <c r="E1024" s="76">
        <v>44120.0</v>
      </c>
      <c r="F1024" s="77">
        <v>0.0625</v>
      </c>
      <c r="G1024" s="62" t="b">
        <v>1</v>
      </c>
      <c r="H1024" s="78" t="b">
        <f>IF(VLOOKUP(C1024,Projetos!A:L,12,false)=TRUE,TRUE,FALSE)</f>
        <v>1</v>
      </c>
      <c r="I1024" s="68">
        <v>169.0374654280904</v>
      </c>
      <c r="J1024" s="68">
        <f t="shared" si="1"/>
        <v>253.5561981</v>
      </c>
      <c r="K1024" s="68" t="b">
        <v>1</v>
      </c>
    </row>
    <row r="1025" hidden="1">
      <c r="A1025" s="75">
        <v>1019.0</v>
      </c>
      <c r="B1025" s="62" t="s">
        <v>591</v>
      </c>
      <c r="C1025" s="62" t="s">
        <v>108</v>
      </c>
      <c r="D1025" s="62" t="s">
        <v>709</v>
      </c>
      <c r="E1025" s="76">
        <v>44126.0</v>
      </c>
      <c r="F1025" s="77">
        <v>0.25</v>
      </c>
      <c r="G1025" s="62" t="b">
        <v>1</v>
      </c>
      <c r="H1025" s="78" t="b">
        <f>IF(VLOOKUP(C1025,Projetos!A:L,12,false)=TRUE,TRUE,FALSE)</f>
        <v>1</v>
      </c>
      <c r="I1025" s="68">
        <v>169.0374654280904</v>
      </c>
      <c r="J1025" s="68">
        <f t="shared" si="1"/>
        <v>1014.224793</v>
      </c>
      <c r="K1025" s="68" t="b">
        <v>1</v>
      </c>
    </row>
    <row r="1026" hidden="1">
      <c r="A1026" s="75">
        <v>1020.0</v>
      </c>
      <c r="B1026" s="62" t="s">
        <v>591</v>
      </c>
      <c r="C1026" s="62" t="s">
        <v>108</v>
      </c>
      <c r="D1026" s="62" t="s">
        <v>710</v>
      </c>
      <c r="E1026" s="76">
        <v>44127.0</v>
      </c>
      <c r="F1026" s="77">
        <v>0.041666666666666664</v>
      </c>
      <c r="G1026" s="62" t="b">
        <v>1</v>
      </c>
      <c r="H1026" s="78" t="b">
        <f>IF(VLOOKUP(C1026,Projetos!A:L,12,false)=TRUE,TRUE,FALSE)</f>
        <v>1</v>
      </c>
      <c r="I1026" s="68">
        <v>169.0374654280904</v>
      </c>
      <c r="J1026" s="68">
        <f t="shared" si="1"/>
        <v>169.0374654</v>
      </c>
      <c r="K1026" s="68" t="b">
        <v>1</v>
      </c>
    </row>
    <row r="1027" hidden="1">
      <c r="A1027" s="75">
        <v>1021.0</v>
      </c>
      <c r="B1027" s="62" t="s">
        <v>591</v>
      </c>
      <c r="C1027" s="62" t="s">
        <v>108</v>
      </c>
      <c r="D1027" s="62" t="s">
        <v>711</v>
      </c>
      <c r="E1027" s="76">
        <v>44131.0</v>
      </c>
      <c r="F1027" s="77">
        <v>0.0625</v>
      </c>
      <c r="G1027" s="62" t="b">
        <v>0</v>
      </c>
      <c r="H1027" s="78" t="b">
        <f>IF(VLOOKUP(C1027,Projetos!A:L,12,false)=TRUE,TRUE,FALSE)</f>
        <v>1</v>
      </c>
      <c r="I1027" s="68">
        <v>169.0374654280904</v>
      </c>
      <c r="J1027" s="68">
        <f t="shared" si="1"/>
        <v>0</v>
      </c>
      <c r="K1027" s="68" t="b">
        <v>1</v>
      </c>
    </row>
    <row r="1028" hidden="1">
      <c r="A1028" s="75">
        <v>1022.0</v>
      </c>
      <c r="B1028" s="62" t="s">
        <v>591</v>
      </c>
      <c r="C1028" s="62" t="s">
        <v>108</v>
      </c>
      <c r="D1028" s="62" t="s">
        <v>712</v>
      </c>
      <c r="E1028" s="76">
        <v>44131.0</v>
      </c>
      <c r="F1028" s="77">
        <v>0.0625</v>
      </c>
      <c r="G1028" s="62" t="b">
        <v>1</v>
      </c>
      <c r="H1028" s="78" t="b">
        <f>IF(VLOOKUP(C1028,Projetos!A:L,12,false)=TRUE,TRUE,FALSE)</f>
        <v>1</v>
      </c>
      <c r="I1028" s="68">
        <v>169.0374654280904</v>
      </c>
      <c r="J1028" s="68">
        <f t="shared" si="1"/>
        <v>253.5561981</v>
      </c>
      <c r="K1028" s="68" t="b">
        <v>1</v>
      </c>
    </row>
    <row r="1029" hidden="1">
      <c r="A1029" s="75">
        <v>1023.0</v>
      </c>
      <c r="B1029" s="62" t="s">
        <v>591</v>
      </c>
      <c r="C1029" s="62" t="s">
        <v>108</v>
      </c>
      <c r="D1029" s="62" t="s">
        <v>713</v>
      </c>
      <c r="E1029" s="76">
        <v>44134.0</v>
      </c>
      <c r="F1029" s="77">
        <v>0.0625</v>
      </c>
      <c r="G1029" s="62" t="b">
        <v>1</v>
      </c>
      <c r="H1029" s="78" t="b">
        <f>IF(VLOOKUP(C1029,Projetos!A:L,12,false)=TRUE,TRUE,FALSE)</f>
        <v>1</v>
      </c>
      <c r="I1029" s="68">
        <v>169.0374654280904</v>
      </c>
      <c r="J1029" s="68">
        <f t="shared" si="1"/>
        <v>253.5561981</v>
      </c>
      <c r="K1029" s="68" t="b">
        <v>1</v>
      </c>
    </row>
    <row r="1030" hidden="1">
      <c r="A1030" s="75">
        <v>1024.0</v>
      </c>
      <c r="B1030" s="62" t="s">
        <v>591</v>
      </c>
      <c r="C1030" s="62" t="s">
        <v>100</v>
      </c>
      <c r="D1030" s="62" t="s">
        <v>714</v>
      </c>
      <c r="E1030" s="76">
        <v>44139.0</v>
      </c>
      <c r="F1030" s="77">
        <v>0.020833333333333332</v>
      </c>
      <c r="G1030" s="62" t="b">
        <v>1</v>
      </c>
      <c r="H1030" s="78" t="b">
        <f>IF(VLOOKUP(C1030,Projetos!A:L,12,false)=TRUE,TRUE,FALSE)</f>
        <v>1</v>
      </c>
      <c r="I1030" s="68">
        <v>161.35394427226808</v>
      </c>
      <c r="J1030" s="68">
        <f t="shared" si="1"/>
        <v>80.67697214</v>
      </c>
      <c r="K1030" s="68" t="b">
        <v>1</v>
      </c>
    </row>
    <row r="1031" hidden="1">
      <c r="A1031" s="75">
        <v>1025.0</v>
      </c>
      <c r="B1031" s="62" t="s">
        <v>591</v>
      </c>
      <c r="C1031" s="62" t="s">
        <v>83</v>
      </c>
      <c r="D1031" s="62" t="s">
        <v>715</v>
      </c>
      <c r="E1031" s="76">
        <v>44144.0</v>
      </c>
      <c r="F1031" s="77">
        <v>0.041666666666666664</v>
      </c>
      <c r="G1031" s="62" t="b">
        <v>0</v>
      </c>
      <c r="H1031" s="78" t="b">
        <f>IF(VLOOKUP(C1031,Projetos!A:L,12,false)=TRUE,TRUE,FALSE)</f>
        <v>0</v>
      </c>
      <c r="I1031" s="68">
        <v>161.35394427226808</v>
      </c>
      <c r="J1031" s="68">
        <f t="shared" si="1"/>
        <v>0</v>
      </c>
      <c r="K1031" s="68" t="b">
        <v>0</v>
      </c>
    </row>
    <row r="1032" hidden="1">
      <c r="A1032" s="75">
        <v>1026.0</v>
      </c>
      <c r="B1032" s="62" t="s">
        <v>591</v>
      </c>
      <c r="C1032" s="62" t="s">
        <v>108</v>
      </c>
      <c r="D1032" s="62" t="s">
        <v>716</v>
      </c>
      <c r="E1032" s="76">
        <v>44154.0</v>
      </c>
      <c r="F1032" s="77">
        <v>0.0625</v>
      </c>
      <c r="G1032" s="62" t="b">
        <v>0</v>
      </c>
      <c r="H1032" s="78" t="b">
        <f>IF(VLOOKUP(C1032,Projetos!A:L,12,false)=TRUE,TRUE,FALSE)</f>
        <v>1</v>
      </c>
      <c r="I1032" s="68">
        <v>161.35394427226808</v>
      </c>
      <c r="J1032" s="68">
        <f t="shared" si="1"/>
        <v>0</v>
      </c>
      <c r="K1032" s="68" t="b">
        <v>1</v>
      </c>
    </row>
    <row r="1033" hidden="1">
      <c r="A1033" s="75">
        <v>1027.0</v>
      </c>
      <c r="B1033" s="62" t="s">
        <v>591</v>
      </c>
      <c r="C1033" s="62" t="s">
        <v>116</v>
      </c>
      <c r="D1033" s="62" t="s">
        <v>717</v>
      </c>
      <c r="E1033" s="76">
        <v>44158.0</v>
      </c>
      <c r="F1033" s="77">
        <v>0.020833333333333332</v>
      </c>
      <c r="G1033" s="62" t="b">
        <v>1</v>
      </c>
      <c r="H1033" s="78" t="b">
        <f>IF(VLOOKUP(C1033,Projetos!A:L,12,false)=TRUE,TRUE,FALSE)</f>
        <v>1</v>
      </c>
      <c r="I1033" s="68">
        <v>161.35394427226808</v>
      </c>
      <c r="J1033" s="68">
        <f t="shared" si="1"/>
        <v>80.67697214</v>
      </c>
      <c r="K1033" s="68" t="b">
        <v>1</v>
      </c>
    </row>
    <row r="1034" hidden="1">
      <c r="A1034" s="75">
        <v>1028.0</v>
      </c>
      <c r="B1034" s="62" t="s">
        <v>591</v>
      </c>
      <c r="C1034" s="62" t="s">
        <v>108</v>
      </c>
      <c r="D1034" s="62" t="s">
        <v>718</v>
      </c>
      <c r="E1034" s="76">
        <v>44158.0</v>
      </c>
      <c r="F1034" s="77">
        <v>0.041666666666666664</v>
      </c>
      <c r="G1034" s="62" t="b">
        <v>0</v>
      </c>
      <c r="H1034" s="78" t="b">
        <f>IF(VLOOKUP(C1034,Projetos!A:L,12,false)=TRUE,TRUE,FALSE)</f>
        <v>1</v>
      </c>
      <c r="I1034" s="68">
        <v>161.35394427226808</v>
      </c>
      <c r="J1034" s="68">
        <f t="shared" si="1"/>
        <v>0</v>
      </c>
      <c r="K1034" s="68" t="b">
        <v>1</v>
      </c>
    </row>
    <row r="1035" hidden="1">
      <c r="A1035" s="75">
        <v>1029.0</v>
      </c>
      <c r="B1035" s="62" t="s">
        <v>591</v>
      </c>
      <c r="C1035" s="62" t="s">
        <v>90</v>
      </c>
      <c r="D1035" s="62" t="s">
        <v>719</v>
      </c>
      <c r="E1035" s="76">
        <v>44159.0</v>
      </c>
      <c r="F1035" s="77">
        <v>0.041666666666666664</v>
      </c>
      <c r="G1035" s="62" t="b">
        <v>1</v>
      </c>
      <c r="H1035" s="78" t="b">
        <f>IF(VLOOKUP(C1035,Projetos!A:L,12,false)=TRUE,TRUE,FALSE)</f>
        <v>1</v>
      </c>
      <c r="I1035" s="68">
        <v>161.35394427226808</v>
      </c>
      <c r="J1035" s="68">
        <f t="shared" si="1"/>
        <v>161.3539443</v>
      </c>
      <c r="K1035" s="68" t="b">
        <v>1</v>
      </c>
    </row>
    <row r="1036" hidden="1">
      <c r="A1036" s="75">
        <v>1030.0</v>
      </c>
      <c r="B1036" s="62" t="s">
        <v>591</v>
      </c>
      <c r="C1036" s="62" t="s">
        <v>116</v>
      </c>
      <c r="D1036" s="62" t="s">
        <v>720</v>
      </c>
      <c r="E1036" s="76">
        <v>44160.0</v>
      </c>
      <c r="F1036" s="77">
        <v>0.020833333333333332</v>
      </c>
      <c r="G1036" s="62" t="b">
        <v>1</v>
      </c>
      <c r="H1036" s="78" t="b">
        <f>IF(VLOOKUP(C1036,Projetos!A:L,12,false)=TRUE,TRUE,FALSE)</f>
        <v>1</v>
      </c>
      <c r="I1036" s="68">
        <v>161.35394427226808</v>
      </c>
      <c r="J1036" s="68">
        <f t="shared" si="1"/>
        <v>80.67697214</v>
      </c>
      <c r="K1036" s="68" t="b">
        <v>1</v>
      </c>
    </row>
    <row r="1037" hidden="1">
      <c r="A1037" s="75">
        <v>1031.0</v>
      </c>
      <c r="B1037" s="62" t="s">
        <v>591</v>
      </c>
      <c r="C1037" s="62" t="s">
        <v>138</v>
      </c>
      <c r="D1037" s="62" t="s">
        <v>721</v>
      </c>
      <c r="E1037" s="76">
        <v>44160.0</v>
      </c>
      <c r="F1037" s="77">
        <v>0.0625</v>
      </c>
      <c r="G1037" s="62" t="b">
        <v>1</v>
      </c>
      <c r="H1037" s="78" t="b">
        <f>IF(VLOOKUP(C1037,Projetos!A:L,12,false)=TRUE,TRUE,FALSE)</f>
        <v>1</v>
      </c>
      <c r="I1037" s="68">
        <v>161.35394427226808</v>
      </c>
      <c r="J1037" s="68">
        <f t="shared" si="1"/>
        <v>242.0309164</v>
      </c>
      <c r="K1037" s="68" t="b">
        <v>1</v>
      </c>
    </row>
    <row r="1038" hidden="1">
      <c r="A1038" s="75">
        <v>1032.0</v>
      </c>
      <c r="B1038" s="62" t="s">
        <v>591</v>
      </c>
      <c r="C1038" s="62" t="s">
        <v>98</v>
      </c>
      <c r="D1038" s="62" t="s">
        <v>722</v>
      </c>
      <c r="E1038" s="76">
        <v>44161.0</v>
      </c>
      <c r="F1038" s="77">
        <v>0.041666666666666664</v>
      </c>
      <c r="G1038" s="62" t="b">
        <v>1</v>
      </c>
      <c r="H1038" s="78" t="b">
        <f>IF(VLOOKUP(C1038,Projetos!A:L,12,false)=TRUE,TRUE,FALSE)</f>
        <v>1</v>
      </c>
      <c r="I1038" s="68">
        <v>161.35394427226808</v>
      </c>
      <c r="J1038" s="68">
        <f t="shared" si="1"/>
        <v>161.3539443</v>
      </c>
      <c r="K1038" s="68" t="b">
        <v>1</v>
      </c>
    </row>
    <row r="1039" hidden="1">
      <c r="A1039" s="75">
        <v>1033.0</v>
      </c>
      <c r="B1039" s="62" t="s">
        <v>591</v>
      </c>
      <c r="C1039" s="62" t="s">
        <v>108</v>
      </c>
      <c r="D1039" s="62" t="s">
        <v>723</v>
      </c>
      <c r="E1039" s="76">
        <v>44151.0</v>
      </c>
      <c r="F1039" s="77">
        <v>0.020833333333333332</v>
      </c>
      <c r="G1039" s="62" t="b">
        <v>0</v>
      </c>
      <c r="H1039" s="78" t="b">
        <f>IF(VLOOKUP(C1039,Projetos!A:L,12,false)=TRUE,TRUE,FALSE)</f>
        <v>1</v>
      </c>
      <c r="I1039" s="68">
        <v>161.35394427226808</v>
      </c>
      <c r="J1039" s="68">
        <f t="shared" si="1"/>
        <v>0</v>
      </c>
      <c r="K1039" s="68" t="b">
        <v>1</v>
      </c>
    </row>
    <row r="1040">
      <c r="A1040" s="75">
        <v>1034.0</v>
      </c>
      <c r="B1040" s="62" t="s">
        <v>591</v>
      </c>
      <c r="C1040" s="62" t="s">
        <v>104</v>
      </c>
      <c r="D1040" s="62" t="s">
        <v>724</v>
      </c>
      <c r="E1040" s="76">
        <v>44166.0</v>
      </c>
      <c r="F1040" s="77">
        <v>0.041666666666666664</v>
      </c>
      <c r="G1040" s="62" t="b">
        <v>1</v>
      </c>
      <c r="H1040" s="78" t="b">
        <f>IF(VLOOKUP(C1040,Projetos!A:L,12,false)=TRUE,TRUE,FALSE)</f>
        <v>1</v>
      </c>
      <c r="I1040" s="68">
        <v>169.0374654280904</v>
      </c>
      <c r="J1040" s="68">
        <f t="shared" si="1"/>
        <v>169.0374654</v>
      </c>
      <c r="K1040" s="68" t="b">
        <v>1</v>
      </c>
    </row>
    <row r="1041" hidden="1">
      <c r="A1041" s="75">
        <v>1035.0</v>
      </c>
      <c r="B1041" s="62" t="s">
        <v>591</v>
      </c>
      <c r="C1041" s="62" t="s">
        <v>108</v>
      </c>
      <c r="D1041" s="62" t="s">
        <v>725</v>
      </c>
      <c r="E1041" s="76">
        <v>44169.0</v>
      </c>
      <c r="F1041" s="77">
        <v>0.020833333333333332</v>
      </c>
      <c r="G1041" s="62" t="b">
        <v>1</v>
      </c>
      <c r="H1041" s="78" t="b">
        <f>IF(VLOOKUP(C1041,Projetos!A:L,12,false)=TRUE,TRUE,FALSE)</f>
        <v>1</v>
      </c>
      <c r="I1041" s="68">
        <v>169.0374654280904</v>
      </c>
      <c r="J1041" s="68">
        <f t="shared" si="1"/>
        <v>84.51873271</v>
      </c>
      <c r="K1041" s="68" t="b">
        <v>1</v>
      </c>
    </row>
    <row r="1042" hidden="1">
      <c r="A1042" s="75">
        <v>1036.0</v>
      </c>
      <c r="B1042" s="62" t="s">
        <v>591</v>
      </c>
      <c r="C1042" s="62" t="s">
        <v>90</v>
      </c>
      <c r="D1042" s="62" t="s">
        <v>726</v>
      </c>
      <c r="E1042" s="76">
        <v>44169.0</v>
      </c>
      <c r="F1042" s="77">
        <v>0.08333333333333333</v>
      </c>
      <c r="G1042" s="62" t="b">
        <v>1</v>
      </c>
      <c r="H1042" s="78" t="b">
        <f>IF(VLOOKUP(C1042,Projetos!A:L,12,false)=TRUE,TRUE,FALSE)</f>
        <v>1</v>
      </c>
      <c r="I1042" s="68">
        <v>169.0374654280904</v>
      </c>
      <c r="J1042" s="68">
        <f t="shared" si="1"/>
        <v>338.0749309</v>
      </c>
      <c r="K1042" s="68" t="b">
        <v>1</v>
      </c>
    </row>
    <row r="1043" hidden="1">
      <c r="A1043" s="75">
        <v>1037.0</v>
      </c>
      <c r="B1043" s="62" t="s">
        <v>591</v>
      </c>
      <c r="C1043" s="62" t="s">
        <v>90</v>
      </c>
      <c r="D1043" s="62" t="s">
        <v>727</v>
      </c>
      <c r="E1043" s="76">
        <v>44172.0</v>
      </c>
      <c r="F1043" s="77">
        <v>0.020833333333333332</v>
      </c>
      <c r="G1043" s="62" t="b">
        <v>1</v>
      </c>
      <c r="H1043" s="78" t="b">
        <f>IF(VLOOKUP(C1043,Projetos!A:L,12,false)=TRUE,TRUE,FALSE)</f>
        <v>1</v>
      </c>
      <c r="I1043" s="68">
        <v>169.0374654280904</v>
      </c>
      <c r="J1043" s="68">
        <f t="shared" si="1"/>
        <v>84.51873271</v>
      </c>
      <c r="K1043" s="68" t="b">
        <v>1</v>
      </c>
    </row>
    <row r="1044" hidden="1">
      <c r="A1044" s="75">
        <v>1038.0</v>
      </c>
      <c r="B1044" s="62" t="s">
        <v>591</v>
      </c>
      <c r="C1044" s="62" t="s">
        <v>100</v>
      </c>
      <c r="D1044" s="62" t="s">
        <v>728</v>
      </c>
      <c r="E1044" s="76">
        <v>44172.0</v>
      </c>
      <c r="F1044" s="77">
        <v>0.0625</v>
      </c>
      <c r="G1044" s="62" t="b">
        <v>1</v>
      </c>
      <c r="H1044" s="78" t="b">
        <f>IF(VLOOKUP(C1044,Projetos!A:L,12,false)=TRUE,TRUE,FALSE)</f>
        <v>1</v>
      </c>
      <c r="I1044" s="68">
        <v>169.0374654280904</v>
      </c>
      <c r="J1044" s="68">
        <f t="shared" si="1"/>
        <v>253.5561981</v>
      </c>
      <c r="K1044" s="68" t="b">
        <v>1</v>
      </c>
    </row>
    <row r="1045" hidden="1">
      <c r="A1045" s="75">
        <v>1039.0</v>
      </c>
      <c r="B1045" s="62" t="s">
        <v>591</v>
      </c>
      <c r="C1045" s="62" t="s">
        <v>101</v>
      </c>
      <c r="D1045" s="62" t="s">
        <v>729</v>
      </c>
      <c r="E1045" s="76">
        <v>44172.0</v>
      </c>
      <c r="F1045" s="77">
        <v>0.041666666666666664</v>
      </c>
      <c r="G1045" s="62" t="b">
        <v>1</v>
      </c>
      <c r="H1045" s="78" t="b">
        <f>IF(VLOOKUP(C1045,Projetos!A:L,12,false)=TRUE,TRUE,FALSE)</f>
        <v>1</v>
      </c>
      <c r="I1045" s="68">
        <v>169.0374654280904</v>
      </c>
      <c r="J1045" s="68">
        <f t="shared" si="1"/>
        <v>169.0374654</v>
      </c>
      <c r="K1045" s="68" t="b">
        <v>1</v>
      </c>
    </row>
    <row r="1046" hidden="1">
      <c r="A1046" s="75">
        <v>1040.0</v>
      </c>
      <c r="B1046" s="62" t="s">
        <v>591</v>
      </c>
      <c r="C1046" s="62" t="s">
        <v>89</v>
      </c>
      <c r="D1046" s="62" t="s">
        <v>730</v>
      </c>
      <c r="E1046" s="76">
        <v>44172.0</v>
      </c>
      <c r="F1046" s="77">
        <v>0.041666666666666664</v>
      </c>
      <c r="G1046" s="62" t="b">
        <v>1</v>
      </c>
      <c r="H1046" s="78" t="b">
        <f>IF(VLOOKUP(C1046,Projetos!A:L,12,false)=TRUE,TRUE,FALSE)</f>
        <v>1</v>
      </c>
      <c r="I1046" s="68">
        <v>169.0374654280904</v>
      </c>
      <c r="J1046" s="68">
        <f t="shared" si="1"/>
        <v>169.0374654</v>
      </c>
      <c r="K1046" s="68" t="b">
        <v>1</v>
      </c>
    </row>
    <row r="1047" hidden="1">
      <c r="A1047" s="75">
        <v>1041.0</v>
      </c>
      <c r="B1047" s="62" t="s">
        <v>591</v>
      </c>
      <c r="C1047" s="62" t="s">
        <v>83</v>
      </c>
      <c r="D1047" s="62" t="s">
        <v>731</v>
      </c>
      <c r="E1047" s="76">
        <v>44173.0</v>
      </c>
      <c r="F1047" s="77">
        <v>0.020833333333333332</v>
      </c>
      <c r="G1047" s="62" t="b">
        <v>0</v>
      </c>
      <c r="H1047" s="78" t="b">
        <f>IF(VLOOKUP(C1047,Projetos!A:L,12,false)=TRUE,TRUE,FALSE)</f>
        <v>0</v>
      </c>
      <c r="I1047" s="68">
        <v>169.0374654280904</v>
      </c>
      <c r="J1047" s="68">
        <f t="shared" si="1"/>
        <v>0</v>
      </c>
      <c r="K1047" s="68" t="b">
        <v>0</v>
      </c>
    </row>
    <row r="1048">
      <c r="A1048" s="75">
        <v>1042.0</v>
      </c>
      <c r="B1048" s="62" t="s">
        <v>591</v>
      </c>
      <c r="C1048" s="62" t="s">
        <v>104</v>
      </c>
      <c r="D1048" s="62" t="s">
        <v>732</v>
      </c>
      <c r="E1048" s="76">
        <v>44174.0</v>
      </c>
      <c r="F1048" s="77">
        <v>0.0625</v>
      </c>
      <c r="G1048" s="62" t="b">
        <v>1</v>
      </c>
      <c r="H1048" s="78" t="b">
        <f>IF(VLOOKUP(C1048,Projetos!A:L,12,false)=TRUE,TRUE,FALSE)</f>
        <v>1</v>
      </c>
      <c r="I1048" s="68">
        <v>169.0374654280904</v>
      </c>
      <c r="J1048" s="68">
        <f t="shared" si="1"/>
        <v>253.5561981</v>
      </c>
      <c r="K1048" s="68" t="b">
        <v>1</v>
      </c>
    </row>
    <row r="1049" hidden="1">
      <c r="A1049" s="75">
        <v>1043.0</v>
      </c>
      <c r="B1049" s="62" t="s">
        <v>591</v>
      </c>
      <c r="C1049" s="62" t="s">
        <v>101</v>
      </c>
      <c r="D1049" s="62" t="s">
        <v>733</v>
      </c>
      <c r="E1049" s="76">
        <v>44174.0</v>
      </c>
      <c r="F1049" s="77">
        <v>0.041666666666666664</v>
      </c>
      <c r="G1049" s="62" t="b">
        <v>1</v>
      </c>
      <c r="H1049" s="78" t="b">
        <f>IF(VLOOKUP(C1049,Projetos!A:L,12,false)=TRUE,TRUE,FALSE)</f>
        <v>1</v>
      </c>
      <c r="I1049" s="68">
        <v>169.0374654280904</v>
      </c>
      <c r="J1049" s="68">
        <f t="shared" si="1"/>
        <v>169.0374654</v>
      </c>
      <c r="K1049" s="68" t="b">
        <v>1</v>
      </c>
    </row>
    <row r="1050" hidden="1">
      <c r="A1050" s="75">
        <v>1044.0</v>
      </c>
      <c r="B1050" s="62" t="s">
        <v>591</v>
      </c>
      <c r="C1050" s="62" t="s">
        <v>138</v>
      </c>
      <c r="D1050" s="62" t="s">
        <v>734</v>
      </c>
      <c r="E1050" s="76">
        <v>44175.0</v>
      </c>
      <c r="F1050" s="77">
        <v>0.041666666666666664</v>
      </c>
      <c r="G1050" s="62" t="b">
        <v>1</v>
      </c>
      <c r="H1050" s="78" t="b">
        <f>IF(VLOOKUP(C1050,Projetos!A:L,12,false)=TRUE,TRUE,FALSE)</f>
        <v>1</v>
      </c>
      <c r="I1050" s="68">
        <v>169.0374654280904</v>
      </c>
      <c r="J1050" s="68">
        <f t="shared" si="1"/>
        <v>169.0374654</v>
      </c>
      <c r="K1050" s="68" t="b">
        <v>1</v>
      </c>
    </row>
    <row r="1051" hidden="1">
      <c r="A1051" s="75">
        <v>1045.0</v>
      </c>
      <c r="B1051" s="62" t="s">
        <v>591</v>
      </c>
      <c r="C1051" s="62" t="s">
        <v>97</v>
      </c>
      <c r="D1051" s="62" t="s">
        <v>735</v>
      </c>
      <c r="E1051" s="76">
        <v>44179.0</v>
      </c>
      <c r="F1051" s="77">
        <v>0.041666666666666664</v>
      </c>
      <c r="G1051" s="62" t="b">
        <v>1</v>
      </c>
      <c r="H1051" s="78" t="b">
        <f>IF(VLOOKUP(C1051,Projetos!A:L,12,false)=TRUE,TRUE,FALSE)</f>
        <v>1</v>
      </c>
      <c r="I1051" s="68">
        <v>169.0374654280904</v>
      </c>
      <c r="J1051" s="68">
        <f t="shared" si="1"/>
        <v>169.0374654</v>
      </c>
      <c r="K1051" s="68" t="b">
        <v>1</v>
      </c>
    </row>
    <row r="1052" hidden="1">
      <c r="A1052" s="75">
        <v>1046.0</v>
      </c>
      <c r="B1052" s="62" t="s">
        <v>591</v>
      </c>
      <c r="C1052" s="62" t="s">
        <v>83</v>
      </c>
      <c r="D1052" s="62" t="s">
        <v>736</v>
      </c>
      <c r="E1052" s="76">
        <v>44179.0</v>
      </c>
      <c r="F1052" s="77">
        <v>0.020833333333333332</v>
      </c>
      <c r="G1052" s="62" t="b">
        <v>0</v>
      </c>
      <c r="H1052" s="78" t="b">
        <f>IF(VLOOKUP(C1052,Projetos!A:L,12,false)=TRUE,TRUE,FALSE)</f>
        <v>0</v>
      </c>
      <c r="I1052" s="68">
        <v>169.0374654280904</v>
      </c>
      <c r="J1052" s="68">
        <f t="shared" si="1"/>
        <v>0</v>
      </c>
      <c r="K1052" s="68" t="b">
        <v>0</v>
      </c>
    </row>
    <row r="1053" hidden="1">
      <c r="A1053" s="75">
        <v>1047.0</v>
      </c>
      <c r="B1053" s="62" t="s">
        <v>591</v>
      </c>
      <c r="C1053" s="62" t="s">
        <v>83</v>
      </c>
      <c r="D1053" s="62" t="s">
        <v>737</v>
      </c>
      <c r="E1053" s="76">
        <v>44180.0</v>
      </c>
      <c r="F1053" s="77">
        <v>0.041666666666666664</v>
      </c>
      <c r="G1053" s="62" t="b">
        <v>0</v>
      </c>
      <c r="H1053" s="78" t="b">
        <f>IF(VLOOKUP(C1053,Projetos!A:L,12,false)=TRUE,TRUE,FALSE)</f>
        <v>0</v>
      </c>
      <c r="I1053" s="68">
        <v>169.0374654280904</v>
      </c>
      <c r="J1053" s="68">
        <f t="shared" si="1"/>
        <v>0</v>
      </c>
      <c r="K1053" s="68" t="b">
        <v>0</v>
      </c>
    </row>
    <row r="1054" hidden="1">
      <c r="A1054" s="75">
        <v>1048.0</v>
      </c>
      <c r="B1054" s="62" t="s">
        <v>591</v>
      </c>
      <c r="C1054" s="62" t="s">
        <v>108</v>
      </c>
      <c r="D1054" s="62" t="s">
        <v>738</v>
      </c>
      <c r="E1054" s="76">
        <v>44180.0</v>
      </c>
      <c r="F1054" s="77">
        <v>0.041666666666666664</v>
      </c>
      <c r="G1054" s="62" t="b">
        <v>1</v>
      </c>
      <c r="H1054" s="78" t="b">
        <f>IF(VLOOKUP(C1054,Projetos!A:L,12,false)=TRUE,TRUE,FALSE)</f>
        <v>1</v>
      </c>
      <c r="I1054" s="68">
        <v>169.0374654280904</v>
      </c>
      <c r="J1054" s="68">
        <f t="shared" si="1"/>
        <v>169.0374654</v>
      </c>
      <c r="K1054" s="68" t="b">
        <v>1</v>
      </c>
    </row>
    <row r="1055" hidden="1">
      <c r="A1055" s="75">
        <v>1049.0</v>
      </c>
      <c r="B1055" s="62" t="s">
        <v>591</v>
      </c>
      <c r="C1055" s="62" t="s">
        <v>101</v>
      </c>
      <c r="D1055" s="62" t="s">
        <v>739</v>
      </c>
      <c r="E1055" s="76">
        <v>44182.0</v>
      </c>
      <c r="F1055" s="77">
        <v>0.041666666666666664</v>
      </c>
      <c r="G1055" s="62" t="b">
        <v>1</v>
      </c>
      <c r="H1055" s="78" t="b">
        <f>IF(VLOOKUP(C1055,Projetos!A:L,12,false)=TRUE,TRUE,FALSE)</f>
        <v>1</v>
      </c>
      <c r="I1055" s="68">
        <v>169.0374654280904</v>
      </c>
      <c r="J1055" s="68">
        <f t="shared" si="1"/>
        <v>169.0374654</v>
      </c>
      <c r="K1055" s="68" t="b">
        <v>1</v>
      </c>
    </row>
    <row r="1056" hidden="1">
      <c r="A1056" s="75">
        <v>1050.0</v>
      </c>
      <c r="B1056" s="62" t="s">
        <v>591</v>
      </c>
      <c r="C1056" s="62" t="s">
        <v>83</v>
      </c>
      <c r="D1056" s="62" t="s">
        <v>740</v>
      </c>
      <c r="E1056" s="76">
        <v>44182.0</v>
      </c>
      <c r="F1056" s="77">
        <v>0.0625</v>
      </c>
      <c r="G1056" s="62" t="b">
        <v>0</v>
      </c>
      <c r="H1056" s="78" t="b">
        <f>IF(VLOOKUP(C1056,Projetos!A:L,12,false)=TRUE,TRUE,FALSE)</f>
        <v>0</v>
      </c>
      <c r="I1056" s="68">
        <v>169.0374654280904</v>
      </c>
      <c r="J1056" s="68">
        <f t="shared" si="1"/>
        <v>0</v>
      </c>
      <c r="K1056" s="68" t="b">
        <v>0</v>
      </c>
    </row>
    <row r="1057" hidden="1">
      <c r="A1057" s="75">
        <v>1051.0</v>
      </c>
      <c r="B1057" s="62" t="s">
        <v>591</v>
      </c>
      <c r="C1057" s="62" t="s">
        <v>83</v>
      </c>
      <c r="D1057" s="62" t="s">
        <v>741</v>
      </c>
      <c r="E1057" s="76">
        <v>44186.0</v>
      </c>
      <c r="F1057" s="77">
        <v>0.0625</v>
      </c>
      <c r="G1057" s="62" t="b">
        <v>0</v>
      </c>
      <c r="H1057" s="78" t="b">
        <f>IF(VLOOKUP(C1057,Projetos!A:L,12,false)=TRUE,TRUE,FALSE)</f>
        <v>0</v>
      </c>
      <c r="I1057" s="68">
        <v>169.0374654280904</v>
      </c>
      <c r="J1057" s="68">
        <f t="shared" si="1"/>
        <v>0</v>
      </c>
      <c r="K1057" s="68" t="b">
        <v>0</v>
      </c>
    </row>
    <row r="1058" hidden="1">
      <c r="A1058" s="75">
        <v>1052.0</v>
      </c>
      <c r="B1058" s="62" t="s">
        <v>591</v>
      </c>
      <c r="C1058" s="62" t="s">
        <v>117</v>
      </c>
      <c r="D1058" s="62" t="s">
        <v>742</v>
      </c>
      <c r="E1058" s="76">
        <v>44194.0</v>
      </c>
      <c r="F1058" s="77">
        <v>0.08333333333333333</v>
      </c>
      <c r="G1058" s="62" t="b">
        <v>0</v>
      </c>
      <c r="H1058" s="78" t="b">
        <f>IF(VLOOKUP(C1058,Projetos!A:L,12,false)=TRUE,TRUE,FALSE)</f>
        <v>0</v>
      </c>
      <c r="I1058" s="68">
        <v>169.0374654280904</v>
      </c>
      <c r="J1058" s="68">
        <f t="shared" si="1"/>
        <v>0</v>
      </c>
      <c r="K1058" s="68" t="b">
        <v>0</v>
      </c>
    </row>
    <row r="1059" hidden="1">
      <c r="A1059" s="75">
        <v>1053.0</v>
      </c>
      <c r="B1059" s="62" t="s">
        <v>591</v>
      </c>
      <c r="C1059" s="62" t="s">
        <v>83</v>
      </c>
      <c r="D1059" s="62" t="s">
        <v>743</v>
      </c>
      <c r="E1059" s="76"/>
      <c r="F1059" s="77">
        <v>0.0625</v>
      </c>
      <c r="G1059" s="62" t="b">
        <v>0</v>
      </c>
      <c r="H1059" s="78" t="b">
        <f>IF(VLOOKUP(C1059,Projetos!A:L,12,false)=TRUE,TRUE,FALSE)</f>
        <v>0</v>
      </c>
      <c r="I1059" s="68">
        <v>169.0374654280904</v>
      </c>
      <c r="J1059" s="68">
        <f t="shared" si="1"/>
        <v>0</v>
      </c>
      <c r="K1059" s="68" t="b">
        <v>0</v>
      </c>
    </row>
    <row r="1060" hidden="1">
      <c r="A1060" s="75">
        <v>1054.0</v>
      </c>
      <c r="B1060" s="62" t="s">
        <v>744</v>
      </c>
      <c r="C1060" s="62" t="s">
        <v>110</v>
      </c>
      <c r="D1060" s="62" t="s">
        <v>745</v>
      </c>
      <c r="E1060" s="76">
        <v>43895.0</v>
      </c>
      <c r="F1060" s="77">
        <v>0.1875</v>
      </c>
      <c r="G1060" s="62" t="b">
        <v>1</v>
      </c>
      <c r="H1060" s="78" t="b">
        <f>IF(VLOOKUP(C1060,Projetos!A:L,12,false)=TRUE,TRUE,FALSE)</f>
        <v>1</v>
      </c>
      <c r="I1060" s="68">
        <v>29.312396449615196</v>
      </c>
      <c r="J1060" s="68">
        <f t="shared" si="1"/>
        <v>131.905784</v>
      </c>
      <c r="K1060" s="68" t="b">
        <v>1</v>
      </c>
    </row>
    <row r="1061" hidden="1">
      <c r="A1061" s="75">
        <v>1055.0</v>
      </c>
      <c r="B1061" s="62" t="s">
        <v>744</v>
      </c>
      <c r="C1061" s="62" t="s">
        <v>110</v>
      </c>
      <c r="D1061" s="62" t="s">
        <v>745</v>
      </c>
      <c r="E1061" s="76">
        <v>43896.0</v>
      </c>
      <c r="F1061" s="77">
        <v>0.16666666666666666</v>
      </c>
      <c r="G1061" s="62" t="b">
        <v>1</v>
      </c>
      <c r="H1061" s="78" t="b">
        <f>IF(VLOOKUP(C1061,Projetos!A:L,12,false)=TRUE,TRUE,FALSE)</f>
        <v>1</v>
      </c>
      <c r="I1061" s="68">
        <v>29.312396449615196</v>
      </c>
      <c r="J1061" s="68">
        <f t="shared" si="1"/>
        <v>117.2495858</v>
      </c>
      <c r="K1061" s="68" t="b">
        <v>1</v>
      </c>
    </row>
    <row r="1062" hidden="1">
      <c r="A1062" s="75">
        <v>1056.0</v>
      </c>
      <c r="B1062" s="62" t="s">
        <v>744</v>
      </c>
      <c r="C1062" s="62" t="s">
        <v>110</v>
      </c>
      <c r="D1062" s="62" t="s">
        <v>745</v>
      </c>
      <c r="E1062" s="76">
        <v>43901.0</v>
      </c>
      <c r="F1062" s="77">
        <v>0.1875</v>
      </c>
      <c r="G1062" s="62" t="b">
        <v>1</v>
      </c>
      <c r="H1062" s="78" t="b">
        <f>IF(VLOOKUP(C1062,Projetos!A:L,12,false)=TRUE,TRUE,FALSE)</f>
        <v>1</v>
      </c>
      <c r="I1062" s="68">
        <v>29.312396449615196</v>
      </c>
      <c r="J1062" s="68">
        <f t="shared" si="1"/>
        <v>131.905784</v>
      </c>
      <c r="K1062" s="68" t="b">
        <v>1</v>
      </c>
    </row>
    <row r="1063" hidden="1">
      <c r="A1063" s="75">
        <v>1057.0</v>
      </c>
      <c r="B1063" s="62" t="s">
        <v>744</v>
      </c>
      <c r="C1063" s="62" t="s">
        <v>110</v>
      </c>
      <c r="D1063" s="62" t="s">
        <v>745</v>
      </c>
      <c r="E1063" s="76">
        <v>43903.0</v>
      </c>
      <c r="F1063" s="77">
        <v>0.10416666666666667</v>
      </c>
      <c r="G1063" s="62" t="b">
        <v>1</v>
      </c>
      <c r="H1063" s="78" t="b">
        <f>IF(VLOOKUP(C1063,Projetos!A:L,12,false)=TRUE,TRUE,FALSE)</f>
        <v>1</v>
      </c>
      <c r="I1063" s="68">
        <v>29.312396449615196</v>
      </c>
      <c r="J1063" s="68">
        <f t="shared" si="1"/>
        <v>73.28099112</v>
      </c>
      <c r="K1063" s="68" t="b">
        <v>1</v>
      </c>
    </row>
    <row r="1064" hidden="1">
      <c r="A1064" s="75">
        <v>1058.0</v>
      </c>
      <c r="B1064" s="62" t="s">
        <v>744</v>
      </c>
      <c r="C1064" s="62" t="s">
        <v>110</v>
      </c>
      <c r="D1064" s="62" t="s">
        <v>745</v>
      </c>
      <c r="E1064" s="76">
        <v>43903.0</v>
      </c>
      <c r="F1064" s="77">
        <v>0.08333333333333333</v>
      </c>
      <c r="G1064" s="62" t="b">
        <v>1</v>
      </c>
      <c r="H1064" s="78" t="b">
        <f>IF(VLOOKUP(C1064,Projetos!A:L,12,false)=TRUE,TRUE,FALSE)</f>
        <v>1</v>
      </c>
      <c r="I1064" s="68">
        <v>29.312396449615196</v>
      </c>
      <c r="J1064" s="68">
        <f t="shared" si="1"/>
        <v>58.6247929</v>
      </c>
      <c r="K1064" s="68" t="b">
        <v>1</v>
      </c>
    </row>
    <row r="1065">
      <c r="A1065" s="75">
        <v>1059.0</v>
      </c>
      <c r="B1065" s="62" t="s">
        <v>744</v>
      </c>
      <c r="C1065" s="62" t="s">
        <v>104</v>
      </c>
      <c r="D1065" s="62" t="s">
        <v>746</v>
      </c>
      <c r="E1065" s="76">
        <v>43907.0</v>
      </c>
      <c r="F1065" s="77">
        <v>0.041666666666666664</v>
      </c>
      <c r="G1065" s="62" t="b">
        <v>1</v>
      </c>
      <c r="H1065" s="78" t="b">
        <f>IF(VLOOKUP(C1065,Projetos!A:L,12,false)=TRUE,TRUE,FALSE)</f>
        <v>1</v>
      </c>
      <c r="I1065" s="68">
        <v>29.312396449615196</v>
      </c>
      <c r="J1065" s="68">
        <f t="shared" si="1"/>
        <v>29.31239645</v>
      </c>
      <c r="K1065" s="68" t="b">
        <v>1</v>
      </c>
    </row>
    <row r="1066">
      <c r="A1066" s="75">
        <v>1060.0</v>
      </c>
      <c r="B1066" s="62" t="s">
        <v>744</v>
      </c>
      <c r="C1066" s="62" t="s">
        <v>104</v>
      </c>
      <c r="D1066" s="62" t="s">
        <v>746</v>
      </c>
      <c r="E1066" s="76">
        <v>43908.0</v>
      </c>
      <c r="F1066" s="77">
        <v>0.041666666666666664</v>
      </c>
      <c r="G1066" s="62" t="b">
        <v>1</v>
      </c>
      <c r="H1066" s="78" t="b">
        <f>IF(VLOOKUP(C1066,Projetos!A:L,12,false)=TRUE,TRUE,FALSE)</f>
        <v>1</v>
      </c>
      <c r="I1066" s="68">
        <v>29.312396449615196</v>
      </c>
      <c r="J1066" s="68">
        <f t="shared" si="1"/>
        <v>29.31239645</v>
      </c>
      <c r="K1066" s="68" t="b">
        <v>1</v>
      </c>
    </row>
    <row r="1067">
      <c r="A1067" s="75">
        <v>1061.0</v>
      </c>
      <c r="B1067" s="62" t="s">
        <v>744</v>
      </c>
      <c r="C1067" s="62" t="s">
        <v>104</v>
      </c>
      <c r="D1067" s="62" t="s">
        <v>746</v>
      </c>
      <c r="E1067" s="76">
        <v>43916.0</v>
      </c>
      <c r="F1067" s="77">
        <v>0.041666666666666664</v>
      </c>
      <c r="G1067" s="62" t="b">
        <v>1</v>
      </c>
      <c r="H1067" s="78" t="b">
        <f>IF(VLOOKUP(C1067,Projetos!A:L,12,false)=TRUE,TRUE,FALSE)</f>
        <v>1</v>
      </c>
      <c r="I1067" s="68">
        <v>29.312396449615196</v>
      </c>
      <c r="J1067" s="68">
        <f t="shared" si="1"/>
        <v>29.31239645</v>
      </c>
      <c r="K1067" s="68" t="b">
        <v>1</v>
      </c>
    </row>
    <row r="1068">
      <c r="A1068" s="75">
        <v>1062.0</v>
      </c>
      <c r="B1068" s="62" t="s">
        <v>744</v>
      </c>
      <c r="C1068" s="62" t="s">
        <v>104</v>
      </c>
      <c r="D1068" s="62" t="s">
        <v>746</v>
      </c>
      <c r="E1068" s="76">
        <v>43917.0</v>
      </c>
      <c r="F1068" s="77">
        <v>0.03125</v>
      </c>
      <c r="G1068" s="62" t="b">
        <v>1</v>
      </c>
      <c r="H1068" s="78" t="b">
        <f>IF(VLOOKUP(C1068,Projetos!A:L,12,false)=TRUE,TRUE,FALSE)</f>
        <v>1</v>
      </c>
      <c r="I1068" s="68">
        <v>29.312396449615196</v>
      </c>
      <c r="J1068" s="68">
        <f t="shared" si="1"/>
        <v>21.98429734</v>
      </c>
      <c r="K1068" s="68" t="b">
        <v>1</v>
      </c>
    </row>
    <row r="1069" hidden="1">
      <c r="A1069" s="75">
        <v>1063.0</v>
      </c>
      <c r="B1069" s="62" t="s">
        <v>744</v>
      </c>
      <c r="C1069" s="62" t="s">
        <v>105</v>
      </c>
      <c r="D1069" s="62" t="s">
        <v>747</v>
      </c>
      <c r="E1069" s="76">
        <v>43910.0</v>
      </c>
      <c r="F1069" s="77">
        <v>0.1875</v>
      </c>
      <c r="G1069" s="62" t="b">
        <v>1</v>
      </c>
      <c r="H1069" s="78" t="b">
        <f>IF(VLOOKUP(C1069,Projetos!A:L,12,false)=TRUE,TRUE,FALSE)</f>
        <v>1</v>
      </c>
      <c r="I1069" s="68">
        <v>29.312396449615196</v>
      </c>
      <c r="J1069" s="68">
        <f t="shared" si="1"/>
        <v>131.905784</v>
      </c>
      <c r="K1069" s="68" t="b">
        <v>1</v>
      </c>
    </row>
    <row r="1070" hidden="1">
      <c r="A1070" s="75">
        <v>1064.0</v>
      </c>
      <c r="B1070" s="62" t="s">
        <v>744</v>
      </c>
      <c r="C1070" s="62" t="s">
        <v>105</v>
      </c>
      <c r="D1070" s="62" t="s">
        <v>747</v>
      </c>
      <c r="E1070" s="76">
        <v>43914.0</v>
      </c>
      <c r="F1070" s="77">
        <v>0.20833333333333334</v>
      </c>
      <c r="G1070" s="62" t="b">
        <v>1</v>
      </c>
      <c r="H1070" s="78" t="b">
        <f>IF(VLOOKUP(C1070,Projetos!A:L,12,false)=TRUE,TRUE,FALSE)</f>
        <v>1</v>
      </c>
      <c r="I1070" s="68">
        <v>29.312396449615196</v>
      </c>
      <c r="J1070" s="68">
        <f t="shared" si="1"/>
        <v>146.5619822</v>
      </c>
      <c r="K1070" s="68" t="b">
        <v>1</v>
      </c>
    </row>
    <row r="1071" hidden="1">
      <c r="A1071" s="75">
        <v>1065.0</v>
      </c>
      <c r="B1071" s="62" t="s">
        <v>744</v>
      </c>
      <c r="C1071" s="62" t="s">
        <v>105</v>
      </c>
      <c r="D1071" s="62" t="s">
        <v>747</v>
      </c>
      <c r="E1071" s="76">
        <v>43916.0</v>
      </c>
      <c r="F1071" s="77">
        <v>0.125</v>
      </c>
      <c r="G1071" s="62" t="b">
        <v>1</v>
      </c>
      <c r="H1071" s="78" t="b">
        <f>IF(VLOOKUP(C1071,Projetos!A:L,12,false)=TRUE,TRUE,FALSE)</f>
        <v>1</v>
      </c>
      <c r="I1071" s="68">
        <v>29.312396449615196</v>
      </c>
      <c r="J1071" s="68">
        <f t="shared" si="1"/>
        <v>87.93718935</v>
      </c>
      <c r="K1071" s="68" t="b">
        <v>1</v>
      </c>
    </row>
    <row r="1072" hidden="1">
      <c r="A1072" s="75">
        <v>1066.0</v>
      </c>
      <c r="B1072" s="62" t="s">
        <v>744</v>
      </c>
      <c r="C1072" s="62" t="s">
        <v>105</v>
      </c>
      <c r="D1072" s="62" t="s">
        <v>747</v>
      </c>
      <c r="E1072" s="76">
        <v>43917.0</v>
      </c>
      <c r="F1072" s="77">
        <v>0.19791666666666666</v>
      </c>
      <c r="G1072" s="62" t="b">
        <v>1</v>
      </c>
      <c r="H1072" s="78" t="b">
        <f>IF(VLOOKUP(C1072,Projetos!A:L,12,false)=TRUE,TRUE,FALSE)</f>
        <v>1</v>
      </c>
      <c r="I1072" s="68">
        <v>29.312396449615196</v>
      </c>
      <c r="J1072" s="68">
        <f t="shared" si="1"/>
        <v>139.2338831</v>
      </c>
      <c r="K1072" s="68" t="b">
        <v>1</v>
      </c>
    </row>
    <row r="1073" hidden="1">
      <c r="A1073" s="75">
        <v>1067.0</v>
      </c>
      <c r="B1073" s="62" t="s">
        <v>744</v>
      </c>
      <c r="C1073" s="62" t="s">
        <v>105</v>
      </c>
      <c r="D1073" s="62" t="s">
        <v>747</v>
      </c>
      <c r="E1073" s="76">
        <v>43920.0</v>
      </c>
      <c r="F1073" s="77">
        <v>0.20833333333333334</v>
      </c>
      <c r="G1073" s="62" t="b">
        <v>1</v>
      </c>
      <c r="H1073" s="78" t="b">
        <f>IF(VLOOKUP(C1073,Projetos!A:L,12,false)=TRUE,TRUE,FALSE)</f>
        <v>1</v>
      </c>
      <c r="I1073" s="68">
        <v>29.312396449615196</v>
      </c>
      <c r="J1073" s="68">
        <f t="shared" si="1"/>
        <v>146.5619822</v>
      </c>
      <c r="K1073" s="68" t="b">
        <v>1</v>
      </c>
    </row>
    <row r="1074" hidden="1">
      <c r="A1074" s="75">
        <v>1068.0</v>
      </c>
      <c r="B1074" s="62" t="s">
        <v>744</v>
      </c>
      <c r="C1074" s="62" t="s">
        <v>105</v>
      </c>
      <c r="D1074" s="62" t="s">
        <v>747</v>
      </c>
      <c r="E1074" s="76">
        <v>43921.0</v>
      </c>
      <c r="F1074" s="77">
        <v>0.15625</v>
      </c>
      <c r="G1074" s="62" t="b">
        <v>1</v>
      </c>
      <c r="H1074" s="78" t="b">
        <f>IF(VLOOKUP(C1074,Projetos!A:L,12,false)=TRUE,TRUE,FALSE)</f>
        <v>1</v>
      </c>
      <c r="I1074" s="68">
        <v>29.312396449615196</v>
      </c>
      <c r="J1074" s="68">
        <f t="shared" si="1"/>
        <v>109.9214867</v>
      </c>
      <c r="K1074" s="68" t="b">
        <v>1</v>
      </c>
    </row>
    <row r="1075" hidden="1">
      <c r="A1075" s="75">
        <v>1069.0</v>
      </c>
      <c r="B1075" s="62" t="s">
        <v>744</v>
      </c>
      <c r="C1075" s="62" t="s">
        <v>105</v>
      </c>
      <c r="D1075" s="62" t="s">
        <v>747</v>
      </c>
      <c r="E1075" s="76">
        <v>43921.0</v>
      </c>
      <c r="F1075" s="77">
        <v>0.20833333333333334</v>
      </c>
      <c r="G1075" s="62" t="b">
        <v>1</v>
      </c>
      <c r="H1075" s="78" t="b">
        <f>IF(VLOOKUP(C1075,Projetos!A:L,12,false)=TRUE,TRUE,FALSE)</f>
        <v>1</v>
      </c>
      <c r="I1075" s="68">
        <v>29.312396449615196</v>
      </c>
      <c r="J1075" s="68">
        <f t="shared" si="1"/>
        <v>146.5619822</v>
      </c>
      <c r="K1075" s="68" t="b">
        <v>1</v>
      </c>
    </row>
    <row r="1076" hidden="1">
      <c r="A1076" s="75">
        <v>1070.0</v>
      </c>
      <c r="B1076" s="62" t="s">
        <v>744</v>
      </c>
      <c r="C1076" s="62" t="s">
        <v>105</v>
      </c>
      <c r="D1076" s="62" t="s">
        <v>747</v>
      </c>
      <c r="E1076" s="76">
        <v>43922.0</v>
      </c>
      <c r="F1076" s="77">
        <v>0.19791666666666666</v>
      </c>
      <c r="G1076" s="62" t="b">
        <v>1</v>
      </c>
      <c r="H1076" s="78" t="b">
        <f>IF(VLOOKUP(C1076,Projetos!A:L,12,false)=TRUE,TRUE,FALSE)</f>
        <v>1</v>
      </c>
      <c r="I1076" s="68">
        <v>27.980014792814504</v>
      </c>
      <c r="J1076" s="68">
        <f t="shared" si="1"/>
        <v>132.9050703</v>
      </c>
      <c r="K1076" s="68" t="b">
        <v>1</v>
      </c>
    </row>
    <row r="1077" hidden="1">
      <c r="A1077" s="75">
        <v>1071.0</v>
      </c>
      <c r="B1077" s="62" t="s">
        <v>744</v>
      </c>
      <c r="C1077" s="62" t="s">
        <v>105</v>
      </c>
      <c r="D1077" s="62" t="s">
        <v>747</v>
      </c>
      <c r="E1077" s="76">
        <v>43923.0</v>
      </c>
      <c r="F1077" s="77">
        <v>0.20833333333333334</v>
      </c>
      <c r="G1077" s="62" t="b">
        <v>1</v>
      </c>
      <c r="H1077" s="78" t="b">
        <f>IF(VLOOKUP(C1077,Projetos!A:L,12,false)=TRUE,TRUE,FALSE)</f>
        <v>1</v>
      </c>
      <c r="I1077" s="68">
        <v>27.980014792814504</v>
      </c>
      <c r="J1077" s="68">
        <f t="shared" si="1"/>
        <v>139.900074</v>
      </c>
      <c r="K1077" s="68" t="b">
        <v>1</v>
      </c>
    </row>
    <row r="1078">
      <c r="A1078" s="75">
        <v>1072.0</v>
      </c>
      <c r="B1078" s="62" t="s">
        <v>744</v>
      </c>
      <c r="C1078" s="62" t="s">
        <v>104</v>
      </c>
      <c r="D1078" s="62" t="s">
        <v>748</v>
      </c>
      <c r="E1078" s="76">
        <v>43928.0</v>
      </c>
      <c r="F1078" s="77">
        <v>0.125</v>
      </c>
      <c r="G1078" s="62" t="b">
        <v>1</v>
      </c>
      <c r="H1078" s="78" t="b">
        <f>IF(VLOOKUP(C1078,Projetos!A:L,12,false)=TRUE,TRUE,FALSE)</f>
        <v>1</v>
      </c>
      <c r="I1078" s="68">
        <v>27.980014792814504</v>
      </c>
      <c r="J1078" s="68">
        <f t="shared" si="1"/>
        <v>83.94004438</v>
      </c>
      <c r="K1078" s="68" t="b">
        <v>1</v>
      </c>
    </row>
    <row r="1079">
      <c r="A1079" s="75">
        <v>1073.0</v>
      </c>
      <c r="B1079" s="62" t="s">
        <v>744</v>
      </c>
      <c r="C1079" s="62" t="s">
        <v>104</v>
      </c>
      <c r="D1079" s="62" t="s">
        <v>748</v>
      </c>
      <c r="E1079" s="76">
        <v>43929.0</v>
      </c>
      <c r="F1079" s="77">
        <v>0.07291666666666667</v>
      </c>
      <c r="G1079" s="62" t="b">
        <v>1</v>
      </c>
      <c r="H1079" s="78" t="b">
        <f>IF(VLOOKUP(C1079,Projetos!A:L,12,false)=TRUE,TRUE,FALSE)</f>
        <v>1</v>
      </c>
      <c r="I1079" s="68">
        <v>27.980014792814504</v>
      </c>
      <c r="J1079" s="68">
        <f t="shared" si="1"/>
        <v>48.96502589</v>
      </c>
      <c r="K1079" s="68" t="b">
        <v>1</v>
      </c>
    </row>
    <row r="1080">
      <c r="A1080" s="75">
        <v>1074.0</v>
      </c>
      <c r="B1080" s="62" t="s">
        <v>744</v>
      </c>
      <c r="C1080" s="62" t="s">
        <v>104</v>
      </c>
      <c r="D1080" s="62" t="s">
        <v>748</v>
      </c>
      <c r="E1080" s="76">
        <v>43930.0</v>
      </c>
      <c r="F1080" s="77">
        <v>0.125</v>
      </c>
      <c r="G1080" s="62" t="b">
        <v>1</v>
      </c>
      <c r="H1080" s="78" t="b">
        <f>IF(VLOOKUP(C1080,Projetos!A:L,12,false)=TRUE,TRUE,FALSE)</f>
        <v>1</v>
      </c>
      <c r="I1080" s="68">
        <v>27.980014792814504</v>
      </c>
      <c r="J1080" s="68">
        <f t="shared" si="1"/>
        <v>83.94004438</v>
      </c>
      <c r="K1080" s="68" t="b">
        <v>1</v>
      </c>
    </row>
    <row r="1081" hidden="1">
      <c r="A1081" s="75">
        <v>1075.0</v>
      </c>
      <c r="B1081" s="62" t="s">
        <v>744</v>
      </c>
      <c r="C1081" s="62" t="s">
        <v>105</v>
      </c>
      <c r="D1081" s="62" t="s">
        <v>747</v>
      </c>
      <c r="E1081" s="76">
        <v>43930.0</v>
      </c>
      <c r="F1081" s="77">
        <v>0.20833333333333334</v>
      </c>
      <c r="G1081" s="62" t="b">
        <v>1</v>
      </c>
      <c r="H1081" s="78" t="b">
        <f>IF(VLOOKUP(C1081,Projetos!A:L,12,false)=TRUE,TRUE,FALSE)</f>
        <v>1</v>
      </c>
      <c r="I1081" s="68">
        <v>27.980014792814504</v>
      </c>
      <c r="J1081" s="68">
        <f t="shared" si="1"/>
        <v>139.900074</v>
      </c>
      <c r="K1081" s="68" t="b">
        <v>1</v>
      </c>
    </row>
    <row r="1082">
      <c r="A1082" s="75">
        <v>1076.0</v>
      </c>
      <c r="B1082" s="62" t="s">
        <v>744</v>
      </c>
      <c r="C1082" s="62" t="s">
        <v>104</v>
      </c>
      <c r="D1082" s="62" t="s">
        <v>748</v>
      </c>
      <c r="E1082" s="76">
        <v>43934.0</v>
      </c>
      <c r="F1082" s="77">
        <v>0.07291666666666667</v>
      </c>
      <c r="G1082" s="62" t="b">
        <v>1</v>
      </c>
      <c r="H1082" s="78" t="b">
        <f>IF(VLOOKUP(C1082,Projetos!A:L,12,false)=TRUE,TRUE,FALSE)</f>
        <v>1</v>
      </c>
      <c r="I1082" s="68">
        <v>27.980014792814504</v>
      </c>
      <c r="J1082" s="68">
        <f t="shared" si="1"/>
        <v>48.96502589</v>
      </c>
      <c r="K1082" s="68" t="b">
        <v>1</v>
      </c>
    </row>
    <row r="1083">
      <c r="A1083" s="75">
        <v>1077.0</v>
      </c>
      <c r="B1083" s="62" t="s">
        <v>744</v>
      </c>
      <c r="C1083" s="62" t="s">
        <v>104</v>
      </c>
      <c r="D1083" s="62" t="s">
        <v>748</v>
      </c>
      <c r="E1083" s="76">
        <v>43935.0</v>
      </c>
      <c r="F1083" s="77">
        <v>0.041666666666666664</v>
      </c>
      <c r="G1083" s="62" t="b">
        <v>1</v>
      </c>
      <c r="H1083" s="78" t="b">
        <f>IF(VLOOKUP(C1083,Projetos!A:L,12,false)=TRUE,TRUE,FALSE)</f>
        <v>1</v>
      </c>
      <c r="I1083" s="68">
        <v>27.980014792814504</v>
      </c>
      <c r="J1083" s="68">
        <f t="shared" si="1"/>
        <v>27.98001479</v>
      </c>
      <c r="K1083" s="68" t="b">
        <v>1</v>
      </c>
    </row>
    <row r="1084">
      <c r="A1084" s="75">
        <v>1078.0</v>
      </c>
      <c r="B1084" s="62" t="s">
        <v>744</v>
      </c>
      <c r="C1084" s="62" t="s">
        <v>104</v>
      </c>
      <c r="D1084" s="62" t="s">
        <v>748</v>
      </c>
      <c r="E1084" s="76">
        <v>43936.0</v>
      </c>
      <c r="F1084" s="77">
        <v>0.125</v>
      </c>
      <c r="G1084" s="62" t="b">
        <v>1</v>
      </c>
      <c r="H1084" s="78" t="b">
        <f>IF(VLOOKUP(C1084,Projetos!A:L,12,false)=TRUE,TRUE,FALSE)</f>
        <v>1</v>
      </c>
      <c r="I1084" s="68">
        <v>27.980014792814504</v>
      </c>
      <c r="J1084" s="68">
        <f t="shared" si="1"/>
        <v>83.94004438</v>
      </c>
      <c r="K1084" s="68" t="b">
        <v>1</v>
      </c>
    </row>
    <row r="1085" hidden="1">
      <c r="A1085" s="75">
        <v>1079.0</v>
      </c>
      <c r="B1085" s="62" t="s">
        <v>744</v>
      </c>
      <c r="C1085" s="62" t="s">
        <v>110</v>
      </c>
      <c r="D1085" s="62" t="s">
        <v>745</v>
      </c>
      <c r="E1085" s="76">
        <v>43936.0</v>
      </c>
      <c r="F1085" s="77">
        <v>0.08333333333333333</v>
      </c>
      <c r="G1085" s="62" t="b">
        <v>1</v>
      </c>
      <c r="H1085" s="78" t="b">
        <f>IF(VLOOKUP(C1085,Projetos!A:L,12,false)=TRUE,TRUE,FALSE)</f>
        <v>1</v>
      </c>
      <c r="I1085" s="68">
        <v>27.980014792814504</v>
      </c>
      <c r="J1085" s="68">
        <f t="shared" si="1"/>
        <v>55.96002959</v>
      </c>
      <c r="K1085" s="68" t="b">
        <v>1</v>
      </c>
    </row>
    <row r="1086" hidden="1">
      <c r="A1086" s="75">
        <v>1080.0</v>
      </c>
      <c r="B1086" s="62" t="s">
        <v>744</v>
      </c>
      <c r="C1086" s="62" t="s">
        <v>110</v>
      </c>
      <c r="D1086" s="62" t="s">
        <v>745</v>
      </c>
      <c r="E1086" s="76">
        <v>43937.0</v>
      </c>
      <c r="F1086" s="77">
        <v>0.08333333333333333</v>
      </c>
      <c r="G1086" s="62" t="b">
        <v>1</v>
      </c>
      <c r="H1086" s="78" t="b">
        <f>IF(VLOOKUP(C1086,Projetos!A:L,12,false)=TRUE,TRUE,FALSE)</f>
        <v>1</v>
      </c>
      <c r="I1086" s="68">
        <v>27.980014792814504</v>
      </c>
      <c r="J1086" s="68">
        <f t="shared" si="1"/>
        <v>55.96002959</v>
      </c>
      <c r="K1086" s="68" t="b">
        <v>1</v>
      </c>
    </row>
    <row r="1087" hidden="1">
      <c r="A1087" s="75">
        <v>1081.0</v>
      </c>
      <c r="B1087" s="62" t="s">
        <v>744</v>
      </c>
      <c r="C1087" s="62" t="s">
        <v>110</v>
      </c>
      <c r="D1087" s="62" t="s">
        <v>745</v>
      </c>
      <c r="E1087" s="76">
        <v>43938.0</v>
      </c>
      <c r="F1087" s="77">
        <v>0.125</v>
      </c>
      <c r="G1087" s="62" t="b">
        <v>1</v>
      </c>
      <c r="H1087" s="78" t="b">
        <f>IF(VLOOKUP(C1087,Projetos!A:L,12,false)=TRUE,TRUE,FALSE)</f>
        <v>1</v>
      </c>
      <c r="I1087" s="68">
        <v>27.980014792814504</v>
      </c>
      <c r="J1087" s="68">
        <f t="shared" si="1"/>
        <v>83.94004438</v>
      </c>
      <c r="K1087" s="68" t="b">
        <v>1</v>
      </c>
    </row>
    <row r="1088" hidden="1">
      <c r="A1088" s="75">
        <v>1082.0</v>
      </c>
      <c r="B1088" s="62" t="s">
        <v>744</v>
      </c>
      <c r="C1088" s="62" t="s">
        <v>105</v>
      </c>
      <c r="D1088" s="62" t="s">
        <v>747</v>
      </c>
      <c r="E1088" s="76">
        <v>43941.0</v>
      </c>
      <c r="F1088" s="77">
        <v>0.125</v>
      </c>
      <c r="G1088" s="62" t="b">
        <v>1</v>
      </c>
      <c r="H1088" s="78" t="b">
        <f>IF(VLOOKUP(C1088,Projetos!A:L,12,false)=TRUE,TRUE,FALSE)</f>
        <v>1</v>
      </c>
      <c r="I1088" s="68">
        <v>27.980014792814504</v>
      </c>
      <c r="J1088" s="68">
        <f t="shared" si="1"/>
        <v>83.94004438</v>
      </c>
      <c r="K1088" s="68" t="b">
        <v>1</v>
      </c>
    </row>
    <row r="1089" hidden="1">
      <c r="A1089" s="75">
        <v>1083.0</v>
      </c>
      <c r="B1089" s="62" t="s">
        <v>744</v>
      </c>
      <c r="C1089" s="62" t="s">
        <v>105</v>
      </c>
      <c r="D1089" s="62" t="s">
        <v>747</v>
      </c>
      <c r="E1089" s="76">
        <v>43943.0</v>
      </c>
      <c r="F1089" s="77">
        <v>0.125</v>
      </c>
      <c r="G1089" s="62" t="b">
        <v>1</v>
      </c>
      <c r="H1089" s="78" t="b">
        <f>IF(VLOOKUP(C1089,Projetos!A:L,12,false)=TRUE,TRUE,FALSE)</f>
        <v>1</v>
      </c>
      <c r="I1089" s="68">
        <v>27.980014792814504</v>
      </c>
      <c r="J1089" s="68">
        <f t="shared" si="1"/>
        <v>83.94004438</v>
      </c>
      <c r="K1089" s="68" t="b">
        <v>1</v>
      </c>
    </row>
    <row r="1090" hidden="1">
      <c r="A1090" s="75">
        <v>1084.0</v>
      </c>
      <c r="B1090" s="62" t="s">
        <v>744</v>
      </c>
      <c r="C1090" s="62" t="s">
        <v>105</v>
      </c>
      <c r="D1090" s="62" t="s">
        <v>747</v>
      </c>
      <c r="E1090" s="76">
        <v>43944.0</v>
      </c>
      <c r="F1090" s="77">
        <v>0.125</v>
      </c>
      <c r="G1090" s="62" t="b">
        <v>1</v>
      </c>
      <c r="H1090" s="78" t="b">
        <f>IF(VLOOKUP(C1090,Projetos!A:L,12,false)=TRUE,TRUE,FALSE)</f>
        <v>1</v>
      </c>
      <c r="I1090" s="68">
        <v>27.980014792814504</v>
      </c>
      <c r="J1090" s="68">
        <f t="shared" si="1"/>
        <v>83.94004438</v>
      </c>
      <c r="K1090" s="68" t="b">
        <v>1</v>
      </c>
    </row>
    <row r="1091">
      <c r="A1091" s="75">
        <v>1085.0</v>
      </c>
      <c r="B1091" s="62" t="s">
        <v>744</v>
      </c>
      <c r="C1091" s="62" t="s">
        <v>104</v>
      </c>
      <c r="D1091" s="62" t="s">
        <v>748</v>
      </c>
      <c r="E1091" s="76">
        <v>43945.0</v>
      </c>
      <c r="F1091" s="77">
        <v>0.041666666666666664</v>
      </c>
      <c r="G1091" s="62" t="b">
        <v>1</v>
      </c>
      <c r="H1091" s="78" t="b">
        <f>IF(VLOOKUP(C1091,Projetos!A:L,12,false)=TRUE,TRUE,FALSE)</f>
        <v>1</v>
      </c>
      <c r="I1091" s="68">
        <v>27.980014792814504</v>
      </c>
      <c r="J1091" s="68">
        <f t="shared" si="1"/>
        <v>27.98001479</v>
      </c>
      <c r="K1091" s="68" t="b">
        <v>1</v>
      </c>
    </row>
    <row r="1092" hidden="1">
      <c r="A1092" s="75">
        <v>1086.0</v>
      </c>
      <c r="B1092" s="62" t="s">
        <v>744</v>
      </c>
      <c r="C1092" s="62" t="s">
        <v>105</v>
      </c>
      <c r="D1092" s="62" t="s">
        <v>748</v>
      </c>
      <c r="E1092" s="76">
        <v>43945.0</v>
      </c>
      <c r="F1092" s="77">
        <v>0.20833333333333334</v>
      </c>
      <c r="G1092" s="62" t="b">
        <v>1</v>
      </c>
      <c r="H1092" s="78" t="b">
        <f>IF(VLOOKUP(C1092,Projetos!A:L,12,false)=TRUE,TRUE,FALSE)</f>
        <v>1</v>
      </c>
      <c r="I1092" s="68">
        <v>27.980014792814504</v>
      </c>
      <c r="J1092" s="68">
        <f t="shared" si="1"/>
        <v>139.900074</v>
      </c>
      <c r="K1092" s="68" t="b">
        <v>1</v>
      </c>
    </row>
    <row r="1093" hidden="1">
      <c r="A1093" s="75">
        <v>1087.0</v>
      </c>
      <c r="B1093" s="62" t="s">
        <v>744</v>
      </c>
      <c r="C1093" s="62" t="s">
        <v>105</v>
      </c>
      <c r="D1093" s="62" t="s">
        <v>748</v>
      </c>
      <c r="E1093" s="76">
        <v>43948.0</v>
      </c>
      <c r="F1093" s="77">
        <v>0.19791666666666666</v>
      </c>
      <c r="G1093" s="62" t="b">
        <v>1</v>
      </c>
      <c r="H1093" s="78" t="b">
        <f>IF(VLOOKUP(C1093,Projetos!A:L,12,false)=TRUE,TRUE,FALSE)</f>
        <v>1</v>
      </c>
      <c r="I1093" s="68">
        <v>27.980014792814504</v>
      </c>
      <c r="J1093" s="68">
        <f t="shared" si="1"/>
        <v>132.9050703</v>
      </c>
      <c r="K1093" s="68" t="b">
        <v>1</v>
      </c>
    </row>
    <row r="1094">
      <c r="A1094" s="75">
        <v>1088.0</v>
      </c>
      <c r="B1094" s="62" t="s">
        <v>744</v>
      </c>
      <c r="C1094" s="62" t="s">
        <v>104</v>
      </c>
      <c r="D1094" s="62" t="s">
        <v>749</v>
      </c>
      <c r="E1094" s="76">
        <v>43949.0</v>
      </c>
      <c r="F1094" s="77">
        <v>0.16666666666666666</v>
      </c>
      <c r="G1094" s="62" t="b">
        <v>1</v>
      </c>
      <c r="H1094" s="78" t="b">
        <f>IF(VLOOKUP(C1094,Projetos!A:L,12,false)=TRUE,TRUE,FALSE)</f>
        <v>1</v>
      </c>
      <c r="I1094" s="68">
        <v>27.980014792814504</v>
      </c>
      <c r="J1094" s="68">
        <f t="shared" si="1"/>
        <v>111.9200592</v>
      </c>
      <c r="K1094" s="68" t="b">
        <v>1</v>
      </c>
    </row>
    <row r="1095" hidden="1">
      <c r="A1095" s="75">
        <v>1089.0</v>
      </c>
      <c r="B1095" s="62" t="s">
        <v>744</v>
      </c>
      <c r="C1095" s="62" t="s">
        <v>105</v>
      </c>
      <c r="D1095" s="62" t="s">
        <v>747</v>
      </c>
      <c r="E1095" s="76">
        <v>43949.0</v>
      </c>
      <c r="F1095" s="77">
        <v>0.1875</v>
      </c>
      <c r="G1095" s="62" t="b">
        <v>1</v>
      </c>
      <c r="H1095" s="78" t="b">
        <f>IF(VLOOKUP(C1095,Projetos!A:L,12,false)=TRUE,TRUE,FALSE)</f>
        <v>1</v>
      </c>
      <c r="I1095" s="68">
        <v>27.980014792814504</v>
      </c>
      <c r="J1095" s="68">
        <f t="shared" si="1"/>
        <v>125.9100666</v>
      </c>
      <c r="K1095" s="68" t="b">
        <v>1</v>
      </c>
    </row>
    <row r="1096">
      <c r="A1096" s="75">
        <v>1090.0</v>
      </c>
      <c r="B1096" s="62" t="s">
        <v>744</v>
      </c>
      <c r="C1096" s="62" t="s">
        <v>104</v>
      </c>
      <c r="D1096" s="62" t="s">
        <v>749</v>
      </c>
      <c r="E1096" s="76">
        <v>43950.0</v>
      </c>
      <c r="F1096" s="77">
        <v>0.20833333333333334</v>
      </c>
      <c r="G1096" s="62" t="b">
        <v>1</v>
      </c>
      <c r="H1096" s="78" t="b">
        <f>IF(VLOOKUP(C1096,Projetos!A:L,12,false)=TRUE,TRUE,FALSE)</f>
        <v>1</v>
      </c>
      <c r="I1096" s="68">
        <v>27.980014792814504</v>
      </c>
      <c r="J1096" s="68">
        <f t="shared" si="1"/>
        <v>139.900074</v>
      </c>
      <c r="K1096" s="68" t="b">
        <v>1</v>
      </c>
    </row>
    <row r="1097">
      <c r="A1097" s="75">
        <v>1091.0</v>
      </c>
      <c r="B1097" s="62" t="s">
        <v>744</v>
      </c>
      <c r="C1097" s="62" t="s">
        <v>104</v>
      </c>
      <c r="D1097" s="62" t="s">
        <v>749</v>
      </c>
      <c r="E1097" s="76">
        <v>43951.0</v>
      </c>
      <c r="F1097" s="77">
        <v>0.16666666666666666</v>
      </c>
      <c r="G1097" s="62" t="b">
        <v>1</v>
      </c>
      <c r="H1097" s="78" t="b">
        <f>IF(VLOOKUP(C1097,Projetos!A:L,12,false)=TRUE,TRUE,FALSE)</f>
        <v>1</v>
      </c>
      <c r="I1097" s="68">
        <v>27.980014792814504</v>
      </c>
      <c r="J1097" s="68">
        <f t="shared" si="1"/>
        <v>111.9200592</v>
      </c>
      <c r="K1097" s="68" t="b">
        <v>1</v>
      </c>
    </row>
    <row r="1098" hidden="1">
      <c r="A1098" s="75">
        <v>1092.0</v>
      </c>
      <c r="B1098" s="62" t="s">
        <v>744</v>
      </c>
      <c r="C1098" s="62" t="s">
        <v>105</v>
      </c>
      <c r="D1098" s="62" t="s">
        <v>747</v>
      </c>
      <c r="E1098" s="76">
        <v>43956.0</v>
      </c>
      <c r="F1098" s="77">
        <v>0.20833333333333334</v>
      </c>
      <c r="G1098" s="62" t="b">
        <v>1</v>
      </c>
      <c r="H1098" s="78" t="b">
        <f>IF(VLOOKUP(C1098,Projetos!A:L,12,false)=TRUE,TRUE,FALSE)</f>
        <v>1</v>
      </c>
      <c r="I1098" s="68">
        <v>29.312396449615196</v>
      </c>
      <c r="J1098" s="68">
        <f t="shared" si="1"/>
        <v>146.5619822</v>
      </c>
      <c r="K1098" s="68" t="b">
        <v>1</v>
      </c>
    </row>
    <row r="1099" hidden="1">
      <c r="A1099" s="75">
        <v>1093.0</v>
      </c>
      <c r="B1099" s="62" t="s">
        <v>744</v>
      </c>
      <c r="C1099" s="62" t="s">
        <v>105</v>
      </c>
      <c r="D1099" s="62" t="s">
        <v>747</v>
      </c>
      <c r="E1099" s="76">
        <v>43957.0</v>
      </c>
      <c r="F1099" s="77">
        <v>0.15625</v>
      </c>
      <c r="G1099" s="62" t="b">
        <v>1</v>
      </c>
      <c r="H1099" s="78" t="b">
        <f>IF(VLOOKUP(C1099,Projetos!A:L,12,false)=TRUE,TRUE,FALSE)</f>
        <v>1</v>
      </c>
      <c r="I1099" s="68">
        <v>29.312396449615196</v>
      </c>
      <c r="J1099" s="68">
        <f t="shared" si="1"/>
        <v>109.9214867</v>
      </c>
      <c r="K1099" s="68" t="b">
        <v>1</v>
      </c>
    </row>
    <row r="1100">
      <c r="A1100" s="75">
        <v>1094.0</v>
      </c>
      <c r="B1100" s="62" t="s">
        <v>744</v>
      </c>
      <c r="C1100" s="62" t="s">
        <v>104</v>
      </c>
      <c r="D1100" s="62" t="s">
        <v>748</v>
      </c>
      <c r="E1100" s="76">
        <v>43957.0</v>
      </c>
      <c r="F1100" s="77">
        <v>0.041666666666666664</v>
      </c>
      <c r="G1100" s="62" t="b">
        <v>1</v>
      </c>
      <c r="H1100" s="78" t="b">
        <f>IF(VLOOKUP(C1100,Projetos!A:L,12,false)=TRUE,TRUE,FALSE)</f>
        <v>1</v>
      </c>
      <c r="I1100" s="68">
        <v>29.312396449615196</v>
      </c>
      <c r="J1100" s="68">
        <f t="shared" si="1"/>
        <v>29.31239645</v>
      </c>
      <c r="K1100" s="68" t="b">
        <v>1</v>
      </c>
    </row>
    <row r="1101" hidden="1">
      <c r="A1101" s="75">
        <v>1095.0</v>
      </c>
      <c r="B1101" s="62" t="s">
        <v>744</v>
      </c>
      <c r="C1101" s="62" t="s">
        <v>105</v>
      </c>
      <c r="D1101" s="62" t="s">
        <v>747</v>
      </c>
      <c r="E1101" s="76">
        <v>43957.0</v>
      </c>
      <c r="F1101" s="77">
        <v>0.16666666666666666</v>
      </c>
      <c r="G1101" s="62" t="b">
        <v>1</v>
      </c>
      <c r="H1101" s="78" t="b">
        <f>IF(VLOOKUP(C1101,Projetos!A:L,12,false)=TRUE,TRUE,FALSE)</f>
        <v>1</v>
      </c>
      <c r="I1101" s="68">
        <v>29.312396449615196</v>
      </c>
      <c r="J1101" s="68">
        <f t="shared" si="1"/>
        <v>117.2495858</v>
      </c>
      <c r="K1101" s="68" t="b">
        <v>1</v>
      </c>
    </row>
    <row r="1102" hidden="1">
      <c r="A1102" s="75">
        <v>1096.0</v>
      </c>
      <c r="B1102" s="62" t="s">
        <v>744</v>
      </c>
      <c r="C1102" s="62" t="s">
        <v>105</v>
      </c>
      <c r="D1102" s="62" t="s">
        <v>747</v>
      </c>
      <c r="E1102" s="76">
        <v>43958.0</v>
      </c>
      <c r="F1102" s="77">
        <v>0.25</v>
      </c>
      <c r="G1102" s="62" t="b">
        <v>1</v>
      </c>
      <c r="H1102" s="78" t="b">
        <f>IF(VLOOKUP(C1102,Projetos!A:L,12,false)=TRUE,TRUE,FALSE)</f>
        <v>1</v>
      </c>
      <c r="I1102" s="68">
        <v>29.312396449615196</v>
      </c>
      <c r="J1102" s="68">
        <f t="shared" si="1"/>
        <v>175.8743787</v>
      </c>
      <c r="K1102" s="68" t="b">
        <v>1</v>
      </c>
    </row>
    <row r="1103" hidden="1">
      <c r="A1103" s="75">
        <v>1097.0</v>
      </c>
      <c r="B1103" s="62" t="s">
        <v>744</v>
      </c>
      <c r="C1103" s="62" t="s">
        <v>105</v>
      </c>
      <c r="D1103" s="62" t="s">
        <v>747</v>
      </c>
      <c r="E1103" s="76">
        <v>43959.0</v>
      </c>
      <c r="F1103" s="77">
        <v>0.20833333333333334</v>
      </c>
      <c r="G1103" s="62" t="b">
        <v>1</v>
      </c>
      <c r="H1103" s="78" t="b">
        <f>IF(VLOOKUP(C1103,Projetos!A:L,12,false)=TRUE,TRUE,FALSE)</f>
        <v>1</v>
      </c>
      <c r="I1103" s="68">
        <v>29.312396449615196</v>
      </c>
      <c r="J1103" s="68">
        <f t="shared" si="1"/>
        <v>146.5619822</v>
      </c>
      <c r="K1103" s="68" t="b">
        <v>1</v>
      </c>
    </row>
    <row r="1104" hidden="1">
      <c r="A1104" s="75">
        <v>1098.0</v>
      </c>
      <c r="B1104" s="62" t="s">
        <v>744</v>
      </c>
      <c r="C1104" s="62" t="s">
        <v>110</v>
      </c>
      <c r="D1104" s="62" t="s">
        <v>745</v>
      </c>
      <c r="E1104" s="76">
        <v>43959.0</v>
      </c>
      <c r="F1104" s="77">
        <v>0.15625</v>
      </c>
      <c r="G1104" s="62" t="b">
        <v>1</v>
      </c>
      <c r="H1104" s="78" t="b">
        <f>IF(VLOOKUP(C1104,Projetos!A:L,12,false)=TRUE,TRUE,FALSE)</f>
        <v>1</v>
      </c>
      <c r="I1104" s="68">
        <v>29.312396449615196</v>
      </c>
      <c r="J1104" s="68">
        <f t="shared" si="1"/>
        <v>109.9214867</v>
      </c>
      <c r="K1104" s="68" t="b">
        <v>1</v>
      </c>
    </row>
    <row r="1105">
      <c r="A1105" s="75">
        <v>1099.0</v>
      </c>
      <c r="B1105" s="62" t="s">
        <v>744</v>
      </c>
      <c r="C1105" s="62" t="s">
        <v>104</v>
      </c>
      <c r="D1105" s="62" t="s">
        <v>749</v>
      </c>
      <c r="E1105" s="76">
        <v>43962.0</v>
      </c>
      <c r="F1105" s="77">
        <v>0.20833333333333334</v>
      </c>
      <c r="G1105" s="62" t="b">
        <v>1</v>
      </c>
      <c r="H1105" s="78" t="b">
        <f>IF(VLOOKUP(C1105,Projetos!A:L,12,false)=TRUE,TRUE,FALSE)</f>
        <v>1</v>
      </c>
      <c r="I1105" s="68">
        <v>29.312396449615196</v>
      </c>
      <c r="J1105" s="68">
        <f t="shared" si="1"/>
        <v>146.5619822</v>
      </c>
      <c r="K1105" s="68" t="b">
        <v>1</v>
      </c>
    </row>
    <row r="1106" hidden="1">
      <c r="A1106" s="75">
        <v>1100.0</v>
      </c>
      <c r="B1106" s="62" t="s">
        <v>744</v>
      </c>
      <c r="C1106" s="62" t="s">
        <v>105</v>
      </c>
      <c r="D1106" s="62" t="s">
        <v>747</v>
      </c>
      <c r="E1106" s="76">
        <v>43962.0</v>
      </c>
      <c r="F1106" s="77">
        <v>0.14583333333333334</v>
      </c>
      <c r="G1106" s="62" t="b">
        <v>1</v>
      </c>
      <c r="H1106" s="78" t="b">
        <f>IF(VLOOKUP(C1106,Projetos!A:L,12,false)=TRUE,TRUE,FALSE)</f>
        <v>1</v>
      </c>
      <c r="I1106" s="68">
        <v>29.312396449615196</v>
      </c>
      <c r="J1106" s="68">
        <f t="shared" si="1"/>
        <v>102.5933876</v>
      </c>
      <c r="K1106" s="68" t="b">
        <v>1</v>
      </c>
    </row>
    <row r="1107" hidden="1">
      <c r="A1107" s="75">
        <v>1101.0</v>
      </c>
      <c r="B1107" s="62" t="s">
        <v>744</v>
      </c>
      <c r="C1107" s="62" t="s">
        <v>105</v>
      </c>
      <c r="D1107" s="62" t="s">
        <v>747</v>
      </c>
      <c r="E1107" s="76">
        <v>43963.0</v>
      </c>
      <c r="F1107" s="77">
        <v>0.22916666666666666</v>
      </c>
      <c r="G1107" s="62" t="b">
        <v>1</v>
      </c>
      <c r="H1107" s="78" t="b">
        <f>IF(VLOOKUP(C1107,Projetos!A:L,12,false)=TRUE,TRUE,FALSE)</f>
        <v>1</v>
      </c>
      <c r="I1107" s="68">
        <v>29.312396449615196</v>
      </c>
      <c r="J1107" s="68">
        <f t="shared" si="1"/>
        <v>161.2181805</v>
      </c>
      <c r="K1107" s="68" t="b">
        <v>1</v>
      </c>
    </row>
    <row r="1108" hidden="1">
      <c r="A1108" s="75">
        <v>1102.0</v>
      </c>
      <c r="B1108" s="62" t="s">
        <v>744</v>
      </c>
      <c r="C1108" s="62" t="s">
        <v>105</v>
      </c>
      <c r="D1108" s="62" t="s">
        <v>747</v>
      </c>
      <c r="E1108" s="76">
        <v>43964.0</v>
      </c>
      <c r="F1108" s="77">
        <v>0.16666666666666666</v>
      </c>
      <c r="G1108" s="62" t="b">
        <v>1</v>
      </c>
      <c r="H1108" s="78" t="b">
        <f>IF(VLOOKUP(C1108,Projetos!A:L,12,false)=TRUE,TRUE,FALSE)</f>
        <v>1</v>
      </c>
      <c r="I1108" s="68">
        <v>29.312396449615196</v>
      </c>
      <c r="J1108" s="68">
        <f t="shared" si="1"/>
        <v>117.2495858</v>
      </c>
      <c r="K1108" s="68" t="b">
        <v>1</v>
      </c>
    </row>
    <row r="1109" hidden="1">
      <c r="A1109" s="75">
        <v>1103.0</v>
      </c>
      <c r="B1109" s="62" t="s">
        <v>744</v>
      </c>
      <c r="C1109" s="62" t="s">
        <v>105</v>
      </c>
      <c r="D1109" s="62" t="s">
        <v>747</v>
      </c>
      <c r="E1109" s="76">
        <v>43965.0</v>
      </c>
      <c r="F1109" s="77">
        <v>0.21875</v>
      </c>
      <c r="G1109" s="62" t="b">
        <v>1</v>
      </c>
      <c r="H1109" s="78" t="b">
        <f>IF(VLOOKUP(C1109,Projetos!A:L,12,false)=TRUE,TRUE,FALSE)</f>
        <v>1</v>
      </c>
      <c r="I1109" s="68">
        <v>29.312396449615196</v>
      </c>
      <c r="J1109" s="68">
        <f t="shared" si="1"/>
        <v>153.8900814</v>
      </c>
      <c r="K1109" s="68" t="b">
        <v>1</v>
      </c>
    </row>
    <row r="1110" hidden="1">
      <c r="A1110" s="75">
        <v>1104.0</v>
      </c>
      <c r="B1110" s="62" t="s">
        <v>744</v>
      </c>
      <c r="C1110" s="62" t="s">
        <v>105</v>
      </c>
      <c r="D1110" s="62" t="s">
        <v>747</v>
      </c>
      <c r="E1110" s="76">
        <v>43966.0</v>
      </c>
      <c r="F1110" s="77">
        <v>0.20833333333333334</v>
      </c>
      <c r="G1110" s="62" t="b">
        <v>1</v>
      </c>
      <c r="H1110" s="78" t="b">
        <f>IF(VLOOKUP(C1110,Projetos!A:L,12,false)=TRUE,TRUE,FALSE)</f>
        <v>1</v>
      </c>
      <c r="I1110" s="68">
        <v>29.312396449615196</v>
      </c>
      <c r="J1110" s="68">
        <f t="shared" si="1"/>
        <v>146.5619822</v>
      </c>
      <c r="K1110" s="68" t="b">
        <v>1</v>
      </c>
    </row>
    <row r="1111" hidden="1">
      <c r="A1111" s="75">
        <v>1105.0</v>
      </c>
      <c r="B1111" s="62" t="s">
        <v>744</v>
      </c>
      <c r="C1111" s="62" t="s">
        <v>110</v>
      </c>
      <c r="D1111" s="62" t="s">
        <v>745</v>
      </c>
      <c r="E1111" s="76">
        <v>43970.0</v>
      </c>
      <c r="F1111" s="77">
        <v>0.22916666666666666</v>
      </c>
      <c r="G1111" s="62" t="b">
        <v>1</v>
      </c>
      <c r="H1111" s="78" t="b">
        <f>IF(VLOOKUP(C1111,Projetos!A:L,12,false)=TRUE,TRUE,FALSE)</f>
        <v>1</v>
      </c>
      <c r="I1111" s="68">
        <v>29.312396449615196</v>
      </c>
      <c r="J1111" s="68">
        <f t="shared" si="1"/>
        <v>161.2181805</v>
      </c>
      <c r="K1111" s="68" t="b">
        <v>1</v>
      </c>
    </row>
    <row r="1112" hidden="1">
      <c r="A1112" s="75">
        <v>1106.0</v>
      </c>
      <c r="B1112" s="62" t="s">
        <v>744</v>
      </c>
      <c r="C1112" s="62" t="s">
        <v>110</v>
      </c>
      <c r="D1112" s="62" t="s">
        <v>745</v>
      </c>
      <c r="E1112" s="76">
        <v>43971.0</v>
      </c>
      <c r="F1112" s="77">
        <v>0.25</v>
      </c>
      <c r="G1112" s="62" t="b">
        <v>1</v>
      </c>
      <c r="H1112" s="78" t="b">
        <f>IF(VLOOKUP(C1112,Projetos!A:L,12,false)=TRUE,TRUE,FALSE)</f>
        <v>1</v>
      </c>
      <c r="I1112" s="68">
        <v>29.312396449615196</v>
      </c>
      <c r="J1112" s="68">
        <f t="shared" si="1"/>
        <v>175.8743787</v>
      </c>
      <c r="K1112" s="68" t="b">
        <v>1</v>
      </c>
    </row>
    <row r="1113" hidden="1">
      <c r="A1113" s="75">
        <v>1107.0</v>
      </c>
      <c r="B1113" s="62" t="s">
        <v>744</v>
      </c>
      <c r="C1113" s="62" t="s">
        <v>110</v>
      </c>
      <c r="D1113" s="62" t="s">
        <v>745</v>
      </c>
      <c r="E1113" s="76">
        <v>43972.0</v>
      </c>
      <c r="F1113" s="77">
        <v>0.21875</v>
      </c>
      <c r="G1113" s="62" t="b">
        <v>1</v>
      </c>
      <c r="H1113" s="78" t="b">
        <f>IF(VLOOKUP(C1113,Projetos!A:L,12,false)=TRUE,TRUE,FALSE)</f>
        <v>1</v>
      </c>
      <c r="I1113" s="68">
        <v>29.312396449615196</v>
      </c>
      <c r="J1113" s="68">
        <f t="shared" si="1"/>
        <v>153.8900814</v>
      </c>
      <c r="K1113" s="68" t="b">
        <v>1</v>
      </c>
    </row>
    <row r="1114" hidden="1">
      <c r="A1114" s="75">
        <v>1108.0</v>
      </c>
      <c r="B1114" s="62" t="s">
        <v>744</v>
      </c>
      <c r="C1114" s="62" t="s">
        <v>105</v>
      </c>
      <c r="D1114" s="62" t="s">
        <v>747</v>
      </c>
      <c r="E1114" s="76">
        <v>43972.0</v>
      </c>
      <c r="F1114" s="77">
        <v>0.14583333333333334</v>
      </c>
      <c r="G1114" s="62" t="b">
        <v>1</v>
      </c>
      <c r="H1114" s="78" t="b">
        <f>IF(VLOOKUP(C1114,Projetos!A:L,12,false)=TRUE,TRUE,FALSE)</f>
        <v>1</v>
      </c>
      <c r="I1114" s="68">
        <v>29.312396449615196</v>
      </c>
      <c r="J1114" s="68">
        <f t="shared" si="1"/>
        <v>102.5933876</v>
      </c>
      <c r="K1114" s="68" t="b">
        <v>1</v>
      </c>
    </row>
    <row r="1115" hidden="1">
      <c r="A1115" s="75">
        <v>1109.0</v>
      </c>
      <c r="B1115" s="62" t="s">
        <v>744</v>
      </c>
      <c r="C1115" s="62" t="s">
        <v>110</v>
      </c>
      <c r="D1115" s="62" t="s">
        <v>745</v>
      </c>
      <c r="E1115" s="76">
        <v>43973.0</v>
      </c>
      <c r="F1115" s="77">
        <v>0.20833333333333334</v>
      </c>
      <c r="G1115" s="62" t="b">
        <v>1</v>
      </c>
      <c r="H1115" s="78" t="b">
        <f>IF(VLOOKUP(C1115,Projetos!A:L,12,false)=TRUE,TRUE,FALSE)</f>
        <v>1</v>
      </c>
      <c r="I1115" s="68">
        <v>29.312396449615196</v>
      </c>
      <c r="J1115" s="68">
        <f t="shared" si="1"/>
        <v>146.5619822</v>
      </c>
      <c r="K1115" s="68" t="b">
        <v>1</v>
      </c>
    </row>
    <row r="1116">
      <c r="A1116" s="75">
        <v>1110.0</v>
      </c>
      <c r="B1116" s="62" t="s">
        <v>744</v>
      </c>
      <c r="C1116" s="62" t="s">
        <v>104</v>
      </c>
      <c r="D1116" s="62" t="s">
        <v>749</v>
      </c>
      <c r="E1116" s="76">
        <v>43973.0</v>
      </c>
      <c r="F1116" s="77">
        <v>0.125</v>
      </c>
      <c r="G1116" s="62" t="b">
        <v>1</v>
      </c>
      <c r="H1116" s="78" t="b">
        <f>IF(VLOOKUP(C1116,Projetos!A:L,12,false)=TRUE,TRUE,FALSE)</f>
        <v>1</v>
      </c>
      <c r="I1116" s="68">
        <v>29.312396449615196</v>
      </c>
      <c r="J1116" s="68">
        <f t="shared" si="1"/>
        <v>87.93718935</v>
      </c>
      <c r="K1116" s="68" t="b">
        <v>1</v>
      </c>
    </row>
    <row r="1117">
      <c r="A1117" s="75">
        <v>1111.0</v>
      </c>
      <c r="B1117" s="62" t="s">
        <v>744</v>
      </c>
      <c r="C1117" s="62" t="s">
        <v>104</v>
      </c>
      <c r="D1117" s="62" t="s">
        <v>749</v>
      </c>
      <c r="E1117" s="76">
        <v>43976.0</v>
      </c>
      <c r="F1117" s="77">
        <v>0.16666666666666666</v>
      </c>
      <c r="G1117" s="62" t="b">
        <v>1</v>
      </c>
      <c r="H1117" s="78" t="b">
        <f>IF(VLOOKUP(C1117,Projetos!A:L,12,false)=TRUE,TRUE,FALSE)</f>
        <v>1</v>
      </c>
      <c r="I1117" s="68">
        <v>29.312396449615196</v>
      </c>
      <c r="J1117" s="68">
        <f t="shared" si="1"/>
        <v>117.2495858</v>
      </c>
      <c r="K1117" s="68" t="b">
        <v>1</v>
      </c>
    </row>
    <row r="1118" hidden="1">
      <c r="A1118" s="75">
        <v>1112.0</v>
      </c>
      <c r="B1118" s="62" t="s">
        <v>744</v>
      </c>
      <c r="C1118" s="62" t="s">
        <v>110</v>
      </c>
      <c r="D1118" s="62" t="s">
        <v>745</v>
      </c>
      <c r="E1118" s="76">
        <v>43979.0</v>
      </c>
      <c r="F1118" s="77">
        <v>0.19791666666666666</v>
      </c>
      <c r="G1118" s="62" t="b">
        <v>1</v>
      </c>
      <c r="H1118" s="78" t="b">
        <f>IF(VLOOKUP(C1118,Projetos!A:L,12,false)=TRUE,TRUE,FALSE)</f>
        <v>1</v>
      </c>
      <c r="I1118" s="68">
        <v>29.312396449615196</v>
      </c>
      <c r="J1118" s="68">
        <f t="shared" si="1"/>
        <v>139.2338831</v>
      </c>
      <c r="K1118" s="68" t="b">
        <v>1</v>
      </c>
    </row>
    <row r="1119">
      <c r="A1119" s="75">
        <v>1113.0</v>
      </c>
      <c r="B1119" s="62" t="s">
        <v>744</v>
      </c>
      <c r="C1119" s="62" t="s">
        <v>104</v>
      </c>
      <c r="D1119" s="62" t="s">
        <v>749</v>
      </c>
      <c r="E1119" s="76">
        <v>43979.0</v>
      </c>
      <c r="F1119" s="77">
        <v>0.16666666666666666</v>
      </c>
      <c r="G1119" s="62" t="b">
        <v>1</v>
      </c>
      <c r="H1119" s="78" t="b">
        <f>IF(VLOOKUP(C1119,Projetos!A:L,12,false)=TRUE,TRUE,FALSE)</f>
        <v>1</v>
      </c>
      <c r="I1119" s="68">
        <v>29.312396449615196</v>
      </c>
      <c r="J1119" s="68">
        <f t="shared" si="1"/>
        <v>117.2495858</v>
      </c>
      <c r="K1119" s="68" t="b">
        <v>1</v>
      </c>
    </row>
    <row r="1120">
      <c r="A1120" s="75">
        <v>1114.0</v>
      </c>
      <c r="B1120" s="62" t="s">
        <v>744</v>
      </c>
      <c r="C1120" s="62" t="s">
        <v>104</v>
      </c>
      <c r="D1120" s="62" t="s">
        <v>749</v>
      </c>
      <c r="E1120" s="76">
        <v>43980.0</v>
      </c>
      <c r="F1120" s="77">
        <v>0.125</v>
      </c>
      <c r="G1120" s="62" t="b">
        <v>1</v>
      </c>
      <c r="H1120" s="78" t="b">
        <f>IF(VLOOKUP(C1120,Projetos!A:L,12,false)=TRUE,TRUE,FALSE)</f>
        <v>1</v>
      </c>
      <c r="I1120" s="68">
        <v>29.312396449615196</v>
      </c>
      <c r="J1120" s="68">
        <f t="shared" si="1"/>
        <v>87.93718935</v>
      </c>
      <c r="K1120" s="68" t="b">
        <v>1</v>
      </c>
    </row>
    <row r="1121" hidden="1">
      <c r="A1121" s="75">
        <v>1115.0</v>
      </c>
      <c r="B1121" s="62" t="s">
        <v>744</v>
      </c>
      <c r="C1121" s="62" t="s">
        <v>110</v>
      </c>
      <c r="D1121" s="62" t="s">
        <v>745</v>
      </c>
      <c r="E1121" s="76">
        <v>43980.0</v>
      </c>
      <c r="F1121" s="77">
        <v>0.125</v>
      </c>
      <c r="G1121" s="62" t="b">
        <v>1</v>
      </c>
      <c r="H1121" s="78" t="b">
        <f>IF(VLOOKUP(C1121,Projetos!A:L,12,false)=TRUE,TRUE,FALSE)</f>
        <v>1</v>
      </c>
      <c r="I1121" s="68">
        <v>29.312396449615196</v>
      </c>
      <c r="J1121" s="68">
        <f t="shared" si="1"/>
        <v>87.93718935</v>
      </c>
      <c r="K1121" s="68" t="b">
        <v>1</v>
      </c>
    </row>
    <row r="1122">
      <c r="A1122" s="75">
        <v>1116.0</v>
      </c>
      <c r="B1122" s="62" t="s">
        <v>744</v>
      </c>
      <c r="C1122" s="62" t="s">
        <v>104</v>
      </c>
      <c r="D1122" s="62" t="s">
        <v>749</v>
      </c>
      <c r="E1122" s="76">
        <v>43983.0</v>
      </c>
      <c r="F1122" s="77">
        <v>0.20833333333333334</v>
      </c>
      <c r="G1122" s="62" t="b">
        <v>1</v>
      </c>
      <c r="H1122" s="78" t="b">
        <f>IF(VLOOKUP(C1122,Projetos!A:L,12,false)=TRUE,TRUE,FALSE)</f>
        <v>1</v>
      </c>
      <c r="I1122" s="68">
        <v>27.980014792814504</v>
      </c>
      <c r="J1122" s="68">
        <f t="shared" si="1"/>
        <v>139.900074</v>
      </c>
      <c r="K1122" s="68" t="b">
        <v>1</v>
      </c>
    </row>
    <row r="1123" hidden="1">
      <c r="A1123" s="75">
        <v>1117.0</v>
      </c>
      <c r="B1123" s="62" t="s">
        <v>744</v>
      </c>
      <c r="C1123" s="62" t="s">
        <v>110</v>
      </c>
      <c r="D1123" s="62" t="s">
        <v>745</v>
      </c>
      <c r="E1123" s="76">
        <v>43983.0</v>
      </c>
      <c r="F1123" s="77">
        <v>0.125</v>
      </c>
      <c r="G1123" s="62" t="b">
        <v>1</v>
      </c>
      <c r="H1123" s="78" t="b">
        <f>IF(VLOOKUP(C1123,Projetos!A:L,12,false)=TRUE,TRUE,FALSE)</f>
        <v>1</v>
      </c>
      <c r="I1123" s="68">
        <v>27.980014792814504</v>
      </c>
      <c r="J1123" s="68">
        <f t="shared" si="1"/>
        <v>83.94004438</v>
      </c>
      <c r="K1123" s="68" t="b">
        <v>1</v>
      </c>
    </row>
    <row r="1124" hidden="1">
      <c r="A1124" s="75">
        <v>1118.0</v>
      </c>
      <c r="B1124" s="62" t="s">
        <v>744</v>
      </c>
      <c r="C1124" s="62" t="s">
        <v>110</v>
      </c>
      <c r="D1124" s="62" t="s">
        <v>745</v>
      </c>
      <c r="E1124" s="76">
        <v>43984.0</v>
      </c>
      <c r="F1124" s="77">
        <v>0.125</v>
      </c>
      <c r="G1124" s="62" t="b">
        <v>1</v>
      </c>
      <c r="H1124" s="78" t="b">
        <f>IF(VLOOKUP(C1124,Projetos!A:L,12,false)=TRUE,TRUE,FALSE)</f>
        <v>1</v>
      </c>
      <c r="I1124" s="68">
        <v>27.980014792814504</v>
      </c>
      <c r="J1124" s="68">
        <f t="shared" si="1"/>
        <v>83.94004438</v>
      </c>
      <c r="K1124" s="68" t="b">
        <v>1</v>
      </c>
    </row>
    <row r="1125">
      <c r="A1125" s="75">
        <v>1119.0</v>
      </c>
      <c r="B1125" s="62" t="s">
        <v>744</v>
      </c>
      <c r="C1125" s="62" t="s">
        <v>104</v>
      </c>
      <c r="D1125" s="62" t="s">
        <v>749</v>
      </c>
      <c r="E1125" s="76">
        <v>43984.0</v>
      </c>
      <c r="F1125" s="77">
        <v>0.16666666666666666</v>
      </c>
      <c r="G1125" s="62" t="b">
        <v>1</v>
      </c>
      <c r="H1125" s="78" t="b">
        <f>IF(VLOOKUP(C1125,Projetos!A:L,12,false)=TRUE,TRUE,FALSE)</f>
        <v>1</v>
      </c>
      <c r="I1125" s="68">
        <v>27.980014792814504</v>
      </c>
      <c r="J1125" s="68">
        <f t="shared" si="1"/>
        <v>111.9200592</v>
      </c>
      <c r="K1125" s="68" t="b">
        <v>1</v>
      </c>
    </row>
    <row r="1126" hidden="1">
      <c r="A1126" s="75">
        <v>1120.0</v>
      </c>
      <c r="B1126" s="62" t="s">
        <v>744</v>
      </c>
      <c r="C1126" s="62" t="s">
        <v>110</v>
      </c>
      <c r="D1126" s="62" t="s">
        <v>745</v>
      </c>
      <c r="E1126" s="76">
        <v>43985.0</v>
      </c>
      <c r="F1126" s="77">
        <v>0.125</v>
      </c>
      <c r="G1126" s="62" t="b">
        <v>1</v>
      </c>
      <c r="H1126" s="78" t="b">
        <f>IF(VLOOKUP(C1126,Projetos!A:L,12,false)=TRUE,TRUE,FALSE)</f>
        <v>1</v>
      </c>
      <c r="I1126" s="68">
        <v>27.980014792814504</v>
      </c>
      <c r="J1126" s="68">
        <f t="shared" si="1"/>
        <v>83.94004438</v>
      </c>
      <c r="K1126" s="68" t="b">
        <v>1</v>
      </c>
    </row>
    <row r="1127" hidden="1">
      <c r="A1127" s="75">
        <v>1121.0</v>
      </c>
      <c r="B1127" s="62" t="s">
        <v>744</v>
      </c>
      <c r="C1127" s="62" t="s">
        <v>110</v>
      </c>
      <c r="D1127" s="62" t="s">
        <v>745</v>
      </c>
      <c r="E1127" s="76">
        <v>43986.0</v>
      </c>
      <c r="F1127" s="77">
        <v>0.20833333333333334</v>
      </c>
      <c r="G1127" s="62" t="b">
        <v>1</v>
      </c>
      <c r="H1127" s="78" t="b">
        <f>IF(VLOOKUP(C1127,Projetos!A:L,12,false)=TRUE,TRUE,FALSE)</f>
        <v>1</v>
      </c>
      <c r="I1127" s="68">
        <v>27.980014792814504</v>
      </c>
      <c r="J1127" s="68">
        <f t="shared" si="1"/>
        <v>139.900074</v>
      </c>
      <c r="K1127" s="68" t="b">
        <v>1</v>
      </c>
    </row>
    <row r="1128" hidden="1">
      <c r="A1128" s="75">
        <v>1122.0</v>
      </c>
      <c r="B1128" s="62" t="s">
        <v>744</v>
      </c>
      <c r="C1128" s="62" t="s">
        <v>110</v>
      </c>
      <c r="D1128" s="62" t="s">
        <v>745</v>
      </c>
      <c r="E1128" s="76">
        <v>43987.0</v>
      </c>
      <c r="F1128" s="77">
        <v>0.16666666666666666</v>
      </c>
      <c r="G1128" s="62" t="b">
        <v>1</v>
      </c>
      <c r="H1128" s="78" t="b">
        <f>IF(VLOOKUP(C1128,Projetos!A:L,12,false)=TRUE,TRUE,FALSE)</f>
        <v>1</v>
      </c>
      <c r="I1128" s="68">
        <v>27.980014792814504</v>
      </c>
      <c r="J1128" s="68">
        <f t="shared" si="1"/>
        <v>111.9200592</v>
      </c>
      <c r="K1128" s="68" t="b">
        <v>1</v>
      </c>
    </row>
    <row r="1129">
      <c r="A1129" s="75">
        <v>1123.0</v>
      </c>
      <c r="B1129" s="62" t="s">
        <v>744</v>
      </c>
      <c r="C1129" s="62" t="s">
        <v>104</v>
      </c>
      <c r="D1129" s="62" t="s">
        <v>749</v>
      </c>
      <c r="E1129" s="76">
        <v>43987.0</v>
      </c>
      <c r="F1129" s="77">
        <v>0.125</v>
      </c>
      <c r="G1129" s="62" t="b">
        <v>1</v>
      </c>
      <c r="H1129" s="78" t="b">
        <f>IF(VLOOKUP(C1129,Projetos!A:L,12,false)=TRUE,TRUE,FALSE)</f>
        <v>1</v>
      </c>
      <c r="I1129" s="68">
        <v>27.980014792814504</v>
      </c>
      <c r="J1129" s="68">
        <f t="shared" si="1"/>
        <v>83.94004438</v>
      </c>
      <c r="K1129" s="68" t="b">
        <v>1</v>
      </c>
    </row>
    <row r="1130">
      <c r="A1130" s="75">
        <v>1124.0</v>
      </c>
      <c r="B1130" s="62" t="s">
        <v>744</v>
      </c>
      <c r="C1130" s="62" t="s">
        <v>104</v>
      </c>
      <c r="D1130" s="62" t="s">
        <v>749</v>
      </c>
      <c r="E1130" s="76">
        <v>43990.0</v>
      </c>
      <c r="F1130" s="77">
        <v>0.20833333333333334</v>
      </c>
      <c r="G1130" s="62" t="b">
        <v>1</v>
      </c>
      <c r="H1130" s="78" t="b">
        <f>IF(VLOOKUP(C1130,Projetos!A:L,12,false)=TRUE,TRUE,FALSE)</f>
        <v>1</v>
      </c>
      <c r="I1130" s="68">
        <v>27.980014792814504</v>
      </c>
      <c r="J1130" s="68">
        <f t="shared" si="1"/>
        <v>139.900074</v>
      </c>
      <c r="K1130" s="68" t="b">
        <v>1</v>
      </c>
    </row>
    <row r="1131">
      <c r="A1131" s="75">
        <v>1125.0</v>
      </c>
      <c r="B1131" s="62" t="s">
        <v>744</v>
      </c>
      <c r="C1131" s="62" t="s">
        <v>104</v>
      </c>
      <c r="D1131" s="62" t="s">
        <v>749</v>
      </c>
      <c r="E1131" s="76">
        <v>43991.0</v>
      </c>
      <c r="F1131" s="77">
        <v>0.20833333333333334</v>
      </c>
      <c r="G1131" s="62" t="b">
        <v>1</v>
      </c>
      <c r="H1131" s="78" t="b">
        <f>IF(VLOOKUP(C1131,Projetos!A:L,12,false)=TRUE,TRUE,FALSE)</f>
        <v>1</v>
      </c>
      <c r="I1131" s="68">
        <v>27.980014792814504</v>
      </c>
      <c r="J1131" s="68">
        <f t="shared" si="1"/>
        <v>139.900074</v>
      </c>
      <c r="K1131" s="68" t="b">
        <v>1</v>
      </c>
    </row>
    <row r="1132" hidden="1">
      <c r="A1132" s="75">
        <v>1126.0</v>
      </c>
      <c r="B1132" s="62" t="s">
        <v>744</v>
      </c>
      <c r="C1132" s="62" t="s">
        <v>110</v>
      </c>
      <c r="D1132" s="62" t="s">
        <v>745</v>
      </c>
      <c r="E1132" s="76">
        <v>43992.0</v>
      </c>
      <c r="F1132" s="77">
        <v>0.20833333333333334</v>
      </c>
      <c r="G1132" s="62" t="b">
        <v>1</v>
      </c>
      <c r="H1132" s="78" t="b">
        <f>IF(VLOOKUP(C1132,Projetos!A:L,12,false)=TRUE,TRUE,FALSE)</f>
        <v>1</v>
      </c>
      <c r="I1132" s="68">
        <v>27.980014792814504</v>
      </c>
      <c r="J1132" s="68">
        <f t="shared" si="1"/>
        <v>139.900074</v>
      </c>
      <c r="K1132" s="68" t="b">
        <v>1</v>
      </c>
    </row>
    <row r="1133">
      <c r="A1133" s="75">
        <v>1127.0</v>
      </c>
      <c r="B1133" s="62" t="s">
        <v>744</v>
      </c>
      <c r="C1133" s="62" t="s">
        <v>104</v>
      </c>
      <c r="D1133" s="62" t="s">
        <v>749</v>
      </c>
      <c r="E1133" s="76">
        <v>43992.0</v>
      </c>
      <c r="F1133" s="77">
        <v>0.14583333333333334</v>
      </c>
      <c r="G1133" s="62" t="b">
        <v>1</v>
      </c>
      <c r="H1133" s="78" t="b">
        <f>IF(VLOOKUP(C1133,Projetos!A:L,12,false)=TRUE,TRUE,FALSE)</f>
        <v>1</v>
      </c>
      <c r="I1133" s="68">
        <v>27.980014792814504</v>
      </c>
      <c r="J1133" s="68">
        <f t="shared" si="1"/>
        <v>97.93005177</v>
      </c>
      <c r="K1133" s="68" t="b">
        <v>1</v>
      </c>
    </row>
    <row r="1134">
      <c r="A1134" s="75">
        <v>1128.0</v>
      </c>
      <c r="B1134" s="62" t="s">
        <v>744</v>
      </c>
      <c r="C1134" s="62" t="s">
        <v>104</v>
      </c>
      <c r="D1134" s="62" t="s">
        <v>749</v>
      </c>
      <c r="E1134" s="76">
        <v>43994.0</v>
      </c>
      <c r="F1134" s="77">
        <v>0.25</v>
      </c>
      <c r="G1134" s="62" t="b">
        <v>1</v>
      </c>
      <c r="H1134" s="78" t="b">
        <f>IF(VLOOKUP(C1134,Projetos!A:L,12,false)=TRUE,TRUE,FALSE)</f>
        <v>1</v>
      </c>
      <c r="I1134" s="68">
        <v>27.980014792814504</v>
      </c>
      <c r="J1134" s="68">
        <f t="shared" si="1"/>
        <v>167.8800888</v>
      </c>
      <c r="K1134" s="68" t="b">
        <v>1</v>
      </c>
    </row>
    <row r="1135" hidden="1">
      <c r="A1135" s="75">
        <v>1129.0</v>
      </c>
      <c r="B1135" s="62" t="s">
        <v>744</v>
      </c>
      <c r="C1135" s="62" t="s">
        <v>115</v>
      </c>
      <c r="D1135" s="62" t="s">
        <v>750</v>
      </c>
      <c r="E1135" s="76">
        <v>43998.0</v>
      </c>
      <c r="F1135" s="77">
        <v>0.14583333333333334</v>
      </c>
      <c r="G1135" s="62" t="b">
        <v>1</v>
      </c>
      <c r="H1135" s="78" t="b">
        <f>IF(VLOOKUP(C1135,Projetos!A:L,12,false)=TRUE,TRUE,FALSE)</f>
        <v>1</v>
      </c>
      <c r="I1135" s="68">
        <v>27.980014792814504</v>
      </c>
      <c r="J1135" s="68">
        <f t="shared" si="1"/>
        <v>97.93005177</v>
      </c>
      <c r="K1135" s="68" t="b">
        <v>1</v>
      </c>
    </row>
    <row r="1136" hidden="1">
      <c r="A1136" s="75">
        <v>1130.0</v>
      </c>
      <c r="B1136" s="62" t="s">
        <v>744</v>
      </c>
      <c r="C1136" s="62" t="s">
        <v>115</v>
      </c>
      <c r="D1136" s="62" t="s">
        <v>750</v>
      </c>
      <c r="E1136" s="76">
        <v>43999.0</v>
      </c>
      <c r="F1136" s="77">
        <v>0.16666666666666666</v>
      </c>
      <c r="G1136" s="62" t="b">
        <v>1</v>
      </c>
      <c r="H1136" s="78" t="b">
        <f>IF(VLOOKUP(C1136,Projetos!A:L,12,false)=TRUE,TRUE,FALSE)</f>
        <v>1</v>
      </c>
      <c r="I1136" s="68">
        <v>27.980014792814504</v>
      </c>
      <c r="J1136" s="68">
        <f t="shared" si="1"/>
        <v>111.9200592</v>
      </c>
      <c r="K1136" s="68" t="b">
        <v>1</v>
      </c>
    </row>
    <row r="1137" hidden="1">
      <c r="A1137" s="75">
        <v>1131.0</v>
      </c>
      <c r="B1137" s="62" t="s">
        <v>744</v>
      </c>
      <c r="C1137" s="62" t="s">
        <v>115</v>
      </c>
      <c r="D1137" s="62" t="s">
        <v>750</v>
      </c>
      <c r="E1137" s="76">
        <v>43999.0</v>
      </c>
      <c r="F1137" s="77">
        <v>0.14583333333333334</v>
      </c>
      <c r="G1137" s="62" t="b">
        <v>1</v>
      </c>
      <c r="H1137" s="78" t="b">
        <f>IF(VLOOKUP(C1137,Projetos!A:L,12,false)=TRUE,TRUE,FALSE)</f>
        <v>1</v>
      </c>
      <c r="I1137" s="68">
        <v>27.980014792814504</v>
      </c>
      <c r="J1137" s="68">
        <f t="shared" si="1"/>
        <v>97.93005177</v>
      </c>
      <c r="K1137" s="68" t="b">
        <v>1</v>
      </c>
    </row>
    <row r="1138" hidden="1">
      <c r="A1138" s="75">
        <v>1132.0</v>
      </c>
      <c r="B1138" s="62" t="s">
        <v>744</v>
      </c>
      <c r="C1138" s="62" t="s">
        <v>115</v>
      </c>
      <c r="D1138" s="62" t="s">
        <v>750</v>
      </c>
      <c r="E1138" s="76">
        <v>44000.0</v>
      </c>
      <c r="F1138" s="77">
        <v>0.20833333333333334</v>
      </c>
      <c r="G1138" s="62" t="b">
        <v>1</v>
      </c>
      <c r="H1138" s="78" t="b">
        <f>IF(VLOOKUP(C1138,Projetos!A:L,12,false)=TRUE,TRUE,FALSE)</f>
        <v>1</v>
      </c>
      <c r="I1138" s="68">
        <v>27.980014792814504</v>
      </c>
      <c r="J1138" s="68">
        <f t="shared" si="1"/>
        <v>139.900074</v>
      </c>
      <c r="K1138" s="68" t="b">
        <v>1</v>
      </c>
    </row>
    <row r="1139" hidden="1">
      <c r="A1139" s="75">
        <v>1133.0</v>
      </c>
      <c r="B1139" s="62" t="s">
        <v>744</v>
      </c>
      <c r="C1139" s="62" t="s">
        <v>110</v>
      </c>
      <c r="D1139" s="62" t="s">
        <v>745</v>
      </c>
      <c r="E1139" s="76">
        <v>44000.0</v>
      </c>
      <c r="F1139" s="77">
        <v>0.08333333333333333</v>
      </c>
      <c r="G1139" s="62" t="b">
        <v>1</v>
      </c>
      <c r="H1139" s="78" t="b">
        <f>IF(VLOOKUP(C1139,Projetos!A:L,12,false)=TRUE,TRUE,FALSE)</f>
        <v>1</v>
      </c>
      <c r="I1139" s="68">
        <v>27.980014792814504</v>
      </c>
      <c r="J1139" s="68">
        <f t="shared" si="1"/>
        <v>55.96002959</v>
      </c>
      <c r="K1139" s="68" t="b">
        <v>1</v>
      </c>
    </row>
    <row r="1140" hidden="1">
      <c r="A1140" s="75">
        <v>1134.0</v>
      </c>
      <c r="B1140" s="62" t="s">
        <v>744</v>
      </c>
      <c r="C1140" s="62" t="s">
        <v>115</v>
      </c>
      <c r="D1140" s="62" t="s">
        <v>750</v>
      </c>
      <c r="E1140" s="76">
        <v>44001.0</v>
      </c>
      <c r="F1140" s="77">
        <v>0.25</v>
      </c>
      <c r="G1140" s="62" t="b">
        <v>1</v>
      </c>
      <c r="H1140" s="78" t="b">
        <f>IF(VLOOKUP(C1140,Projetos!A:L,12,false)=TRUE,TRUE,FALSE)</f>
        <v>1</v>
      </c>
      <c r="I1140" s="68">
        <v>27.980014792814504</v>
      </c>
      <c r="J1140" s="68">
        <f t="shared" si="1"/>
        <v>167.8800888</v>
      </c>
      <c r="K1140" s="68" t="b">
        <v>1</v>
      </c>
    </row>
    <row r="1141" hidden="1">
      <c r="A1141" s="75">
        <v>1135.0</v>
      </c>
      <c r="B1141" s="62" t="s">
        <v>744</v>
      </c>
      <c r="C1141" s="62" t="s">
        <v>115</v>
      </c>
      <c r="D1141" s="62" t="s">
        <v>750</v>
      </c>
      <c r="E1141" s="76">
        <v>44004.0</v>
      </c>
      <c r="F1141" s="77">
        <v>0.25</v>
      </c>
      <c r="G1141" s="62" t="b">
        <v>1</v>
      </c>
      <c r="H1141" s="78" t="b">
        <f>IF(VLOOKUP(C1141,Projetos!A:L,12,false)=TRUE,TRUE,FALSE)</f>
        <v>1</v>
      </c>
      <c r="I1141" s="68">
        <v>27.980014792814504</v>
      </c>
      <c r="J1141" s="68">
        <f t="shared" si="1"/>
        <v>167.8800888</v>
      </c>
      <c r="K1141" s="68" t="b">
        <v>1</v>
      </c>
    </row>
    <row r="1142" hidden="1">
      <c r="A1142" s="75">
        <v>1136.0</v>
      </c>
      <c r="B1142" s="62" t="s">
        <v>744</v>
      </c>
      <c r="C1142" s="62" t="s">
        <v>109</v>
      </c>
      <c r="D1142" s="62" t="s">
        <v>750</v>
      </c>
      <c r="E1142" s="76">
        <v>44005.0</v>
      </c>
      <c r="F1142" s="77">
        <v>0.16666666666666666</v>
      </c>
      <c r="G1142" s="62" t="b">
        <v>0</v>
      </c>
      <c r="H1142" s="78" t="b">
        <f>IF(VLOOKUP(C1142,Projetos!A:L,12,false)=TRUE,TRUE,FALSE)</f>
        <v>0</v>
      </c>
      <c r="I1142" s="68">
        <v>27.980014792814504</v>
      </c>
      <c r="J1142" s="68">
        <f t="shared" si="1"/>
        <v>0</v>
      </c>
      <c r="K1142" s="68" t="b">
        <v>0</v>
      </c>
    </row>
    <row r="1143">
      <c r="A1143" s="75">
        <v>1137.0</v>
      </c>
      <c r="B1143" s="62" t="s">
        <v>744</v>
      </c>
      <c r="C1143" s="62" t="s">
        <v>104</v>
      </c>
      <c r="D1143" s="62" t="s">
        <v>749</v>
      </c>
      <c r="E1143" s="76">
        <v>44005.0</v>
      </c>
      <c r="F1143" s="77">
        <v>0.14583333333333334</v>
      </c>
      <c r="G1143" s="62" t="b">
        <v>1</v>
      </c>
      <c r="H1143" s="78" t="b">
        <f>IF(VLOOKUP(C1143,Projetos!A:L,12,false)=TRUE,TRUE,FALSE)</f>
        <v>1</v>
      </c>
      <c r="I1143" s="68">
        <v>27.980014792814504</v>
      </c>
      <c r="J1143" s="68">
        <f t="shared" si="1"/>
        <v>97.93005177</v>
      </c>
      <c r="K1143" s="68" t="b">
        <v>1</v>
      </c>
    </row>
    <row r="1144">
      <c r="A1144" s="75">
        <v>1138.0</v>
      </c>
      <c r="B1144" s="62" t="s">
        <v>744</v>
      </c>
      <c r="C1144" s="62" t="s">
        <v>104</v>
      </c>
      <c r="D1144" s="62" t="s">
        <v>749</v>
      </c>
      <c r="E1144" s="76">
        <v>44006.0</v>
      </c>
      <c r="F1144" s="77">
        <v>0.20833333333333334</v>
      </c>
      <c r="G1144" s="62" t="b">
        <v>1</v>
      </c>
      <c r="H1144" s="78" t="b">
        <f>IF(VLOOKUP(C1144,Projetos!A:L,12,false)=TRUE,TRUE,FALSE)</f>
        <v>1</v>
      </c>
      <c r="I1144" s="68">
        <v>27.980014792814504</v>
      </c>
      <c r="J1144" s="68">
        <f t="shared" si="1"/>
        <v>139.900074</v>
      </c>
      <c r="K1144" s="68" t="b">
        <v>1</v>
      </c>
    </row>
    <row r="1145" hidden="1">
      <c r="A1145" s="75">
        <v>1139.0</v>
      </c>
      <c r="B1145" s="62" t="s">
        <v>744</v>
      </c>
      <c r="C1145" s="62" t="s">
        <v>109</v>
      </c>
      <c r="D1145" s="62" t="s">
        <v>750</v>
      </c>
      <c r="E1145" s="76">
        <v>44006.0</v>
      </c>
      <c r="F1145" s="77">
        <v>0.14583333333333334</v>
      </c>
      <c r="G1145" s="62" t="b">
        <v>0</v>
      </c>
      <c r="H1145" s="78" t="b">
        <f>IF(VLOOKUP(C1145,Projetos!A:L,12,false)=TRUE,TRUE,FALSE)</f>
        <v>0</v>
      </c>
      <c r="I1145" s="68">
        <v>27.980014792814504</v>
      </c>
      <c r="J1145" s="68">
        <f t="shared" si="1"/>
        <v>0</v>
      </c>
      <c r="K1145" s="68" t="b">
        <v>0</v>
      </c>
    </row>
    <row r="1146">
      <c r="A1146" s="75">
        <v>1140.0</v>
      </c>
      <c r="B1146" s="62" t="s">
        <v>744</v>
      </c>
      <c r="C1146" s="62" t="s">
        <v>104</v>
      </c>
      <c r="D1146" s="62" t="s">
        <v>749</v>
      </c>
      <c r="E1146" s="76">
        <v>44007.0</v>
      </c>
      <c r="F1146" s="77">
        <v>0.20833333333333334</v>
      </c>
      <c r="G1146" s="62" t="b">
        <v>1</v>
      </c>
      <c r="H1146" s="78" t="b">
        <f>IF(VLOOKUP(C1146,Projetos!A:L,12,false)=TRUE,TRUE,FALSE)</f>
        <v>1</v>
      </c>
      <c r="I1146" s="68">
        <v>27.980014792814504</v>
      </c>
      <c r="J1146" s="68">
        <f t="shared" si="1"/>
        <v>139.900074</v>
      </c>
      <c r="K1146" s="68" t="b">
        <v>1</v>
      </c>
    </row>
    <row r="1147" hidden="1">
      <c r="A1147" s="75">
        <v>1141.0</v>
      </c>
      <c r="B1147" s="62" t="s">
        <v>744</v>
      </c>
      <c r="C1147" s="62" t="s">
        <v>109</v>
      </c>
      <c r="D1147" s="62" t="s">
        <v>750</v>
      </c>
      <c r="E1147" s="76">
        <v>44007.0</v>
      </c>
      <c r="F1147" s="77">
        <v>0.14583333333333334</v>
      </c>
      <c r="G1147" s="62" t="b">
        <v>0</v>
      </c>
      <c r="H1147" s="78" t="b">
        <f>IF(VLOOKUP(C1147,Projetos!A:L,12,false)=TRUE,TRUE,FALSE)</f>
        <v>0</v>
      </c>
      <c r="I1147" s="68">
        <v>27.980014792814504</v>
      </c>
      <c r="J1147" s="68">
        <f t="shared" si="1"/>
        <v>0</v>
      </c>
      <c r="K1147" s="68" t="b">
        <v>0</v>
      </c>
    </row>
    <row r="1148" hidden="1">
      <c r="A1148" s="75">
        <v>1142.0</v>
      </c>
      <c r="B1148" s="62" t="s">
        <v>744</v>
      </c>
      <c r="C1148" s="62" t="s">
        <v>109</v>
      </c>
      <c r="D1148" s="62" t="s">
        <v>750</v>
      </c>
      <c r="E1148" s="76">
        <v>44008.0</v>
      </c>
      <c r="F1148" s="77">
        <v>0.17708333333333334</v>
      </c>
      <c r="G1148" s="62" t="b">
        <v>0</v>
      </c>
      <c r="H1148" s="78" t="b">
        <f>IF(VLOOKUP(C1148,Projetos!A:L,12,false)=TRUE,TRUE,FALSE)</f>
        <v>0</v>
      </c>
      <c r="I1148" s="68">
        <v>27.980014792814504</v>
      </c>
      <c r="J1148" s="68">
        <f t="shared" si="1"/>
        <v>0</v>
      </c>
      <c r="K1148" s="68" t="b">
        <v>0</v>
      </c>
    </row>
    <row r="1149">
      <c r="A1149" s="75">
        <v>1143.0</v>
      </c>
      <c r="B1149" s="62" t="s">
        <v>744</v>
      </c>
      <c r="C1149" s="62" t="s">
        <v>104</v>
      </c>
      <c r="D1149" s="62" t="s">
        <v>749</v>
      </c>
      <c r="E1149" s="76">
        <v>44008.0</v>
      </c>
      <c r="F1149" s="77">
        <v>0.1875</v>
      </c>
      <c r="G1149" s="62" t="b">
        <v>1</v>
      </c>
      <c r="H1149" s="78" t="b">
        <f>IF(VLOOKUP(C1149,Projetos!A:L,12,false)=TRUE,TRUE,FALSE)</f>
        <v>1</v>
      </c>
      <c r="I1149" s="68">
        <v>27.980014792814504</v>
      </c>
      <c r="J1149" s="68">
        <f t="shared" si="1"/>
        <v>125.9100666</v>
      </c>
      <c r="K1149" s="68" t="b">
        <v>1</v>
      </c>
    </row>
    <row r="1150">
      <c r="A1150" s="75">
        <v>1144.0</v>
      </c>
      <c r="B1150" s="62" t="s">
        <v>744</v>
      </c>
      <c r="C1150" s="62" t="s">
        <v>104</v>
      </c>
      <c r="D1150" s="62" t="s">
        <v>749</v>
      </c>
      <c r="E1150" s="76">
        <v>44011.0</v>
      </c>
      <c r="F1150" s="77">
        <v>0.20833333333333334</v>
      </c>
      <c r="G1150" s="62" t="b">
        <v>1</v>
      </c>
      <c r="H1150" s="78" t="b">
        <f>IF(VLOOKUP(C1150,Projetos!A:L,12,false)=TRUE,TRUE,FALSE)</f>
        <v>1</v>
      </c>
      <c r="I1150" s="68">
        <v>27.980014792814504</v>
      </c>
      <c r="J1150" s="68">
        <f t="shared" si="1"/>
        <v>139.900074</v>
      </c>
      <c r="K1150" s="68" t="b">
        <v>1</v>
      </c>
    </row>
    <row r="1151">
      <c r="A1151" s="75">
        <v>1145.0</v>
      </c>
      <c r="B1151" s="62" t="s">
        <v>744</v>
      </c>
      <c r="C1151" s="62" t="s">
        <v>104</v>
      </c>
      <c r="D1151" s="62" t="s">
        <v>749</v>
      </c>
      <c r="E1151" s="76">
        <v>44011.0</v>
      </c>
      <c r="F1151" s="77">
        <v>0.125</v>
      </c>
      <c r="G1151" s="62" t="b">
        <v>1</v>
      </c>
      <c r="H1151" s="78" t="b">
        <f>IF(VLOOKUP(C1151,Projetos!A:L,12,false)=TRUE,TRUE,FALSE)</f>
        <v>1</v>
      </c>
      <c r="I1151" s="68">
        <v>27.980014792814504</v>
      </c>
      <c r="J1151" s="68">
        <f t="shared" si="1"/>
        <v>83.94004438</v>
      </c>
      <c r="K1151" s="68" t="b">
        <v>1</v>
      </c>
    </row>
    <row r="1152">
      <c r="A1152" s="75">
        <v>1146.0</v>
      </c>
      <c r="B1152" s="62" t="s">
        <v>744</v>
      </c>
      <c r="C1152" s="62" t="s">
        <v>104</v>
      </c>
      <c r="D1152" s="62" t="s">
        <v>749</v>
      </c>
      <c r="E1152" s="76">
        <v>44012.0</v>
      </c>
      <c r="F1152" s="77">
        <v>0.2604166666666667</v>
      </c>
      <c r="G1152" s="62" t="b">
        <v>1</v>
      </c>
      <c r="H1152" s="78" t="b">
        <f>IF(VLOOKUP(C1152,Projetos!A:L,12,false)=TRUE,TRUE,FALSE)</f>
        <v>1</v>
      </c>
      <c r="I1152" s="68">
        <v>27.980014792814504</v>
      </c>
      <c r="J1152" s="68">
        <f t="shared" si="1"/>
        <v>174.8750925</v>
      </c>
      <c r="K1152" s="68" t="b">
        <v>1</v>
      </c>
    </row>
    <row r="1153">
      <c r="A1153" s="75">
        <v>1147.0</v>
      </c>
      <c r="B1153" s="62" t="s">
        <v>744</v>
      </c>
      <c r="C1153" s="62" t="s">
        <v>104</v>
      </c>
      <c r="D1153" s="62" t="s">
        <v>749</v>
      </c>
      <c r="E1153" s="76">
        <v>44013.0</v>
      </c>
      <c r="F1153" s="77">
        <v>0.19791666666666666</v>
      </c>
      <c r="G1153" s="62" t="b">
        <v>1</v>
      </c>
      <c r="H1153" s="78" t="b">
        <f>IF(VLOOKUP(C1153,Projetos!A:L,12,false)=TRUE,TRUE,FALSE)</f>
        <v>1</v>
      </c>
      <c r="I1153" s="68">
        <v>29.312396449615196</v>
      </c>
      <c r="J1153" s="68">
        <f t="shared" si="1"/>
        <v>139.2338831</v>
      </c>
      <c r="K1153" s="68" t="b">
        <v>1</v>
      </c>
    </row>
    <row r="1154" hidden="1">
      <c r="A1154" s="75">
        <v>1148.0</v>
      </c>
      <c r="B1154" s="62" t="s">
        <v>744</v>
      </c>
      <c r="C1154" s="62" t="s">
        <v>84</v>
      </c>
      <c r="D1154" s="62" t="s">
        <v>750</v>
      </c>
      <c r="E1154" s="76">
        <v>44013.0</v>
      </c>
      <c r="F1154" s="77">
        <v>0.041666666666666664</v>
      </c>
      <c r="G1154" s="62" t="b">
        <v>1</v>
      </c>
      <c r="H1154" s="78" t="b">
        <f>IF(VLOOKUP(C1154,Projetos!A:L,12,false)=TRUE,TRUE,FALSE)</f>
        <v>1</v>
      </c>
      <c r="I1154" s="68">
        <v>29.312396449615196</v>
      </c>
      <c r="J1154" s="68">
        <f t="shared" si="1"/>
        <v>29.31239645</v>
      </c>
      <c r="K1154" s="68" t="b">
        <v>1</v>
      </c>
    </row>
    <row r="1155" hidden="1">
      <c r="A1155" s="75">
        <v>1149.0</v>
      </c>
      <c r="B1155" s="62" t="s">
        <v>744</v>
      </c>
      <c r="C1155" s="62" t="s">
        <v>109</v>
      </c>
      <c r="D1155" s="62" t="s">
        <v>750</v>
      </c>
      <c r="E1155" s="76">
        <v>44013.0</v>
      </c>
      <c r="F1155" s="77">
        <v>0.08333333333333333</v>
      </c>
      <c r="G1155" s="62" t="b">
        <v>0</v>
      </c>
      <c r="H1155" s="78" t="b">
        <f>IF(VLOOKUP(C1155,Projetos!A:L,12,false)=TRUE,TRUE,FALSE)</f>
        <v>0</v>
      </c>
      <c r="I1155" s="68">
        <v>29.312396449615196</v>
      </c>
      <c r="J1155" s="68">
        <f t="shared" si="1"/>
        <v>0</v>
      </c>
      <c r="K1155" s="68" t="b">
        <v>0</v>
      </c>
    </row>
    <row r="1156" hidden="1">
      <c r="A1156" s="75">
        <v>1150.0</v>
      </c>
      <c r="B1156" s="62" t="s">
        <v>744</v>
      </c>
      <c r="C1156" s="62" t="s">
        <v>110</v>
      </c>
      <c r="D1156" s="62" t="s">
        <v>745</v>
      </c>
      <c r="E1156" s="76">
        <v>44014.0</v>
      </c>
      <c r="F1156" s="77">
        <v>0.21875</v>
      </c>
      <c r="G1156" s="62" t="b">
        <v>1</v>
      </c>
      <c r="H1156" s="78" t="b">
        <f>IF(VLOOKUP(C1156,Projetos!A:L,12,false)=TRUE,TRUE,FALSE)</f>
        <v>1</v>
      </c>
      <c r="I1156" s="68">
        <v>29.312396449615196</v>
      </c>
      <c r="J1156" s="68">
        <f t="shared" si="1"/>
        <v>153.8900814</v>
      </c>
      <c r="K1156" s="68" t="b">
        <v>1</v>
      </c>
    </row>
    <row r="1157" hidden="1">
      <c r="A1157" s="75">
        <v>1151.0</v>
      </c>
      <c r="B1157" s="62" t="s">
        <v>744</v>
      </c>
      <c r="C1157" s="62" t="s">
        <v>110</v>
      </c>
      <c r="D1157" s="62" t="s">
        <v>745</v>
      </c>
      <c r="E1157" s="76">
        <v>44015.0</v>
      </c>
      <c r="F1157" s="77">
        <v>0.20833333333333334</v>
      </c>
      <c r="G1157" s="62" t="b">
        <v>1</v>
      </c>
      <c r="H1157" s="78" t="b">
        <f>IF(VLOOKUP(C1157,Projetos!A:L,12,false)=TRUE,TRUE,FALSE)</f>
        <v>1</v>
      </c>
      <c r="I1157" s="68">
        <v>29.312396449615196</v>
      </c>
      <c r="J1157" s="68">
        <f t="shared" si="1"/>
        <v>146.5619822</v>
      </c>
      <c r="K1157" s="68" t="b">
        <v>1</v>
      </c>
    </row>
    <row r="1158" hidden="1">
      <c r="A1158" s="75">
        <v>1152.0</v>
      </c>
      <c r="B1158" s="62" t="s">
        <v>744</v>
      </c>
      <c r="C1158" s="62" t="s">
        <v>110</v>
      </c>
      <c r="D1158" s="62" t="s">
        <v>745</v>
      </c>
      <c r="E1158" s="76">
        <v>44018.0</v>
      </c>
      <c r="F1158" s="77">
        <v>0.19791666666666666</v>
      </c>
      <c r="G1158" s="62" t="b">
        <v>1</v>
      </c>
      <c r="H1158" s="78" t="b">
        <f>IF(VLOOKUP(C1158,Projetos!A:L,12,false)=TRUE,TRUE,FALSE)</f>
        <v>1</v>
      </c>
      <c r="I1158" s="68">
        <v>29.312396449615196</v>
      </c>
      <c r="J1158" s="68">
        <f t="shared" si="1"/>
        <v>139.2338831</v>
      </c>
      <c r="K1158" s="68" t="b">
        <v>1</v>
      </c>
    </row>
    <row r="1159">
      <c r="A1159" s="75">
        <v>1153.0</v>
      </c>
      <c r="B1159" s="62" t="s">
        <v>744</v>
      </c>
      <c r="C1159" s="62" t="s">
        <v>104</v>
      </c>
      <c r="D1159" s="62" t="s">
        <v>749</v>
      </c>
      <c r="E1159" s="76">
        <v>44018.0</v>
      </c>
      <c r="F1159" s="77">
        <v>0.08333333333333333</v>
      </c>
      <c r="G1159" s="62" t="b">
        <v>1</v>
      </c>
      <c r="H1159" s="78" t="b">
        <f>IF(VLOOKUP(C1159,Projetos!A:L,12,false)=TRUE,TRUE,FALSE)</f>
        <v>1</v>
      </c>
      <c r="I1159" s="68">
        <v>29.312396449615196</v>
      </c>
      <c r="J1159" s="68">
        <f t="shared" si="1"/>
        <v>58.6247929</v>
      </c>
      <c r="K1159" s="68" t="b">
        <v>1</v>
      </c>
    </row>
    <row r="1160">
      <c r="A1160" s="75">
        <v>1154.0</v>
      </c>
      <c r="B1160" s="62" t="s">
        <v>744</v>
      </c>
      <c r="C1160" s="62" t="s">
        <v>104</v>
      </c>
      <c r="D1160" s="62" t="s">
        <v>749</v>
      </c>
      <c r="E1160" s="76">
        <v>44019.0</v>
      </c>
      <c r="F1160" s="77">
        <v>0.20833333333333334</v>
      </c>
      <c r="G1160" s="62" t="b">
        <v>1</v>
      </c>
      <c r="H1160" s="78" t="b">
        <f>IF(VLOOKUP(C1160,Projetos!A:L,12,false)=TRUE,TRUE,FALSE)</f>
        <v>1</v>
      </c>
      <c r="I1160" s="68">
        <v>29.312396449615196</v>
      </c>
      <c r="J1160" s="68">
        <f t="shared" si="1"/>
        <v>146.5619822</v>
      </c>
      <c r="K1160" s="68" t="b">
        <v>1</v>
      </c>
    </row>
    <row r="1161" hidden="1">
      <c r="A1161" s="75">
        <v>1155.0</v>
      </c>
      <c r="B1161" s="62" t="s">
        <v>744</v>
      </c>
      <c r="C1161" s="62" t="s">
        <v>110</v>
      </c>
      <c r="D1161" s="62" t="s">
        <v>745</v>
      </c>
      <c r="E1161" s="76">
        <v>44019.0</v>
      </c>
      <c r="F1161" s="77">
        <v>0.08333333333333333</v>
      </c>
      <c r="G1161" s="62" t="b">
        <v>1</v>
      </c>
      <c r="H1161" s="78" t="b">
        <f>IF(VLOOKUP(C1161,Projetos!A:L,12,false)=TRUE,TRUE,FALSE)</f>
        <v>1</v>
      </c>
      <c r="I1161" s="68">
        <v>29.312396449615196</v>
      </c>
      <c r="J1161" s="68">
        <f t="shared" si="1"/>
        <v>58.6247929</v>
      </c>
      <c r="K1161" s="68" t="b">
        <v>1</v>
      </c>
    </row>
    <row r="1162" hidden="1">
      <c r="A1162" s="75">
        <v>1156.0</v>
      </c>
      <c r="B1162" s="62" t="s">
        <v>744</v>
      </c>
      <c r="C1162" s="62" t="s">
        <v>138</v>
      </c>
      <c r="D1162" s="62" t="s">
        <v>749</v>
      </c>
      <c r="E1162" s="76">
        <v>44020.0</v>
      </c>
      <c r="F1162" s="77">
        <v>0.20833333333333334</v>
      </c>
      <c r="G1162" s="62" t="b">
        <v>1</v>
      </c>
      <c r="H1162" s="78" t="b">
        <f>IF(VLOOKUP(C1162,Projetos!A:L,12,false)=TRUE,TRUE,FALSE)</f>
        <v>1</v>
      </c>
      <c r="I1162" s="68">
        <v>29.312396449615196</v>
      </c>
      <c r="J1162" s="68">
        <f t="shared" si="1"/>
        <v>146.5619822</v>
      </c>
      <c r="K1162" s="68" t="b">
        <v>1</v>
      </c>
    </row>
    <row r="1163" hidden="1">
      <c r="A1163" s="75">
        <v>1157.0</v>
      </c>
      <c r="B1163" s="62" t="s">
        <v>744</v>
      </c>
      <c r="C1163" s="62" t="s">
        <v>138</v>
      </c>
      <c r="D1163" s="62" t="s">
        <v>749</v>
      </c>
      <c r="E1163" s="76">
        <v>44021.0</v>
      </c>
      <c r="F1163" s="77">
        <v>0.20833333333333334</v>
      </c>
      <c r="G1163" s="62" t="b">
        <v>1</v>
      </c>
      <c r="H1163" s="78" t="b">
        <f>IF(VLOOKUP(C1163,Projetos!A:L,12,false)=TRUE,TRUE,FALSE)</f>
        <v>1</v>
      </c>
      <c r="I1163" s="68">
        <v>29.312396449615196</v>
      </c>
      <c r="J1163" s="68">
        <f t="shared" si="1"/>
        <v>146.5619822</v>
      </c>
      <c r="K1163" s="68" t="b">
        <v>1</v>
      </c>
    </row>
    <row r="1164">
      <c r="A1164" s="75">
        <v>1158.0</v>
      </c>
      <c r="B1164" s="62" t="s">
        <v>744</v>
      </c>
      <c r="C1164" s="62" t="s">
        <v>104</v>
      </c>
      <c r="D1164" s="62" t="s">
        <v>749</v>
      </c>
      <c r="E1164" s="76">
        <v>44022.0</v>
      </c>
      <c r="F1164" s="77">
        <v>0.16666666666666666</v>
      </c>
      <c r="G1164" s="62" t="b">
        <v>1</v>
      </c>
      <c r="H1164" s="78" t="b">
        <f>IF(VLOOKUP(C1164,Projetos!A:L,12,false)=TRUE,TRUE,FALSE)</f>
        <v>1</v>
      </c>
      <c r="I1164" s="68">
        <v>29.312396449615196</v>
      </c>
      <c r="J1164" s="68">
        <f t="shared" si="1"/>
        <v>117.2495858</v>
      </c>
      <c r="K1164" s="68" t="b">
        <v>1</v>
      </c>
    </row>
    <row r="1165" hidden="1">
      <c r="A1165" s="75">
        <v>1159.0</v>
      </c>
      <c r="B1165" s="62" t="s">
        <v>744</v>
      </c>
      <c r="C1165" s="62" t="s">
        <v>138</v>
      </c>
      <c r="D1165" s="62" t="s">
        <v>749</v>
      </c>
      <c r="E1165" s="76">
        <v>44022.0</v>
      </c>
      <c r="F1165" s="77">
        <v>0.14583333333333334</v>
      </c>
      <c r="G1165" s="62" t="b">
        <v>1</v>
      </c>
      <c r="H1165" s="78" t="b">
        <f>IF(VLOOKUP(C1165,Projetos!A:L,12,false)=TRUE,TRUE,FALSE)</f>
        <v>1</v>
      </c>
      <c r="I1165" s="68">
        <v>29.312396449615196</v>
      </c>
      <c r="J1165" s="68">
        <f t="shared" si="1"/>
        <v>102.5933876</v>
      </c>
      <c r="K1165" s="68" t="b">
        <v>1</v>
      </c>
    </row>
    <row r="1166" hidden="1">
      <c r="A1166" s="75">
        <v>1160.0</v>
      </c>
      <c r="B1166" s="62" t="s">
        <v>744</v>
      </c>
      <c r="C1166" s="62" t="s">
        <v>138</v>
      </c>
      <c r="D1166" s="62" t="s">
        <v>749</v>
      </c>
      <c r="E1166" s="76">
        <v>44025.0</v>
      </c>
      <c r="F1166" s="77">
        <v>0.16666666666666666</v>
      </c>
      <c r="G1166" s="62" t="b">
        <v>1</v>
      </c>
      <c r="H1166" s="78" t="b">
        <f>IF(VLOOKUP(C1166,Projetos!A:L,12,false)=TRUE,TRUE,FALSE)</f>
        <v>1</v>
      </c>
      <c r="I1166" s="68">
        <v>29.312396449615196</v>
      </c>
      <c r="J1166" s="68">
        <f t="shared" si="1"/>
        <v>117.2495858</v>
      </c>
      <c r="K1166" s="68" t="b">
        <v>1</v>
      </c>
    </row>
    <row r="1167" hidden="1">
      <c r="A1167" s="75">
        <v>1161.0</v>
      </c>
      <c r="B1167" s="62" t="s">
        <v>744</v>
      </c>
      <c r="C1167" s="62" t="s">
        <v>112</v>
      </c>
      <c r="D1167" s="62" t="s">
        <v>750</v>
      </c>
      <c r="E1167" s="76">
        <v>44025.0</v>
      </c>
      <c r="F1167" s="77">
        <v>0.14583333333333334</v>
      </c>
      <c r="G1167" s="62" t="b">
        <v>1</v>
      </c>
      <c r="H1167" s="78" t="b">
        <f>IF(VLOOKUP(C1167,Projetos!A:L,12,false)=TRUE,TRUE,FALSE)</f>
        <v>1</v>
      </c>
      <c r="I1167" s="68">
        <v>29.312396449615196</v>
      </c>
      <c r="J1167" s="68">
        <f t="shared" si="1"/>
        <v>102.5933876</v>
      </c>
      <c r="K1167" s="68" t="b">
        <v>1</v>
      </c>
    </row>
    <row r="1168" hidden="1">
      <c r="A1168" s="75">
        <v>1162.0</v>
      </c>
      <c r="B1168" s="62" t="s">
        <v>744</v>
      </c>
      <c r="C1168" s="62" t="s">
        <v>112</v>
      </c>
      <c r="D1168" s="62" t="s">
        <v>750</v>
      </c>
      <c r="E1168" s="76">
        <v>44026.0</v>
      </c>
      <c r="F1168" s="77">
        <v>0.1875</v>
      </c>
      <c r="G1168" s="62" t="b">
        <v>1</v>
      </c>
      <c r="H1168" s="78" t="b">
        <f>IF(VLOOKUP(C1168,Projetos!A:L,12,false)=TRUE,TRUE,FALSE)</f>
        <v>1</v>
      </c>
      <c r="I1168" s="68">
        <v>29.312396449615196</v>
      </c>
      <c r="J1168" s="68">
        <f t="shared" si="1"/>
        <v>131.905784</v>
      </c>
      <c r="K1168" s="68" t="b">
        <v>1</v>
      </c>
    </row>
    <row r="1169" hidden="1">
      <c r="A1169" s="75">
        <v>1163.0</v>
      </c>
      <c r="B1169" s="62" t="s">
        <v>744</v>
      </c>
      <c r="C1169" s="62" t="s">
        <v>138</v>
      </c>
      <c r="D1169" s="62" t="s">
        <v>749</v>
      </c>
      <c r="E1169" s="76">
        <v>44027.0</v>
      </c>
      <c r="F1169" s="77">
        <v>0.14583333333333334</v>
      </c>
      <c r="G1169" s="62" t="b">
        <v>1</v>
      </c>
      <c r="H1169" s="78" t="b">
        <f>IF(VLOOKUP(C1169,Projetos!A:L,12,false)=TRUE,TRUE,FALSE)</f>
        <v>1</v>
      </c>
      <c r="I1169" s="68">
        <v>29.312396449615196</v>
      </c>
      <c r="J1169" s="68">
        <f t="shared" si="1"/>
        <v>102.5933876</v>
      </c>
      <c r="K1169" s="68" t="b">
        <v>1</v>
      </c>
    </row>
    <row r="1170" hidden="1">
      <c r="A1170" s="75">
        <v>1164.0</v>
      </c>
      <c r="B1170" s="62" t="s">
        <v>744</v>
      </c>
      <c r="C1170" s="62" t="s">
        <v>110</v>
      </c>
      <c r="D1170" s="62" t="s">
        <v>745</v>
      </c>
      <c r="E1170" s="76">
        <v>44027.0</v>
      </c>
      <c r="F1170" s="77">
        <v>0.20833333333333334</v>
      </c>
      <c r="G1170" s="62" t="b">
        <v>1</v>
      </c>
      <c r="H1170" s="78" t="b">
        <f>IF(VLOOKUP(C1170,Projetos!A:L,12,false)=TRUE,TRUE,FALSE)</f>
        <v>1</v>
      </c>
      <c r="I1170" s="68">
        <v>29.312396449615196</v>
      </c>
      <c r="J1170" s="68">
        <f t="shared" si="1"/>
        <v>146.5619822</v>
      </c>
      <c r="K1170" s="68" t="b">
        <v>1</v>
      </c>
    </row>
    <row r="1171" hidden="1">
      <c r="A1171" s="75">
        <v>1165.0</v>
      </c>
      <c r="B1171" s="62" t="s">
        <v>744</v>
      </c>
      <c r="C1171" s="62" t="s">
        <v>109</v>
      </c>
      <c r="D1171" s="62" t="s">
        <v>750</v>
      </c>
      <c r="E1171" s="76">
        <v>44028.0</v>
      </c>
      <c r="F1171" s="77">
        <v>0.20833333333333334</v>
      </c>
      <c r="G1171" s="62" t="b">
        <v>0</v>
      </c>
      <c r="H1171" s="78" t="b">
        <f>IF(VLOOKUP(C1171,Projetos!A:L,12,false)=TRUE,TRUE,FALSE)</f>
        <v>0</v>
      </c>
      <c r="I1171" s="68">
        <v>29.312396449615196</v>
      </c>
      <c r="J1171" s="68">
        <f t="shared" si="1"/>
        <v>0</v>
      </c>
      <c r="K1171" s="68" t="b">
        <v>0</v>
      </c>
    </row>
    <row r="1172" hidden="1">
      <c r="A1172" s="75">
        <v>1166.0</v>
      </c>
      <c r="B1172" s="62" t="s">
        <v>744</v>
      </c>
      <c r="C1172" s="62" t="s">
        <v>84</v>
      </c>
      <c r="D1172" s="62" t="s">
        <v>750</v>
      </c>
      <c r="E1172" s="76">
        <v>44028.0</v>
      </c>
      <c r="F1172" s="77">
        <v>0.041666666666666664</v>
      </c>
      <c r="G1172" s="62" t="b">
        <v>1</v>
      </c>
      <c r="H1172" s="78" t="b">
        <f>IF(VLOOKUP(C1172,Projetos!A:L,12,false)=TRUE,TRUE,FALSE)</f>
        <v>1</v>
      </c>
      <c r="I1172" s="68">
        <v>29.312396449615196</v>
      </c>
      <c r="J1172" s="68">
        <f t="shared" si="1"/>
        <v>29.31239645</v>
      </c>
      <c r="K1172" s="68" t="b">
        <v>1</v>
      </c>
    </row>
    <row r="1173" hidden="1">
      <c r="A1173" s="75">
        <v>1167.0</v>
      </c>
      <c r="B1173" s="62" t="s">
        <v>744</v>
      </c>
      <c r="C1173" s="62" t="s">
        <v>138</v>
      </c>
      <c r="D1173" s="62" t="s">
        <v>749</v>
      </c>
      <c r="E1173" s="76">
        <v>44028.0</v>
      </c>
      <c r="F1173" s="77">
        <v>0.08333333333333333</v>
      </c>
      <c r="G1173" s="62" t="b">
        <v>1</v>
      </c>
      <c r="H1173" s="78" t="b">
        <f>IF(VLOOKUP(C1173,Projetos!A:L,12,false)=TRUE,TRUE,FALSE)</f>
        <v>1</v>
      </c>
      <c r="I1173" s="68">
        <v>29.312396449615196</v>
      </c>
      <c r="J1173" s="68">
        <f t="shared" si="1"/>
        <v>58.6247929</v>
      </c>
      <c r="K1173" s="68" t="b">
        <v>1</v>
      </c>
    </row>
    <row r="1174" hidden="1">
      <c r="A1174" s="75">
        <v>1168.0</v>
      </c>
      <c r="B1174" s="62" t="s">
        <v>744</v>
      </c>
      <c r="C1174" s="62" t="s">
        <v>109</v>
      </c>
      <c r="D1174" s="62" t="s">
        <v>750</v>
      </c>
      <c r="E1174" s="76">
        <v>44029.0</v>
      </c>
      <c r="F1174" s="77">
        <v>0.08333333333333333</v>
      </c>
      <c r="G1174" s="62" t="b">
        <v>0</v>
      </c>
      <c r="H1174" s="78" t="b">
        <f>IF(VLOOKUP(C1174,Projetos!A:L,12,false)=TRUE,TRUE,FALSE)</f>
        <v>0</v>
      </c>
      <c r="I1174" s="68">
        <v>29.312396449615196</v>
      </c>
      <c r="J1174" s="68">
        <f t="shared" si="1"/>
        <v>0</v>
      </c>
      <c r="K1174" s="68" t="b">
        <v>0</v>
      </c>
    </row>
    <row r="1175" hidden="1">
      <c r="A1175" s="75">
        <v>1169.0</v>
      </c>
      <c r="B1175" s="62" t="s">
        <v>744</v>
      </c>
      <c r="C1175" s="62" t="s">
        <v>138</v>
      </c>
      <c r="D1175" s="62" t="s">
        <v>749</v>
      </c>
      <c r="E1175" s="76">
        <v>44029.0</v>
      </c>
      <c r="F1175" s="77">
        <v>0.20833333333333334</v>
      </c>
      <c r="G1175" s="62" t="b">
        <v>1</v>
      </c>
      <c r="H1175" s="78" t="b">
        <f>IF(VLOOKUP(C1175,Projetos!A:L,12,false)=TRUE,TRUE,FALSE)</f>
        <v>1</v>
      </c>
      <c r="I1175" s="68">
        <v>29.312396449615196</v>
      </c>
      <c r="J1175" s="68">
        <f t="shared" si="1"/>
        <v>146.5619822</v>
      </c>
      <c r="K1175" s="68" t="b">
        <v>1</v>
      </c>
    </row>
    <row r="1176" hidden="1">
      <c r="A1176" s="75">
        <v>1170.0</v>
      </c>
      <c r="B1176" s="62" t="s">
        <v>744</v>
      </c>
      <c r="C1176" s="62" t="s">
        <v>115</v>
      </c>
      <c r="D1176" s="62" t="s">
        <v>750</v>
      </c>
      <c r="E1176" s="76">
        <v>44032.0</v>
      </c>
      <c r="F1176" s="77">
        <v>0.20833333333333334</v>
      </c>
      <c r="G1176" s="62" t="b">
        <v>1</v>
      </c>
      <c r="H1176" s="78" t="b">
        <f>IF(VLOOKUP(C1176,Projetos!A:L,12,false)=TRUE,TRUE,FALSE)</f>
        <v>1</v>
      </c>
      <c r="I1176" s="68">
        <v>29.312396449615196</v>
      </c>
      <c r="J1176" s="68">
        <f t="shared" si="1"/>
        <v>146.5619822</v>
      </c>
      <c r="K1176" s="68" t="b">
        <v>1</v>
      </c>
    </row>
    <row r="1177" hidden="1">
      <c r="A1177" s="75">
        <v>1171.0</v>
      </c>
      <c r="B1177" s="62" t="s">
        <v>744</v>
      </c>
      <c r="C1177" s="62" t="s">
        <v>138</v>
      </c>
      <c r="D1177" s="62" t="s">
        <v>749</v>
      </c>
      <c r="E1177" s="76">
        <v>44033.0</v>
      </c>
      <c r="F1177" s="77">
        <v>0.16666666666666666</v>
      </c>
      <c r="G1177" s="62" t="b">
        <v>1</v>
      </c>
      <c r="H1177" s="78" t="b">
        <f>IF(VLOOKUP(C1177,Projetos!A:L,12,false)=TRUE,TRUE,FALSE)</f>
        <v>1</v>
      </c>
      <c r="I1177" s="68">
        <v>29.312396449615196</v>
      </c>
      <c r="J1177" s="68">
        <f t="shared" si="1"/>
        <v>117.2495858</v>
      </c>
      <c r="K1177" s="68" t="b">
        <v>1</v>
      </c>
    </row>
    <row r="1178" hidden="1">
      <c r="A1178" s="75">
        <v>1172.0</v>
      </c>
      <c r="B1178" s="62" t="s">
        <v>744</v>
      </c>
      <c r="C1178" s="62" t="s">
        <v>112</v>
      </c>
      <c r="D1178" s="62" t="s">
        <v>750</v>
      </c>
      <c r="E1178" s="76">
        <v>44033.0</v>
      </c>
      <c r="F1178" s="77">
        <v>0.1875</v>
      </c>
      <c r="G1178" s="62" t="b">
        <v>1</v>
      </c>
      <c r="H1178" s="78" t="b">
        <f>IF(VLOOKUP(C1178,Projetos!A:L,12,false)=TRUE,TRUE,FALSE)</f>
        <v>1</v>
      </c>
      <c r="I1178" s="68">
        <v>29.312396449615196</v>
      </c>
      <c r="J1178" s="68">
        <f t="shared" si="1"/>
        <v>131.905784</v>
      </c>
      <c r="K1178" s="68" t="b">
        <v>1</v>
      </c>
    </row>
    <row r="1179" hidden="1">
      <c r="A1179" s="75">
        <v>1173.0</v>
      </c>
      <c r="B1179" s="62" t="s">
        <v>744</v>
      </c>
      <c r="C1179" s="62" t="s">
        <v>112</v>
      </c>
      <c r="D1179" s="62" t="s">
        <v>750</v>
      </c>
      <c r="E1179" s="76">
        <v>44034.0</v>
      </c>
      <c r="F1179" s="77">
        <v>0.20833333333333334</v>
      </c>
      <c r="G1179" s="62" t="b">
        <v>1</v>
      </c>
      <c r="H1179" s="78" t="b">
        <f>IF(VLOOKUP(C1179,Projetos!A:L,12,false)=TRUE,TRUE,FALSE)</f>
        <v>1</v>
      </c>
      <c r="I1179" s="68">
        <v>29.312396449615196</v>
      </c>
      <c r="J1179" s="68">
        <f t="shared" si="1"/>
        <v>146.5619822</v>
      </c>
      <c r="K1179" s="68" t="b">
        <v>1</v>
      </c>
    </row>
    <row r="1180" hidden="1">
      <c r="A1180" s="75">
        <v>1174.0</v>
      </c>
      <c r="B1180" s="62" t="s">
        <v>744</v>
      </c>
      <c r="C1180" s="62" t="s">
        <v>112</v>
      </c>
      <c r="D1180" s="62" t="s">
        <v>750</v>
      </c>
      <c r="E1180" s="76">
        <v>44035.0</v>
      </c>
      <c r="F1180" s="77">
        <v>0.20833333333333334</v>
      </c>
      <c r="G1180" s="62" t="b">
        <v>1</v>
      </c>
      <c r="H1180" s="78" t="b">
        <f>IF(VLOOKUP(C1180,Projetos!A:L,12,false)=TRUE,TRUE,FALSE)</f>
        <v>1</v>
      </c>
      <c r="I1180" s="68">
        <v>29.312396449615196</v>
      </c>
      <c r="J1180" s="68">
        <f t="shared" si="1"/>
        <v>146.5619822</v>
      </c>
      <c r="K1180" s="68" t="b">
        <v>1</v>
      </c>
    </row>
    <row r="1181" hidden="1">
      <c r="A1181" s="75">
        <v>1175.0</v>
      </c>
      <c r="B1181" s="62" t="s">
        <v>744</v>
      </c>
      <c r="C1181" s="62" t="s">
        <v>112</v>
      </c>
      <c r="D1181" s="62" t="s">
        <v>750</v>
      </c>
      <c r="E1181" s="76">
        <v>44036.0</v>
      </c>
      <c r="F1181" s="77">
        <v>0.20833333333333334</v>
      </c>
      <c r="G1181" s="62" t="b">
        <v>1</v>
      </c>
      <c r="H1181" s="78" t="b">
        <f>IF(VLOOKUP(C1181,Projetos!A:L,12,false)=TRUE,TRUE,FALSE)</f>
        <v>1</v>
      </c>
      <c r="I1181" s="68">
        <v>29.312396449615196</v>
      </c>
      <c r="J1181" s="68">
        <f t="shared" si="1"/>
        <v>146.5619822</v>
      </c>
      <c r="K1181" s="68" t="b">
        <v>1</v>
      </c>
    </row>
    <row r="1182" hidden="1">
      <c r="A1182" s="75">
        <v>1176.0</v>
      </c>
      <c r="B1182" s="62" t="s">
        <v>744</v>
      </c>
      <c r="C1182" s="62" t="s">
        <v>109</v>
      </c>
      <c r="D1182" s="62" t="s">
        <v>750</v>
      </c>
      <c r="E1182" s="76">
        <v>44039.0</v>
      </c>
      <c r="F1182" s="77">
        <v>0.15625</v>
      </c>
      <c r="G1182" s="62" t="b">
        <v>0</v>
      </c>
      <c r="H1182" s="78" t="b">
        <f>IF(VLOOKUP(C1182,Projetos!A:L,12,false)=TRUE,TRUE,FALSE)</f>
        <v>0</v>
      </c>
      <c r="I1182" s="68">
        <v>29.312396449615196</v>
      </c>
      <c r="J1182" s="68">
        <f t="shared" si="1"/>
        <v>0</v>
      </c>
      <c r="K1182" s="68" t="b">
        <v>0</v>
      </c>
    </row>
    <row r="1183" hidden="1">
      <c r="A1183" s="75">
        <v>1177.0</v>
      </c>
      <c r="B1183" s="62" t="s">
        <v>744</v>
      </c>
      <c r="C1183" s="62" t="s">
        <v>112</v>
      </c>
      <c r="D1183" s="62" t="s">
        <v>750</v>
      </c>
      <c r="E1183" s="76">
        <v>44039.0</v>
      </c>
      <c r="F1183" s="77">
        <v>0.20833333333333334</v>
      </c>
      <c r="G1183" s="62" t="b">
        <v>1</v>
      </c>
      <c r="H1183" s="78" t="b">
        <f>IF(VLOOKUP(C1183,Projetos!A:L,12,false)=TRUE,TRUE,FALSE)</f>
        <v>1</v>
      </c>
      <c r="I1183" s="68">
        <v>29.312396449615196</v>
      </c>
      <c r="J1183" s="68">
        <f t="shared" si="1"/>
        <v>146.5619822</v>
      </c>
      <c r="K1183" s="68" t="b">
        <v>1</v>
      </c>
    </row>
    <row r="1184" hidden="1">
      <c r="A1184" s="75">
        <v>1178.0</v>
      </c>
      <c r="B1184" s="62" t="s">
        <v>744</v>
      </c>
      <c r="C1184" s="62" t="s">
        <v>112</v>
      </c>
      <c r="D1184" s="62" t="s">
        <v>750</v>
      </c>
      <c r="E1184" s="76">
        <v>44040.0</v>
      </c>
      <c r="F1184" s="77">
        <v>0.20833333333333334</v>
      </c>
      <c r="G1184" s="62" t="b">
        <v>1</v>
      </c>
      <c r="H1184" s="78" t="b">
        <f>IF(VLOOKUP(C1184,Projetos!A:L,12,false)=TRUE,TRUE,FALSE)</f>
        <v>1</v>
      </c>
      <c r="I1184" s="68">
        <v>29.312396449615196</v>
      </c>
      <c r="J1184" s="68">
        <f t="shared" si="1"/>
        <v>146.5619822</v>
      </c>
      <c r="K1184" s="68" t="b">
        <v>1</v>
      </c>
    </row>
    <row r="1185" hidden="1">
      <c r="A1185" s="75">
        <v>1179.0</v>
      </c>
      <c r="B1185" s="62" t="s">
        <v>744</v>
      </c>
      <c r="C1185" s="62" t="s">
        <v>105</v>
      </c>
      <c r="D1185" s="62" t="s">
        <v>750</v>
      </c>
      <c r="E1185" s="76">
        <v>44040.0</v>
      </c>
      <c r="F1185" s="77">
        <v>0.15625</v>
      </c>
      <c r="G1185" s="62" t="b">
        <v>1</v>
      </c>
      <c r="H1185" s="78" t="b">
        <f>IF(VLOOKUP(C1185,Projetos!A:L,12,false)=TRUE,TRUE,FALSE)</f>
        <v>1</v>
      </c>
      <c r="I1185" s="68">
        <v>29.312396449615196</v>
      </c>
      <c r="J1185" s="68">
        <f t="shared" si="1"/>
        <v>109.9214867</v>
      </c>
      <c r="K1185" s="68" t="b">
        <v>1</v>
      </c>
    </row>
    <row r="1186" hidden="1">
      <c r="A1186" s="75">
        <v>1180.0</v>
      </c>
      <c r="B1186" s="62" t="s">
        <v>744</v>
      </c>
      <c r="C1186" s="62" t="s">
        <v>112</v>
      </c>
      <c r="D1186" s="62" t="s">
        <v>750</v>
      </c>
      <c r="E1186" s="76">
        <v>44041.0</v>
      </c>
      <c r="F1186" s="77">
        <v>0.21875</v>
      </c>
      <c r="G1186" s="62" t="b">
        <v>1</v>
      </c>
      <c r="H1186" s="78" t="b">
        <f>IF(VLOOKUP(C1186,Projetos!A:L,12,false)=TRUE,TRUE,FALSE)</f>
        <v>1</v>
      </c>
      <c r="I1186" s="68">
        <v>29.312396449615196</v>
      </c>
      <c r="J1186" s="68">
        <f t="shared" si="1"/>
        <v>153.8900814</v>
      </c>
      <c r="K1186" s="68" t="b">
        <v>1</v>
      </c>
    </row>
    <row r="1187" hidden="1">
      <c r="A1187" s="75">
        <v>1181.0</v>
      </c>
      <c r="B1187" s="62" t="s">
        <v>744</v>
      </c>
      <c r="C1187" s="62" t="s">
        <v>112</v>
      </c>
      <c r="D1187" s="62" t="s">
        <v>750</v>
      </c>
      <c r="E1187" s="76">
        <v>44042.0</v>
      </c>
      <c r="F1187" s="77">
        <v>0.21875</v>
      </c>
      <c r="G1187" s="62" t="b">
        <v>1</v>
      </c>
      <c r="H1187" s="78" t="b">
        <f>IF(VLOOKUP(C1187,Projetos!A:L,12,false)=TRUE,TRUE,FALSE)</f>
        <v>1</v>
      </c>
      <c r="I1187" s="68">
        <v>29.312396449615196</v>
      </c>
      <c r="J1187" s="68">
        <f t="shared" si="1"/>
        <v>153.8900814</v>
      </c>
      <c r="K1187" s="68" t="b">
        <v>1</v>
      </c>
    </row>
    <row r="1188" hidden="1">
      <c r="A1188" s="75">
        <v>1182.0</v>
      </c>
      <c r="B1188" s="62" t="s">
        <v>744</v>
      </c>
      <c r="C1188" s="62" t="s">
        <v>105</v>
      </c>
      <c r="D1188" s="62" t="s">
        <v>750</v>
      </c>
      <c r="E1188" s="76">
        <v>44042.0</v>
      </c>
      <c r="F1188" s="77">
        <v>0.0625</v>
      </c>
      <c r="G1188" s="62" t="b">
        <v>1</v>
      </c>
      <c r="H1188" s="78" t="b">
        <f>IF(VLOOKUP(C1188,Projetos!A:L,12,false)=TRUE,TRUE,FALSE)</f>
        <v>1</v>
      </c>
      <c r="I1188" s="68">
        <v>29.312396449615196</v>
      </c>
      <c r="J1188" s="68">
        <f t="shared" si="1"/>
        <v>43.96859467</v>
      </c>
      <c r="K1188" s="68" t="b">
        <v>1</v>
      </c>
    </row>
    <row r="1189" hidden="1">
      <c r="A1189" s="75">
        <v>1183.0</v>
      </c>
      <c r="B1189" s="62" t="s">
        <v>744</v>
      </c>
      <c r="C1189" s="62" t="s">
        <v>84</v>
      </c>
      <c r="D1189" s="62" t="s">
        <v>750</v>
      </c>
      <c r="E1189" s="76">
        <v>44042.0</v>
      </c>
      <c r="F1189" s="77">
        <v>0.041666666666666664</v>
      </c>
      <c r="G1189" s="62" t="b">
        <v>1</v>
      </c>
      <c r="H1189" s="78" t="b">
        <f>IF(VLOOKUP(C1189,Projetos!A:L,12,false)=TRUE,TRUE,FALSE)</f>
        <v>1</v>
      </c>
      <c r="I1189" s="68">
        <v>29.312396449615196</v>
      </c>
      <c r="J1189" s="68">
        <f t="shared" si="1"/>
        <v>29.31239645</v>
      </c>
      <c r="K1189" s="68" t="b">
        <v>1</v>
      </c>
    </row>
    <row r="1190" hidden="1">
      <c r="A1190" s="75">
        <v>1184.0</v>
      </c>
      <c r="B1190" s="62" t="s">
        <v>744</v>
      </c>
      <c r="C1190" s="62" t="s">
        <v>105</v>
      </c>
      <c r="D1190" s="62" t="s">
        <v>750</v>
      </c>
      <c r="E1190" s="76">
        <v>44043.0</v>
      </c>
      <c r="F1190" s="77">
        <v>0.20833333333333334</v>
      </c>
      <c r="G1190" s="62" t="b">
        <v>1</v>
      </c>
      <c r="H1190" s="78" t="b">
        <f>IF(VLOOKUP(C1190,Projetos!A:L,12,false)=TRUE,TRUE,FALSE)</f>
        <v>1</v>
      </c>
      <c r="I1190" s="68">
        <v>29.312396449615196</v>
      </c>
      <c r="J1190" s="68">
        <f t="shared" si="1"/>
        <v>146.5619822</v>
      </c>
      <c r="K1190" s="68" t="b">
        <v>1</v>
      </c>
    </row>
    <row r="1191" hidden="1">
      <c r="A1191" s="75">
        <v>1185.0</v>
      </c>
      <c r="B1191" s="62" t="s">
        <v>744</v>
      </c>
      <c r="C1191" s="62" t="s">
        <v>138</v>
      </c>
      <c r="D1191" s="62" t="s">
        <v>749</v>
      </c>
      <c r="E1191" s="76">
        <v>44046.0</v>
      </c>
      <c r="F1191" s="77">
        <v>0.25</v>
      </c>
      <c r="G1191" s="62" t="b">
        <v>1</v>
      </c>
      <c r="H1191" s="78" t="b">
        <f>IF(VLOOKUP(C1191,Projetos!A:L,12,false)=TRUE,TRUE,FALSE)</f>
        <v>1</v>
      </c>
      <c r="I1191" s="68">
        <v>29.312396449615196</v>
      </c>
      <c r="J1191" s="68">
        <f t="shared" si="1"/>
        <v>175.8743787</v>
      </c>
      <c r="K1191" s="68" t="b">
        <v>1</v>
      </c>
    </row>
    <row r="1192" hidden="1">
      <c r="A1192" s="75">
        <v>1186.0</v>
      </c>
      <c r="B1192" s="62" t="s">
        <v>744</v>
      </c>
      <c r="C1192" s="62" t="s">
        <v>112</v>
      </c>
      <c r="D1192" s="62" t="s">
        <v>750</v>
      </c>
      <c r="E1192" s="76">
        <v>44047.0</v>
      </c>
      <c r="F1192" s="77">
        <v>0.20833333333333334</v>
      </c>
      <c r="G1192" s="62" t="b">
        <v>1</v>
      </c>
      <c r="H1192" s="78" t="b">
        <f>IF(VLOOKUP(C1192,Projetos!A:L,12,false)=TRUE,TRUE,FALSE)</f>
        <v>1</v>
      </c>
      <c r="I1192" s="68">
        <v>29.312396449615196</v>
      </c>
      <c r="J1192" s="68">
        <f t="shared" si="1"/>
        <v>146.5619822</v>
      </c>
      <c r="K1192" s="68" t="b">
        <v>1</v>
      </c>
    </row>
    <row r="1193" hidden="1">
      <c r="A1193" s="75">
        <v>1187.0</v>
      </c>
      <c r="B1193" s="62" t="s">
        <v>744</v>
      </c>
      <c r="C1193" s="62" t="s">
        <v>112</v>
      </c>
      <c r="D1193" s="62" t="s">
        <v>750</v>
      </c>
      <c r="E1193" s="76">
        <v>44047.0</v>
      </c>
      <c r="F1193" s="77">
        <v>0.15625</v>
      </c>
      <c r="G1193" s="62" t="b">
        <v>1</v>
      </c>
      <c r="H1193" s="78" t="b">
        <f>IF(VLOOKUP(C1193,Projetos!A:L,12,false)=TRUE,TRUE,FALSE)</f>
        <v>1</v>
      </c>
      <c r="I1193" s="68">
        <v>29.312396449615196</v>
      </c>
      <c r="J1193" s="68">
        <f t="shared" si="1"/>
        <v>109.9214867</v>
      </c>
      <c r="K1193" s="68" t="b">
        <v>1</v>
      </c>
    </row>
    <row r="1194" hidden="1">
      <c r="A1194" s="75">
        <v>1188.0</v>
      </c>
      <c r="B1194" s="62" t="s">
        <v>744</v>
      </c>
      <c r="C1194" s="62" t="s">
        <v>112</v>
      </c>
      <c r="D1194" s="62" t="s">
        <v>750</v>
      </c>
      <c r="E1194" s="76">
        <v>44048.0</v>
      </c>
      <c r="F1194" s="77">
        <v>0.23958333333333334</v>
      </c>
      <c r="G1194" s="62" t="b">
        <v>1</v>
      </c>
      <c r="H1194" s="78" t="b">
        <f>IF(VLOOKUP(C1194,Projetos!A:L,12,false)=TRUE,TRUE,FALSE)</f>
        <v>1</v>
      </c>
      <c r="I1194" s="68">
        <v>29.312396449615196</v>
      </c>
      <c r="J1194" s="68">
        <f t="shared" si="1"/>
        <v>168.5462796</v>
      </c>
      <c r="K1194" s="68" t="b">
        <v>1</v>
      </c>
    </row>
    <row r="1195" hidden="1">
      <c r="A1195" s="75">
        <v>1189.0</v>
      </c>
      <c r="B1195" s="62" t="s">
        <v>744</v>
      </c>
      <c r="C1195" s="62" t="s">
        <v>138</v>
      </c>
      <c r="D1195" s="62" t="s">
        <v>749</v>
      </c>
      <c r="E1195" s="76">
        <v>44049.0</v>
      </c>
      <c r="F1195" s="77">
        <v>0.23958333333333334</v>
      </c>
      <c r="G1195" s="62" t="b">
        <v>1</v>
      </c>
      <c r="H1195" s="78" t="b">
        <f>IF(VLOOKUP(C1195,Projetos!A:L,12,false)=TRUE,TRUE,FALSE)</f>
        <v>1</v>
      </c>
      <c r="I1195" s="68">
        <v>29.312396449615196</v>
      </c>
      <c r="J1195" s="68">
        <f t="shared" si="1"/>
        <v>168.5462796</v>
      </c>
      <c r="K1195" s="68" t="b">
        <v>1</v>
      </c>
    </row>
    <row r="1196">
      <c r="A1196" s="75">
        <v>1190.0</v>
      </c>
      <c r="B1196" s="62" t="s">
        <v>744</v>
      </c>
      <c r="C1196" s="62" t="s">
        <v>104</v>
      </c>
      <c r="D1196" s="62" t="s">
        <v>749</v>
      </c>
      <c r="E1196" s="76">
        <v>44050.0</v>
      </c>
      <c r="F1196" s="77">
        <v>0.16666666666666666</v>
      </c>
      <c r="G1196" s="62" t="b">
        <v>1</v>
      </c>
      <c r="H1196" s="78" t="b">
        <f>IF(VLOOKUP(C1196,Projetos!A:L,12,false)=TRUE,TRUE,FALSE)</f>
        <v>1</v>
      </c>
      <c r="I1196" s="68">
        <v>29.312396449615196</v>
      </c>
      <c r="J1196" s="68">
        <f t="shared" si="1"/>
        <v>117.2495858</v>
      </c>
      <c r="K1196" s="68" t="b">
        <v>1</v>
      </c>
    </row>
    <row r="1197" hidden="1">
      <c r="A1197" s="75">
        <v>1191.0</v>
      </c>
      <c r="B1197" s="62" t="s">
        <v>744</v>
      </c>
      <c r="C1197" s="62" t="s">
        <v>110</v>
      </c>
      <c r="D1197" s="62" t="s">
        <v>745</v>
      </c>
      <c r="E1197" s="76">
        <v>44050.0</v>
      </c>
      <c r="F1197" s="77">
        <v>0.15625</v>
      </c>
      <c r="G1197" s="62" t="b">
        <v>1</v>
      </c>
      <c r="H1197" s="78" t="b">
        <f>IF(VLOOKUP(C1197,Projetos!A:L,12,false)=TRUE,TRUE,FALSE)</f>
        <v>1</v>
      </c>
      <c r="I1197" s="68">
        <v>29.312396449615196</v>
      </c>
      <c r="J1197" s="68">
        <f t="shared" si="1"/>
        <v>109.9214867</v>
      </c>
      <c r="K1197" s="68" t="b">
        <v>1</v>
      </c>
    </row>
    <row r="1198">
      <c r="A1198" s="75">
        <v>1192.0</v>
      </c>
      <c r="B1198" s="62" t="s">
        <v>744</v>
      </c>
      <c r="C1198" s="62" t="s">
        <v>104</v>
      </c>
      <c r="D1198" s="62" t="s">
        <v>749</v>
      </c>
      <c r="E1198" s="76">
        <v>44053.0</v>
      </c>
      <c r="F1198" s="77">
        <v>0.20833333333333334</v>
      </c>
      <c r="G1198" s="62" t="b">
        <v>1</v>
      </c>
      <c r="H1198" s="78" t="b">
        <f>IF(VLOOKUP(C1198,Projetos!A:L,12,false)=TRUE,TRUE,FALSE)</f>
        <v>1</v>
      </c>
      <c r="I1198" s="68">
        <v>29.312396449615196</v>
      </c>
      <c r="J1198" s="68">
        <f t="shared" si="1"/>
        <v>146.5619822</v>
      </c>
      <c r="K1198" s="68" t="b">
        <v>1</v>
      </c>
    </row>
    <row r="1199" hidden="1">
      <c r="A1199" s="75">
        <v>1193.0</v>
      </c>
      <c r="B1199" s="62" t="s">
        <v>744</v>
      </c>
      <c r="C1199" s="62" t="s">
        <v>112</v>
      </c>
      <c r="D1199" s="62" t="s">
        <v>750</v>
      </c>
      <c r="E1199" s="76">
        <v>44053.0</v>
      </c>
      <c r="F1199" s="77">
        <v>0.13541666666666666</v>
      </c>
      <c r="G1199" s="62" t="b">
        <v>1</v>
      </c>
      <c r="H1199" s="78" t="b">
        <f>IF(VLOOKUP(C1199,Projetos!A:L,12,false)=TRUE,TRUE,FALSE)</f>
        <v>1</v>
      </c>
      <c r="I1199" s="68">
        <v>29.312396449615196</v>
      </c>
      <c r="J1199" s="68">
        <f t="shared" si="1"/>
        <v>95.26528846</v>
      </c>
      <c r="K1199" s="68" t="b">
        <v>1</v>
      </c>
    </row>
    <row r="1200">
      <c r="A1200" s="75">
        <v>1194.0</v>
      </c>
      <c r="B1200" s="62" t="s">
        <v>744</v>
      </c>
      <c r="C1200" s="62" t="s">
        <v>104</v>
      </c>
      <c r="D1200" s="62" t="s">
        <v>749</v>
      </c>
      <c r="E1200" s="76">
        <v>44054.0</v>
      </c>
      <c r="F1200" s="77">
        <v>0.15625</v>
      </c>
      <c r="G1200" s="62" t="b">
        <v>1</v>
      </c>
      <c r="H1200" s="78" t="b">
        <f>IF(VLOOKUP(C1200,Projetos!A:L,12,false)=TRUE,TRUE,FALSE)</f>
        <v>1</v>
      </c>
      <c r="I1200" s="68">
        <v>29.312396449615196</v>
      </c>
      <c r="J1200" s="68">
        <f t="shared" si="1"/>
        <v>109.9214867</v>
      </c>
      <c r="K1200" s="68" t="b">
        <v>1</v>
      </c>
    </row>
    <row r="1201" hidden="1">
      <c r="A1201" s="75">
        <v>1195.0</v>
      </c>
      <c r="B1201" s="62" t="s">
        <v>744</v>
      </c>
      <c r="C1201" s="62" t="s">
        <v>138</v>
      </c>
      <c r="D1201" s="62" t="s">
        <v>749</v>
      </c>
      <c r="E1201" s="76">
        <v>44054.0</v>
      </c>
      <c r="F1201" s="77">
        <v>0.08333333333333333</v>
      </c>
      <c r="G1201" s="62" t="b">
        <v>1</v>
      </c>
      <c r="H1201" s="78" t="b">
        <f>IF(VLOOKUP(C1201,Projetos!A:L,12,false)=TRUE,TRUE,FALSE)</f>
        <v>1</v>
      </c>
      <c r="I1201" s="68">
        <v>29.312396449615196</v>
      </c>
      <c r="J1201" s="68">
        <f t="shared" si="1"/>
        <v>58.6247929</v>
      </c>
      <c r="K1201" s="68" t="b">
        <v>1</v>
      </c>
    </row>
    <row r="1202" hidden="1">
      <c r="A1202" s="75">
        <v>1196.0</v>
      </c>
      <c r="B1202" s="62" t="s">
        <v>744</v>
      </c>
      <c r="C1202" s="62" t="s">
        <v>112</v>
      </c>
      <c r="D1202" s="62" t="s">
        <v>750</v>
      </c>
      <c r="E1202" s="76">
        <v>44054.0</v>
      </c>
      <c r="F1202" s="77">
        <v>0.125</v>
      </c>
      <c r="G1202" s="62" t="b">
        <v>1</v>
      </c>
      <c r="H1202" s="78" t="b">
        <f>IF(VLOOKUP(C1202,Projetos!A:L,12,false)=TRUE,TRUE,FALSE)</f>
        <v>1</v>
      </c>
      <c r="I1202" s="68">
        <v>29.312396449615196</v>
      </c>
      <c r="J1202" s="68">
        <f t="shared" si="1"/>
        <v>87.93718935</v>
      </c>
      <c r="K1202" s="68" t="b">
        <v>1</v>
      </c>
    </row>
    <row r="1203">
      <c r="A1203" s="75">
        <v>1197.0</v>
      </c>
      <c r="B1203" s="62" t="s">
        <v>744</v>
      </c>
      <c r="C1203" s="62" t="s">
        <v>104</v>
      </c>
      <c r="D1203" s="62" t="s">
        <v>749</v>
      </c>
      <c r="E1203" s="76">
        <v>44055.0</v>
      </c>
      <c r="F1203" s="77">
        <v>0.23958333333333334</v>
      </c>
      <c r="G1203" s="62" t="b">
        <v>1</v>
      </c>
      <c r="H1203" s="78" t="b">
        <f>IF(VLOOKUP(C1203,Projetos!A:L,12,false)=TRUE,TRUE,FALSE)</f>
        <v>1</v>
      </c>
      <c r="I1203" s="68">
        <v>29.312396449615196</v>
      </c>
      <c r="J1203" s="68">
        <f t="shared" si="1"/>
        <v>168.5462796</v>
      </c>
      <c r="K1203" s="68" t="b">
        <v>1</v>
      </c>
    </row>
    <row r="1204" hidden="1">
      <c r="A1204" s="75">
        <v>1198.0</v>
      </c>
      <c r="B1204" s="62" t="s">
        <v>744</v>
      </c>
      <c r="C1204" s="62" t="s">
        <v>112</v>
      </c>
      <c r="D1204" s="62" t="s">
        <v>750</v>
      </c>
      <c r="E1204" s="76">
        <v>44056.0</v>
      </c>
      <c r="F1204" s="77">
        <v>0.20833333333333334</v>
      </c>
      <c r="G1204" s="62" t="b">
        <v>1</v>
      </c>
      <c r="H1204" s="78" t="b">
        <f>IF(VLOOKUP(C1204,Projetos!A:L,12,false)=TRUE,TRUE,FALSE)</f>
        <v>1</v>
      </c>
      <c r="I1204" s="68">
        <v>29.312396449615196</v>
      </c>
      <c r="J1204" s="68">
        <f t="shared" si="1"/>
        <v>146.5619822</v>
      </c>
      <c r="K1204" s="68" t="b">
        <v>1</v>
      </c>
    </row>
    <row r="1205" hidden="1">
      <c r="A1205" s="75">
        <v>1199.0</v>
      </c>
      <c r="B1205" s="62" t="s">
        <v>744</v>
      </c>
      <c r="C1205" s="62" t="s">
        <v>138</v>
      </c>
      <c r="D1205" s="62" t="s">
        <v>749</v>
      </c>
      <c r="E1205" s="76">
        <v>44056.0</v>
      </c>
      <c r="F1205" s="77">
        <v>0.14583333333333334</v>
      </c>
      <c r="G1205" s="62" t="b">
        <v>1</v>
      </c>
      <c r="H1205" s="78" t="b">
        <f>IF(VLOOKUP(C1205,Projetos!A:L,12,false)=TRUE,TRUE,FALSE)</f>
        <v>1</v>
      </c>
      <c r="I1205" s="68">
        <v>29.312396449615196</v>
      </c>
      <c r="J1205" s="68">
        <f t="shared" si="1"/>
        <v>102.5933876</v>
      </c>
      <c r="K1205" s="68" t="b">
        <v>1</v>
      </c>
    </row>
    <row r="1206" hidden="1">
      <c r="A1206" s="75">
        <v>1200.0</v>
      </c>
      <c r="B1206" s="62" t="s">
        <v>744</v>
      </c>
      <c r="C1206" s="62" t="s">
        <v>112</v>
      </c>
      <c r="D1206" s="62" t="s">
        <v>750</v>
      </c>
      <c r="E1206" s="76">
        <v>44057.0</v>
      </c>
      <c r="F1206" s="77">
        <v>0.23958333333333334</v>
      </c>
      <c r="G1206" s="62" t="b">
        <v>1</v>
      </c>
      <c r="H1206" s="78" t="b">
        <f>IF(VLOOKUP(C1206,Projetos!A:L,12,false)=TRUE,TRUE,FALSE)</f>
        <v>1</v>
      </c>
      <c r="I1206" s="68">
        <v>29.312396449615196</v>
      </c>
      <c r="J1206" s="68">
        <f t="shared" si="1"/>
        <v>168.5462796</v>
      </c>
      <c r="K1206" s="68" t="b">
        <v>1</v>
      </c>
    </row>
    <row r="1207" hidden="1">
      <c r="A1207" s="75">
        <v>1201.0</v>
      </c>
      <c r="B1207" s="62" t="s">
        <v>744</v>
      </c>
      <c r="C1207" s="62" t="s">
        <v>112</v>
      </c>
      <c r="D1207" s="62" t="s">
        <v>750</v>
      </c>
      <c r="E1207" s="76">
        <v>44060.0</v>
      </c>
      <c r="F1207" s="77">
        <v>0.25</v>
      </c>
      <c r="G1207" s="62" t="b">
        <v>1</v>
      </c>
      <c r="H1207" s="78" t="b">
        <f>IF(VLOOKUP(C1207,Projetos!A:L,12,false)=TRUE,TRUE,FALSE)</f>
        <v>1</v>
      </c>
      <c r="I1207" s="68">
        <v>29.312396449615196</v>
      </c>
      <c r="J1207" s="68">
        <f t="shared" si="1"/>
        <v>175.8743787</v>
      </c>
      <c r="K1207" s="68" t="b">
        <v>1</v>
      </c>
    </row>
    <row r="1208" hidden="1">
      <c r="A1208" s="75">
        <v>1202.0</v>
      </c>
      <c r="B1208" s="62" t="s">
        <v>744</v>
      </c>
      <c r="C1208" s="62" t="s">
        <v>112</v>
      </c>
      <c r="D1208" s="62" t="s">
        <v>750</v>
      </c>
      <c r="E1208" s="76">
        <v>44061.0</v>
      </c>
      <c r="F1208" s="77">
        <v>0.23958333333333334</v>
      </c>
      <c r="G1208" s="62" t="b">
        <v>1</v>
      </c>
      <c r="H1208" s="78" t="b">
        <f>IF(VLOOKUP(C1208,Projetos!A:L,12,false)=TRUE,TRUE,FALSE)</f>
        <v>1</v>
      </c>
      <c r="I1208" s="68">
        <v>29.312396449615196</v>
      </c>
      <c r="J1208" s="68">
        <f t="shared" si="1"/>
        <v>168.5462796</v>
      </c>
      <c r="K1208" s="68" t="b">
        <v>1</v>
      </c>
    </row>
    <row r="1209" hidden="1">
      <c r="A1209" s="75">
        <v>1203.0</v>
      </c>
      <c r="B1209" s="62" t="s">
        <v>744</v>
      </c>
      <c r="C1209" s="62" t="s">
        <v>138</v>
      </c>
      <c r="D1209" s="62" t="s">
        <v>749</v>
      </c>
      <c r="E1209" s="76">
        <v>44062.0</v>
      </c>
      <c r="F1209" s="77">
        <v>0.16666666666666666</v>
      </c>
      <c r="G1209" s="62" t="b">
        <v>1</v>
      </c>
      <c r="H1209" s="78" t="b">
        <f>IF(VLOOKUP(C1209,Projetos!A:L,12,false)=TRUE,TRUE,FALSE)</f>
        <v>1</v>
      </c>
      <c r="I1209" s="68">
        <v>29.312396449615196</v>
      </c>
      <c r="J1209" s="68">
        <f t="shared" si="1"/>
        <v>117.2495858</v>
      </c>
      <c r="K1209" s="68" t="b">
        <v>1</v>
      </c>
    </row>
    <row r="1210" hidden="1">
      <c r="A1210" s="75">
        <v>1204.0</v>
      </c>
      <c r="B1210" s="62" t="s">
        <v>744</v>
      </c>
      <c r="C1210" s="62" t="s">
        <v>110</v>
      </c>
      <c r="D1210" s="62" t="s">
        <v>745</v>
      </c>
      <c r="E1210" s="76">
        <v>44067.0</v>
      </c>
      <c r="F1210" s="77">
        <v>0.19791666666666666</v>
      </c>
      <c r="G1210" s="62" t="b">
        <v>1</v>
      </c>
      <c r="H1210" s="78" t="b">
        <f>IF(VLOOKUP(C1210,Projetos!A:L,12,false)=TRUE,TRUE,FALSE)</f>
        <v>1</v>
      </c>
      <c r="I1210" s="68">
        <v>29.312396449615196</v>
      </c>
      <c r="J1210" s="68">
        <f t="shared" si="1"/>
        <v>139.2338831</v>
      </c>
      <c r="K1210" s="68" t="b">
        <v>1</v>
      </c>
    </row>
    <row r="1211" hidden="1">
      <c r="A1211" s="75">
        <v>1205.0</v>
      </c>
      <c r="B1211" s="62" t="s">
        <v>744</v>
      </c>
      <c r="C1211" s="62" t="s">
        <v>112</v>
      </c>
      <c r="D1211" s="62" t="s">
        <v>750</v>
      </c>
      <c r="E1211" s="76">
        <v>44067.0</v>
      </c>
      <c r="F1211" s="77">
        <v>0.16666666666666666</v>
      </c>
      <c r="G1211" s="62" t="b">
        <v>1</v>
      </c>
      <c r="H1211" s="78" t="b">
        <f>IF(VLOOKUP(C1211,Projetos!A:L,12,false)=TRUE,TRUE,FALSE)</f>
        <v>1</v>
      </c>
      <c r="I1211" s="68">
        <v>29.312396449615196</v>
      </c>
      <c r="J1211" s="68">
        <f t="shared" si="1"/>
        <v>117.2495858</v>
      </c>
      <c r="K1211" s="68" t="b">
        <v>1</v>
      </c>
    </row>
    <row r="1212" hidden="1">
      <c r="A1212" s="75">
        <v>1206.0</v>
      </c>
      <c r="B1212" s="62" t="s">
        <v>744</v>
      </c>
      <c r="C1212" s="62" t="s">
        <v>112</v>
      </c>
      <c r="D1212" s="62" t="s">
        <v>750</v>
      </c>
      <c r="E1212" s="76">
        <v>44068.0</v>
      </c>
      <c r="F1212" s="77">
        <v>0.08333333333333333</v>
      </c>
      <c r="G1212" s="62" t="b">
        <v>1</v>
      </c>
      <c r="H1212" s="78" t="b">
        <f>IF(VLOOKUP(C1212,Projetos!A:L,12,false)=TRUE,TRUE,FALSE)</f>
        <v>1</v>
      </c>
      <c r="I1212" s="68">
        <v>29.312396449615196</v>
      </c>
      <c r="J1212" s="68">
        <f t="shared" si="1"/>
        <v>58.6247929</v>
      </c>
      <c r="K1212" s="68" t="b">
        <v>1</v>
      </c>
    </row>
    <row r="1213" hidden="1">
      <c r="A1213" s="75">
        <v>1207.0</v>
      </c>
      <c r="B1213" s="62" t="s">
        <v>744</v>
      </c>
      <c r="C1213" s="62" t="s">
        <v>110</v>
      </c>
      <c r="D1213" s="62" t="s">
        <v>745</v>
      </c>
      <c r="E1213" s="76">
        <v>44069.0</v>
      </c>
      <c r="F1213" s="77">
        <v>0.19791666666666666</v>
      </c>
      <c r="G1213" s="62" t="b">
        <v>1</v>
      </c>
      <c r="H1213" s="78" t="b">
        <f>IF(VLOOKUP(C1213,Projetos!A:L,12,false)=TRUE,TRUE,FALSE)</f>
        <v>1</v>
      </c>
      <c r="I1213" s="68">
        <v>29.312396449615196</v>
      </c>
      <c r="J1213" s="68">
        <f t="shared" si="1"/>
        <v>139.2338831</v>
      </c>
      <c r="K1213" s="68" t="b">
        <v>1</v>
      </c>
    </row>
    <row r="1214" hidden="1">
      <c r="A1214" s="75">
        <v>1208.0</v>
      </c>
      <c r="B1214" s="62" t="s">
        <v>744</v>
      </c>
      <c r="C1214" s="62" t="s">
        <v>138</v>
      </c>
      <c r="D1214" s="62" t="s">
        <v>749</v>
      </c>
      <c r="E1214" s="76">
        <v>44069.0</v>
      </c>
      <c r="F1214" s="77">
        <v>0.125</v>
      </c>
      <c r="G1214" s="62" t="b">
        <v>1</v>
      </c>
      <c r="H1214" s="78" t="b">
        <f>IF(VLOOKUP(C1214,Projetos!A:L,12,false)=TRUE,TRUE,FALSE)</f>
        <v>1</v>
      </c>
      <c r="I1214" s="68">
        <v>29.312396449615196</v>
      </c>
      <c r="J1214" s="68">
        <f t="shared" si="1"/>
        <v>87.93718935</v>
      </c>
      <c r="K1214" s="68" t="b">
        <v>1</v>
      </c>
    </row>
    <row r="1215" hidden="1">
      <c r="A1215" s="75">
        <v>1209.0</v>
      </c>
      <c r="B1215" s="62" t="s">
        <v>744</v>
      </c>
      <c r="C1215" s="62" t="s">
        <v>138</v>
      </c>
      <c r="D1215" s="62" t="s">
        <v>749</v>
      </c>
      <c r="E1215" s="76">
        <v>44070.0</v>
      </c>
      <c r="F1215" s="77">
        <v>0.07291666666666667</v>
      </c>
      <c r="G1215" s="62" t="b">
        <v>1</v>
      </c>
      <c r="H1215" s="78" t="b">
        <f>IF(VLOOKUP(C1215,Projetos!A:L,12,false)=TRUE,TRUE,FALSE)</f>
        <v>1</v>
      </c>
      <c r="I1215" s="68">
        <v>29.312396449615196</v>
      </c>
      <c r="J1215" s="68">
        <f t="shared" si="1"/>
        <v>51.29669379</v>
      </c>
      <c r="K1215" s="68" t="b">
        <v>1</v>
      </c>
    </row>
    <row r="1216" hidden="1">
      <c r="A1216" s="75">
        <v>1210.0</v>
      </c>
      <c r="B1216" s="62" t="s">
        <v>744</v>
      </c>
      <c r="C1216" s="62" t="s">
        <v>110</v>
      </c>
      <c r="D1216" s="62" t="s">
        <v>745</v>
      </c>
      <c r="E1216" s="76">
        <v>44070.0</v>
      </c>
      <c r="F1216" s="77">
        <v>0.20833333333333334</v>
      </c>
      <c r="G1216" s="62" t="b">
        <v>1</v>
      </c>
      <c r="H1216" s="78" t="b">
        <f>IF(VLOOKUP(C1216,Projetos!A:L,12,false)=TRUE,TRUE,FALSE)</f>
        <v>1</v>
      </c>
      <c r="I1216" s="68">
        <v>29.312396449615196</v>
      </c>
      <c r="J1216" s="68">
        <f t="shared" si="1"/>
        <v>146.5619822</v>
      </c>
      <c r="K1216" s="68" t="b">
        <v>1</v>
      </c>
    </row>
    <row r="1217" hidden="1">
      <c r="A1217" s="75">
        <v>1211.0</v>
      </c>
      <c r="B1217" s="62" t="s">
        <v>744</v>
      </c>
      <c r="C1217" s="62" t="s">
        <v>86</v>
      </c>
      <c r="D1217" s="62" t="s">
        <v>751</v>
      </c>
      <c r="E1217" s="76">
        <v>44074.0</v>
      </c>
      <c r="F1217" s="77">
        <v>0.40625</v>
      </c>
      <c r="G1217" s="62" t="b">
        <v>1</v>
      </c>
      <c r="H1217" s="78" t="b">
        <f>IF(VLOOKUP(C1217,Projetos!A:L,12,false)=TRUE,TRUE,FALSE)</f>
        <v>1</v>
      </c>
      <c r="I1217" s="68">
        <v>29.312396449615196</v>
      </c>
      <c r="J1217" s="68">
        <f t="shared" si="1"/>
        <v>285.7958654</v>
      </c>
      <c r="K1217" s="68" t="b">
        <v>1</v>
      </c>
    </row>
    <row r="1218" hidden="1">
      <c r="A1218" s="75">
        <v>1212.0</v>
      </c>
      <c r="B1218" s="62" t="s">
        <v>744</v>
      </c>
      <c r="C1218" s="62" t="s">
        <v>110</v>
      </c>
      <c r="D1218" s="62" t="s">
        <v>745</v>
      </c>
      <c r="E1218" s="76">
        <v>44083.0</v>
      </c>
      <c r="F1218" s="77">
        <v>0.20833333333333334</v>
      </c>
      <c r="G1218" s="62" t="b">
        <v>1</v>
      </c>
      <c r="H1218" s="78" t="b">
        <f>IF(VLOOKUP(C1218,Projetos!A:L,12,false)=TRUE,TRUE,FALSE)</f>
        <v>1</v>
      </c>
      <c r="I1218" s="68">
        <v>27.980014792814504</v>
      </c>
      <c r="J1218" s="68">
        <f t="shared" si="1"/>
        <v>139.900074</v>
      </c>
      <c r="K1218" s="68" t="b">
        <v>1</v>
      </c>
    </row>
    <row r="1219" hidden="1">
      <c r="A1219" s="75">
        <v>1213.0</v>
      </c>
      <c r="B1219" s="62" t="s">
        <v>744</v>
      </c>
      <c r="C1219" s="62" t="s">
        <v>110</v>
      </c>
      <c r="D1219" s="62" t="s">
        <v>745</v>
      </c>
      <c r="E1219" s="76">
        <v>44084.0</v>
      </c>
      <c r="F1219" s="77">
        <v>0.19791666666666666</v>
      </c>
      <c r="G1219" s="62" t="b">
        <v>1</v>
      </c>
      <c r="H1219" s="78" t="b">
        <f>IF(VLOOKUP(C1219,Projetos!A:L,12,false)=TRUE,TRUE,FALSE)</f>
        <v>1</v>
      </c>
      <c r="I1219" s="68">
        <v>27.980014792814504</v>
      </c>
      <c r="J1219" s="68">
        <f t="shared" si="1"/>
        <v>132.9050703</v>
      </c>
      <c r="K1219" s="68" t="b">
        <v>1</v>
      </c>
    </row>
    <row r="1220" hidden="1">
      <c r="A1220" s="75">
        <v>1214.0</v>
      </c>
      <c r="B1220" s="62" t="s">
        <v>744</v>
      </c>
      <c r="C1220" s="62" t="s">
        <v>110</v>
      </c>
      <c r="D1220" s="62" t="s">
        <v>745</v>
      </c>
      <c r="E1220" s="76">
        <v>44085.0</v>
      </c>
      <c r="F1220" s="77">
        <v>0.20833333333333334</v>
      </c>
      <c r="G1220" s="62" t="b">
        <v>1</v>
      </c>
      <c r="H1220" s="78" t="b">
        <f>IF(VLOOKUP(C1220,Projetos!A:L,12,false)=TRUE,TRUE,FALSE)</f>
        <v>1</v>
      </c>
      <c r="I1220" s="68">
        <v>27.980014792814504</v>
      </c>
      <c r="J1220" s="68">
        <f t="shared" si="1"/>
        <v>139.900074</v>
      </c>
      <c r="K1220" s="68" t="b">
        <v>1</v>
      </c>
    </row>
    <row r="1221" hidden="1">
      <c r="A1221" s="75">
        <v>1215.0</v>
      </c>
      <c r="B1221" s="62" t="s">
        <v>744</v>
      </c>
      <c r="C1221" s="62" t="s">
        <v>110</v>
      </c>
      <c r="D1221" s="62" t="s">
        <v>745</v>
      </c>
      <c r="E1221" s="76">
        <v>44088.0</v>
      </c>
      <c r="F1221" s="77">
        <v>0.19791666666666666</v>
      </c>
      <c r="G1221" s="62" t="b">
        <v>1</v>
      </c>
      <c r="H1221" s="78" t="b">
        <f>IF(VLOOKUP(C1221,Projetos!A:L,12,false)=TRUE,TRUE,FALSE)</f>
        <v>1</v>
      </c>
      <c r="I1221" s="68">
        <v>27.980014792814504</v>
      </c>
      <c r="J1221" s="68">
        <f t="shared" si="1"/>
        <v>132.9050703</v>
      </c>
      <c r="K1221" s="68" t="b">
        <v>1</v>
      </c>
    </row>
    <row r="1222" hidden="1">
      <c r="A1222" s="75">
        <v>1216.0</v>
      </c>
      <c r="B1222" s="62" t="s">
        <v>744</v>
      </c>
      <c r="C1222" s="62" t="s">
        <v>105</v>
      </c>
      <c r="D1222" s="62" t="s">
        <v>750</v>
      </c>
      <c r="E1222" s="76">
        <v>44090.0</v>
      </c>
      <c r="F1222" s="77">
        <v>0.19791666666666666</v>
      </c>
      <c r="G1222" s="62" t="b">
        <v>1</v>
      </c>
      <c r="H1222" s="78" t="b">
        <f>IF(VLOOKUP(C1222,Projetos!A:L,12,false)=TRUE,TRUE,FALSE)</f>
        <v>1</v>
      </c>
      <c r="I1222" s="68">
        <v>27.980014792814504</v>
      </c>
      <c r="J1222" s="68">
        <f t="shared" si="1"/>
        <v>132.9050703</v>
      </c>
      <c r="K1222" s="68" t="b">
        <v>1</v>
      </c>
    </row>
    <row r="1223" hidden="1">
      <c r="A1223" s="75">
        <v>1217.0</v>
      </c>
      <c r="B1223" s="62" t="s">
        <v>744</v>
      </c>
      <c r="C1223" s="62" t="s">
        <v>110</v>
      </c>
      <c r="D1223" s="62" t="s">
        <v>745</v>
      </c>
      <c r="E1223" s="76">
        <v>44095.0</v>
      </c>
      <c r="F1223" s="77">
        <v>0.19791666666666666</v>
      </c>
      <c r="G1223" s="62" t="b">
        <v>1</v>
      </c>
      <c r="H1223" s="78" t="b">
        <f>IF(VLOOKUP(C1223,Projetos!A:L,12,false)=TRUE,TRUE,FALSE)</f>
        <v>1</v>
      </c>
      <c r="I1223" s="68">
        <v>27.980014792814504</v>
      </c>
      <c r="J1223" s="68">
        <f t="shared" si="1"/>
        <v>132.9050703</v>
      </c>
      <c r="K1223" s="68" t="b">
        <v>1</v>
      </c>
    </row>
    <row r="1224">
      <c r="A1224" s="75">
        <v>1218.0</v>
      </c>
      <c r="B1224" s="62" t="s">
        <v>744</v>
      </c>
      <c r="C1224" s="62" t="s">
        <v>104</v>
      </c>
      <c r="D1224" s="62" t="s">
        <v>749</v>
      </c>
      <c r="E1224" s="76">
        <v>44097.0</v>
      </c>
      <c r="F1224" s="77">
        <v>0.20833333333333334</v>
      </c>
      <c r="G1224" s="62" t="b">
        <v>1</v>
      </c>
      <c r="H1224" s="78" t="b">
        <f>IF(VLOOKUP(C1224,Projetos!A:L,12,false)=TRUE,TRUE,FALSE)</f>
        <v>1</v>
      </c>
      <c r="I1224" s="68">
        <v>27.980014792814504</v>
      </c>
      <c r="J1224" s="68">
        <f t="shared" si="1"/>
        <v>139.900074</v>
      </c>
      <c r="K1224" s="68" t="b">
        <v>1</v>
      </c>
    </row>
    <row r="1225" hidden="1">
      <c r="A1225" s="75">
        <v>1219.0</v>
      </c>
      <c r="B1225" s="62" t="s">
        <v>744</v>
      </c>
      <c r="C1225" s="62" t="s">
        <v>110</v>
      </c>
      <c r="D1225" s="62" t="s">
        <v>745</v>
      </c>
      <c r="E1225" s="76">
        <v>44102.0</v>
      </c>
      <c r="F1225" s="77">
        <v>0.19791666666666666</v>
      </c>
      <c r="G1225" s="62" t="b">
        <v>1</v>
      </c>
      <c r="H1225" s="78" t="b">
        <f>IF(VLOOKUP(C1225,Projetos!A:L,12,false)=TRUE,TRUE,FALSE)</f>
        <v>1</v>
      </c>
      <c r="I1225" s="68">
        <v>27.980014792814504</v>
      </c>
      <c r="J1225" s="68">
        <f t="shared" si="1"/>
        <v>132.9050703</v>
      </c>
      <c r="K1225" s="68" t="b">
        <v>1</v>
      </c>
    </row>
    <row r="1226" hidden="1">
      <c r="A1226" s="75">
        <v>1220.0</v>
      </c>
      <c r="B1226" s="62" t="s">
        <v>744</v>
      </c>
      <c r="C1226" s="62" t="s">
        <v>110</v>
      </c>
      <c r="D1226" s="62" t="s">
        <v>745</v>
      </c>
      <c r="E1226" s="76">
        <v>44104.0</v>
      </c>
      <c r="F1226" s="77">
        <v>0.19791666666666666</v>
      </c>
      <c r="G1226" s="62" t="b">
        <v>1</v>
      </c>
      <c r="H1226" s="78" t="b">
        <f>IF(VLOOKUP(C1226,Projetos!A:L,12,false)=TRUE,TRUE,FALSE)</f>
        <v>1</v>
      </c>
      <c r="I1226" s="68">
        <v>27.980014792814504</v>
      </c>
      <c r="J1226" s="68">
        <f t="shared" si="1"/>
        <v>132.9050703</v>
      </c>
      <c r="K1226" s="68" t="b">
        <v>1</v>
      </c>
    </row>
    <row r="1227" hidden="1">
      <c r="A1227" s="75">
        <v>1221.0</v>
      </c>
      <c r="B1227" s="62" t="s">
        <v>744</v>
      </c>
      <c r="C1227" s="62" t="s">
        <v>86</v>
      </c>
      <c r="D1227" s="62" t="s">
        <v>751</v>
      </c>
      <c r="E1227" s="76">
        <v>44075.0</v>
      </c>
      <c r="F1227" s="77">
        <v>0.40625</v>
      </c>
      <c r="G1227" s="62" t="b">
        <v>1</v>
      </c>
      <c r="H1227" s="78" t="b">
        <f>IF(VLOOKUP(C1227,Projetos!A:L,12,false)=TRUE,TRUE,FALSE)</f>
        <v>1</v>
      </c>
      <c r="I1227" s="68">
        <v>27.980014792814504</v>
      </c>
      <c r="J1227" s="68">
        <f t="shared" si="1"/>
        <v>272.8051442</v>
      </c>
      <c r="K1227" s="68" t="b">
        <v>1</v>
      </c>
    </row>
    <row r="1228" hidden="1">
      <c r="A1228" s="75">
        <v>1222.0</v>
      </c>
      <c r="B1228" s="62" t="s">
        <v>744</v>
      </c>
      <c r="C1228" s="62" t="s">
        <v>86</v>
      </c>
      <c r="D1228" s="62" t="s">
        <v>751</v>
      </c>
      <c r="E1228" s="76">
        <v>44076.0</v>
      </c>
      <c r="F1228" s="77">
        <v>0.40625</v>
      </c>
      <c r="G1228" s="62" t="b">
        <v>1</v>
      </c>
      <c r="H1228" s="78" t="b">
        <f>IF(VLOOKUP(C1228,Projetos!A:L,12,false)=TRUE,TRUE,FALSE)</f>
        <v>1</v>
      </c>
      <c r="I1228" s="68">
        <v>27.980014792814504</v>
      </c>
      <c r="J1228" s="68">
        <f t="shared" si="1"/>
        <v>272.8051442</v>
      </c>
      <c r="K1228" s="68" t="b">
        <v>1</v>
      </c>
    </row>
    <row r="1229" hidden="1">
      <c r="A1229" s="75">
        <v>1223.0</v>
      </c>
      <c r="B1229" s="62" t="s">
        <v>744</v>
      </c>
      <c r="C1229" s="62" t="s">
        <v>86</v>
      </c>
      <c r="D1229" s="62" t="s">
        <v>751</v>
      </c>
      <c r="E1229" s="76">
        <v>44077.0</v>
      </c>
      <c r="F1229" s="77">
        <v>0.40625</v>
      </c>
      <c r="G1229" s="62" t="b">
        <v>1</v>
      </c>
      <c r="H1229" s="78" t="b">
        <f>IF(VLOOKUP(C1229,Projetos!A:L,12,false)=TRUE,TRUE,FALSE)</f>
        <v>1</v>
      </c>
      <c r="I1229" s="68">
        <v>27.980014792814504</v>
      </c>
      <c r="J1229" s="68">
        <f t="shared" si="1"/>
        <v>272.8051442</v>
      </c>
      <c r="K1229" s="68" t="b">
        <v>1</v>
      </c>
    </row>
    <row r="1230" hidden="1">
      <c r="A1230" s="75">
        <v>1224.0</v>
      </c>
      <c r="B1230" s="62" t="s">
        <v>744</v>
      </c>
      <c r="C1230" s="62" t="s">
        <v>86</v>
      </c>
      <c r="D1230" s="62" t="s">
        <v>751</v>
      </c>
      <c r="E1230" s="76">
        <v>44078.0</v>
      </c>
      <c r="F1230" s="77">
        <v>0.40625</v>
      </c>
      <c r="G1230" s="62" t="b">
        <v>1</v>
      </c>
      <c r="H1230" s="78" t="b">
        <f>IF(VLOOKUP(C1230,Projetos!A:L,12,false)=TRUE,TRUE,FALSE)</f>
        <v>1</v>
      </c>
      <c r="I1230" s="68">
        <v>27.980014792814504</v>
      </c>
      <c r="J1230" s="68">
        <f t="shared" si="1"/>
        <v>272.8051442</v>
      </c>
      <c r="K1230" s="68" t="b">
        <v>1</v>
      </c>
    </row>
    <row r="1231" hidden="1">
      <c r="A1231" s="75">
        <v>1225.0</v>
      </c>
      <c r="B1231" s="62" t="s">
        <v>744</v>
      </c>
      <c r="C1231" s="62" t="s">
        <v>109</v>
      </c>
      <c r="D1231" s="62" t="s">
        <v>752</v>
      </c>
      <c r="E1231" s="76">
        <v>44085.0</v>
      </c>
      <c r="F1231" s="77">
        <v>0.19791666666666666</v>
      </c>
      <c r="G1231" s="62" t="b">
        <v>0</v>
      </c>
      <c r="H1231" s="78" t="b">
        <f>IF(VLOOKUP(C1231,Projetos!A:L,12,false)=TRUE,TRUE,FALSE)</f>
        <v>0</v>
      </c>
      <c r="I1231" s="68">
        <v>27.980014792814504</v>
      </c>
      <c r="J1231" s="68">
        <f t="shared" si="1"/>
        <v>0</v>
      </c>
      <c r="K1231" s="68" t="b">
        <v>0</v>
      </c>
    </row>
    <row r="1232" hidden="1">
      <c r="A1232" s="75">
        <v>1226.0</v>
      </c>
      <c r="B1232" s="62" t="s">
        <v>744</v>
      </c>
      <c r="C1232" s="62" t="s">
        <v>110</v>
      </c>
      <c r="D1232" s="62" t="s">
        <v>753</v>
      </c>
      <c r="E1232" s="76">
        <v>44089.0</v>
      </c>
      <c r="F1232" s="77">
        <v>0.20833333333333334</v>
      </c>
      <c r="G1232" s="62" t="b">
        <v>1</v>
      </c>
      <c r="H1232" s="78" t="b">
        <f>IF(VLOOKUP(C1232,Projetos!A:L,12,false)=TRUE,TRUE,FALSE)</f>
        <v>1</v>
      </c>
      <c r="I1232" s="68">
        <v>27.980014792814504</v>
      </c>
      <c r="J1232" s="68">
        <f t="shared" si="1"/>
        <v>139.900074</v>
      </c>
      <c r="K1232" s="68" t="b">
        <v>1</v>
      </c>
    </row>
    <row r="1233" hidden="1">
      <c r="A1233" s="75">
        <v>1227.0</v>
      </c>
      <c r="B1233" s="62" t="s">
        <v>744</v>
      </c>
      <c r="C1233" s="62" t="s">
        <v>110</v>
      </c>
      <c r="D1233" s="62" t="s">
        <v>753</v>
      </c>
      <c r="E1233" s="76">
        <v>44091.0</v>
      </c>
      <c r="F1233" s="77">
        <v>0.19791666666666666</v>
      </c>
      <c r="G1233" s="62" t="b">
        <v>1</v>
      </c>
      <c r="H1233" s="78" t="b">
        <f>IF(VLOOKUP(C1233,Projetos!A:L,12,false)=TRUE,TRUE,FALSE)</f>
        <v>1</v>
      </c>
      <c r="I1233" s="68">
        <v>27.980014792814504</v>
      </c>
      <c r="J1233" s="68">
        <f t="shared" si="1"/>
        <v>132.9050703</v>
      </c>
      <c r="K1233" s="68" t="b">
        <v>1</v>
      </c>
    </row>
    <row r="1234" hidden="1">
      <c r="A1234" s="75">
        <v>1228.0</v>
      </c>
      <c r="B1234" s="62" t="s">
        <v>744</v>
      </c>
      <c r="C1234" s="62" t="s">
        <v>84</v>
      </c>
      <c r="D1234" s="62" t="s">
        <v>749</v>
      </c>
      <c r="E1234" s="76">
        <v>44092.0</v>
      </c>
      <c r="F1234" s="77">
        <v>0.15625</v>
      </c>
      <c r="G1234" s="62" t="b">
        <v>1</v>
      </c>
      <c r="H1234" s="78" t="b">
        <f>IF(VLOOKUP(C1234,Projetos!A:L,12,false)=TRUE,TRUE,FALSE)</f>
        <v>1</v>
      </c>
      <c r="I1234" s="68">
        <v>27.980014792814504</v>
      </c>
      <c r="J1234" s="68">
        <f t="shared" si="1"/>
        <v>104.9250555</v>
      </c>
      <c r="K1234" s="68" t="b">
        <v>1</v>
      </c>
    </row>
    <row r="1235" hidden="1">
      <c r="A1235" s="75">
        <v>1229.0</v>
      </c>
      <c r="B1235" s="62" t="s">
        <v>744</v>
      </c>
      <c r="C1235" s="62" t="s">
        <v>101</v>
      </c>
      <c r="D1235" s="62" t="s">
        <v>749</v>
      </c>
      <c r="E1235" s="76">
        <v>44097.0</v>
      </c>
      <c r="F1235" s="77">
        <v>0.16666666666666666</v>
      </c>
      <c r="G1235" s="62" t="b">
        <v>1</v>
      </c>
      <c r="H1235" s="78" t="b">
        <f>IF(VLOOKUP(C1235,Projetos!A:L,12,false)=TRUE,TRUE,FALSE)</f>
        <v>1</v>
      </c>
      <c r="I1235" s="68">
        <v>27.980014792814504</v>
      </c>
      <c r="J1235" s="68">
        <f t="shared" si="1"/>
        <v>111.9200592</v>
      </c>
      <c r="K1235" s="68" t="b">
        <v>1</v>
      </c>
    </row>
    <row r="1236" hidden="1">
      <c r="A1236" s="75">
        <v>1230.0</v>
      </c>
      <c r="B1236" s="62" t="s">
        <v>744</v>
      </c>
      <c r="C1236" s="62" t="s">
        <v>112</v>
      </c>
      <c r="D1236" s="62" t="s">
        <v>752</v>
      </c>
      <c r="E1236" s="76">
        <v>44098.0</v>
      </c>
      <c r="F1236" s="77">
        <v>0.20833333333333334</v>
      </c>
      <c r="G1236" s="62" t="b">
        <v>1</v>
      </c>
      <c r="H1236" s="78" t="b">
        <f>IF(VLOOKUP(C1236,Projetos!A:L,12,false)=TRUE,TRUE,FALSE)</f>
        <v>1</v>
      </c>
      <c r="I1236" s="68">
        <v>27.980014792814504</v>
      </c>
      <c r="J1236" s="68">
        <f t="shared" si="1"/>
        <v>139.900074</v>
      </c>
      <c r="K1236" s="68" t="b">
        <v>1</v>
      </c>
    </row>
    <row r="1237" hidden="1">
      <c r="A1237" s="75">
        <v>1231.0</v>
      </c>
      <c r="B1237" s="62" t="s">
        <v>744</v>
      </c>
      <c r="C1237" s="62" t="s">
        <v>101</v>
      </c>
      <c r="D1237" s="62" t="s">
        <v>749</v>
      </c>
      <c r="E1237" s="76">
        <v>44099.0</v>
      </c>
      <c r="F1237" s="77">
        <v>0.15625</v>
      </c>
      <c r="G1237" s="62" t="b">
        <v>1</v>
      </c>
      <c r="H1237" s="78" t="b">
        <f>IF(VLOOKUP(C1237,Projetos!A:L,12,false)=TRUE,TRUE,FALSE)</f>
        <v>1</v>
      </c>
      <c r="I1237" s="68">
        <v>27.980014792814504</v>
      </c>
      <c r="J1237" s="68">
        <f t="shared" si="1"/>
        <v>104.9250555</v>
      </c>
      <c r="K1237" s="68" t="b">
        <v>1</v>
      </c>
    </row>
    <row r="1238" hidden="1">
      <c r="A1238" s="75">
        <v>1232.0</v>
      </c>
      <c r="B1238" s="62" t="s">
        <v>744</v>
      </c>
      <c r="C1238" s="62" t="s">
        <v>110</v>
      </c>
      <c r="D1238" s="62" t="s">
        <v>753</v>
      </c>
      <c r="E1238" s="76">
        <v>44102.0</v>
      </c>
      <c r="F1238" s="77">
        <v>0.16666666666666666</v>
      </c>
      <c r="G1238" s="62" t="b">
        <v>1</v>
      </c>
      <c r="H1238" s="78" t="b">
        <f>IF(VLOOKUP(C1238,Projetos!A:L,12,false)=TRUE,TRUE,FALSE)</f>
        <v>1</v>
      </c>
      <c r="I1238" s="68">
        <v>27.980014792814504</v>
      </c>
      <c r="J1238" s="68">
        <f t="shared" si="1"/>
        <v>111.9200592</v>
      </c>
      <c r="K1238" s="68" t="b">
        <v>1</v>
      </c>
    </row>
    <row r="1239" hidden="1">
      <c r="A1239" s="75">
        <v>1233.0</v>
      </c>
      <c r="B1239" s="62" t="s">
        <v>744</v>
      </c>
      <c r="C1239" s="62" t="s">
        <v>88</v>
      </c>
      <c r="D1239" s="62" t="s">
        <v>749</v>
      </c>
      <c r="E1239" s="76">
        <v>44103.0</v>
      </c>
      <c r="F1239" s="77">
        <v>0.125</v>
      </c>
      <c r="G1239" s="62" t="b">
        <v>1</v>
      </c>
      <c r="H1239" s="78" t="b">
        <f>IF(VLOOKUP(C1239,Projetos!A:L,12,false)=TRUE,TRUE,FALSE)</f>
        <v>1</v>
      </c>
      <c r="I1239" s="68">
        <v>27.980014792814504</v>
      </c>
      <c r="J1239" s="68">
        <f t="shared" si="1"/>
        <v>83.94004438</v>
      </c>
      <c r="K1239" s="68" t="b">
        <v>1</v>
      </c>
    </row>
    <row r="1240" hidden="1">
      <c r="A1240" s="75">
        <v>1234.0</v>
      </c>
      <c r="B1240" s="62" t="s">
        <v>744</v>
      </c>
      <c r="C1240" s="62" t="s">
        <v>101</v>
      </c>
      <c r="D1240" s="62" t="s">
        <v>749</v>
      </c>
      <c r="E1240" s="76">
        <v>44103.0</v>
      </c>
      <c r="F1240" s="77">
        <v>0.08333333333333333</v>
      </c>
      <c r="G1240" s="62" t="b">
        <v>1</v>
      </c>
      <c r="H1240" s="78" t="b">
        <f>IF(VLOOKUP(C1240,Projetos!A:L,12,false)=TRUE,TRUE,FALSE)</f>
        <v>1</v>
      </c>
      <c r="I1240" s="68">
        <v>27.980014792814504</v>
      </c>
      <c r="J1240" s="68">
        <f t="shared" si="1"/>
        <v>55.96002959</v>
      </c>
      <c r="K1240" s="68" t="b">
        <v>1</v>
      </c>
    </row>
    <row r="1241" hidden="1">
      <c r="A1241" s="75">
        <v>1235.0</v>
      </c>
      <c r="B1241" s="62" t="s">
        <v>744</v>
      </c>
      <c r="C1241" s="62" t="s">
        <v>110</v>
      </c>
      <c r="D1241" s="62" t="s">
        <v>745</v>
      </c>
      <c r="E1241" s="76">
        <v>44104.0</v>
      </c>
      <c r="F1241" s="77">
        <v>0.19791666666666666</v>
      </c>
      <c r="G1241" s="62" t="b">
        <v>1</v>
      </c>
      <c r="H1241" s="78" t="b">
        <f>IF(VLOOKUP(C1241,Projetos!A:L,12,false)=TRUE,TRUE,FALSE)</f>
        <v>1</v>
      </c>
      <c r="I1241" s="68">
        <v>27.980014792814504</v>
      </c>
      <c r="J1241" s="68">
        <f t="shared" si="1"/>
        <v>132.9050703</v>
      </c>
      <c r="K1241" s="68" t="b">
        <v>1</v>
      </c>
    </row>
    <row r="1242" hidden="1">
      <c r="A1242" s="75">
        <v>1236.0</v>
      </c>
      <c r="B1242" s="62" t="s">
        <v>744</v>
      </c>
      <c r="C1242" s="62" t="s">
        <v>110</v>
      </c>
      <c r="D1242" s="62" t="s">
        <v>745</v>
      </c>
      <c r="E1242" s="76">
        <v>44105.0</v>
      </c>
      <c r="F1242" s="77">
        <v>0.23958333333333334</v>
      </c>
      <c r="G1242" s="62" t="b">
        <v>1</v>
      </c>
      <c r="H1242" s="78" t="b">
        <f>IF(VLOOKUP(C1242,Projetos!A:L,12,false)=TRUE,TRUE,FALSE)</f>
        <v>1</v>
      </c>
      <c r="I1242" s="68">
        <v>29.312396449615196</v>
      </c>
      <c r="J1242" s="68">
        <f t="shared" si="1"/>
        <v>168.5462796</v>
      </c>
      <c r="K1242" s="68" t="b">
        <v>1</v>
      </c>
    </row>
    <row r="1243" hidden="1">
      <c r="A1243" s="75">
        <v>1237.0</v>
      </c>
      <c r="B1243" s="62" t="s">
        <v>744</v>
      </c>
      <c r="C1243" s="62" t="s">
        <v>101</v>
      </c>
      <c r="D1243" s="62" t="s">
        <v>749</v>
      </c>
      <c r="E1243" s="76">
        <v>44106.0</v>
      </c>
      <c r="F1243" s="77">
        <v>0.20833333333333334</v>
      </c>
      <c r="G1243" s="62" t="b">
        <v>1</v>
      </c>
      <c r="H1243" s="78" t="b">
        <f>IF(VLOOKUP(C1243,Projetos!A:L,12,false)=TRUE,TRUE,FALSE)</f>
        <v>1</v>
      </c>
      <c r="I1243" s="68">
        <v>29.312396449615196</v>
      </c>
      <c r="J1243" s="68">
        <f t="shared" si="1"/>
        <v>146.5619822</v>
      </c>
      <c r="K1243" s="68" t="b">
        <v>1</v>
      </c>
    </row>
    <row r="1244" hidden="1">
      <c r="A1244" s="75">
        <v>1238.0</v>
      </c>
      <c r="B1244" s="62" t="s">
        <v>744</v>
      </c>
      <c r="C1244" s="62" t="s">
        <v>110</v>
      </c>
      <c r="D1244" s="62" t="s">
        <v>745</v>
      </c>
      <c r="E1244" s="76">
        <v>44109.0</v>
      </c>
      <c r="F1244" s="77">
        <v>0.16666666666666666</v>
      </c>
      <c r="G1244" s="62" t="b">
        <v>1</v>
      </c>
      <c r="H1244" s="78" t="b">
        <f>IF(VLOOKUP(C1244,Projetos!A:L,12,false)=TRUE,TRUE,FALSE)</f>
        <v>1</v>
      </c>
      <c r="I1244" s="68">
        <v>29.312396449615196</v>
      </c>
      <c r="J1244" s="68">
        <f t="shared" si="1"/>
        <v>117.2495858</v>
      </c>
      <c r="K1244" s="68" t="b">
        <v>1</v>
      </c>
    </row>
    <row r="1245" hidden="1">
      <c r="A1245" s="75">
        <v>1239.0</v>
      </c>
      <c r="B1245" s="62" t="s">
        <v>744</v>
      </c>
      <c r="C1245" s="62" t="s">
        <v>110</v>
      </c>
      <c r="D1245" s="62" t="s">
        <v>745</v>
      </c>
      <c r="E1245" s="76">
        <v>44110.0</v>
      </c>
      <c r="F1245" s="77">
        <v>0.20833333333333334</v>
      </c>
      <c r="G1245" s="62" t="b">
        <v>1</v>
      </c>
      <c r="H1245" s="78" t="b">
        <f>IF(VLOOKUP(C1245,Projetos!A:L,12,false)=TRUE,TRUE,FALSE)</f>
        <v>1</v>
      </c>
      <c r="I1245" s="68">
        <v>29.312396449615196</v>
      </c>
      <c r="J1245" s="68">
        <f t="shared" si="1"/>
        <v>146.5619822</v>
      </c>
      <c r="K1245" s="68" t="b">
        <v>1</v>
      </c>
    </row>
    <row r="1246" hidden="1">
      <c r="A1246" s="75">
        <v>1240.0</v>
      </c>
      <c r="B1246" s="62" t="s">
        <v>744</v>
      </c>
      <c r="C1246" s="62" t="s">
        <v>110</v>
      </c>
      <c r="D1246" s="62" t="s">
        <v>753</v>
      </c>
      <c r="E1246" s="76">
        <v>44111.0</v>
      </c>
      <c r="F1246" s="77">
        <v>0.23958333333333334</v>
      </c>
      <c r="G1246" s="62" t="b">
        <v>1</v>
      </c>
      <c r="H1246" s="78" t="b">
        <f>IF(VLOOKUP(C1246,Projetos!A:L,12,false)=TRUE,TRUE,FALSE)</f>
        <v>1</v>
      </c>
      <c r="I1246" s="68">
        <v>29.312396449615196</v>
      </c>
      <c r="J1246" s="68">
        <f t="shared" si="1"/>
        <v>168.5462796</v>
      </c>
      <c r="K1246" s="68" t="b">
        <v>1</v>
      </c>
    </row>
    <row r="1247" hidden="1">
      <c r="A1247" s="75">
        <v>1241.0</v>
      </c>
      <c r="B1247" s="62" t="s">
        <v>744</v>
      </c>
      <c r="C1247" s="62" t="s">
        <v>110</v>
      </c>
      <c r="D1247" s="62" t="s">
        <v>753</v>
      </c>
      <c r="E1247" s="76">
        <v>44112.0</v>
      </c>
      <c r="F1247" s="77">
        <v>0.22916666666666666</v>
      </c>
      <c r="G1247" s="62" t="b">
        <v>1</v>
      </c>
      <c r="H1247" s="78" t="b">
        <f>IF(VLOOKUP(C1247,Projetos!A:L,12,false)=TRUE,TRUE,FALSE)</f>
        <v>1</v>
      </c>
      <c r="I1247" s="68">
        <v>29.312396449615196</v>
      </c>
      <c r="J1247" s="68">
        <f t="shared" si="1"/>
        <v>161.2181805</v>
      </c>
      <c r="K1247" s="68" t="b">
        <v>1</v>
      </c>
    </row>
    <row r="1248" hidden="1">
      <c r="A1248" s="75">
        <v>1242.0</v>
      </c>
      <c r="B1248" s="62" t="s">
        <v>744</v>
      </c>
      <c r="C1248" s="62" t="s">
        <v>110</v>
      </c>
      <c r="D1248" s="62" t="s">
        <v>753</v>
      </c>
      <c r="E1248" s="76">
        <v>44113.0</v>
      </c>
      <c r="F1248" s="77">
        <v>0.40625</v>
      </c>
      <c r="G1248" s="62" t="b">
        <v>1</v>
      </c>
      <c r="H1248" s="78" t="b">
        <f>IF(VLOOKUP(C1248,Projetos!A:L,12,false)=TRUE,TRUE,FALSE)</f>
        <v>1</v>
      </c>
      <c r="I1248" s="68">
        <v>29.312396449615196</v>
      </c>
      <c r="J1248" s="68">
        <f t="shared" si="1"/>
        <v>285.7958654</v>
      </c>
      <c r="K1248" s="68" t="b">
        <v>1</v>
      </c>
    </row>
    <row r="1249" hidden="1">
      <c r="A1249" s="75">
        <v>1243.0</v>
      </c>
      <c r="B1249" s="62" t="s">
        <v>744</v>
      </c>
      <c r="C1249" s="62" t="s">
        <v>110</v>
      </c>
      <c r="D1249" s="62" t="s">
        <v>753</v>
      </c>
      <c r="E1249" s="76">
        <v>44120.0</v>
      </c>
      <c r="F1249" s="77">
        <v>0.041666666666666664</v>
      </c>
      <c r="G1249" s="62" t="b">
        <v>1</v>
      </c>
      <c r="H1249" s="78" t="b">
        <f>IF(VLOOKUP(C1249,Projetos!A:L,12,false)=TRUE,TRUE,FALSE)</f>
        <v>1</v>
      </c>
      <c r="I1249" s="68">
        <v>29.312396449615196</v>
      </c>
      <c r="J1249" s="68">
        <f t="shared" si="1"/>
        <v>29.31239645</v>
      </c>
      <c r="K1249" s="68" t="b">
        <v>1</v>
      </c>
    </row>
    <row r="1250" hidden="1">
      <c r="A1250" s="75">
        <v>1244.0</v>
      </c>
      <c r="B1250" s="62" t="s">
        <v>744</v>
      </c>
      <c r="C1250" s="62" t="s">
        <v>110</v>
      </c>
      <c r="D1250" s="62" t="s">
        <v>753</v>
      </c>
      <c r="E1250" s="76">
        <v>44124.0</v>
      </c>
      <c r="F1250" s="77">
        <v>0.08333333333333333</v>
      </c>
      <c r="G1250" s="62" t="b">
        <v>1</v>
      </c>
      <c r="H1250" s="78" t="b">
        <f>IF(VLOOKUP(C1250,Projetos!A:L,12,false)=TRUE,TRUE,FALSE)</f>
        <v>1</v>
      </c>
      <c r="I1250" s="68">
        <v>29.312396449615196</v>
      </c>
      <c r="J1250" s="68">
        <f t="shared" si="1"/>
        <v>58.6247929</v>
      </c>
      <c r="K1250" s="68" t="b">
        <v>1</v>
      </c>
    </row>
    <row r="1251" hidden="1">
      <c r="A1251" s="75">
        <v>1245.0</v>
      </c>
      <c r="B1251" s="62" t="s">
        <v>744</v>
      </c>
      <c r="C1251" s="62" t="s">
        <v>112</v>
      </c>
      <c r="D1251" s="62" t="s">
        <v>752</v>
      </c>
      <c r="E1251" s="76">
        <v>44124.0</v>
      </c>
      <c r="F1251" s="77">
        <v>0.20833333333333334</v>
      </c>
      <c r="G1251" s="62" t="b">
        <v>1</v>
      </c>
      <c r="H1251" s="78" t="b">
        <f>IF(VLOOKUP(C1251,Projetos!A:L,12,false)=TRUE,TRUE,FALSE)</f>
        <v>1</v>
      </c>
      <c r="I1251" s="68">
        <v>29.312396449615196</v>
      </c>
      <c r="J1251" s="68">
        <f t="shared" si="1"/>
        <v>146.5619822</v>
      </c>
      <c r="K1251" s="68" t="b">
        <v>1</v>
      </c>
    </row>
    <row r="1252">
      <c r="A1252" s="75">
        <v>1246.0</v>
      </c>
      <c r="B1252" s="62" t="s">
        <v>744</v>
      </c>
      <c r="C1252" s="62" t="s">
        <v>104</v>
      </c>
      <c r="D1252" s="62" t="s">
        <v>749</v>
      </c>
      <c r="E1252" s="76">
        <v>44125.0</v>
      </c>
      <c r="F1252" s="77">
        <v>0.125</v>
      </c>
      <c r="G1252" s="62" t="b">
        <v>1</v>
      </c>
      <c r="H1252" s="78" t="b">
        <f>IF(VLOOKUP(C1252,Projetos!A:L,12,false)=TRUE,TRUE,FALSE)</f>
        <v>1</v>
      </c>
      <c r="I1252" s="68">
        <v>29.312396449615196</v>
      </c>
      <c r="J1252" s="68">
        <f t="shared" si="1"/>
        <v>87.93718935</v>
      </c>
      <c r="K1252" s="68" t="b">
        <v>1</v>
      </c>
    </row>
    <row r="1253" hidden="1">
      <c r="A1253" s="75">
        <v>1247.0</v>
      </c>
      <c r="B1253" s="62" t="s">
        <v>744</v>
      </c>
      <c r="C1253" s="62" t="s">
        <v>110</v>
      </c>
      <c r="D1253" s="62" t="s">
        <v>753</v>
      </c>
      <c r="E1253" s="76">
        <v>44127.0</v>
      </c>
      <c r="F1253" s="77">
        <v>0.19791666666666666</v>
      </c>
      <c r="G1253" s="62" t="b">
        <v>1</v>
      </c>
      <c r="H1253" s="78" t="b">
        <f>IF(VLOOKUP(C1253,Projetos!A:L,12,false)=TRUE,TRUE,FALSE)</f>
        <v>1</v>
      </c>
      <c r="I1253" s="68">
        <v>29.312396449615196</v>
      </c>
      <c r="J1253" s="68">
        <f t="shared" si="1"/>
        <v>139.2338831</v>
      </c>
      <c r="K1253" s="68" t="b">
        <v>1</v>
      </c>
    </row>
    <row r="1254" hidden="1">
      <c r="A1254" s="75">
        <v>1248.0</v>
      </c>
      <c r="B1254" s="62" t="s">
        <v>744</v>
      </c>
      <c r="C1254" s="62" t="s">
        <v>110</v>
      </c>
      <c r="D1254" s="62" t="s">
        <v>753</v>
      </c>
      <c r="E1254" s="76">
        <v>44130.0</v>
      </c>
      <c r="F1254" s="77">
        <v>0.20833333333333334</v>
      </c>
      <c r="G1254" s="62" t="b">
        <v>1</v>
      </c>
      <c r="H1254" s="78" t="b">
        <f>IF(VLOOKUP(C1254,Projetos!A:L,12,false)=TRUE,TRUE,FALSE)</f>
        <v>1</v>
      </c>
      <c r="I1254" s="68">
        <v>29.312396449615196</v>
      </c>
      <c r="J1254" s="68">
        <f t="shared" si="1"/>
        <v>146.5619822</v>
      </c>
      <c r="K1254" s="68" t="b">
        <v>1</v>
      </c>
    </row>
    <row r="1255" hidden="1">
      <c r="A1255" s="75">
        <v>1249.0</v>
      </c>
      <c r="B1255" s="62" t="s">
        <v>744</v>
      </c>
      <c r="C1255" s="62" t="s">
        <v>110</v>
      </c>
      <c r="D1255" s="62" t="s">
        <v>753</v>
      </c>
      <c r="E1255" s="76">
        <v>44131.0</v>
      </c>
      <c r="F1255" s="77">
        <v>0.16666666666666666</v>
      </c>
      <c r="G1255" s="62" t="b">
        <v>1</v>
      </c>
      <c r="H1255" s="78" t="b">
        <f>IF(VLOOKUP(C1255,Projetos!A:L,12,false)=TRUE,TRUE,FALSE)</f>
        <v>1</v>
      </c>
      <c r="I1255" s="68">
        <v>29.312396449615196</v>
      </c>
      <c r="J1255" s="68">
        <f t="shared" si="1"/>
        <v>117.2495858</v>
      </c>
      <c r="K1255" s="68" t="b">
        <v>1</v>
      </c>
    </row>
    <row r="1256" hidden="1">
      <c r="A1256" s="75">
        <v>1250.0</v>
      </c>
      <c r="B1256" s="62" t="s">
        <v>744</v>
      </c>
      <c r="C1256" s="62" t="s">
        <v>110</v>
      </c>
      <c r="D1256" s="62" t="s">
        <v>753</v>
      </c>
      <c r="E1256" s="76">
        <v>44132.0</v>
      </c>
      <c r="F1256" s="77">
        <v>0.20833333333333334</v>
      </c>
      <c r="G1256" s="62" t="b">
        <v>1</v>
      </c>
      <c r="H1256" s="78" t="b">
        <f>IF(VLOOKUP(C1256,Projetos!A:L,12,false)=TRUE,TRUE,FALSE)</f>
        <v>1</v>
      </c>
      <c r="I1256" s="68">
        <v>29.312396449615196</v>
      </c>
      <c r="J1256" s="68">
        <f t="shared" si="1"/>
        <v>146.5619822</v>
      </c>
      <c r="K1256" s="68" t="b">
        <v>1</v>
      </c>
    </row>
    <row r="1257" hidden="1">
      <c r="A1257" s="75">
        <v>1251.0</v>
      </c>
      <c r="B1257" s="62" t="s">
        <v>744</v>
      </c>
      <c r="C1257" s="62" t="s">
        <v>110</v>
      </c>
      <c r="D1257" s="62" t="s">
        <v>753</v>
      </c>
      <c r="E1257" s="76">
        <v>44133.0</v>
      </c>
      <c r="F1257" s="77">
        <v>0.23958333333333334</v>
      </c>
      <c r="G1257" s="62" t="b">
        <v>1</v>
      </c>
      <c r="H1257" s="78" t="b">
        <f>IF(VLOOKUP(C1257,Projetos!A:L,12,false)=TRUE,TRUE,FALSE)</f>
        <v>1</v>
      </c>
      <c r="I1257" s="68">
        <v>29.312396449615196</v>
      </c>
      <c r="J1257" s="68">
        <f t="shared" si="1"/>
        <v>168.5462796</v>
      </c>
      <c r="K1257" s="68" t="b">
        <v>1</v>
      </c>
    </row>
    <row r="1258" hidden="1">
      <c r="A1258" s="75">
        <v>1252.0</v>
      </c>
      <c r="B1258" s="62" t="s">
        <v>744</v>
      </c>
      <c r="C1258" s="62" t="s">
        <v>110</v>
      </c>
      <c r="D1258" s="62" t="s">
        <v>753</v>
      </c>
      <c r="E1258" s="76">
        <v>44134.0</v>
      </c>
      <c r="F1258" s="77">
        <v>0.125</v>
      </c>
      <c r="G1258" s="62" t="b">
        <v>1</v>
      </c>
      <c r="H1258" s="78" t="b">
        <f>IF(VLOOKUP(C1258,Projetos!A:L,12,false)=TRUE,TRUE,FALSE)</f>
        <v>1</v>
      </c>
      <c r="I1258" s="68">
        <v>29.312396449615196</v>
      </c>
      <c r="J1258" s="68">
        <f t="shared" si="1"/>
        <v>87.93718935</v>
      </c>
      <c r="K1258" s="68" t="b">
        <v>1</v>
      </c>
    </row>
    <row r="1259" hidden="1">
      <c r="A1259" s="75">
        <v>1253.0</v>
      </c>
      <c r="B1259" s="62" t="s">
        <v>744</v>
      </c>
      <c r="C1259" s="62" t="s">
        <v>110</v>
      </c>
      <c r="D1259" s="62" t="s">
        <v>753</v>
      </c>
      <c r="E1259" s="76">
        <v>44138.0</v>
      </c>
      <c r="F1259" s="77">
        <v>0.16666666666666666</v>
      </c>
      <c r="G1259" s="62" t="b">
        <v>1</v>
      </c>
      <c r="H1259" s="78" t="b">
        <f>IF(VLOOKUP(C1259,Projetos!A:L,12,false)=TRUE,TRUE,FALSE)</f>
        <v>1</v>
      </c>
      <c r="I1259" s="68">
        <v>29.860836639118453</v>
      </c>
      <c r="J1259" s="68">
        <f t="shared" si="1"/>
        <v>119.4433466</v>
      </c>
      <c r="K1259" s="68" t="b">
        <v>1</v>
      </c>
    </row>
    <row r="1260" hidden="1">
      <c r="A1260" s="75">
        <v>1254.0</v>
      </c>
      <c r="B1260" s="62" t="s">
        <v>744</v>
      </c>
      <c r="C1260" s="62" t="s">
        <v>110</v>
      </c>
      <c r="D1260" s="62" t="s">
        <v>749</v>
      </c>
      <c r="E1260" s="76">
        <v>44138.0</v>
      </c>
      <c r="F1260" s="77">
        <v>0.16666666666666666</v>
      </c>
      <c r="G1260" s="62" t="b">
        <v>1</v>
      </c>
      <c r="H1260" s="78" t="b">
        <f>IF(VLOOKUP(C1260,Projetos!A:L,12,false)=TRUE,TRUE,FALSE)</f>
        <v>1</v>
      </c>
      <c r="I1260" s="68">
        <v>29.860836639118453</v>
      </c>
      <c r="J1260" s="68">
        <f t="shared" si="1"/>
        <v>119.4433466</v>
      </c>
      <c r="K1260" s="68" t="b">
        <v>1</v>
      </c>
    </row>
    <row r="1261" hidden="1">
      <c r="A1261" s="75">
        <v>1255.0</v>
      </c>
      <c r="B1261" s="62" t="s">
        <v>744</v>
      </c>
      <c r="C1261" s="62" t="s">
        <v>110</v>
      </c>
      <c r="D1261" s="62" t="s">
        <v>753</v>
      </c>
      <c r="E1261" s="76">
        <v>44139.0</v>
      </c>
      <c r="F1261" s="77">
        <v>0.16666666666666666</v>
      </c>
      <c r="G1261" s="62" t="b">
        <v>1</v>
      </c>
      <c r="H1261" s="78" t="b">
        <f>IF(VLOOKUP(C1261,Projetos!A:L,12,false)=TRUE,TRUE,FALSE)</f>
        <v>1</v>
      </c>
      <c r="I1261" s="68">
        <v>29.860836639118453</v>
      </c>
      <c r="J1261" s="68">
        <f t="shared" si="1"/>
        <v>119.4433466</v>
      </c>
      <c r="K1261" s="68" t="b">
        <v>1</v>
      </c>
    </row>
    <row r="1262" hidden="1">
      <c r="A1262" s="75">
        <v>1256.0</v>
      </c>
      <c r="B1262" s="62" t="s">
        <v>744</v>
      </c>
      <c r="C1262" s="62" t="s">
        <v>110</v>
      </c>
      <c r="D1262" s="62" t="s">
        <v>749</v>
      </c>
      <c r="E1262" s="76">
        <v>44139.0</v>
      </c>
      <c r="F1262" s="77">
        <v>0.16666666666666666</v>
      </c>
      <c r="G1262" s="62" t="b">
        <v>1</v>
      </c>
      <c r="H1262" s="78" t="b">
        <f>IF(VLOOKUP(C1262,Projetos!A:L,12,false)=TRUE,TRUE,FALSE)</f>
        <v>1</v>
      </c>
      <c r="I1262" s="68">
        <v>29.860836639118453</v>
      </c>
      <c r="J1262" s="68">
        <f t="shared" si="1"/>
        <v>119.4433466</v>
      </c>
      <c r="K1262" s="68" t="b">
        <v>1</v>
      </c>
    </row>
    <row r="1263" hidden="1">
      <c r="A1263" s="75">
        <v>1257.0</v>
      </c>
      <c r="B1263" s="62" t="s">
        <v>744</v>
      </c>
      <c r="C1263" s="62" t="s">
        <v>110</v>
      </c>
      <c r="D1263" s="62" t="s">
        <v>753</v>
      </c>
      <c r="E1263" s="76">
        <v>44140.0</v>
      </c>
      <c r="F1263" s="77">
        <v>0.20833333333333334</v>
      </c>
      <c r="G1263" s="62" t="b">
        <v>1</v>
      </c>
      <c r="H1263" s="78" t="b">
        <f>IF(VLOOKUP(C1263,Projetos!A:L,12,false)=TRUE,TRUE,FALSE)</f>
        <v>1</v>
      </c>
      <c r="I1263" s="68">
        <v>29.860836639118453</v>
      </c>
      <c r="J1263" s="68">
        <f t="shared" si="1"/>
        <v>149.3041832</v>
      </c>
      <c r="K1263" s="68" t="b">
        <v>1</v>
      </c>
    </row>
    <row r="1264" hidden="1">
      <c r="A1264" s="75">
        <v>1258.0</v>
      </c>
      <c r="B1264" s="62" t="s">
        <v>744</v>
      </c>
      <c r="C1264" s="62" t="s">
        <v>110</v>
      </c>
      <c r="D1264" s="62" t="s">
        <v>753</v>
      </c>
      <c r="E1264" s="76">
        <v>44141.0</v>
      </c>
      <c r="F1264" s="77">
        <v>0.16666666666666666</v>
      </c>
      <c r="G1264" s="62" t="b">
        <v>1</v>
      </c>
      <c r="H1264" s="78" t="b">
        <f>IF(VLOOKUP(C1264,Projetos!A:L,12,false)=TRUE,TRUE,FALSE)</f>
        <v>1</v>
      </c>
      <c r="I1264" s="68">
        <v>29.860836639118453</v>
      </c>
      <c r="J1264" s="68">
        <f t="shared" si="1"/>
        <v>119.4433466</v>
      </c>
      <c r="K1264" s="68" t="b">
        <v>1</v>
      </c>
    </row>
    <row r="1265" hidden="1">
      <c r="A1265" s="75">
        <v>1259.0</v>
      </c>
      <c r="B1265" s="62" t="s">
        <v>744</v>
      </c>
      <c r="C1265" s="62" t="s">
        <v>110</v>
      </c>
      <c r="D1265" s="62" t="s">
        <v>749</v>
      </c>
      <c r="E1265" s="76">
        <v>44141.0</v>
      </c>
      <c r="F1265" s="77">
        <v>0.16666666666666666</v>
      </c>
      <c r="G1265" s="62" t="b">
        <v>1</v>
      </c>
      <c r="H1265" s="78" t="b">
        <f>IF(VLOOKUP(C1265,Projetos!A:L,12,false)=TRUE,TRUE,FALSE)</f>
        <v>1</v>
      </c>
      <c r="I1265" s="68">
        <v>29.860836639118453</v>
      </c>
      <c r="J1265" s="68">
        <f t="shared" si="1"/>
        <v>119.4433466</v>
      </c>
      <c r="K1265" s="68" t="b">
        <v>1</v>
      </c>
    </row>
    <row r="1266" hidden="1">
      <c r="A1266" s="75">
        <v>1260.0</v>
      </c>
      <c r="B1266" s="62" t="s">
        <v>744</v>
      </c>
      <c r="C1266" s="62" t="s">
        <v>112</v>
      </c>
      <c r="D1266" s="62" t="s">
        <v>752</v>
      </c>
      <c r="E1266" s="76">
        <v>44145.0</v>
      </c>
      <c r="F1266" s="77">
        <v>0.16666666666666666</v>
      </c>
      <c r="G1266" s="62" t="b">
        <v>1</v>
      </c>
      <c r="H1266" s="78" t="b">
        <f>IF(VLOOKUP(C1266,Projetos!A:L,12,false)=TRUE,TRUE,FALSE)</f>
        <v>1</v>
      </c>
      <c r="I1266" s="68">
        <v>29.860836639118453</v>
      </c>
      <c r="J1266" s="68">
        <f t="shared" si="1"/>
        <v>119.4433466</v>
      </c>
      <c r="K1266" s="68" t="b">
        <v>1</v>
      </c>
    </row>
    <row r="1267" hidden="1">
      <c r="A1267" s="75">
        <v>1261.0</v>
      </c>
      <c r="B1267" s="62" t="s">
        <v>744</v>
      </c>
      <c r="C1267" s="62" t="s">
        <v>110</v>
      </c>
      <c r="D1267" s="62" t="s">
        <v>749</v>
      </c>
      <c r="E1267" s="76">
        <v>44146.0</v>
      </c>
      <c r="F1267" s="77">
        <v>0.16666666666666666</v>
      </c>
      <c r="G1267" s="62" t="b">
        <v>1</v>
      </c>
      <c r="H1267" s="78" t="b">
        <f>IF(VLOOKUP(C1267,Projetos!A:L,12,false)=TRUE,TRUE,FALSE)</f>
        <v>1</v>
      </c>
      <c r="I1267" s="68">
        <v>29.860836639118453</v>
      </c>
      <c r="J1267" s="68">
        <f t="shared" si="1"/>
        <v>119.4433466</v>
      </c>
      <c r="K1267" s="68" t="b">
        <v>1</v>
      </c>
    </row>
    <row r="1268" hidden="1">
      <c r="A1268" s="75">
        <v>1262.0</v>
      </c>
      <c r="B1268" s="62" t="s">
        <v>744</v>
      </c>
      <c r="C1268" s="62" t="s">
        <v>110</v>
      </c>
      <c r="D1268" s="62" t="s">
        <v>749</v>
      </c>
      <c r="E1268" s="76">
        <v>44147.0</v>
      </c>
      <c r="F1268" s="77">
        <v>0.125</v>
      </c>
      <c r="G1268" s="62" t="b">
        <v>1</v>
      </c>
      <c r="H1268" s="78" t="b">
        <f>IF(VLOOKUP(C1268,Projetos!A:L,12,false)=TRUE,TRUE,FALSE)</f>
        <v>1</v>
      </c>
      <c r="I1268" s="68">
        <v>29.860836639118453</v>
      </c>
      <c r="J1268" s="68">
        <f t="shared" si="1"/>
        <v>89.58250992</v>
      </c>
      <c r="K1268" s="68" t="b">
        <v>1</v>
      </c>
    </row>
    <row r="1269" hidden="1">
      <c r="A1269" s="75">
        <v>1263.0</v>
      </c>
      <c r="B1269" s="62" t="s">
        <v>744</v>
      </c>
      <c r="C1269" s="62" t="s">
        <v>110</v>
      </c>
      <c r="D1269" s="62" t="s">
        <v>749</v>
      </c>
      <c r="E1269" s="76">
        <v>44151.0</v>
      </c>
      <c r="F1269" s="77">
        <v>0.125</v>
      </c>
      <c r="G1269" s="62" t="b">
        <v>1</v>
      </c>
      <c r="H1269" s="78" t="b">
        <f>IF(VLOOKUP(C1269,Projetos!A:L,12,false)=TRUE,TRUE,FALSE)</f>
        <v>1</v>
      </c>
      <c r="I1269" s="68">
        <v>29.860836639118453</v>
      </c>
      <c r="J1269" s="68">
        <f t="shared" si="1"/>
        <v>89.58250992</v>
      </c>
      <c r="K1269" s="68" t="b">
        <v>1</v>
      </c>
    </row>
    <row r="1270" hidden="1">
      <c r="A1270" s="75">
        <v>1264.0</v>
      </c>
      <c r="B1270" s="62" t="s">
        <v>744</v>
      </c>
      <c r="C1270" s="62" t="s">
        <v>110</v>
      </c>
      <c r="D1270" s="62" t="s">
        <v>753</v>
      </c>
      <c r="E1270" s="76">
        <v>44154.0</v>
      </c>
      <c r="F1270" s="77">
        <v>0.041666666666666664</v>
      </c>
      <c r="G1270" s="62" t="b">
        <v>1</v>
      </c>
      <c r="H1270" s="78" t="b">
        <f>IF(VLOOKUP(C1270,Projetos!A:L,12,false)=TRUE,TRUE,FALSE)</f>
        <v>1</v>
      </c>
      <c r="I1270" s="68">
        <v>29.860836639118453</v>
      </c>
      <c r="J1270" s="68">
        <f t="shared" si="1"/>
        <v>29.86083664</v>
      </c>
      <c r="K1270" s="68" t="b">
        <v>1</v>
      </c>
    </row>
    <row r="1271" hidden="1">
      <c r="A1271" s="75">
        <v>1265.0</v>
      </c>
      <c r="B1271" s="62" t="s">
        <v>744</v>
      </c>
      <c r="C1271" s="62" t="s">
        <v>112</v>
      </c>
      <c r="D1271" s="62" t="s">
        <v>752</v>
      </c>
      <c r="E1271" s="76">
        <v>44158.0</v>
      </c>
      <c r="F1271" s="77">
        <v>0.20833333333333334</v>
      </c>
      <c r="G1271" s="62" t="b">
        <v>1</v>
      </c>
      <c r="H1271" s="78" t="b">
        <f>IF(VLOOKUP(C1271,Projetos!A:L,12,false)=TRUE,TRUE,FALSE)</f>
        <v>1</v>
      </c>
      <c r="I1271" s="68">
        <v>29.860836639118453</v>
      </c>
      <c r="J1271" s="68">
        <f t="shared" si="1"/>
        <v>149.3041832</v>
      </c>
      <c r="K1271" s="68" t="b">
        <v>1</v>
      </c>
    </row>
    <row r="1272" hidden="1">
      <c r="A1272" s="75">
        <v>1266.0</v>
      </c>
      <c r="B1272" s="62" t="s">
        <v>744</v>
      </c>
      <c r="C1272" s="62" t="s">
        <v>112</v>
      </c>
      <c r="D1272" s="62" t="s">
        <v>752</v>
      </c>
      <c r="E1272" s="76">
        <v>44159.0</v>
      </c>
      <c r="F1272" s="77">
        <v>0.16666666666666666</v>
      </c>
      <c r="G1272" s="62" t="b">
        <v>1</v>
      </c>
      <c r="H1272" s="78" t="b">
        <f>IF(VLOOKUP(C1272,Projetos!A:L,12,false)=TRUE,TRUE,FALSE)</f>
        <v>1</v>
      </c>
      <c r="I1272" s="68">
        <v>29.860836639118453</v>
      </c>
      <c r="J1272" s="68">
        <f t="shared" si="1"/>
        <v>119.4433466</v>
      </c>
      <c r="K1272" s="68" t="b">
        <v>1</v>
      </c>
    </row>
    <row r="1273" hidden="1">
      <c r="A1273" s="75">
        <v>1267.0</v>
      </c>
      <c r="B1273" s="62" t="s">
        <v>744</v>
      </c>
      <c r="C1273" s="62" t="s">
        <v>110</v>
      </c>
      <c r="D1273" s="62" t="s">
        <v>753</v>
      </c>
      <c r="E1273" s="76">
        <v>44161.0</v>
      </c>
      <c r="F1273" s="77">
        <v>0.08333333333333333</v>
      </c>
      <c r="G1273" s="62" t="b">
        <v>1</v>
      </c>
      <c r="H1273" s="78" t="b">
        <f>IF(VLOOKUP(C1273,Projetos!A:L,12,false)=TRUE,TRUE,FALSE)</f>
        <v>1</v>
      </c>
      <c r="I1273" s="68">
        <v>29.860836639118453</v>
      </c>
      <c r="J1273" s="68">
        <f t="shared" si="1"/>
        <v>59.72167328</v>
      </c>
      <c r="K1273" s="68" t="b">
        <v>1</v>
      </c>
    </row>
    <row r="1274" hidden="1">
      <c r="A1274" s="75">
        <v>1268.0</v>
      </c>
      <c r="B1274" s="62" t="s">
        <v>744</v>
      </c>
      <c r="C1274" s="62" t="s">
        <v>112</v>
      </c>
      <c r="D1274" s="62" t="s">
        <v>752</v>
      </c>
      <c r="E1274" s="76">
        <v>44161.0</v>
      </c>
      <c r="F1274" s="77">
        <v>0.16666666666666666</v>
      </c>
      <c r="G1274" s="62" t="b">
        <v>1</v>
      </c>
      <c r="H1274" s="78" t="b">
        <f>IF(VLOOKUP(C1274,Projetos!A:L,12,false)=TRUE,TRUE,FALSE)</f>
        <v>1</v>
      </c>
      <c r="I1274" s="68">
        <v>29.860836639118453</v>
      </c>
      <c r="J1274" s="68">
        <f t="shared" si="1"/>
        <v>119.4433466</v>
      </c>
      <c r="K1274" s="68" t="b">
        <v>1</v>
      </c>
    </row>
    <row r="1275" hidden="1">
      <c r="A1275" s="75">
        <v>1269.0</v>
      </c>
      <c r="B1275" s="62" t="s">
        <v>744</v>
      </c>
      <c r="C1275" s="62" t="s">
        <v>88</v>
      </c>
      <c r="D1275" s="62" t="s">
        <v>749</v>
      </c>
      <c r="E1275" s="76">
        <v>44165.0</v>
      </c>
      <c r="F1275" s="77">
        <v>0.16666666666666666</v>
      </c>
      <c r="G1275" s="62" t="b">
        <v>1</v>
      </c>
      <c r="H1275" s="78" t="b">
        <f>IF(VLOOKUP(C1275,Projetos!A:L,12,false)=TRUE,TRUE,FALSE)</f>
        <v>1</v>
      </c>
      <c r="I1275" s="68">
        <v>29.860836639118453</v>
      </c>
      <c r="J1275" s="68">
        <f t="shared" si="1"/>
        <v>119.4433466</v>
      </c>
      <c r="K1275" s="68" t="b">
        <v>1</v>
      </c>
    </row>
    <row r="1276" hidden="1">
      <c r="A1276" s="75">
        <v>1270.0</v>
      </c>
      <c r="B1276" s="62" t="s">
        <v>744</v>
      </c>
      <c r="C1276" s="62" t="s">
        <v>112</v>
      </c>
      <c r="D1276" s="62" t="s">
        <v>752</v>
      </c>
      <c r="E1276" s="76">
        <v>44165.0</v>
      </c>
      <c r="F1276" s="77">
        <v>0.16666666666666666</v>
      </c>
      <c r="G1276" s="62" t="b">
        <v>1</v>
      </c>
      <c r="H1276" s="78" t="b">
        <f>IF(VLOOKUP(C1276,Projetos!A:L,12,false)=TRUE,TRUE,FALSE)</f>
        <v>1</v>
      </c>
      <c r="I1276" s="68">
        <v>29.860836639118453</v>
      </c>
      <c r="J1276" s="68">
        <f t="shared" si="1"/>
        <v>119.4433466</v>
      </c>
      <c r="K1276" s="68" t="b">
        <v>1</v>
      </c>
    </row>
    <row r="1277" hidden="1">
      <c r="A1277" s="75">
        <v>1271.0</v>
      </c>
      <c r="B1277" s="62" t="s">
        <v>744</v>
      </c>
      <c r="C1277" s="62" t="s">
        <v>110</v>
      </c>
      <c r="D1277" s="62" t="s">
        <v>753</v>
      </c>
      <c r="E1277" s="76">
        <v>44168.0</v>
      </c>
      <c r="F1277" s="77">
        <v>0.08333333333333333</v>
      </c>
      <c r="G1277" s="62" t="b">
        <v>1</v>
      </c>
      <c r="H1277" s="78" t="b">
        <f>IF(VLOOKUP(C1277,Projetos!A:L,12,false)=TRUE,TRUE,FALSE)</f>
        <v>1</v>
      </c>
      <c r="I1277" s="68">
        <v>31.28278124098124</v>
      </c>
      <c r="J1277" s="68">
        <f t="shared" si="1"/>
        <v>62.56556248</v>
      </c>
      <c r="K1277" s="68" t="b">
        <v>1</v>
      </c>
    </row>
    <row r="1278" hidden="1">
      <c r="A1278" s="75">
        <v>1272.0</v>
      </c>
      <c r="B1278" s="62" t="s">
        <v>744</v>
      </c>
      <c r="C1278" s="62" t="s">
        <v>101</v>
      </c>
      <c r="D1278" s="62" t="s">
        <v>749</v>
      </c>
      <c r="E1278" s="76">
        <v>44172.0</v>
      </c>
      <c r="F1278" s="77">
        <v>0.16666666666666666</v>
      </c>
      <c r="G1278" s="62" t="b">
        <v>1</v>
      </c>
      <c r="H1278" s="78" t="b">
        <f>IF(VLOOKUP(C1278,Projetos!A:L,12,false)=TRUE,TRUE,FALSE)</f>
        <v>1</v>
      </c>
      <c r="I1278" s="68">
        <v>31.28278124098124</v>
      </c>
      <c r="J1278" s="68">
        <f t="shared" si="1"/>
        <v>125.131125</v>
      </c>
      <c r="K1278" s="68" t="b">
        <v>1</v>
      </c>
    </row>
    <row r="1279" hidden="1">
      <c r="A1279" s="75">
        <v>1273.0</v>
      </c>
      <c r="B1279" s="62" t="s">
        <v>744</v>
      </c>
      <c r="C1279" s="62" t="s">
        <v>101</v>
      </c>
      <c r="D1279" s="62" t="s">
        <v>749</v>
      </c>
      <c r="E1279" s="76">
        <v>44173.0</v>
      </c>
      <c r="F1279" s="77">
        <v>0.1875</v>
      </c>
      <c r="G1279" s="62" t="b">
        <v>1</v>
      </c>
      <c r="H1279" s="78" t="b">
        <f>IF(VLOOKUP(C1279,Projetos!A:L,12,false)=TRUE,TRUE,FALSE)</f>
        <v>1</v>
      </c>
      <c r="I1279" s="68">
        <v>31.28278124098124</v>
      </c>
      <c r="J1279" s="68">
        <f t="shared" si="1"/>
        <v>140.7725156</v>
      </c>
      <c r="K1279" s="68" t="b">
        <v>1</v>
      </c>
    </row>
    <row r="1280" hidden="1">
      <c r="A1280" s="75">
        <v>1274.0</v>
      </c>
      <c r="B1280" s="62" t="s">
        <v>744</v>
      </c>
      <c r="C1280" s="62" t="s">
        <v>101</v>
      </c>
      <c r="D1280" s="62" t="s">
        <v>749</v>
      </c>
      <c r="E1280" s="76">
        <v>44174.0</v>
      </c>
      <c r="F1280" s="77">
        <v>0.20833333333333334</v>
      </c>
      <c r="G1280" s="62" t="b">
        <v>1</v>
      </c>
      <c r="H1280" s="78" t="b">
        <f>IF(VLOOKUP(C1280,Projetos!A:L,12,false)=TRUE,TRUE,FALSE)</f>
        <v>1</v>
      </c>
      <c r="I1280" s="68">
        <v>31.28278124098124</v>
      </c>
      <c r="J1280" s="68">
        <f t="shared" si="1"/>
        <v>156.4139062</v>
      </c>
      <c r="K1280" s="68" t="b">
        <v>1</v>
      </c>
    </row>
    <row r="1281" hidden="1">
      <c r="A1281" s="75">
        <v>1275.0</v>
      </c>
      <c r="B1281" s="62" t="s">
        <v>744</v>
      </c>
      <c r="C1281" s="62" t="s">
        <v>101</v>
      </c>
      <c r="D1281" s="62" t="s">
        <v>749</v>
      </c>
      <c r="E1281" s="76">
        <v>44175.0</v>
      </c>
      <c r="F1281" s="77">
        <v>0.20833333333333334</v>
      </c>
      <c r="G1281" s="62" t="b">
        <v>1</v>
      </c>
      <c r="H1281" s="78" t="b">
        <f>IF(VLOOKUP(C1281,Projetos!A:L,12,false)=TRUE,TRUE,FALSE)</f>
        <v>1</v>
      </c>
      <c r="I1281" s="68">
        <v>31.28278124098124</v>
      </c>
      <c r="J1281" s="68">
        <f t="shared" si="1"/>
        <v>156.4139062</v>
      </c>
      <c r="K1281" s="68" t="b">
        <v>1</v>
      </c>
    </row>
    <row r="1282" hidden="1">
      <c r="A1282" s="75">
        <v>1276.0</v>
      </c>
      <c r="B1282" s="62" t="s">
        <v>744</v>
      </c>
      <c r="C1282" s="62" t="s">
        <v>101</v>
      </c>
      <c r="D1282" s="62" t="s">
        <v>749</v>
      </c>
      <c r="E1282" s="76">
        <v>44179.0</v>
      </c>
      <c r="F1282" s="77">
        <v>0.20833333333333334</v>
      </c>
      <c r="G1282" s="62" t="b">
        <v>1</v>
      </c>
      <c r="H1282" s="78" t="b">
        <f>IF(VLOOKUP(C1282,Projetos!A:L,12,false)=TRUE,TRUE,FALSE)</f>
        <v>1</v>
      </c>
      <c r="I1282" s="68">
        <v>31.28278124098124</v>
      </c>
      <c r="J1282" s="68">
        <f t="shared" si="1"/>
        <v>156.4139062</v>
      </c>
      <c r="K1282" s="68" t="b">
        <v>1</v>
      </c>
    </row>
    <row r="1283" hidden="1">
      <c r="A1283" s="75">
        <v>1277.0</v>
      </c>
      <c r="B1283" s="62" t="s">
        <v>744</v>
      </c>
      <c r="C1283" s="62" t="s">
        <v>109</v>
      </c>
      <c r="D1283" s="62" t="s">
        <v>749</v>
      </c>
      <c r="E1283" s="76">
        <v>44179.0</v>
      </c>
      <c r="F1283" s="77">
        <v>0.1875</v>
      </c>
      <c r="G1283" s="62" t="b">
        <v>0</v>
      </c>
      <c r="H1283" s="78" t="b">
        <f>IF(VLOOKUP(C1283,Projetos!A:L,12,false)=TRUE,TRUE,FALSE)</f>
        <v>0</v>
      </c>
      <c r="I1283" s="68">
        <v>31.28278124098124</v>
      </c>
      <c r="J1283" s="68">
        <f t="shared" si="1"/>
        <v>0</v>
      </c>
      <c r="K1283" s="68" t="b">
        <v>0</v>
      </c>
    </row>
    <row r="1284" hidden="1">
      <c r="A1284" s="75">
        <v>1278.0</v>
      </c>
      <c r="B1284" s="62" t="s">
        <v>744</v>
      </c>
      <c r="C1284" s="62" t="s">
        <v>101</v>
      </c>
      <c r="D1284" s="62" t="s">
        <v>749</v>
      </c>
      <c r="E1284" s="76">
        <v>44180.0</v>
      </c>
      <c r="F1284" s="77">
        <v>0.1875</v>
      </c>
      <c r="G1284" s="62" t="b">
        <v>1</v>
      </c>
      <c r="H1284" s="78" t="b">
        <f>IF(VLOOKUP(C1284,Projetos!A:L,12,false)=TRUE,TRUE,FALSE)</f>
        <v>1</v>
      </c>
      <c r="I1284" s="68">
        <v>31.28278124098124</v>
      </c>
      <c r="J1284" s="68">
        <f t="shared" si="1"/>
        <v>140.7725156</v>
      </c>
      <c r="K1284" s="68" t="b">
        <v>1</v>
      </c>
    </row>
    <row r="1285">
      <c r="A1285" s="75">
        <v>1279.0</v>
      </c>
      <c r="B1285" s="62" t="s">
        <v>744</v>
      </c>
      <c r="C1285" s="62" t="s">
        <v>104</v>
      </c>
      <c r="D1285" s="62" t="s">
        <v>754</v>
      </c>
      <c r="E1285" s="76">
        <v>44180.0</v>
      </c>
      <c r="F1285" s="77">
        <v>0.041666666666666664</v>
      </c>
      <c r="G1285" s="62" t="b">
        <v>0</v>
      </c>
      <c r="H1285" s="78" t="b">
        <f>IF(VLOOKUP(C1285,Projetos!A:L,12,false)=TRUE,TRUE,FALSE)</f>
        <v>1</v>
      </c>
      <c r="I1285" s="68">
        <v>31.28278124098124</v>
      </c>
      <c r="J1285" s="68">
        <f t="shared" si="1"/>
        <v>0</v>
      </c>
      <c r="K1285" s="68" t="b">
        <v>1</v>
      </c>
    </row>
    <row r="1286">
      <c r="A1286" s="75">
        <v>1280.0</v>
      </c>
      <c r="B1286" s="62" t="s">
        <v>744</v>
      </c>
      <c r="C1286" s="62" t="s">
        <v>104</v>
      </c>
      <c r="D1286" s="62" t="s">
        <v>754</v>
      </c>
      <c r="E1286" s="76">
        <v>44181.0</v>
      </c>
      <c r="F1286" s="77">
        <v>0.041666666666666664</v>
      </c>
      <c r="G1286" s="62" t="b">
        <v>0</v>
      </c>
      <c r="H1286" s="78" t="b">
        <f>IF(VLOOKUP(C1286,Projetos!A:L,12,false)=TRUE,TRUE,FALSE)</f>
        <v>1</v>
      </c>
      <c r="I1286" s="68">
        <v>31.28278124098124</v>
      </c>
      <c r="J1286" s="68">
        <f t="shared" si="1"/>
        <v>0</v>
      </c>
      <c r="K1286" s="68" t="b">
        <v>1</v>
      </c>
    </row>
    <row r="1287" hidden="1">
      <c r="A1287" s="75">
        <v>1281.0</v>
      </c>
      <c r="B1287" s="62" t="s">
        <v>744</v>
      </c>
      <c r="C1287" s="62" t="s">
        <v>101</v>
      </c>
      <c r="D1287" s="62" t="s">
        <v>749</v>
      </c>
      <c r="E1287" s="76">
        <v>44181.0</v>
      </c>
      <c r="F1287" s="77">
        <v>0.20833333333333334</v>
      </c>
      <c r="G1287" s="62" t="b">
        <v>1</v>
      </c>
      <c r="H1287" s="78" t="b">
        <f>IF(VLOOKUP(C1287,Projetos!A:L,12,false)=TRUE,TRUE,FALSE)</f>
        <v>1</v>
      </c>
      <c r="I1287" s="68">
        <v>31.28278124098124</v>
      </c>
      <c r="J1287" s="68">
        <f t="shared" si="1"/>
        <v>156.4139062</v>
      </c>
      <c r="K1287" s="68" t="b">
        <v>1</v>
      </c>
    </row>
    <row r="1288" hidden="1">
      <c r="A1288" s="75">
        <v>1282.0</v>
      </c>
      <c r="B1288" s="62" t="s">
        <v>744</v>
      </c>
      <c r="C1288" s="62" t="s">
        <v>101</v>
      </c>
      <c r="D1288" s="62" t="s">
        <v>749</v>
      </c>
      <c r="E1288" s="76">
        <v>44182.0</v>
      </c>
      <c r="F1288" s="77">
        <v>0.1875</v>
      </c>
      <c r="G1288" s="62" t="b">
        <v>1</v>
      </c>
      <c r="H1288" s="78" t="b">
        <f>IF(VLOOKUP(C1288,Projetos!A:L,12,false)=TRUE,TRUE,FALSE)</f>
        <v>1</v>
      </c>
      <c r="I1288" s="68">
        <v>31.28278124098124</v>
      </c>
      <c r="J1288" s="68">
        <f t="shared" si="1"/>
        <v>140.7725156</v>
      </c>
      <c r="K1288" s="68" t="b">
        <v>1</v>
      </c>
    </row>
    <row r="1289" hidden="1">
      <c r="A1289" s="75">
        <v>1283.0</v>
      </c>
      <c r="B1289" s="62" t="s">
        <v>744</v>
      </c>
      <c r="C1289" s="62" t="s">
        <v>109</v>
      </c>
      <c r="D1289" s="62" t="s">
        <v>749</v>
      </c>
      <c r="E1289" s="76">
        <v>44182.0</v>
      </c>
      <c r="F1289" s="77">
        <v>0.16666666666666666</v>
      </c>
      <c r="G1289" s="62" t="b">
        <v>0</v>
      </c>
      <c r="H1289" s="78" t="b">
        <f>IF(VLOOKUP(C1289,Projetos!A:L,12,false)=TRUE,TRUE,FALSE)</f>
        <v>0</v>
      </c>
      <c r="I1289" s="68">
        <v>31.28278124098124</v>
      </c>
      <c r="J1289" s="68">
        <f t="shared" si="1"/>
        <v>0</v>
      </c>
      <c r="K1289" s="68" t="b">
        <v>0</v>
      </c>
    </row>
    <row r="1290" hidden="1">
      <c r="A1290" s="75">
        <v>1284.0</v>
      </c>
      <c r="B1290" s="62" t="s">
        <v>744</v>
      </c>
      <c r="C1290" s="62" t="s">
        <v>109</v>
      </c>
      <c r="D1290" s="62" t="s">
        <v>749</v>
      </c>
      <c r="E1290" s="76">
        <v>44183.0</v>
      </c>
      <c r="F1290" s="77">
        <v>0.1875</v>
      </c>
      <c r="G1290" s="62" t="b">
        <v>0</v>
      </c>
      <c r="H1290" s="78" t="b">
        <f>IF(VLOOKUP(C1290,Projetos!A:L,12,false)=TRUE,TRUE,FALSE)</f>
        <v>0</v>
      </c>
      <c r="I1290" s="68">
        <v>31.28278124098124</v>
      </c>
      <c r="J1290" s="68">
        <f t="shared" si="1"/>
        <v>0</v>
      </c>
      <c r="K1290" s="68" t="b">
        <v>0</v>
      </c>
    </row>
    <row r="1291" hidden="1">
      <c r="A1291" s="75">
        <v>1285.0</v>
      </c>
      <c r="B1291" s="62" t="s">
        <v>744</v>
      </c>
      <c r="C1291" s="62" t="s">
        <v>109</v>
      </c>
      <c r="D1291" s="62" t="s">
        <v>749</v>
      </c>
      <c r="E1291" s="76">
        <v>44186.0</v>
      </c>
      <c r="F1291" s="77">
        <v>0.20833333333333334</v>
      </c>
      <c r="G1291" s="62" t="b">
        <v>0</v>
      </c>
      <c r="H1291" s="78" t="b">
        <f>IF(VLOOKUP(C1291,Projetos!A:L,12,false)=TRUE,TRUE,FALSE)</f>
        <v>0</v>
      </c>
      <c r="I1291" s="68">
        <v>31.28278124098124</v>
      </c>
      <c r="J1291" s="68">
        <f t="shared" si="1"/>
        <v>0</v>
      </c>
      <c r="K1291" s="68" t="b">
        <v>0</v>
      </c>
    </row>
    <row r="1292" hidden="1">
      <c r="A1292" s="75">
        <v>1286.0</v>
      </c>
      <c r="B1292" s="62" t="s">
        <v>744</v>
      </c>
      <c r="C1292" s="62" t="s">
        <v>101</v>
      </c>
      <c r="D1292" s="62" t="s">
        <v>749</v>
      </c>
      <c r="E1292" s="76">
        <v>44187.0</v>
      </c>
      <c r="F1292" s="77">
        <v>0.16666666666666666</v>
      </c>
      <c r="G1292" s="62" t="b">
        <v>1</v>
      </c>
      <c r="H1292" s="78" t="b">
        <f>IF(VLOOKUP(C1292,Projetos!A:L,12,false)=TRUE,TRUE,FALSE)</f>
        <v>1</v>
      </c>
      <c r="I1292" s="68">
        <v>31.28278124098124</v>
      </c>
      <c r="J1292" s="68">
        <f t="shared" si="1"/>
        <v>125.131125</v>
      </c>
      <c r="K1292" s="68" t="b">
        <v>1</v>
      </c>
    </row>
    <row r="1293">
      <c r="A1293" s="75">
        <v>1287.0</v>
      </c>
      <c r="B1293" s="62" t="s">
        <v>744</v>
      </c>
      <c r="C1293" s="62" t="s">
        <v>104</v>
      </c>
      <c r="D1293" s="62" t="s">
        <v>749</v>
      </c>
      <c r="E1293" s="76">
        <v>44188.0</v>
      </c>
      <c r="F1293" s="77">
        <v>0.16666666666666666</v>
      </c>
      <c r="G1293" s="62" t="b">
        <v>1</v>
      </c>
      <c r="H1293" s="78" t="b">
        <f>IF(VLOOKUP(C1293,Projetos!A:L,12,false)=TRUE,TRUE,FALSE)</f>
        <v>1</v>
      </c>
      <c r="I1293" s="68">
        <v>31.28278124098124</v>
      </c>
      <c r="J1293" s="68">
        <f t="shared" si="1"/>
        <v>125.131125</v>
      </c>
      <c r="K1293" s="68" t="b">
        <v>1</v>
      </c>
    </row>
    <row r="1294" hidden="1">
      <c r="A1294" s="75">
        <v>1288.0</v>
      </c>
      <c r="B1294" s="62" t="s">
        <v>755</v>
      </c>
      <c r="C1294" s="62" t="s">
        <v>95</v>
      </c>
      <c r="D1294" s="62" t="s">
        <v>756</v>
      </c>
      <c r="E1294" s="76">
        <v>43832.0</v>
      </c>
      <c r="F1294" s="77">
        <v>0.16666666666666666</v>
      </c>
      <c r="G1294" s="62" t="b">
        <v>1</v>
      </c>
      <c r="H1294" s="78" t="b">
        <f>IF(VLOOKUP(C1294,Projetos!A:L,12,false)=TRUE,TRUE,FALSE)</f>
        <v>1</v>
      </c>
      <c r="I1294" s="68">
        <v>21.669365196608947</v>
      </c>
      <c r="J1294" s="68">
        <f t="shared" si="1"/>
        <v>86.67746079</v>
      </c>
      <c r="K1294" s="68" t="b">
        <v>1</v>
      </c>
    </row>
    <row r="1295" hidden="1">
      <c r="A1295" s="75">
        <v>1289.0</v>
      </c>
      <c r="B1295" s="62" t="s">
        <v>755</v>
      </c>
      <c r="C1295" s="62" t="s">
        <v>95</v>
      </c>
      <c r="D1295" s="62" t="s">
        <v>357</v>
      </c>
      <c r="E1295" s="76">
        <v>43836.0</v>
      </c>
      <c r="F1295" s="77">
        <v>0.0625</v>
      </c>
      <c r="G1295" s="62" t="b">
        <v>1</v>
      </c>
      <c r="H1295" s="78" t="b">
        <f>IF(VLOOKUP(C1295,Projetos!A:L,12,false)=TRUE,TRUE,FALSE)</f>
        <v>1</v>
      </c>
      <c r="I1295" s="68">
        <v>21.669365196608947</v>
      </c>
      <c r="J1295" s="68">
        <f t="shared" si="1"/>
        <v>32.50404779</v>
      </c>
      <c r="K1295" s="68" t="b">
        <v>1</v>
      </c>
    </row>
    <row r="1296" hidden="1">
      <c r="A1296" s="75">
        <v>1290.0</v>
      </c>
      <c r="B1296" s="62" t="s">
        <v>755</v>
      </c>
      <c r="C1296" s="62" t="s">
        <v>98</v>
      </c>
      <c r="D1296" s="62" t="s">
        <v>757</v>
      </c>
      <c r="E1296" s="76">
        <v>43836.0</v>
      </c>
      <c r="F1296" s="77">
        <v>0.16666666666666666</v>
      </c>
      <c r="G1296" s="62" t="b">
        <v>1</v>
      </c>
      <c r="H1296" s="78" t="b">
        <f>IF(VLOOKUP(C1296,Projetos!A:L,12,false)=TRUE,TRUE,FALSE)</f>
        <v>1</v>
      </c>
      <c r="I1296" s="68">
        <v>21.669365196608947</v>
      </c>
      <c r="J1296" s="68">
        <f t="shared" si="1"/>
        <v>86.67746079</v>
      </c>
      <c r="K1296" s="68" t="b">
        <v>1</v>
      </c>
    </row>
    <row r="1297" hidden="1">
      <c r="A1297" s="75">
        <v>1291.0</v>
      </c>
      <c r="B1297" s="62" t="s">
        <v>755</v>
      </c>
      <c r="C1297" s="62" t="s">
        <v>98</v>
      </c>
      <c r="D1297" s="62" t="s">
        <v>757</v>
      </c>
      <c r="E1297" s="76">
        <v>43837.0</v>
      </c>
      <c r="F1297" s="77">
        <v>0.14583333333333334</v>
      </c>
      <c r="G1297" s="62" t="b">
        <v>1</v>
      </c>
      <c r="H1297" s="78" t="b">
        <f>IF(VLOOKUP(C1297,Projetos!A:L,12,false)=TRUE,TRUE,FALSE)</f>
        <v>1</v>
      </c>
      <c r="I1297" s="68">
        <v>21.669365196608947</v>
      </c>
      <c r="J1297" s="68">
        <f t="shared" si="1"/>
        <v>75.84277819</v>
      </c>
      <c r="K1297" s="68" t="b">
        <v>1</v>
      </c>
    </row>
    <row r="1298" hidden="1">
      <c r="A1298" s="75">
        <v>1292.0</v>
      </c>
      <c r="B1298" s="62" t="s">
        <v>755</v>
      </c>
      <c r="C1298" s="62" t="s">
        <v>95</v>
      </c>
      <c r="D1298" s="62" t="s">
        <v>758</v>
      </c>
      <c r="E1298" s="76">
        <v>43837.0</v>
      </c>
      <c r="F1298" s="77">
        <v>0.041666666666666664</v>
      </c>
      <c r="G1298" s="62" t="b">
        <v>1</v>
      </c>
      <c r="H1298" s="78" t="b">
        <f>IF(VLOOKUP(C1298,Projetos!A:L,12,false)=TRUE,TRUE,FALSE)</f>
        <v>1</v>
      </c>
      <c r="I1298" s="68">
        <v>21.669365196608947</v>
      </c>
      <c r="J1298" s="68">
        <f t="shared" si="1"/>
        <v>21.6693652</v>
      </c>
      <c r="K1298" s="68" t="b">
        <v>1</v>
      </c>
    </row>
    <row r="1299" hidden="1">
      <c r="A1299" s="75">
        <v>1293.0</v>
      </c>
      <c r="B1299" s="62" t="s">
        <v>755</v>
      </c>
      <c r="C1299" s="62" t="s">
        <v>95</v>
      </c>
      <c r="D1299" s="62" t="s">
        <v>759</v>
      </c>
      <c r="E1299" s="76">
        <v>43838.0</v>
      </c>
      <c r="F1299" s="77">
        <v>0.041666666666666664</v>
      </c>
      <c r="G1299" s="62" t="b">
        <v>1</v>
      </c>
      <c r="H1299" s="78" t="b">
        <f>IF(VLOOKUP(C1299,Projetos!A:L,12,false)=TRUE,TRUE,FALSE)</f>
        <v>1</v>
      </c>
      <c r="I1299" s="68">
        <v>21.669365196608947</v>
      </c>
      <c r="J1299" s="68">
        <f t="shared" si="1"/>
        <v>21.6693652</v>
      </c>
      <c r="K1299" s="68" t="b">
        <v>1</v>
      </c>
    </row>
    <row r="1300" hidden="1">
      <c r="A1300" s="75">
        <v>1294.0</v>
      </c>
      <c r="B1300" s="62" t="s">
        <v>755</v>
      </c>
      <c r="C1300" s="62" t="s">
        <v>108</v>
      </c>
      <c r="D1300" s="62" t="s">
        <v>760</v>
      </c>
      <c r="E1300" s="76">
        <v>43838.0</v>
      </c>
      <c r="F1300" s="77">
        <v>0.08333333333333333</v>
      </c>
      <c r="G1300" s="62" t="b">
        <v>1</v>
      </c>
      <c r="H1300" s="78" t="b">
        <f>IF(VLOOKUP(C1300,Projetos!A:L,12,false)=TRUE,TRUE,FALSE)</f>
        <v>1</v>
      </c>
      <c r="I1300" s="68">
        <v>21.669365196608947</v>
      </c>
      <c r="J1300" s="68">
        <f t="shared" si="1"/>
        <v>43.33873039</v>
      </c>
      <c r="K1300" s="68" t="b">
        <v>1</v>
      </c>
    </row>
    <row r="1301" hidden="1">
      <c r="A1301" s="75">
        <v>1295.0</v>
      </c>
      <c r="B1301" s="62" t="s">
        <v>755</v>
      </c>
      <c r="C1301" s="62" t="s">
        <v>100</v>
      </c>
      <c r="D1301" s="62" t="s">
        <v>214</v>
      </c>
      <c r="E1301" s="76">
        <v>43839.0</v>
      </c>
      <c r="F1301" s="77">
        <v>0.40625</v>
      </c>
      <c r="G1301" s="62" t="b">
        <v>1</v>
      </c>
      <c r="H1301" s="78" t="b">
        <f>IF(VLOOKUP(C1301,Projetos!A:L,12,false)=TRUE,TRUE,FALSE)</f>
        <v>1</v>
      </c>
      <c r="I1301" s="68">
        <v>21.669365196608947</v>
      </c>
      <c r="J1301" s="68">
        <f t="shared" si="1"/>
        <v>211.2763107</v>
      </c>
      <c r="K1301" s="68" t="b">
        <v>1</v>
      </c>
    </row>
    <row r="1302" hidden="1">
      <c r="A1302" s="75">
        <v>1296.0</v>
      </c>
      <c r="B1302" s="62" t="s">
        <v>755</v>
      </c>
      <c r="C1302" s="62" t="s">
        <v>95</v>
      </c>
      <c r="D1302" s="62" t="s">
        <v>761</v>
      </c>
      <c r="E1302" s="76">
        <v>43838.0</v>
      </c>
      <c r="F1302" s="77">
        <v>0.041666666666666664</v>
      </c>
      <c r="G1302" s="62" t="b">
        <v>1</v>
      </c>
      <c r="H1302" s="78" t="b">
        <f>IF(VLOOKUP(C1302,Projetos!A:L,12,false)=TRUE,TRUE,FALSE)</f>
        <v>1</v>
      </c>
      <c r="I1302" s="68">
        <v>21.669365196608947</v>
      </c>
      <c r="J1302" s="68">
        <f t="shared" si="1"/>
        <v>21.6693652</v>
      </c>
      <c r="K1302" s="68" t="b">
        <v>1</v>
      </c>
    </row>
    <row r="1303" hidden="1">
      <c r="A1303" s="75">
        <v>1297.0</v>
      </c>
      <c r="B1303" s="62" t="s">
        <v>755</v>
      </c>
      <c r="C1303" s="62" t="s">
        <v>95</v>
      </c>
      <c r="D1303" s="62" t="s">
        <v>357</v>
      </c>
      <c r="E1303" s="76">
        <v>43843.0</v>
      </c>
      <c r="F1303" s="77">
        <v>0.0625</v>
      </c>
      <c r="G1303" s="62" t="b">
        <v>1</v>
      </c>
      <c r="H1303" s="78" t="b">
        <f>IF(VLOOKUP(C1303,Projetos!A:L,12,false)=TRUE,TRUE,FALSE)</f>
        <v>1</v>
      </c>
      <c r="I1303" s="68">
        <v>21.669365196608947</v>
      </c>
      <c r="J1303" s="68">
        <f t="shared" si="1"/>
        <v>32.50404779</v>
      </c>
      <c r="K1303" s="68" t="b">
        <v>1</v>
      </c>
    </row>
    <row r="1304">
      <c r="A1304" s="75">
        <v>1298.0</v>
      </c>
      <c r="B1304" s="62" t="s">
        <v>755</v>
      </c>
      <c r="C1304" s="62" t="s">
        <v>104</v>
      </c>
      <c r="D1304" s="62" t="s">
        <v>367</v>
      </c>
      <c r="E1304" s="76">
        <v>43843.0</v>
      </c>
      <c r="F1304" s="77">
        <v>0.020833333333333332</v>
      </c>
      <c r="G1304" s="62" t="b">
        <v>1</v>
      </c>
      <c r="H1304" s="78" t="b">
        <f>IF(VLOOKUP(C1304,Projetos!A:L,12,false)=TRUE,TRUE,FALSE)</f>
        <v>1</v>
      </c>
      <c r="I1304" s="68">
        <v>21.669365196608947</v>
      </c>
      <c r="J1304" s="68">
        <f t="shared" si="1"/>
        <v>10.8346826</v>
      </c>
      <c r="K1304" s="68" t="b">
        <v>1</v>
      </c>
    </row>
    <row r="1305">
      <c r="A1305" s="75">
        <v>1299.0</v>
      </c>
      <c r="B1305" s="62" t="s">
        <v>755</v>
      </c>
      <c r="C1305" s="62" t="s">
        <v>104</v>
      </c>
      <c r="D1305" s="62" t="s">
        <v>762</v>
      </c>
      <c r="E1305" s="76">
        <v>43843.0</v>
      </c>
      <c r="F1305" s="77">
        <v>0.0625</v>
      </c>
      <c r="G1305" s="62" t="b">
        <v>1</v>
      </c>
      <c r="H1305" s="78" t="b">
        <f>IF(VLOOKUP(C1305,Projetos!A:L,12,false)=TRUE,TRUE,FALSE)</f>
        <v>1</v>
      </c>
      <c r="I1305" s="68">
        <v>21.669365196608947</v>
      </c>
      <c r="J1305" s="68">
        <f t="shared" si="1"/>
        <v>32.50404779</v>
      </c>
      <c r="K1305" s="68" t="b">
        <v>1</v>
      </c>
    </row>
    <row r="1306" hidden="1">
      <c r="A1306" s="75">
        <v>1300.0</v>
      </c>
      <c r="B1306" s="62" t="s">
        <v>755</v>
      </c>
      <c r="C1306" s="62" t="s">
        <v>98</v>
      </c>
      <c r="D1306" s="62" t="s">
        <v>359</v>
      </c>
      <c r="E1306" s="76">
        <v>43844.0</v>
      </c>
      <c r="F1306" s="77">
        <v>0.16666666666666666</v>
      </c>
      <c r="G1306" s="62" t="b">
        <v>1</v>
      </c>
      <c r="H1306" s="78" t="b">
        <f>IF(VLOOKUP(C1306,Projetos!A:L,12,false)=TRUE,TRUE,FALSE)</f>
        <v>1</v>
      </c>
      <c r="I1306" s="68">
        <v>21.669365196608947</v>
      </c>
      <c r="J1306" s="68">
        <f t="shared" si="1"/>
        <v>86.67746079</v>
      </c>
      <c r="K1306" s="68" t="b">
        <v>1</v>
      </c>
    </row>
    <row r="1307">
      <c r="A1307" s="75">
        <v>1301.0</v>
      </c>
      <c r="B1307" s="62" t="s">
        <v>755</v>
      </c>
      <c r="C1307" s="62" t="s">
        <v>104</v>
      </c>
      <c r="D1307" s="62" t="s">
        <v>763</v>
      </c>
      <c r="E1307" s="76">
        <v>43845.0</v>
      </c>
      <c r="F1307" s="77">
        <v>0.041666666666666664</v>
      </c>
      <c r="G1307" s="62" t="b">
        <v>1</v>
      </c>
      <c r="H1307" s="78" t="b">
        <f>IF(VLOOKUP(C1307,Projetos!A:L,12,false)=TRUE,TRUE,FALSE)</f>
        <v>1</v>
      </c>
      <c r="I1307" s="68">
        <v>21.669365196608947</v>
      </c>
      <c r="J1307" s="68">
        <f t="shared" si="1"/>
        <v>21.6693652</v>
      </c>
      <c r="K1307" s="68" t="b">
        <v>1</v>
      </c>
    </row>
    <row r="1308" hidden="1">
      <c r="A1308" s="75">
        <v>1302.0</v>
      </c>
      <c r="B1308" s="62" t="s">
        <v>755</v>
      </c>
      <c r="C1308" s="62" t="s">
        <v>95</v>
      </c>
      <c r="D1308" s="62" t="s">
        <v>764</v>
      </c>
      <c r="E1308" s="76">
        <v>43846.0</v>
      </c>
      <c r="F1308" s="77">
        <v>0.16666666666666666</v>
      </c>
      <c r="G1308" s="62" t="b">
        <v>1</v>
      </c>
      <c r="H1308" s="78" t="b">
        <f>IF(VLOOKUP(C1308,Projetos!A:L,12,false)=TRUE,TRUE,FALSE)</f>
        <v>1</v>
      </c>
      <c r="I1308" s="68">
        <v>21.669365196608947</v>
      </c>
      <c r="J1308" s="68">
        <f t="shared" si="1"/>
        <v>86.67746079</v>
      </c>
      <c r="K1308" s="68" t="b">
        <v>1</v>
      </c>
    </row>
    <row r="1309" hidden="1">
      <c r="A1309" s="75">
        <v>1303.0</v>
      </c>
      <c r="B1309" s="62" t="s">
        <v>755</v>
      </c>
      <c r="C1309" s="62" t="s">
        <v>95</v>
      </c>
      <c r="D1309" s="62" t="s">
        <v>765</v>
      </c>
      <c r="E1309" s="76">
        <v>43847.0</v>
      </c>
      <c r="F1309" s="77">
        <v>0.041666666666666664</v>
      </c>
      <c r="G1309" s="62" t="b">
        <v>1</v>
      </c>
      <c r="H1309" s="78" t="b">
        <f>IF(VLOOKUP(C1309,Projetos!A:L,12,false)=TRUE,TRUE,FALSE)</f>
        <v>1</v>
      </c>
      <c r="I1309" s="68">
        <v>21.669365196608947</v>
      </c>
      <c r="J1309" s="68">
        <f t="shared" si="1"/>
        <v>21.6693652</v>
      </c>
      <c r="K1309" s="68" t="b">
        <v>1</v>
      </c>
    </row>
    <row r="1310" hidden="1">
      <c r="A1310" s="75">
        <v>1304.0</v>
      </c>
      <c r="B1310" s="62" t="s">
        <v>755</v>
      </c>
      <c r="C1310" s="62" t="s">
        <v>95</v>
      </c>
      <c r="D1310" s="62" t="s">
        <v>758</v>
      </c>
      <c r="E1310" s="76">
        <v>43847.0</v>
      </c>
      <c r="F1310" s="77">
        <v>0.125</v>
      </c>
      <c r="G1310" s="62" t="b">
        <v>1</v>
      </c>
      <c r="H1310" s="78" t="b">
        <f>IF(VLOOKUP(C1310,Projetos!A:L,12,false)=TRUE,TRUE,FALSE)</f>
        <v>1</v>
      </c>
      <c r="I1310" s="68">
        <v>21.669365196608947</v>
      </c>
      <c r="J1310" s="68">
        <f t="shared" si="1"/>
        <v>65.00809559</v>
      </c>
      <c r="K1310" s="68" t="b">
        <v>1</v>
      </c>
    </row>
    <row r="1311" hidden="1">
      <c r="A1311" s="75">
        <v>1305.0</v>
      </c>
      <c r="B1311" s="62" t="s">
        <v>755</v>
      </c>
      <c r="C1311" s="62" t="s">
        <v>95</v>
      </c>
      <c r="D1311" s="62" t="s">
        <v>764</v>
      </c>
      <c r="E1311" s="76">
        <v>43847.0</v>
      </c>
      <c r="F1311" s="77">
        <v>0.041666666666666664</v>
      </c>
      <c r="G1311" s="62" t="b">
        <v>1</v>
      </c>
      <c r="H1311" s="78" t="b">
        <f>IF(VLOOKUP(C1311,Projetos!A:L,12,false)=TRUE,TRUE,FALSE)</f>
        <v>1</v>
      </c>
      <c r="I1311" s="68">
        <v>21.669365196608947</v>
      </c>
      <c r="J1311" s="68">
        <f t="shared" si="1"/>
        <v>21.6693652</v>
      </c>
      <c r="K1311" s="68" t="b">
        <v>1</v>
      </c>
    </row>
    <row r="1312" hidden="1">
      <c r="A1312" s="75">
        <v>1306.0</v>
      </c>
      <c r="B1312" s="62" t="s">
        <v>755</v>
      </c>
      <c r="C1312" s="62" t="s">
        <v>95</v>
      </c>
      <c r="D1312" s="62" t="s">
        <v>766</v>
      </c>
      <c r="E1312" s="76">
        <v>43850.0</v>
      </c>
      <c r="F1312" s="77">
        <v>0.041666666666666664</v>
      </c>
      <c r="G1312" s="62" t="b">
        <v>1</v>
      </c>
      <c r="H1312" s="78" t="b">
        <f>IF(VLOOKUP(C1312,Projetos!A:L,12,false)=TRUE,TRUE,FALSE)</f>
        <v>1</v>
      </c>
      <c r="I1312" s="68">
        <v>21.669365196608947</v>
      </c>
      <c r="J1312" s="68">
        <f t="shared" si="1"/>
        <v>21.6693652</v>
      </c>
      <c r="K1312" s="68" t="b">
        <v>1</v>
      </c>
    </row>
    <row r="1313" hidden="1">
      <c r="A1313" s="75">
        <v>1307.0</v>
      </c>
      <c r="B1313" s="62" t="s">
        <v>755</v>
      </c>
      <c r="C1313" s="62" t="s">
        <v>95</v>
      </c>
      <c r="D1313" s="62" t="s">
        <v>767</v>
      </c>
      <c r="E1313" s="76">
        <v>43850.0</v>
      </c>
      <c r="F1313" s="77">
        <v>0.041666666666666664</v>
      </c>
      <c r="G1313" s="62" t="b">
        <v>1</v>
      </c>
      <c r="H1313" s="78" t="b">
        <f>IF(VLOOKUP(C1313,Projetos!A:L,12,false)=TRUE,TRUE,FALSE)</f>
        <v>1</v>
      </c>
      <c r="I1313" s="68">
        <v>21.669365196608947</v>
      </c>
      <c r="J1313" s="68">
        <f t="shared" si="1"/>
        <v>21.6693652</v>
      </c>
      <c r="K1313" s="68" t="b">
        <v>1</v>
      </c>
    </row>
    <row r="1314" hidden="1">
      <c r="A1314" s="75">
        <v>1308.0</v>
      </c>
      <c r="B1314" s="62" t="s">
        <v>755</v>
      </c>
      <c r="C1314" s="62" t="s">
        <v>100</v>
      </c>
      <c r="D1314" s="62" t="s">
        <v>768</v>
      </c>
      <c r="E1314" s="76">
        <v>43852.0</v>
      </c>
      <c r="F1314" s="77">
        <v>0.0625</v>
      </c>
      <c r="G1314" s="62" t="b">
        <v>1</v>
      </c>
      <c r="H1314" s="78" t="b">
        <f>IF(VLOOKUP(C1314,Projetos!A:L,12,false)=TRUE,TRUE,FALSE)</f>
        <v>1</v>
      </c>
      <c r="I1314" s="68">
        <v>21.669365196608947</v>
      </c>
      <c r="J1314" s="68">
        <f t="shared" si="1"/>
        <v>32.50404779</v>
      </c>
      <c r="K1314" s="68" t="b">
        <v>1</v>
      </c>
    </row>
    <row r="1315" hidden="1">
      <c r="A1315" s="75">
        <v>1309.0</v>
      </c>
      <c r="B1315" s="62" t="s">
        <v>755</v>
      </c>
      <c r="C1315" s="62" t="s">
        <v>116</v>
      </c>
      <c r="D1315" s="62" t="s">
        <v>769</v>
      </c>
      <c r="E1315" s="76">
        <v>43853.0</v>
      </c>
      <c r="F1315" s="77">
        <v>0.0625</v>
      </c>
      <c r="G1315" s="62" t="b">
        <v>1</v>
      </c>
      <c r="H1315" s="78" t="b">
        <f>IF(VLOOKUP(C1315,Projetos!A:L,12,false)=TRUE,TRUE,FALSE)</f>
        <v>1</v>
      </c>
      <c r="I1315" s="68">
        <v>21.669365196608947</v>
      </c>
      <c r="J1315" s="68">
        <f t="shared" si="1"/>
        <v>32.50404779</v>
      </c>
      <c r="K1315" s="68" t="b">
        <v>1</v>
      </c>
    </row>
    <row r="1316">
      <c r="A1316" s="75">
        <v>1310.0</v>
      </c>
      <c r="B1316" s="62" t="s">
        <v>755</v>
      </c>
      <c r="C1316" s="62" t="s">
        <v>104</v>
      </c>
      <c r="D1316" s="62" t="s">
        <v>770</v>
      </c>
      <c r="E1316" s="76">
        <v>43853.0</v>
      </c>
      <c r="F1316" s="77">
        <v>0.0625</v>
      </c>
      <c r="G1316" s="62" t="b">
        <v>1</v>
      </c>
      <c r="H1316" s="78" t="b">
        <f>IF(VLOOKUP(C1316,Projetos!A:L,12,false)=TRUE,TRUE,FALSE)</f>
        <v>1</v>
      </c>
      <c r="I1316" s="68">
        <v>21.669365196608947</v>
      </c>
      <c r="J1316" s="68">
        <f t="shared" si="1"/>
        <v>32.50404779</v>
      </c>
      <c r="K1316" s="68" t="b">
        <v>1</v>
      </c>
    </row>
    <row r="1317">
      <c r="A1317" s="75">
        <v>1311.0</v>
      </c>
      <c r="B1317" s="62" t="s">
        <v>755</v>
      </c>
      <c r="C1317" s="62" t="s">
        <v>104</v>
      </c>
      <c r="D1317" s="62" t="s">
        <v>771</v>
      </c>
      <c r="E1317" s="76">
        <v>43854.0</v>
      </c>
      <c r="F1317" s="77">
        <v>0.020833333333333332</v>
      </c>
      <c r="G1317" s="62" t="b">
        <v>1</v>
      </c>
      <c r="H1317" s="78" t="b">
        <f>IF(VLOOKUP(C1317,Projetos!A:L,12,false)=TRUE,TRUE,FALSE)</f>
        <v>1</v>
      </c>
      <c r="I1317" s="68">
        <v>21.669365196608947</v>
      </c>
      <c r="J1317" s="68">
        <f t="shared" si="1"/>
        <v>10.8346826</v>
      </c>
      <c r="K1317" s="68" t="b">
        <v>1</v>
      </c>
    </row>
    <row r="1318" hidden="1">
      <c r="A1318" s="75">
        <v>1312.0</v>
      </c>
      <c r="B1318" s="62" t="s">
        <v>755</v>
      </c>
      <c r="C1318" s="62" t="s">
        <v>95</v>
      </c>
      <c r="D1318" s="62" t="s">
        <v>772</v>
      </c>
      <c r="E1318" s="76">
        <v>43857.0</v>
      </c>
      <c r="F1318" s="77">
        <v>0.08333333333333333</v>
      </c>
      <c r="G1318" s="62" t="b">
        <v>1</v>
      </c>
      <c r="H1318" s="78" t="b">
        <f>IF(VLOOKUP(C1318,Projetos!A:L,12,false)=TRUE,TRUE,FALSE)</f>
        <v>1</v>
      </c>
      <c r="I1318" s="68">
        <v>21.669365196608947</v>
      </c>
      <c r="J1318" s="68">
        <f t="shared" si="1"/>
        <v>43.33873039</v>
      </c>
      <c r="K1318" s="68" t="b">
        <v>1</v>
      </c>
    </row>
    <row r="1319" hidden="1">
      <c r="A1319" s="75">
        <v>1313.0</v>
      </c>
      <c r="B1319" s="62" t="s">
        <v>755</v>
      </c>
      <c r="C1319" s="62" t="s">
        <v>98</v>
      </c>
      <c r="D1319" s="62" t="s">
        <v>358</v>
      </c>
      <c r="E1319" s="76">
        <v>43858.0</v>
      </c>
      <c r="F1319" s="77">
        <v>0.041666666666666664</v>
      </c>
      <c r="G1319" s="62" t="b">
        <v>1</v>
      </c>
      <c r="H1319" s="78" t="b">
        <f>IF(VLOOKUP(C1319,Projetos!A:L,12,false)=TRUE,TRUE,FALSE)</f>
        <v>1</v>
      </c>
      <c r="I1319" s="68">
        <v>21.669365196608947</v>
      </c>
      <c r="J1319" s="68">
        <f t="shared" si="1"/>
        <v>21.6693652</v>
      </c>
      <c r="K1319" s="68" t="b">
        <v>1</v>
      </c>
    </row>
    <row r="1320" hidden="1">
      <c r="A1320" s="75">
        <v>1314.0</v>
      </c>
      <c r="B1320" s="62" t="s">
        <v>755</v>
      </c>
      <c r="C1320" s="62" t="s">
        <v>95</v>
      </c>
      <c r="D1320" s="62" t="s">
        <v>773</v>
      </c>
      <c r="E1320" s="76">
        <v>43858.0</v>
      </c>
      <c r="F1320" s="77">
        <v>0.0625</v>
      </c>
      <c r="G1320" s="62" t="b">
        <v>1</v>
      </c>
      <c r="H1320" s="78" t="b">
        <f>IF(VLOOKUP(C1320,Projetos!A:L,12,false)=TRUE,TRUE,FALSE)</f>
        <v>1</v>
      </c>
      <c r="I1320" s="68">
        <v>21.669365196608947</v>
      </c>
      <c r="J1320" s="68">
        <f t="shared" si="1"/>
        <v>32.50404779</v>
      </c>
      <c r="K1320" s="68" t="b">
        <v>1</v>
      </c>
    </row>
    <row r="1321" hidden="1">
      <c r="A1321" s="75">
        <v>1315.0</v>
      </c>
      <c r="B1321" s="62" t="s">
        <v>755</v>
      </c>
      <c r="C1321" s="62" t="s">
        <v>95</v>
      </c>
      <c r="D1321" s="62" t="s">
        <v>758</v>
      </c>
      <c r="E1321" s="76">
        <v>43858.0</v>
      </c>
      <c r="F1321" s="77">
        <v>0.041666666666666664</v>
      </c>
      <c r="G1321" s="62" t="b">
        <v>1</v>
      </c>
      <c r="H1321" s="78" t="b">
        <f>IF(VLOOKUP(C1321,Projetos!A:L,12,false)=TRUE,TRUE,FALSE)</f>
        <v>1</v>
      </c>
      <c r="I1321" s="68">
        <v>21.669365196608947</v>
      </c>
      <c r="J1321" s="68">
        <f t="shared" si="1"/>
        <v>21.6693652</v>
      </c>
      <c r="K1321" s="68" t="b">
        <v>1</v>
      </c>
    </row>
    <row r="1322" hidden="1">
      <c r="A1322" s="75">
        <v>1316.0</v>
      </c>
      <c r="B1322" s="62" t="s">
        <v>755</v>
      </c>
      <c r="C1322" s="62" t="s">
        <v>95</v>
      </c>
      <c r="D1322" s="62" t="s">
        <v>774</v>
      </c>
      <c r="E1322" s="76">
        <v>43857.0</v>
      </c>
      <c r="F1322" s="77">
        <v>0.0625</v>
      </c>
      <c r="G1322" s="62" t="b">
        <v>1</v>
      </c>
      <c r="H1322" s="78" t="b">
        <f>IF(VLOOKUP(C1322,Projetos!A:L,12,false)=TRUE,TRUE,FALSE)</f>
        <v>1</v>
      </c>
      <c r="I1322" s="68">
        <v>21.669365196608947</v>
      </c>
      <c r="J1322" s="68">
        <f t="shared" si="1"/>
        <v>32.50404779</v>
      </c>
      <c r="K1322" s="68" t="b">
        <v>1</v>
      </c>
    </row>
    <row r="1323" hidden="1">
      <c r="A1323" s="75">
        <v>1317.0</v>
      </c>
      <c r="B1323" s="62" t="s">
        <v>755</v>
      </c>
      <c r="C1323" s="62" t="s">
        <v>95</v>
      </c>
      <c r="D1323" s="62" t="s">
        <v>775</v>
      </c>
      <c r="E1323" s="76">
        <v>43859.0</v>
      </c>
      <c r="F1323" s="77">
        <v>0.08333333333333333</v>
      </c>
      <c r="G1323" s="62" t="b">
        <v>1</v>
      </c>
      <c r="H1323" s="78" t="b">
        <f>IF(VLOOKUP(C1323,Projetos!A:L,12,false)=TRUE,TRUE,FALSE)</f>
        <v>1</v>
      </c>
      <c r="I1323" s="68">
        <v>21.669365196608947</v>
      </c>
      <c r="J1323" s="68">
        <f t="shared" si="1"/>
        <v>43.33873039</v>
      </c>
      <c r="K1323" s="68" t="b">
        <v>1</v>
      </c>
    </row>
    <row r="1324" hidden="1">
      <c r="A1324" s="75">
        <v>1318.0</v>
      </c>
      <c r="B1324" s="62" t="s">
        <v>755</v>
      </c>
      <c r="C1324" s="62" t="s">
        <v>95</v>
      </c>
      <c r="D1324" s="62" t="s">
        <v>776</v>
      </c>
      <c r="E1324" s="76">
        <v>43859.0</v>
      </c>
      <c r="F1324" s="77">
        <v>0.041666666666666664</v>
      </c>
      <c r="G1324" s="62" t="b">
        <v>1</v>
      </c>
      <c r="H1324" s="78" t="b">
        <f>IF(VLOOKUP(C1324,Projetos!A:L,12,false)=TRUE,TRUE,FALSE)</f>
        <v>1</v>
      </c>
      <c r="I1324" s="68">
        <v>21.669365196608947</v>
      </c>
      <c r="J1324" s="68">
        <f t="shared" si="1"/>
        <v>21.6693652</v>
      </c>
      <c r="K1324" s="68" t="b">
        <v>1</v>
      </c>
    </row>
    <row r="1325" hidden="1">
      <c r="A1325" s="75">
        <v>1319.0</v>
      </c>
      <c r="B1325" s="62" t="s">
        <v>755</v>
      </c>
      <c r="C1325" s="62" t="s">
        <v>116</v>
      </c>
      <c r="D1325" s="62" t="s">
        <v>777</v>
      </c>
      <c r="E1325" s="76">
        <v>43861.0</v>
      </c>
      <c r="F1325" s="77">
        <v>0.041666666666666664</v>
      </c>
      <c r="G1325" s="62" t="b">
        <v>1</v>
      </c>
      <c r="H1325" s="78" t="b">
        <f>IF(VLOOKUP(C1325,Projetos!A:L,12,false)=TRUE,TRUE,FALSE)</f>
        <v>1</v>
      </c>
      <c r="I1325" s="68">
        <v>21.669365196608947</v>
      </c>
      <c r="J1325" s="68">
        <f t="shared" si="1"/>
        <v>21.6693652</v>
      </c>
      <c r="K1325" s="68" t="b">
        <v>1</v>
      </c>
    </row>
    <row r="1326" hidden="1">
      <c r="A1326" s="75">
        <v>1320.0</v>
      </c>
      <c r="B1326" s="62" t="s">
        <v>755</v>
      </c>
      <c r="C1326" s="62" t="s">
        <v>95</v>
      </c>
      <c r="D1326" s="62" t="s">
        <v>764</v>
      </c>
      <c r="E1326" s="76">
        <v>43861.0</v>
      </c>
      <c r="F1326" s="77">
        <v>0.0625</v>
      </c>
      <c r="G1326" s="62" t="b">
        <v>1</v>
      </c>
      <c r="H1326" s="78" t="b">
        <f>IF(VLOOKUP(C1326,Projetos!A:L,12,false)=TRUE,TRUE,FALSE)</f>
        <v>1</v>
      </c>
      <c r="I1326" s="68">
        <v>21.669365196608947</v>
      </c>
      <c r="J1326" s="68">
        <f t="shared" si="1"/>
        <v>32.50404779</v>
      </c>
      <c r="K1326" s="68" t="b">
        <v>1</v>
      </c>
    </row>
    <row r="1327" hidden="1">
      <c r="A1327" s="75">
        <v>1321.0</v>
      </c>
      <c r="B1327" s="62" t="s">
        <v>755</v>
      </c>
      <c r="C1327" s="62" t="s">
        <v>100</v>
      </c>
      <c r="D1327" s="62" t="s">
        <v>778</v>
      </c>
      <c r="E1327" s="76">
        <v>43861.0</v>
      </c>
      <c r="F1327" s="77">
        <v>0.16666666666666666</v>
      </c>
      <c r="G1327" s="62" t="b">
        <v>1</v>
      </c>
      <c r="H1327" s="78" t="b">
        <f>IF(VLOOKUP(C1327,Projetos!A:L,12,false)=TRUE,TRUE,FALSE)</f>
        <v>1</v>
      </c>
      <c r="I1327" s="68">
        <v>21.669365196608947</v>
      </c>
      <c r="J1327" s="68">
        <f t="shared" si="1"/>
        <v>86.67746079</v>
      </c>
      <c r="K1327" s="68" t="b">
        <v>1</v>
      </c>
    </row>
    <row r="1328" hidden="1">
      <c r="A1328" s="75">
        <v>1322.0</v>
      </c>
      <c r="B1328" s="62" t="s">
        <v>755</v>
      </c>
      <c r="C1328" s="62" t="s">
        <v>95</v>
      </c>
      <c r="D1328" s="62" t="s">
        <v>779</v>
      </c>
      <c r="E1328" s="76">
        <v>43864.0</v>
      </c>
      <c r="F1328" s="77">
        <v>0.40625</v>
      </c>
      <c r="G1328" s="62" t="b">
        <v>1</v>
      </c>
      <c r="H1328" s="78" t="b">
        <f>IF(VLOOKUP(C1328,Projetos!A:L,12,false)=TRUE,TRUE,FALSE)</f>
        <v>1</v>
      </c>
      <c r="I1328" s="68">
        <v>20.684394051308537</v>
      </c>
      <c r="J1328" s="68">
        <f t="shared" si="1"/>
        <v>201.672842</v>
      </c>
      <c r="K1328" s="68" t="b">
        <v>1</v>
      </c>
    </row>
    <row r="1329" hidden="1">
      <c r="A1329" s="75">
        <v>1323.0</v>
      </c>
      <c r="B1329" s="62" t="s">
        <v>755</v>
      </c>
      <c r="C1329" s="62" t="s">
        <v>110</v>
      </c>
      <c r="D1329" s="62" t="s">
        <v>780</v>
      </c>
      <c r="E1329" s="76">
        <v>43865.0</v>
      </c>
      <c r="F1329" s="77">
        <v>0.041666666666666664</v>
      </c>
      <c r="G1329" s="62" t="b">
        <v>1</v>
      </c>
      <c r="H1329" s="78" t="b">
        <f>IF(VLOOKUP(C1329,Projetos!A:L,12,false)=TRUE,TRUE,FALSE)</f>
        <v>1</v>
      </c>
      <c r="I1329" s="68">
        <v>20.684394051308537</v>
      </c>
      <c r="J1329" s="68">
        <f t="shared" si="1"/>
        <v>20.68439405</v>
      </c>
      <c r="K1329" s="68" t="b">
        <v>1</v>
      </c>
    </row>
    <row r="1330" hidden="1">
      <c r="A1330" s="75">
        <v>1324.0</v>
      </c>
      <c r="B1330" s="62" t="s">
        <v>755</v>
      </c>
      <c r="C1330" s="62" t="s">
        <v>98</v>
      </c>
      <c r="D1330" s="62" t="s">
        <v>781</v>
      </c>
      <c r="E1330" s="76">
        <v>43866.0</v>
      </c>
      <c r="F1330" s="77">
        <v>0.0625</v>
      </c>
      <c r="G1330" s="62" t="b">
        <v>1</v>
      </c>
      <c r="H1330" s="78" t="b">
        <f>IF(VLOOKUP(C1330,Projetos!A:L,12,false)=TRUE,TRUE,FALSE)</f>
        <v>1</v>
      </c>
      <c r="I1330" s="68">
        <v>20.684394051308537</v>
      </c>
      <c r="J1330" s="68">
        <f t="shared" si="1"/>
        <v>31.02659108</v>
      </c>
      <c r="K1330" s="68" t="b">
        <v>1</v>
      </c>
    </row>
    <row r="1331" hidden="1">
      <c r="A1331" s="75">
        <v>1325.0</v>
      </c>
      <c r="B1331" s="62" t="s">
        <v>755</v>
      </c>
      <c r="C1331" s="62" t="s">
        <v>98</v>
      </c>
      <c r="D1331" s="62" t="s">
        <v>782</v>
      </c>
      <c r="E1331" s="76">
        <v>43868.0</v>
      </c>
      <c r="F1331" s="77">
        <v>0.041666666666666664</v>
      </c>
      <c r="G1331" s="62" t="b">
        <v>1</v>
      </c>
      <c r="H1331" s="78" t="b">
        <f>IF(VLOOKUP(C1331,Projetos!A:L,12,false)=TRUE,TRUE,FALSE)</f>
        <v>1</v>
      </c>
      <c r="I1331" s="68">
        <v>20.684394051308537</v>
      </c>
      <c r="J1331" s="68">
        <f t="shared" si="1"/>
        <v>20.68439405</v>
      </c>
      <c r="K1331" s="68" t="b">
        <v>1</v>
      </c>
    </row>
    <row r="1332" hidden="1">
      <c r="A1332" s="75">
        <v>1326.0</v>
      </c>
      <c r="B1332" s="62" t="s">
        <v>755</v>
      </c>
      <c r="C1332" s="62" t="s">
        <v>95</v>
      </c>
      <c r="D1332" s="62" t="s">
        <v>783</v>
      </c>
      <c r="E1332" s="76">
        <v>43867.0</v>
      </c>
      <c r="F1332" s="77">
        <v>0.16666666666666666</v>
      </c>
      <c r="G1332" s="62" t="b">
        <v>1</v>
      </c>
      <c r="H1332" s="78" t="b">
        <f>IF(VLOOKUP(C1332,Projetos!A:L,12,false)=TRUE,TRUE,FALSE)</f>
        <v>1</v>
      </c>
      <c r="I1332" s="68">
        <v>20.684394051308537</v>
      </c>
      <c r="J1332" s="68">
        <f t="shared" si="1"/>
        <v>82.73757621</v>
      </c>
      <c r="K1332" s="68" t="b">
        <v>1</v>
      </c>
    </row>
    <row r="1333" hidden="1">
      <c r="A1333" s="75">
        <v>1327.0</v>
      </c>
      <c r="B1333" s="62" t="s">
        <v>755</v>
      </c>
      <c r="C1333" s="62" t="s">
        <v>102</v>
      </c>
      <c r="D1333" s="62" t="s">
        <v>784</v>
      </c>
      <c r="E1333" s="76">
        <v>43872.0</v>
      </c>
      <c r="F1333" s="77">
        <v>0.20833333333333334</v>
      </c>
      <c r="G1333" s="62" t="b">
        <v>0</v>
      </c>
      <c r="H1333" s="78" t="b">
        <f>IF(VLOOKUP(C1333,Projetos!A:L,12,false)=TRUE,TRUE,FALSE)</f>
        <v>0</v>
      </c>
      <c r="I1333" s="68">
        <v>20.684394051308537</v>
      </c>
      <c r="J1333" s="68">
        <f t="shared" si="1"/>
        <v>0</v>
      </c>
      <c r="K1333" s="68" t="b">
        <v>0</v>
      </c>
    </row>
    <row r="1334" hidden="1">
      <c r="A1334" s="75">
        <v>1328.0</v>
      </c>
      <c r="B1334" s="62" t="s">
        <v>755</v>
      </c>
      <c r="C1334" s="62" t="s">
        <v>98</v>
      </c>
      <c r="D1334" s="62" t="s">
        <v>782</v>
      </c>
      <c r="E1334" s="76">
        <v>43888.0</v>
      </c>
      <c r="F1334" s="77">
        <v>0.041666666666666664</v>
      </c>
      <c r="G1334" s="62" t="b">
        <v>1</v>
      </c>
      <c r="H1334" s="78" t="b">
        <f>IF(VLOOKUP(C1334,Projetos!A:L,12,false)=TRUE,TRUE,FALSE)</f>
        <v>1</v>
      </c>
      <c r="I1334" s="68">
        <v>20.684394051308537</v>
      </c>
      <c r="J1334" s="68">
        <f t="shared" si="1"/>
        <v>20.68439405</v>
      </c>
      <c r="K1334" s="68" t="b">
        <v>1</v>
      </c>
    </row>
    <row r="1335" hidden="1">
      <c r="A1335" s="75">
        <v>1329.0</v>
      </c>
      <c r="B1335" s="62" t="s">
        <v>755</v>
      </c>
      <c r="C1335" s="62" t="s">
        <v>108</v>
      </c>
      <c r="D1335" s="62" t="s">
        <v>785</v>
      </c>
      <c r="E1335" s="76">
        <v>43888.0</v>
      </c>
      <c r="F1335" s="77">
        <v>0.2916666666666667</v>
      </c>
      <c r="G1335" s="62" t="b">
        <v>1</v>
      </c>
      <c r="H1335" s="78" t="b">
        <f>IF(VLOOKUP(C1335,Projetos!A:L,12,false)=TRUE,TRUE,FALSE)</f>
        <v>1</v>
      </c>
      <c r="I1335" s="68">
        <v>20.684394051308537</v>
      </c>
      <c r="J1335" s="68">
        <f t="shared" si="1"/>
        <v>144.7907584</v>
      </c>
      <c r="K1335" s="68" t="b">
        <v>1</v>
      </c>
    </row>
    <row r="1336" hidden="1">
      <c r="A1336" s="75">
        <v>1330.0</v>
      </c>
      <c r="B1336" s="62" t="s">
        <v>755</v>
      </c>
      <c r="C1336" s="62" t="s">
        <v>108</v>
      </c>
      <c r="D1336" s="62" t="s">
        <v>785</v>
      </c>
      <c r="E1336" s="76">
        <v>43889.0</v>
      </c>
      <c r="F1336" s="77">
        <v>0.14583333333333334</v>
      </c>
      <c r="G1336" s="62" t="b">
        <v>1</v>
      </c>
      <c r="H1336" s="78" t="b">
        <f>IF(VLOOKUP(C1336,Projetos!A:L,12,false)=TRUE,TRUE,FALSE)</f>
        <v>1</v>
      </c>
      <c r="I1336" s="68">
        <v>20.684394051308537</v>
      </c>
      <c r="J1336" s="68">
        <f t="shared" si="1"/>
        <v>72.39537918</v>
      </c>
      <c r="K1336" s="68" t="b">
        <v>1</v>
      </c>
    </row>
    <row r="1337" hidden="1">
      <c r="A1337" s="75">
        <v>1331.0</v>
      </c>
      <c r="B1337" s="62" t="s">
        <v>755</v>
      </c>
      <c r="C1337" s="62" t="s">
        <v>108</v>
      </c>
      <c r="D1337" s="62" t="s">
        <v>786</v>
      </c>
      <c r="E1337" s="76">
        <v>43889.0</v>
      </c>
      <c r="F1337" s="77">
        <v>0.20833333333333334</v>
      </c>
      <c r="G1337" s="62" t="b">
        <v>1</v>
      </c>
      <c r="H1337" s="78" t="b">
        <f>IF(VLOOKUP(C1337,Projetos!A:L,12,false)=TRUE,TRUE,FALSE)</f>
        <v>1</v>
      </c>
      <c r="I1337" s="68">
        <v>20.684394051308537</v>
      </c>
      <c r="J1337" s="68">
        <f t="shared" si="1"/>
        <v>103.4219703</v>
      </c>
      <c r="K1337" s="68" t="b">
        <v>1</v>
      </c>
    </row>
    <row r="1338" hidden="1">
      <c r="A1338" s="75">
        <v>1332.0</v>
      </c>
      <c r="B1338" s="62" t="s">
        <v>755</v>
      </c>
      <c r="C1338" s="62" t="s">
        <v>108</v>
      </c>
      <c r="D1338" s="62" t="s">
        <v>787</v>
      </c>
      <c r="E1338" s="76">
        <v>43892.0</v>
      </c>
      <c r="F1338" s="77">
        <v>0.16666666666666666</v>
      </c>
      <c r="G1338" s="62" t="b">
        <v>1</v>
      </c>
      <c r="H1338" s="78" t="b">
        <f>IF(VLOOKUP(C1338,Projetos!A:L,12,false)=TRUE,TRUE,FALSE)</f>
        <v>1</v>
      </c>
      <c r="I1338" s="68">
        <v>21.669365196608947</v>
      </c>
      <c r="J1338" s="68">
        <f t="shared" si="1"/>
        <v>86.67746079</v>
      </c>
      <c r="K1338" s="68" t="b">
        <v>1</v>
      </c>
    </row>
    <row r="1339" hidden="1">
      <c r="A1339" s="75">
        <v>1333.0</v>
      </c>
      <c r="B1339" s="62" t="s">
        <v>755</v>
      </c>
      <c r="C1339" s="62" t="s">
        <v>98</v>
      </c>
      <c r="D1339" s="62" t="s">
        <v>788</v>
      </c>
      <c r="E1339" s="76">
        <v>43894.0</v>
      </c>
      <c r="F1339" s="77">
        <v>0.041666666666666664</v>
      </c>
      <c r="G1339" s="62" t="b">
        <v>1</v>
      </c>
      <c r="H1339" s="78" t="b">
        <f>IF(VLOOKUP(C1339,Projetos!A:L,12,false)=TRUE,TRUE,FALSE)</f>
        <v>1</v>
      </c>
      <c r="I1339" s="68">
        <v>21.669365196608947</v>
      </c>
      <c r="J1339" s="68">
        <f t="shared" si="1"/>
        <v>21.6693652</v>
      </c>
      <c r="K1339" s="68" t="b">
        <v>1</v>
      </c>
    </row>
    <row r="1340" hidden="1">
      <c r="A1340" s="75">
        <v>1334.0</v>
      </c>
      <c r="B1340" s="62" t="s">
        <v>755</v>
      </c>
      <c r="C1340" s="62" t="s">
        <v>98</v>
      </c>
      <c r="D1340" s="62" t="s">
        <v>788</v>
      </c>
      <c r="E1340" s="76">
        <v>43895.0</v>
      </c>
      <c r="F1340" s="77">
        <v>0.0625</v>
      </c>
      <c r="G1340" s="62" t="b">
        <v>1</v>
      </c>
      <c r="H1340" s="78" t="b">
        <f>IF(VLOOKUP(C1340,Projetos!A:L,12,false)=TRUE,TRUE,FALSE)</f>
        <v>1</v>
      </c>
      <c r="I1340" s="68">
        <v>21.669365196608947</v>
      </c>
      <c r="J1340" s="68">
        <f t="shared" si="1"/>
        <v>32.50404779</v>
      </c>
      <c r="K1340" s="68" t="b">
        <v>1</v>
      </c>
    </row>
    <row r="1341" hidden="1">
      <c r="A1341" s="75">
        <v>1335.0</v>
      </c>
      <c r="B1341" s="62" t="s">
        <v>755</v>
      </c>
      <c r="C1341" s="62" t="s">
        <v>108</v>
      </c>
      <c r="D1341" s="62" t="s">
        <v>773</v>
      </c>
      <c r="E1341" s="76">
        <v>43896.0</v>
      </c>
      <c r="F1341" s="77">
        <v>0.041666666666666664</v>
      </c>
      <c r="G1341" s="62" t="b">
        <v>1</v>
      </c>
      <c r="H1341" s="78" t="b">
        <f>IF(VLOOKUP(C1341,Projetos!A:L,12,false)=TRUE,TRUE,FALSE)</f>
        <v>1</v>
      </c>
      <c r="I1341" s="68">
        <v>21.669365196608947</v>
      </c>
      <c r="J1341" s="68">
        <f t="shared" si="1"/>
        <v>21.6693652</v>
      </c>
      <c r="K1341" s="68" t="b">
        <v>1</v>
      </c>
    </row>
    <row r="1342" hidden="1">
      <c r="A1342" s="75">
        <v>1336.0</v>
      </c>
      <c r="B1342" s="62" t="s">
        <v>755</v>
      </c>
      <c r="C1342" s="62" t="s">
        <v>138</v>
      </c>
      <c r="D1342" s="62" t="s">
        <v>773</v>
      </c>
      <c r="E1342" s="76">
        <v>43896.0</v>
      </c>
      <c r="F1342" s="77">
        <v>0.10416666666666667</v>
      </c>
      <c r="G1342" s="62" t="b">
        <v>1</v>
      </c>
      <c r="H1342" s="78" t="b">
        <f>IF(VLOOKUP(C1342,Projetos!A:L,12,false)=TRUE,TRUE,FALSE)</f>
        <v>1</v>
      </c>
      <c r="I1342" s="68">
        <v>21.669365196608947</v>
      </c>
      <c r="J1342" s="68">
        <f t="shared" si="1"/>
        <v>54.17341299</v>
      </c>
      <c r="K1342" s="68" t="b">
        <v>1</v>
      </c>
    </row>
    <row r="1343">
      <c r="A1343" s="75">
        <v>1337.0</v>
      </c>
      <c r="B1343" s="62" t="s">
        <v>755</v>
      </c>
      <c r="C1343" s="62" t="s">
        <v>104</v>
      </c>
      <c r="D1343" s="62" t="s">
        <v>789</v>
      </c>
      <c r="E1343" s="76">
        <v>43900.0</v>
      </c>
      <c r="F1343" s="77">
        <v>0.0625</v>
      </c>
      <c r="G1343" s="62" t="b">
        <v>0</v>
      </c>
      <c r="H1343" s="78" t="b">
        <f>IF(VLOOKUP(C1343,Projetos!A:L,12,false)=TRUE,TRUE,FALSE)</f>
        <v>1</v>
      </c>
      <c r="I1343" s="68">
        <v>21.669365196608947</v>
      </c>
      <c r="J1343" s="68">
        <f t="shared" si="1"/>
        <v>0</v>
      </c>
      <c r="K1343" s="68" t="b">
        <v>1</v>
      </c>
    </row>
    <row r="1344" hidden="1">
      <c r="A1344" s="75">
        <v>1338.0</v>
      </c>
      <c r="B1344" s="62" t="s">
        <v>755</v>
      </c>
      <c r="C1344" s="62" t="s">
        <v>95</v>
      </c>
      <c r="D1344" s="62" t="s">
        <v>790</v>
      </c>
      <c r="E1344" s="76">
        <v>43901.0</v>
      </c>
      <c r="F1344" s="77">
        <v>0.041666666666666664</v>
      </c>
      <c r="G1344" s="62" t="b">
        <v>1</v>
      </c>
      <c r="H1344" s="78" t="b">
        <f>IF(VLOOKUP(C1344,Projetos!A:L,12,false)=TRUE,TRUE,FALSE)</f>
        <v>1</v>
      </c>
      <c r="I1344" s="68">
        <v>21.669365196608947</v>
      </c>
      <c r="J1344" s="68">
        <f t="shared" si="1"/>
        <v>21.6693652</v>
      </c>
      <c r="K1344" s="68" t="b">
        <v>1</v>
      </c>
    </row>
    <row r="1345" hidden="1">
      <c r="A1345" s="75">
        <v>1339.0</v>
      </c>
      <c r="B1345" s="62" t="s">
        <v>755</v>
      </c>
      <c r="C1345" s="62" t="s">
        <v>95</v>
      </c>
      <c r="D1345" s="62" t="s">
        <v>790</v>
      </c>
      <c r="E1345" s="76">
        <v>43902.0</v>
      </c>
      <c r="F1345" s="77">
        <v>0.0625</v>
      </c>
      <c r="G1345" s="62" t="b">
        <v>1</v>
      </c>
      <c r="H1345" s="78" t="b">
        <f>IF(VLOOKUP(C1345,Projetos!A:L,12,false)=TRUE,TRUE,FALSE)</f>
        <v>1</v>
      </c>
      <c r="I1345" s="68">
        <v>21.669365196608947</v>
      </c>
      <c r="J1345" s="68">
        <f t="shared" si="1"/>
        <v>32.50404779</v>
      </c>
      <c r="K1345" s="68" t="b">
        <v>1</v>
      </c>
    </row>
    <row r="1346" hidden="1">
      <c r="A1346" s="75">
        <v>1340.0</v>
      </c>
      <c r="B1346" s="62" t="s">
        <v>755</v>
      </c>
      <c r="C1346" s="62" t="s">
        <v>95</v>
      </c>
      <c r="D1346" s="62" t="s">
        <v>791</v>
      </c>
      <c r="E1346" s="76">
        <v>43903.0</v>
      </c>
      <c r="F1346" s="77">
        <v>0.041666666666666664</v>
      </c>
      <c r="G1346" s="62" t="b">
        <v>1</v>
      </c>
      <c r="H1346" s="78" t="b">
        <f>IF(VLOOKUP(C1346,Projetos!A:L,12,false)=TRUE,TRUE,FALSE)</f>
        <v>1</v>
      </c>
      <c r="I1346" s="68">
        <v>21.669365196608947</v>
      </c>
      <c r="J1346" s="68">
        <f t="shared" si="1"/>
        <v>21.6693652</v>
      </c>
      <c r="K1346" s="68" t="b">
        <v>1</v>
      </c>
    </row>
    <row r="1347">
      <c r="A1347" s="75">
        <v>1341.0</v>
      </c>
      <c r="B1347" s="62" t="s">
        <v>755</v>
      </c>
      <c r="C1347" s="62" t="s">
        <v>104</v>
      </c>
      <c r="D1347" s="62" t="s">
        <v>789</v>
      </c>
      <c r="E1347" s="76">
        <v>43908.0</v>
      </c>
      <c r="F1347" s="77">
        <v>0.0625</v>
      </c>
      <c r="G1347" s="62" t="b">
        <v>0</v>
      </c>
      <c r="H1347" s="78" t="b">
        <f>IF(VLOOKUP(C1347,Projetos!A:L,12,false)=TRUE,TRUE,FALSE)</f>
        <v>1</v>
      </c>
      <c r="I1347" s="68">
        <v>21.669365196608947</v>
      </c>
      <c r="J1347" s="68">
        <f t="shared" si="1"/>
        <v>0</v>
      </c>
      <c r="K1347" s="68" t="b">
        <v>1</v>
      </c>
    </row>
    <row r="1348" hidden="1">
      <c r="A1348" s="75">
        <v>1342.0</v>
      </c>
      <c r="B1348" s="62" t="s">
        <v>755</v>
      </c>
      <c r="C1348" s="62" t="s">
        <v>95</v>
      </c>
      <c r="D1348" s="62" t="s">
        <v>792</v>
      </c>
      <c r="E1348" s="76">
        <v>43908.0</v>
      </c>
      <c r="F1348" s="77">
        <v>0.041666666666666664</v>
      </c>
      <c r="G1348" s="62" t="b">
        <v>1</v>
      </c>
      <c r="H1348" s="78" t="b">
        <f>IF(VLOOKUP(C1348,Projetos!A:L,12,false)=TRUE,TRUE,FALSE)</f>
        <v>1</v>
      </c>
      <c r="I1348" s="68">
        <v>21.669365196608947</v>
      </c>
      <c r="J1348" s="68">
        <f t="shared" si="1"/>
        <v>21.6693652</v>
      </c>
      <c r="K1348" s="68" t="b">
        <v>1</v>
      </c>
    </row>
    <row r="1349" hidden="1">
      <c r="A1349" s="75">
        <v>1343.0</v>
      </c>
      <c r="B1349" s="62" t="s">
        <v>755</v>
      </c>
      <c r="C1349" s="62" t="s">
        <v>95</v>
      </c>
      <c r="D1349" s="62" t="s">
        <v>793</v>
      </c>
      <c r="E1349" s="76">
        <v>43908.0</v>
      </c>
      <c r="F1349" s="77">
        <v>0.08333333333333333</v>
      </c>
      <c r="G1349" s="62" t="b">
        <v>1</v>
      </c>
      <c r="H1349" s="78" t="b">
        <f>IF(VLOOKUP(C1349,Projetos!A:L,12,false)=TRUE,TRUE,FALSE)</f>
        <v>1</v>
      </c>
      <c r="I1349" s="68">
        <v>21.669365196608947</v>
      </c>
      <c r="J1349" s="68">
        <f t="shared" si="1"/>
        <v>43.33873039</v>
      </c>
      <c r="K1349" s="68" t="b">
        <v>1</v>
      </c>
    </row>
    <row r="1350" hidden="1">
      <c r="A1350" s="75">
        <v>1344.0</v>
      </c>
      <c r="B1350" s="62" t="s">
        <v>755</v>
      </c>
      <c r="C1350" s="62" t="s">
        <v>95</v>
      </c>
      <c r="D1350" s="62" t="s">
        <v>794</v>
      </c>
      <c r="E1350" s="76">
        <v>43909.0</v>
      </c>
      <c r="F1350" s="77">
        <v>0.041666666666666664</v>
      </c>
      <c r="G1350" s="62" t="b">
        <v>1</v>
      </c>
      <c r="H1350" s="78" t="b">
        <f>IF(VLOOKUP(C1350,Projetos!A:L,12,false)=TRUE,TRUE,FALSE)</f>
        <v>1</v>
      </c>
      <c r="I1350" s="68">
        <v>21.669365196608947</v>
      </c>
      <c r="J1350" s="68">
        <f t="shared" si="1"/>
        <v>21.6693652</v>
      </c>
      <c r="K1350" s="68" t="b">
        <v>1</v>
      </c>
    </row>
    <row r="1351" hidden="1">
      <c r="A1351" s="75">
        <v>1345.0</v>
      </c>
      <c r="B1351" s="62" t="s">
        <v>755</v>
      </c>
      <c r="C1351" s="62" t="s">
        <v>138</v>
      </c>
      <c r="D1351" s="62" t="s">
        <v>795</v>
      </c>
      <c r="E1351" s="76">
        <v>43909.0</v>
      </c>
      <c r="F1351" s="77">
        <v>0.041666666666666664</v>
      </c>
      <c r="G1351" s="62" t="b">
        <v>1</v>
      </c>
      <c r="H1351" s="78" t="b">
        <f>IF(VLOOKUP(C1351,Projetos!A:L,12,false)=TRUE,TRUE,FALSE)</f>
        <v>1</v>
      </c>
      <c r="I1351" s="68">
        <v>21.669365196608947</v>
      </c>
      <c r="J1351" s="68">
        <f t="shared" si="1"/>
        <v>21.6693652</v>
      </c>
      <c r="K1351" s="68" t="b">
        <v>1</v>
      </c>
    </row>
    <row r="1352">
      <c r="A1352" s="75">
        <v>1346.0</v>
      </c>
      <c r="B1352" s="62" t="s">
        <v>755</v>
      </c>
      <c r="C1352" s="62" t="s">
        <v>104</v>
      </c>
      <c r="D1352" s="62" t="s">
        <v>792</v>
      </c>
      <c r="E1352" s="76">
        <v>43909.0</v>
      </c>
      <c r="F1352" s="77">
        <v>0.041666666666666664</v>
      </c>
      <c r="G1352" s="62" t="b">
        <v>1</v>
      </c>
      <c r="H1352" s="78" t="b">
        <f>IF(VLOOKUP(C1352,Projetos!A:L,12,false)=TRUE,TRUE,FALSE)</f>
        <v>1</v>
      </c>
      <c r="I1352" s="68">
        <v>21.669365196608947</v>
      </c>
      <c r="J1352" s="68">
        <f t="shared" si="1"/>
        <v>21.6693652</v>
      </c>
      <c r="K1352" s="68" t="b">
        <v>1</v>
      </c>
    </row>
    <row r="1353" hidden="1">
      <c r="A1353" s="75">
        <v>1347.0</v>
      </c>
      <c r="B1353" s="62" t="s">
        <v>755</v>
      </c>
      <c r="C1353" s="62" t="s">
        <v>98</v>
      </c>
      <c r="D1353" s="62" t="s">
        <v>788</v>
      </c>
      <c r="E1353" s="76">
        <v>43910.0</v>
      </c>
      <c r="F1353" s="77">
        <v>0.0625</v>
      </c>
      <c r="G1353" s="62" t="b">
        <v>1</v>
      </c>
      <c r="H1353" s="78" t="b">
        <f>IF(VLOOKUP(C1353,Projetos!A:L,12,false)=TRUE,TRUE,FALSE)</f>
        <v>1</v>
      </c>
      <c r="I1353" s="68">
        <v>21.669365196608947</v>
      </c>
      <c r="J1353" s="68">
        <f t="shared" si="1"/>
        <v>32.50404779</v>
      </c>
      <c r="K1353" s="68" t="b">
        <v>1</v>
      </c>
    </row>
    <row r="1354" hidden="1">
      <c r="A1354" s="75">
        <v>1348.0</v>
      </c>
      <c r="B1354" s="62" t="s">
        <v>755</v>
      </c>
      <c r="C1354" s="62" t="s">
        <v>95</v>
      </c>
      <c r="D1354" s="62" t="s">
        <v>796</v>
      </c>
      <c r="E1354" s="76">
        <v>43910.0</v>
      </c>
      <c r="F1354" s="77">
        <v>0.041666666666666664</v>
      </c>
      <c r="G1354" s="62" t="b">
        <v>1</v>
      </c>
      <c r="H1354" s="78" t="b">
        <f>IF(VLOOKUP(C1354,Projetos!A:L,12,false)=TRUE,TRUE,FALSE)</f>
        <v>1</v>
      </c>
      <c r="I1354" s="68">
        <v>21.669365196608947</v>
      </c>
      <c r="J1354" s="68">
        <f t="shared" si="1"/>
        <v>21.6693652</v>
      </c>
      <c r="K1354" s="68" t="b">
        <v>1</v>
      </c>
    </row>
    <row r="1355" hidden="1">
      <c r="A1355" s="75">
        <v>1349.0</v>
      </c>
      <c r="B1355" s="62" t="s">
        <v>755</v>
      </c>
      <c r="C1355" s="62" t="s">
        <v>108</v>
      </c>
      <c r="D1355" s="62" t="s">
        <v>797</v>
      </c>
      <c r="E1355" s="76">
        <v>43913.0</v>
      </c>
      <c r="F1355" s="77">
        <v>0.041666666666666664</v>
      </c>
      <c r="G1355" s="62" t="b">
        <v>0</v>
      </c>
      <c r="H1355" s="78" t="b">
        <f>IF(VLOOKUP(C1355,Projetos!A:L,12,false)=TRUE,TRUE,FALSE)</f>
        <v>1</v>
      </c>
      <c r="I1355" s="68">
        <v>21.669365196608947</v>
      </c>
      <c r="J1355" s="68">
        <f t="shared" si="1"/>
        <v>0</v>
      </c>
      <c r="K1355" s="68" t="b">
        <v>1</v>
      </c>
    </row>
    <row r="1356">
      <c r="A1356" s="75">
        <v>1350.0</v>
      </c>
      <c r="B1356" s="62" t="s">
        <v>755</v>
      </c>
      <c r="C1356" s="62" t="s">
        <v>104</v>
      </c>
      <c r="D1356" s="62" t="s">
        <v>798</v>
      </c>
      <c r="E1356" s="76">
        <v>43913.0</v>
      </c>
      <c r="F1356" s="77">
        <v>0.041666666666666664</v>
      </c>
      <c r="G1356" s="62" t="b">
        <v>1</v>
      </c>
      <c r="H1356" s="78" t="b">
        <f>IF(VLOOKUP(C1356,Projetos!A:L,12,false)=TRUE,TRUE,FALSE)</f>
        <v>1</v>
      </c>
      <c r="I1356" s="68">
        <v>21.669365196608947</v>
      </c>
      <c r="J1356" s="68">
        <f t="shared" si="1"/>
        <v>21.6693652</v>
      </c>
      <c r="K1356" s="68" t="b">
        <v>1</v>
      </c>
    </row>
    <row r="1357" hidden="1">
      <c r="A1357" s="75">
        <v>1351.0</v>
      </c>
      <c r="B1357" s="62" t="s">
        <v>755</v>
      </c>
      <c r="C1357" s="62" t="s">
        <v>100</v>
      </c>
      <c r="D1357" s="62" t="s">
        <v>795</v>
      </c>
      <c r="E1357" s="76">
        <v>43913.0</v>
      </c>
      <c r="F1357" s="77">
        <v>0.041666666666666664</v>
      </c>
      <c r="G1357" s="62" t="b">
        <v>1</v>
      </c>
      <c r="H1357" s="78" t="b">
        <f>IF(VLOOKUP(C1357,Projetos!A:L,12,false)=TRUE,TRUE,FALSE)</f>
        <v>1</v>
      </c>
      <c r="I1357" s="68">
        <v>21.669365196608947</v>
      </c>
      <c r="J1357" s="68">
        <f t="shared" si="1"/>
        <v>21.6693652</v>
      </c>
      <c r="K1357" s="68" t="b">
        <v>1</v>
      </c>
    </row>
    <row r="1358" hidden="1">
      <c r="A1358" s="75">
        <v>1352.0</v>
      </c>
      <c r="B1358" s="62" t="s">
        <v>755</v>
      </c>
      <c r="C1358" s="62" t="s">
        <v>95</v>
      </c>
      <c r="D1358" s="62" t="s">
        <v>799</v>
      </c>
      <c r="E1358" s="76">
        <v>43914.0</v>
      </c>
      <c r="F1358" s="77">
        <v>0.14583333333333334</v>
      </c>
      <c r="G1358" s="62" t="b">
        <v>1</v>
      </c>
      <c r="H1358" s="78" t="b">
        <f>IF(VLOOKUP(C1358,Projetos!A:L,12,false)=TRUE,TRUE,FALSE)</f>
        <v>1</v>
      </c>
      <c r="I1358" s="68">
        <v>21.669365196608947</v>
      </c>
      <c r="J1358" s="68">
        <f t="shared" si="1"/>
        <v>75.84277819</v>
      </c>
      <c r="K1358" s="68" t="b">
        <v>1</v>
      </c>
    </row>
    <row r="1359" hidden="1">
      <c r="A1359" s="75">
        <v>1353.0</v>
      </c>
      <c r="B1359" s="62" t="s">
        <v>755</v>
      </c>
      <c r="C1359" s="62" t="s">
        <v>138</v>
      </c>
      <c r="D1359" s="62" t="s">
        <v>800</v>
      </c>
      <c r="E1359" s="76">
        <v>43914.0</v>
      </c>
      <c r="F1359" s="77">
        <v>0.020833333333333332</v>
      </c>
      <c r="G1359" s="62" t="b">
        <v>1</v>
      </c>
      <c r="H1359" s="78" t="b">
        <f>IF(VLOOKUP(C1359,Projetos!A:L,12,false)=TRUE,TRUE,FALSE)</f>
        <v>1</v>
      </c>
      <c r="I1359" s="68">
        <v>21.669365196608947</v>
      </c>
      <c r="J1359" s="68">
        <f t="shared" si="1"/>
        <v>10.8346826</v>
      </c>
      <c r="K1359" s="68" t="b">
        <v>1</v>
      </c>
    </row>
    <row r="1360" hidden="1">
      <c r="A1360" s="75">
        <v>1354.0</v>
      </c>
      <c r="B1360" s="62" t="s">
        <v>755</v>
      </c>
      <c r="C1360" s="62" t="s">
        <v>138</v>
      </c>
      <c r="D1360" s="62" t="s">
        <v>801</v>
      </c>
      <c r="E1360" s="76">
        <v>43914.0</v>
      </c>
      <c r="F1360" s="77">
        <v>0.1875</v>
      </c>
      <c r="G1360" s="62" t="b">
        <v>1</v>
      </c>
      <c r="H1360" s="78" t="b">
        <f>IF(VLOOKUP(C1360,Projetos!A:L,12,false)=TRUE,TRUE,FALSE)</f>
        <v>1</v>
      </c>
      <c r="I1360" s="68">
        <v>21.669365196608947</v>
      </c>
      <c r="J1360" s="68">
        <f t="shared" si="1"/>
        <v>97.51214338</v>
      </c>
      <c r="K1360" s="68" t="b">
        <v>1</v>
      </c>
    </row>
    <row r="1361" hidden="1">
      <c r="A1361" s="75">
        <v>1355.0</v>
      </c>
      <c r="B1361" s="62" t="s">
        <v>755</v>
      </c>
      <c r="C1361" s="62" t="s">
        <v>98</v>
      </c>
      <c r="D1361" s="62" t="s">
        <v>788</v>
      </c>
      <c r="E1361" s="76">
        <v>43915.0</v>
      </c>
      <c r="F1361" s="77">
        <v>0.020833333333333332</v>
      </c>
      <c r="G1361" s="62" t="b">
        <v>1</v>
      </c>
      <c r="H1361" s="78" t="b">
        <f>IF(VLOOKUP(C1361,Projetos!A:L,12,false)=TRUE,TRUE,FALSE)</f>
        <v>1</v>
      </c>
      <c r="I1361" s="68">
        <v>21.669365196608947</v>
      </c>
      <c r="J1361" s="68">
        <f t="shared" si="1"/>
        <v>10.8346826</v>
      </c>
      <c r="K1361" s="68" t="b">
        <v>1</v>
      </c>
    </row>
    <row r="1362" hidden="1">
      <c r="A1362" s="75">
        <v>1356.0</v>
      </c>
      <c r="B1362" s="62" t="s">
        <v>755</v>
      </c>
      <c r="C1362" s="62" t="s">
        <v>138</v>
      </c>
      <c r="D1362" s="62" t="s">
        <v>801</v>
      </c>
      <c r="E1362" s="76">
        <v>43915.0</v>
      </c>
      <c r="F1362" s="77">
        <v>0.08333333333333333</v>
      </c>
      <c r="G1362" s="62" t="b">
        <v>1</v>
      </c>
      <c r="H1362" s="78" t="b">
        <f>IF(VLOOKUP(C1362,Projetos!A:L,12,false)=TRUE,TRUE,FALSE)</f>
        <v>1</v>
      </c>
      <c r="I1362" s="68">
        <v>21.669365196608947</v>
      </c>
      <c r="J1362" s="68">
        <f t="shared" si="1"/>
        <v>43.33873039</v>
      </c>
      <c r="K1362" s="68" t="b">
        <v>1</v>
      </c>
    </row>
    <row r="1363">
      <c r="A1363" s="75">
        <v>1357.0</v>
      </c>
      <c r="B1363" s="62" t="s">
        <v>755</v>
      </c>
      <c r="C1363" s="62" t="s">
        <v>104</v>
      </c>
      <c r="D1363" s="62" t="s">
        <v>802</v>
      </c>
      <c r="E1363" s="76">
        <v>43915.0</v>
      </c>
      <c r="F1363" s="77">
        <v>0.041666666666666664</v>
      </c>
      <c r="G1363" s="62" t="b">
        <v>1</v>
      </c>
      <c r="H1363" s="78" t="b">
        <f>IF(VLOOKUP(C1363,Projetos!A:L,12,false)=TRUE,TRUE,FALSE)</f>
        <v>1</v>
      </c>
      <c r="I1363" s="68">
        <v>21.669365196608947</v>
      </c>
      <c r="J1363" s="68">
        <f t="shared" si="1"/>
        <v>21.6693652</v>
      </c>
      <c r="K1363" s="68" t="b">
        <v>1</v>
      </c>
    </row>
    <row r="1364">
      <c r="A1364" s="75">
        <v>1358.0</v>
      </c>
      <c r="B1364" s="62" t="s">
        <v>755</v>
      </c>
      <c r="C1364" s="62" t="s">
        <v>104</v>
      </c>
      <c r="D1364" s="62" t="s">
        <v>803</v>
      </c>
      <c r="E1364" s="76">
        <v>43915.0</v>
      </c>
      <c r="F1364" s="77">
        <v>0.041666666666666664</v>
      </c>
      <c r="G1364" s="62" t="b">
        <v>1</v>
      </c>
      <c r="H1364" s="78" t="b">
        <f>IF(VLOOKUP(C1364,Projetos!A:L,12,false)=TRUE,TRUE,FALSE)</f>
        <v>1</v>
      </c>
      <c r="I1364" s="68">
        <v>21.669365196608947</v>
      </c>
      <c r="J1364" s="68">
        <f t="shared" si="1"/>
        <v>21.6693652</v>
      </c>
      <c r="K1364" s="68" t="b">
        <v>1</v>
      </c>
    </row>
    <row r="1365" hidden="1">
      <c r="A1365" s="75">
        <v>1359.0</v>
      </c>
      <c r="B1365" s="62" t="s">
        <v>755</v>
      </c>
      <c r="C1365" s="62" t="s">
        <v>95</v>
      </c>
      <c r="D1365" s="62" t="s">
        <v>804</v>
      </c>
      <c r="E1365" s="76">
        <v>43915.0</v>
      </c>
      <c r="F1365" s="77">
        <v>0.08333333333333333</v>
      </c>
      <c r="G1365" s="62" t="b">
        <v>1</v>
      </c>
      <c r="H1365" s="78" t="b">
        <f>IF(VLOOKUP(C1365,Projetos!A:L,12,false)=TRUE,TRUE,FALSE)</f>
        <v>1</v>
      </c>
      <c r="I1365" s="68">
        <v>21.669365196608947</v>
      </c>
      <c r="J1365" s="68">
        <f t="shared" si="1"/>
        <v>43.33873039</v>
      </c>
      <c r="K1365" s="68" t="b">
        <v>1</v>
      </c>
    </row>
    <row r="1366" hidden="1">
      <c r="A1366" s="75">
        <v>1360.0</v>
      </c>
      <c r="B1366" s="62" t="s">
        <v>755</v>
      </c>
      <c r="C1366" s="62" t="s">
        <v>108</v>
      </c>
      <c r="D1366" s="62" t="s">
        <v>805</v>
      </c>
      <c r="E1366" s="76">
        <v>43916.0</v>
      </c>
      <c r="F1366" s="77">
        <v>0.041666666666666664</v>
      </c>
      <c r="G1366" s="62" t="b">
        <v>0</v>
      </c>
      <c r="H1366" s="78" t="b">
        <f>IF(VLOOKUP(C1366,Projetos!A:L,12,false)=TRUE,TRUE,FALSE)</f>
        <v>1</v>
      </c>
      <c r="I1366" s="68">
        <v>21.669365196608947</v>
      </c>
      <c r="J1366" s="68">
        <f t="shared" si="1"/>
        <v>0</v>
      </c>
      <c r="K1366" s="68" t="b">
        <v>1</v>
      </c>
    </row>
    <row r="1367" hidden="1">
      <c r="A1367" s="75">
        <v>1361.0</v>
      </c>
      <c r="B1367" s="62" t="s">
        <v>755</v>
      </c>
      <c r="C1367" s="62" t="s">
        <v>108</v>
      </c>
      <c r="D1367" s="62" t="s">
        <v>806</v>
      </c>
      <c r="E1367" s="76">
        <v>43916.0</v>
      </c>
      <c r="F1367" s="77">
        <v>0.125</v>
      </c>
      <c r="G1367" s="62" t="b">
        <v>0</v>
      </c>
      <c r="H1367" s="78" t="b">
        <f>IF(VLOOKUP(C1367,Projetos!A:L,12,false)=TRUE,TRUE,FALSE)</f>
        <v>1</v>
      </c>
      <c r="I1367" s="68">
        <v>21.669365196608947</v>
      </c>
      <c r="J1367" s="68">
        <f t="shared" si="1"/>
        <v>0</v>
      </c>
      <c r="K1367" s="68" t="b">
        <v>1</v>
      </c>
    </row>
    <row r="1368" hidden="1">
      <c r="A1368" s="75">
        <v>1362.0</v>
      </c>
      <c r="B1368" s="62" t="s">
        <v>755</v>
      </c>
      <c r="C1368" s="62" t="s">
        <v>138</v>
      </c>
      <c r="D1368" s="62" t="s">
        <v>807</v>
      </c>
      <c r="E1368" s="76">
        <v>43916.0</v>
      </c>
      <c r="F1368" s="77">
        <v>0.041666666666666664</v>
      </c>
      <c r="G1368" s="62" t="b">
        <v>1</v>
      </c>
      <c r="H1368" s="78" t="b">
        <f>IF(VLOOKUP(C1368,Projetos!A:L,12,false)=TRUE,TRUE,FALSE)</f>
        <v>1</v>
      </c>
      <c r="I1368" s="68">
        <v>21.669365196608947</v>
      </c>
      <c r="J1368" s="68">
        <f t="shared" si="1"/>
        <v>21.6693652</v>
      </c>
      <c r="K1368" s="68" t="b">
        <v>1</v>
      </c>
    </row>
    <row r="1369">
      <c r="A1369" s="75">
        <v>1363.0</v>
      </c>
      <c r="B1369" s="62" t="s">
        <v>755</v>
      </c>
      <c r="C1369" s="62" t="s">
        <v>104</v>
      </c>
      <c r="D1369" s="62" t="s">
        <v>808</v>
      </c>
      <c r="E1369" s="76">
        <v>43917.0</v>
      </c>
      <c r="F1369" s="77">
        <v>0.041666666666666664</v>
      </c>
      <c r="G1369" s="62" t="b">
        <v>1</v>
      </c>
      <c r="H1369" s="78" t="b">
        <f>IF(VLOOKUP(C1369,Projetos!A:L,12,false)=TRUE,TRUE,FALSE)</f>
        <v>1</v>
      </c>
      <c r="I1369" s="68">
        <v>21.669365196608947</v>
      </c>
      <c r="J1369" s="68">
        <f t="shared" si="1"/>
        <v>21.6693652</v>
      </c>
      <c r="K1369" s="68" t="b">
        <v>1</v>
      </c>
    </row>
    <row r="1370" hidden="1">
      <c r="A1370" s="75">
        <v>1364.0</v>
      </c>
      <c r="B1370" s="62" t="s">
        <v>755</v>
      </c>
      <c r="C1370" s="62" t="s">
        <v>108</v>
      </c>
      <c r="D1370" s="62" t="s">
        <v>809</v>
      </c>
      <c r="E1370" s="76">
        <v>43917.0</v>
      </c>
      <c r="F1370" s="77">
        <v>0.20833333333333334</v>
      </c>
      <c r="G1370" s="62" t="b">
        <v>0</v>
      </c>
      <c r="H1370" s="78" t="b">
        <f>IF(VLOOKUP(C1370,Projetos!A:L,12,false)=TRUE,TRUE,FALSE)</f>
        <v>1</v>
      </c>
      <c r="I1370" s="68">
        <v>21.669365196608947</v>
      </c>
      <c r="J1370" s="68">
        <f t="shared" si="1"/>
        <v>0</v>
      </c>
      <c r="K1370" s="68" t="b">
        <v>1</v>
      </c>
    </row>
    <row r="1371" hidden="1">
      <c r="A1371" s="75">
        <v>1365.0</v>
      </c>
      <c r="B1371" s="62" t="s">
        <v>755</v>
      </c>
      <c r="C1371" s="62" t="s">
        <v>95</v>
      </c>
      <c r="D1371" s="62" t="s">
        <v>810</v>
      </c>
      <c r="E1371" s="76">
        <v>43921.0</v>
      </c>
      <c r="F1371" s="77">
        <v>0.10416666666666667</v>
      </c>
      <c r="G1371" s="62" t="b">
        <v>1</v>
      </c>
      <c r="H1371" s="78" t="b">
        <f>IF(VLOOKUP(C1371,Projetos!A:L,12,false)=TRUE,TRUE,FALSE)</f>
        <v>1</v>
      </c>
      <c r="I1371" s="68">
        <v>21.669365196608947</v>
      </c>
      <c r="J1371" s="68">
        <f t="shared" si="1"/>
        <v>54.17341299</v>
      </c>
      <c r="K1371" s="68" t="b">
        <v>1</v>
      </c>
    </row>
    <row r="1372" hidden="1">
      <c r="A1372" s="75">
        <v>1366.0</v>
      </c>
      <c r="B1372" s="62" t="s">
        <v>755</v>
      </c>
      <c r="C1372" s="62" t="s">
        <v>95</v>
      </c>
      <c r="D1372" s="62" t="s">
        <v>811</v>
      </c>
      <c r="E1372" s="76">
        <v>43921.0</v>
      </c>
      <c r="F1372" s="77">
        <v>0.10416666666666667</v>
      </c>
      <c r="G1372" s="62" t="b">
        <v>1</v>
      </c>
      <c r="H1372" s="78" t="b">
        <f>IF(VLOOKUP(C1372,Projetos!A:L,12,false)=TRUE,TRUE,FALSE)</f>
        <v>1</v>
      </c>
      <c r="I1372" s="68">
        <v>21.669365196608947</v>
      </c>
      <c r="J1372" s="68">
        <f t="shared" si="1"/>
        <v>54.17341299</v>
      </c>
      <c r="K1372" s="68" t="b">
        <v>1</v>
      </c>
    </row>
    <row r="1373" hidden="1">
      <c r="A1373" s="75">
        <v>1367.0</v>
      </c>
      <c r="B1373" s="62" t="s">
        <v>755</v>
      </c>
      <c r="C1373" s="62" t="s">
        <v>138</v>
      </c>
      <c r="D1373" s="62" t="s">
        <v>812</v>
      </c>
      <c r="E1373" s="76">
        <v>43921.0</v>
      </c>
      <c r="F1373" s="77">
        <v>0.020833333333333332</v>
      </c>
      <c r="G1373" s="62" t="b">
        <v>1</v>
      </c>
      <c r="H1373" s="78" t="b">
        <f>IF(VLOOKUP(C1373,Projetos!A:L,12,false)=TRUE,TRUE,FALSE)</f>
        <v>1</v>
      </c>
      <c r="I1373" s="68">
        <v>21.669365196608947</v>
      </c>
      <c r="J1373" s="68">
        <f t="shared" si="1"/>
        <v>10.8346826</v>
      </c>
      <c r="K1373" s="68" t="b">
        <v>1</v>
      </c>
    </row>
    <row r="1374" hidden="1">
      <c r="A1374" s="75">
        <v>1368.0</v>
      </c>
      <c r="B1374" s="62" t="s">
        <v>755</v>
      </c>
      <c r="C1374" s="62" t="s">
        <v>90</v>
      </c>
      <c r="D1374" s="62" t="s">
        <v>813</v>
      </c>
      <c r="E1374" s="76">
        <v>43922.0</v>
      </c>
      <c r="F1374" s="77">
        <v>0.041666666666666664</v>
      </c>
      <c r="G1374" s="62" t="b">
        <v>1</v>
      </c>
      <c r="H1374" s="78" t="b">
        <f>IF(VLOOKUP(C1374,Projetos!A:L,12,false)=TRUE,TRUE,FALSE)</f>
        <v>1</v>
      </c>
      <c r="I1374" s="68">
        <v>20.684394051308537</v>
      </c>
      <c r="J1374" s="68">
        <f t="shared" si="1"/>
        <v>20.68439405</v>
      </c>
      <c r="K1374" s="68" t="b">
        <v>1</v>
      </c>
    </row>
    <row r="1375" hidden="1">
      <c r="A1375" s="75">
        <v>1369.0</v>
      </c>
      <c r="B1375" s="62" t="s">
        <v>755</v>
      </c>
      <c r="C1375" s="62" t="s">
        <v>138</v>
      </c>
      <c r="D1375" s="62" t="s">
        <v>807</v>
      </c>
      <c r="E1375" s="76">
        <v>43922.0</v>
      </c>
      <c r="F1375" s="77">
        <v>0.041666666666666664</v>
      </c>
      <c r="G1375" s="62" t="b">
        <v>1</v>
      </c>
      <c r="H1375" s="78" t="b">
        <f>IF(VLOOKUP(C1375,Projetos!A:L,12,false)=TRUE,TRUE,FALSE)</f>
        <v>1</v>
      </c>
      <c r="I1375" s="68">
        <v>20.684394051308537</v>
      </c>
      <c r="J1375" s="68">
        <f t="shared" si="1"/>
        <v>20.68439405</v>
      </c>
      <c r="K1375" s="68" t="b">
        <v>1</v>
      </c>
    </row>
    <row r="1376" hidden="1">
      <c r="A1376" s="75">
        <v>1370.0</v>
      </c>
      <c r="B1376" s="62" t="s">
        <v>755</v>
      </c>
      <c r="C1376" s="62" t="s">
        <v>138</v>
      </c>
      <c r="D1376" s="62" t="s">
        <v>814</v>
      </c>
      <c r="E1376" s="76">
        <v>43922.0</v>
      </c>
      <c r="F1376" s="77">
        <v>0.08333333333333333</v>
      </c>
      <c r="G1376" s="62" t="b">
        <v>1</v>
      </c>
      <c r="H1376" s="78" t="b">
        <f>IF(VLOOKUP(C1376,Projetos!A:L,12,false)=TRUE,TRUE,FALSE)</f>
        <v>1</v>
      </c>
      <c r="I1376" s="68">
        <v>20.684394051308537</v>
      </c>
      <c r="J1376" s="68">
        <f t="shared" si="1"/>
        <v>41.3687881</v>
      </c>
      <c r="K1376" s="68" t="b">
        <v>1</v>
      </c>
    </row>
    <row r="1377" hidden="1">
      <c r="A1377" s="75">
        <v>1371.0</v>
      </c>
      <c r="B1377" s="62" t="s">
        <v>755</v>
      </c>
      <c r="C1377" s="62" t="s">
        <v>90</v>
      </c>
      <c r="D1377" s="62" t="s">
        <v>815</v>
      </c>
      <c r="E1377" s="76">
        <v>43922.0</v>
      </c>
      <c r="F1377" s="77">
        <v>0.08333333333333333</v>
      </c>
      <c r="G1377" s="62" t="b">
        <v>1</v>
      </c>
      <c r="H1377" s="78" t="b">
        <f>IF(VLOOKUP(C1377,Projetos!A:L,12,false)=TRUE,TRUE,FALSE)</f>
        <v>1</v>
      </c>
      <c r="I1377" s="68">
        <v>20.684394051308537</v>
      </c>
      <c r="J1377" s="68">
        <f t="shared" si="1"/>
        <v>41.3687881</v>
      </c>
      <c r="K1377" s="68" t="b">
        <v>1</v>
      </c>
    </row>
    <row r="1378" hidden="1">
      <c r="A1378" s="75">
        <v>1372.0</v>
      </c>
      <c r="B1378" s="62" t="s">
        <v>755</v>
      </c>
      <c r="C1378" s="62" t="s">
        <v>90</v>
      </c>
      <c r="D1378" s="62" t="s">
        <v>816</v>
      </c>
      <c r="E1378" s="76">
        <v>43922.0</v>
      </c>
      <c r="F1378" s="77">
        <v>0.041666666666666664</v>
      </c>
      <c r="G1378" s="62" t="b">
        <v>1</v>
      </c>
      <c r="H1378" s="78" t="b">
        <f>IF(VLOOKUP(C1378,Projetos!A:L,12,false)=TRUE,TRUE,FALSE)</f>
        <v>1</v>
      </c>
      <c r="I1378" s="68">
        <v>20.684394051308537</v>
      </c>
      <c r="J1378" s="68">
        <f t="shared" si="1"/>
        <v>20.68439405</v>
      </c>
      <c r="K1378" s="68" t="b">
        <v>1</v>
      </c>
    </row>
    <row r="1379" hidden="1">
      <c r="A1379" s="75">
        <v>1373.0</v>
      </c>
      <c r="B1379" s="62" t="s">
        <v>755</v>
      </c>
      <c r="C1379" s="62" t="s">
        <v>90</v>
      </c>
      <c r="D1379" s="62" t="s">
        <v>817</v>
      </c>
      <c r="E1379" s="76">
        <v>43923.0</v>
      </c>
      <c r="F1379" s="77">
        <v>0.08333333333333333</v>
      </c>
      <c r="G1379" s="62" t="b">
        <v>1</v>
      </c>
      <c r="H1379" s="78" t="b">
        <f>IF(VLOOKUP(C1379,Projetos!A:L,12,false)=TRUE,TRUE,FALSE)</f>
        <v>1</v>
      </c>
      <c r="I1379" s="68">
        <v>20.684394051308537</v>
      </c>
      <c r="J1379" s="68">
        <f t="shared" si="1"/>
        <v>41.3687881</v>
      </c>
      <c r="K1379" s="68" t="b">
        <v>1</v>
      </c>
    </row>
    <row r="1380" hidden="1">
      <c r="A1380" s="75">
        <v>1374.0</v>
      </c>
      <c r="B1380" s="62" t="s">
        <v>755</v>
      </c>
      <c r="C1380" s="62" t="s">
        <v>90</v>
      </c>
      <c r="D1380" s="62" t="s">
        <v>818</v>
      </c>
      <c r="E1380" s="76">
        <v>43923.0</v>
      </c>
      <c r="F1380" s="77">
        <v>0.0625</v>
      </c>
      <c r="G1380" s="62" t="b">
        <v>1</v>
      </c>
      <c r="H1380" s="78" t="b">
        <f>IF(VLOOKUP(C1380,Projetos!A:L,12,false)=TRUE,TRUE,FALSE)</f>
        <v>1</v>
      </c>
      <c r="I1380" s="68">
        <v>20.684394051308537</v>
      </c>
      <c r="J1380" s="68">
        <f t="shared" si="1"/>
        <v>31.02659108</v>
      </c>
      <c r="K1380" s="68" t="b">
        <v>1</v>
      </c>
    </row>
    <row r="1381" hidden="1">
      <c r="A1381" s="75">
        <v>1375.0</v>
      </c>
      <c r="B1381" s="62" t="s">
        <v>755</v>
      </c>
      <c r="C1381" s="62" t="s">
        <v>90</v>
      </c>
      <c r="D1381" s="62" t="s">
        <v>819</v>
      </c>
      <c r="E1381" s="76">
        <v>43923.0</v>
      </c>
      <c r="F1381" s="77">
        <v>0.041666666666666664</v>
      </c>
      <c r="G1381" s="62" t="b">
        <v>1</v>
      </c>
      <c r="H1381" s="78" t="b">
        <f>IF(VLOOKUP(C1381,Projetos!A:L,12,false)=TRUE,TRUE,FALSE)</f>
        <v>1</v>
      </c>
      <c r="I1381" s="68">
        <v>20.684394051308537</v>
      </c>
      <c r="J1381" s="68">
        <f t="shared" si="1"/>
        <v>20.68439405</v>
      </c>
      <c r="K1381" s="68" t="b">
        <v>1</v>
      </c>
    </row>
    <row r="1382">
      <c r="A1382" s="75">
        <v>1376.0</v>
      </c>
      <c r="B1382" s="62" t="s">
        <v>755</v>
      </c>
      <c r="C1382" s="62" t="s">
        <v>104</v>
      </c>
      <c r="D1382" s="62" t="s">
        <v>820</v>
      </c>
      <c r="E1382" s="76">
        <v>43923.0</v>
      </c>
      <c r="F1382" s="77">
        <v>0.041666666666666664</v>
      </c>
      <c r="G1382" s="62" t="b">
        <v>1</v>
      </c>
      <c r="H1382" s="78" t="b">
        <f>IF(VLOOKUP(C1382,Projetos!A:L,12,false)=TRUE,TRUE,FALSE)</f>
        <v>1</v>
      </c>
      <c r="I1382" s="68">
        <v>20.684394051308537</v>
      </c>
      <c r="J1382" s="68">
        <f t="shared" si="1"/>
        <v>20.68439405</v>
      </c>
      <c r="K1382" s="68" t="b">
        <v>1</v>
      </c>
    </row>
    <row r="1383" hidden="1">
      <c r="A1383" s="75">
        <v>1377.0</v>
      </c>
      <c r="B1383" s="62" t="s">
        <v>755</v>
      </c>
      <c r="C1383" s="62" t="s">
        <v>90</v>
      </c>
      <c r="D1383" s="62" t="s">
        <v>821</v>
      </c>
      <c r="E1383" s="76">
        <v>43924.0</v>
      </c>
      <c r="F1383" s="77">
        <v>0.041666666666666664</v>
      </c>
      <c r="G1383" s="62" t="b">
        <v>1</v>
      </c>
      <c r="H1383" s="78" t="b">
        <f>IF(VLOOKUP(C1383,Projetos!A:L,12,false)=TRUE,TRUE,FALSE)</f>
        <v>1</v>
      </c>
      <c r="I1383" s="68">
        <v>20.684394051308537</v>
      </c>
      <c r="J1383" s="68">
        <f t="shared" si="1"/>
        <v>20.68439405</v>
      </c>
      <c r="K1383" s="68" t="b">
        <v>1</v>
      </c>
    </row>
    <row r="1384">
      <c r="A1384" s="75">
        <v>1378.0</v>
      </c>
      <c r="B1384" s="62" t="s">
        <v>755</v>
      </c>
      <c r="C1384" s="62" t="s">
        <v>104</v>
      </c>
      <c r="D1384" s="62" t="s">
        <v>822</v>
      </c>
      <c r="E1384" s="76">
        <v>43924.0</v>
      </c>
      <c r="F1384" s="77">
        <v>0.0625</v>
      </c>
      <c r="G1384" s="62" t="b">
        <v>1</v>
      </c>
      <c r="H1384" s="78" t="b">
        <f>IF(VLOOKUP(C1384,Projetos!A:L,12,false)=TRUE,TRUE,FALSE)</f>
        <v>1</v>
      </c>
      <c r="I1384" s="68">
        <v>20.684394051308537</v>
      </c>
      <c r="J1384" s="68">
        <f t="shared" si="1"/>
        <v>31.02659108</v>
      </c>
      <c r="K1384" s="68" t="b">
        <v>1</v>
      </c>
    </row>
    <row r="1385">
      <c r="A1385" s="75">
        <v>1379.0</v>
      </c>
      <c r="B1385" s="62" t="s">
        <v>755</v>
      </c>
      <c r="C1385" s="62" t="s">
        <v>104</v>
      </c>
      <c r="D1385" s="62" t="s">
        <v>823</v>
      </c>
      <c r="E1385" s="76">
        <v>43924.0</v>
      </c>
      <c r="F1385" s="77">
        <v>0.041666666666666664</v>
      </c>
      <c r="G1385" s="62" t="b">
        <v>1</v>
      </c>
      <c r="H1385" s="78" t="b">
        <f>IF(VLOOKUP(C1385,Projetos!A:L,12,false)=TRUE,TRUE,FALSE)</f>
        <v>1</v>
      </c>
      <c r="I1385" s="68">
        <v>20.684394051308537</v>
      </c>
      <c r="J1385" s="68">
        <f t="shared" si="1"/>
        <v>20.68439405</v>
      </c>
      <c r="K1385" s="68" t="b">
        <v>1</v>
      </c>
    </row>
    <row r="1386" hidden="1">
      <c r="A1386" s="75">
        <v>1380.0</v>
      </c>
      <c r="B1386" s="62" t="s">
        <v>755</v>
      </c>
      <c r="C1386" s="62" t="s">
        <v>90</v>
      </c>
      <c r="D1386" s="62" t="s">
        <v>824</v>
      </c>
      <c r="E1386" s="76">
        <v>43924.0</v>
      </c>
      <c r="F1386" s="77">
        <v>0.041666666666666664</v>
      </c>
      <c r="G1386" s="62" t="b">
        <v>1</v>
      </c>
      <c r="H1386" s="78" t="b">
        <f>IF(VLOOKUP(C1386,Projetos!A:L,12,false)=TRUE,TRUE,FALSE)</f>
        <v>1</v>
      </c>
      <c r="I1386" s="68">
        <v>20.684394051308537</v>
      </c>
      <c r="J1386" s="68">
        <f t="shared" si="1"/>
        <v>20.68439405</v>
      </c>
      <c r="K1386" s="68" t="b">
        <v>1</v>
      </c>
    </row>
    <row r="1387" hidden="1">
      <c r="A1387" s="75">
        <v>1381.0</v>
      </c>
      <c r="B1387" s="62" t="s">
        <v>755</v>
      </c>
      <c r="C1387" s="62" t="s">
        <v>90</v>
      </c>
      <c r="D1387" s="62" t="s">
        <v>825</v>
      </c>
      <c r="E1387" s="76">
        <v>43924.0</v>
      </c>
      <c r="F1387" s="77">
        <v>0.041666666666666664</v>
      </c>
      <c r="G1387" s="62" t="b">
        <v>1</v>
      </c>
      <c r="H1387" s="78" t="b">
        <f>IF(VLOOKUP(C1387,Projetos!A:L,12,false)=TRUE,TRUE,FALSE)</f>
        <v>1</v>
      </c>
      <c r="I1387" s="68">
        <v>20.684394051308537</v>
      </c>
      <c r="J1387" s="68">
        <f t="shared" si="1"/>
        <v>20.68439405</v>
      </c>
      <c r="K1387" s="68" t="b">
        <v>1</v>
      </c>
    </row>
    <row r="1388" hidden="1">
      <c r="A1388" s="75">
        <v>1382.0</v>
      </c>
      <c r="B1388" s="62" t="s">
        <v>755</v>
      </c>
      <c r="C1388" s="62" t="s">
        <v>138</v>
      </c>
      <c r="D1388" s="62" t="s">
        <v>826</v>
      </c>
      <c r="E1388" s="76">
        <v>43924.0</v>
      </c>
      <c r="F1388" s="77">
        <v>0.08333333333333333</v>
      </c>
      <c r="G1388" s="62" t="b">
        <v>1</v>
      </c>
      <c r="H1388" s="78" t="b">
        <f>IF(VLOOKUP(C1388,Projetos!A:L,12,false)=TRUE,TRUE,FALSE)</f>
        <v>1</v>
      </c>
      <c r="I1388" s="68">
        <v>20.684394051308537</v>
      </c>
      <c r="J1388" s="68">
        <f t="shared" si="1"/>
        <v>41.3687881</v>
      </c>
      <c r="K1388" s="68" t="b">
        <v>1</v>
      </c>
    </row>
    <row r="1389" hidden="1">
      <c r="A1389" s="75">
        <v>1383.0</v>
      </c>
      <c r="B1389" s="62" t="s">
        <v>755</v>
      </c>
      <c r="C1389" s="62" t="s">
        <v>90</v>
      </c>
      <c r="D1389" s="62" t="s">
        <v>827</v>
      </c>
      <c r="E1389" s="76">
        <v>43924.0</v>
      </c>
      <c r="F1389" s="77">
        <v>0.041666666666666664</v>
      </c>
      <c r="G1389" s="62" t="b">
        <v>1</v>
      </c>
      <c r="H1389" s="78" t="b">
        <f>IF(VLOOKUP(C1389,Projetos!A:L,12,false)=TRUE,TRUE,FALSE)</f>
        <v>1</v>
      </c>
      <c r="I1389" s="68">
        <v>20.684394051308537</v>
      </c>
      <c r="J1389" s="68">
        <f t="shared" si="1"/>
        <v>20.68439405</v>
      </c>
      <c r="K1389" s="68" t="b">
        <v>1</v>
      </c>
    </row>
    <row r="1390" hidden="1">
      <c r="A1390" s="75">
        <v>1384.0</v>
      </c>
      <c r="B1390" s="62" t="s">
        <v>755</v>
      </c>
      <c r="C1390" s="62" t="s">
        <v>90</v>
      </c>
      <c r="D1390" s="62" t="s">
        <v>828</v>
      </c>
      <c r="E1390" s="76">
        <v>43927.0</v>
      </c>
      <c r="F1390" s="77">
        <v>0.10416666666666667</v>
      </c>
      <c r="G1390" s="62" t="b">
        <v>1</v>
      </c>
      <c r="H1390" s="78" t="b">
        <f>IF(VLOOKUP(C1390,Projetos!A:L,12,false)=TRUE,TRUE,FALSE)</f>
        <v>1</v>
      </c>
      <c r="I1390" s="68">
        <v>20.684394051308537</v>
      </c>
      <c r="J1390" s="68">
        <f t="shared" si="1"/>
        <v>51.71098513</v>
      </c>
      <c r="K1390" s="68" t="b">
        <v>1</v>
      </c>
    </row>
    <row r="1391" hidden="1">
      <c r="A1391" s="75">
        <v>1385.0</v>
      </c>
      <c r="B1391" s="62" t="s">
        <v>755</v>
      </c>
      <c r="C1391" s="62" t="s">
        <v>109</v>
      </c>
      <c r="D1391" s="62" t="s">
        <v>829</v>
      </c>
      <c r="E1391" s="76">
        <v>43927.0</v>
      </c>
      <c r="F1391" s="77">
        <v>0.10416666666666667</v>
      </c>
      <c r="G1391" s="62" t="b">
        <v>0</v>
      </c>
      <c r="H1391" s="78" t="b">
        <f>IF(VLOOKUP(C1391,Projetos!A:L,12,false)=TRUE,TRUE,FALSE)</f>
        <v>0</v>
      </c>
      <c r="I1391" s="68">
        <v>20.684394051308537</v>
      </c>
      <c r="J1391" s="68">
        <f t="shared" si="1"/>
        <v>0</v>
      </c>
      <c r="K1391" s="68" t="b">
        <v>0</v>
      </c>
    </row>
    <row r="1392">
      <c r="A1392" s="75">
        <v>1386.0</v>
      </c>
      <c r="B1392" s="62" t="s">
        <v>755</v>
      </c>
      <c r="C1392" s="62" t="s">
        <v>104</v>
      </c>
      <c r="D1392" s="62" t="s">
        <v>830</v>
      </c>
      <c r="E1392" s="76">
        <v>43927.0</v>
      </c>
      <c r="F1392" s="77">
        <v>0.0625</v>
      </c>
      <c r="G1392" s="62" t="b">
        <v>1</v>
      </c>
      <c r="H1392" s="78" t="b">
        <f>IF(VLOOKUP(C1392,Projetos!A:L,12,false)=TRUE,TRUE,FALSE)</f>
        <v>1</v>
      </c>
      <c r="I1392" s="68">
        <v>20.684394051308537</v>
      </c>
      <c r="J1392" s="68">
        <f t="shared" si="1"/>
        <v>31.02659108</v>
      </c>
      <c r="K1392" s="68" t="b">
        <v>1</v>
      </c>
    </row>
    <row r="1393">
      <c r="A1393" s="75">
        <v>1387.0</v>
      </c>
      <c r="B1393" s="62" t="s">
        <v>755</v>
      </c>
      <c r="C1393" s="62" t="s">
        <v>104</v>
      </c>
      <c r="D1393" s="62" t="s">
        <v>831</v>
      </c>
      <c r="E1393" s="76">
        <v>43927.0</v>
      </c>
      <c r="F1393" s="77">
        <v>0.041666666666666664</v>
      </c>
      <c r="G1393" s="62" t="b">
        <v>1</v>
      </c>
      <c r="H1393" s="78" t="b">
        <f>IF(VLOOKUP(C1393,Projetos!A:L,12,false)=TRUE,TRUE,FALSE)</f>
        <v>1</v>
      </c>
      <c r="I1393" s="68">
        <v>20.684394051308537</v>
      </c>
      <c r="J1393" s="68">
        <f t="shared" si="1"/>
        <v>20.68439405</v>
      </c>
      <c r="K1393" s="68" t="b">
        <v>1</v>
      </c>
    </row>
    <row r="1394" hidden="1">
      <c r="A1394" s="75">
        <v>1388.0</v>
      </c>
      <c r="B1394" s="62" t="s">
        <v>755</v>
      </c>
      <c r="C1394" s="62" t="s">
        <v>138</v>
      </c>
      <c r="D1394" s="62" t="s">
        <v>832</v>
      </c>
      <c r="E1394" s="76">
        <v>43928.0</v>
      </c>
      <c r="F1394" s="77">
        <v>0.0625</v>
      </c>
      <c r="G1394" s="62" t="b">
        <v>1</v>
      </c>
      <c r="H1394" s="78" t="b">
        <f>IF(VLOOKUP(C1394,Projetos!A:L,12,false)=TRUE,TRUE,FALSE)</f>
        <v>1</v>
      </c>
      <c r="I1394" s="68">
        <v>20.684394051308537</v>
      </c>
      <c r="J1394" s="68">
        <f t="shared" si="1"/>
        <v>31.02659108</v>
      </c>
      <c r="K1394" s="68" t="b">
        <v>1</v>
      </c>
    </row>
    <row r="1395" hidden="1">
      <c r="A1395" s="75">
        <v>1389.0</v>
      </c>
      <c r="B1395" s="62" t="s">
        <v>755</v>
      </c>
      <c r="C1395" s="62" t="s">
        <v>90</v>
      </c>
      <c r="D1395" s="62" t="s">
        <v>827</v>
      </c>
      <c r="E1395" s="76">
        <v>43928.0</v>
      </c>
      <c r="F1395" s="77">
        <v>0.041666666666666664</v>
      </c>
      <c r="G1395" s="62" t="b">
        <v>1</v>
      </c>
      <c r="H1395" s="78" t="b">
        <f>IF(VLOOKUP(C1395,Projetos!A:L,12,false)=TRUE,TRUE,FALSE)</f>
        <v>1</v>
      </c>
      <c r="I1395" s="68">
        <v>20.684394051308537</v>
      </c>
      <c r="J1395" s="68">
        <f t="shared" si="1"/>
        <v>20.68439405</v>
      </c>
      <c r="K1395" s="68" t="b">
        <v>1</v>
      </c>
    </row>
    <row r="1396" hidden="1">
      <c r="A1396" s="75">
        <v>1390.0</v>
      </c>
      <c r="B1396" s="62" t="s">
        <v>755</v>
      </c>
      <c r="C1396" s="62" t="s">
        <v>138</v>
      </c>
      <c r="D1396" s="62" t="s">
        <v>833</v>
      </c>
      <c r="E1396" s="76">
        <v>43929.0</v>
      </c>
      <c r="F1396" s="77">
        <v>0.041666666666666664</v>
      </c>
      <c r="G1396" s="62" t="b">
        <v>1</v>
      </c>
      <c r="H1396" s="78" t="b">
        <f>IF(VLOOKUP(C1396,Projetos!A:L,12,false)=TRUE,TRUE,FALSE)</f>
        <v>1</v>
      </c>
      <c r="I1396" s="68">
        <v>20.684394051308537</v>
      </c>
      <c r="J1396" s="68">
        <f t="shared" si="1"/>
        <v>20.68439405</v>
      </c>
      <c r="K1396" s="68" t="b">
        <v>1</v>
      </c>
    </row>
    <row r="1397" hidden="1">
      <c r="A1397" s="75">
        <v>1391.0</v>
      </c>
      <c r="B1397" s="62" t="s">
        <v>755</v>
      </c>
      <c r="C1397" s="62" t="s">
        <v>98</v>
      </c>
      <c r="D1397" s="62" t="s">
        <v>834</v>
      </c>
      <c r="E1397" s="76">
        <v>43929.0</v>
      </c>
      <c r="F1397" s="77">
        <v>0.041666666666666664</v>
      </c>
      <c r="G1397" s="62" t="b">
        <v>1</v>
      </c>
      <c r="H1397" s="78" t="b">
        <f>IF(VLOOKUP(C1397,Projetos!A:L,12,false)=TRUE,TRUE,FALSE)</f>
        <v>1</v>
      </c>
      <c r="I1397" s="68">
        <v>20.684394051308537</v>
      </c>
      <c r="J1397" s="68">
        <f t="shared" si="1"/>
        <v>20.68439405</v>
      </c>
      <c r="K1397" s="68" t="b">
        <v>1</v>
      </c>
    </row>
    <row r="1398" hidden="1">
      <c r="A1398" s="75">
        <v>1392.0</v>
      </c>
      <c r="B1398" s="62" t="s">
        <v>755</v>
      </c>
      <c r="C1398" s="62" t="s">
        <v>90</v>
      </c>
      <c r="D1398" s="62" t="s">
        <v>809</v>
      </c>
      <c r="E1398" s="76">
        <v>43930.0</v>
      </c>
      <c r="F1398" s="77">
        <v>0.2708333333333333</v>
      </c>
      <c r="G1398" s="62" t="b">
        <v>1</v>
      </c>
      <c r="H1398" s="78" t="b">
        <f>IF(VLOOKUP(C1398,Projetos!A:L,12,false)=TRUE,TRUE,FALSE)</f>
        <v>1</v>
      </c>
      <c r="I1398" s="68">
        <v>20.684394051308537</v>
      </c>
      <c r="J1398" s="68">
        <f t="shared" si="1"/>
        <v>134.4485613</v>
      </c>
      <c r="K1398" s="68" t="b">
        <v>1</v>
      </c>
    </row>
    <row r="1399" hidden="1">
      <c r="A1399" s="75">
        <v>1393.0</v>
      </c>
      <c r="B1399" s="62" t="s">
        <v>755</v>
      </c>
      <c r="C1399" s="62" t="s">
        <v>138</v>
      </c>
      <c r="D1399" s="62" t="s">
        <v>835</v>
      </c>
      <c r="E1399" s="76">
        <v>43930.0</v>
      </c>
      <c r="F1399" s="77">
        <v>0.0625</v>
      </c>
      <c r="G1399" s="62" t="b">
        <v>1</v>
      </c>
      <c r="H1399" s="78" t="b">
        <f>IF(VLOOKUP(C1399,Projetos!A:L,12,false)=TRUE,TRUE,FALSE)</f>
        <v>1</v>
      </c>
      <c r="I1399" s="68">
        <v>20.684394051308537</v>
      </c>
      <c r="J1399" s="68">
        <f t="shared" si="1"/>
        <v>31.02659108</v>
      </c>
      <c r="K1399" s="68" t="b">
        <v>1</v>
      </c>
    </row>
    <row r="1400" hidden="1">
      <c r="A1400" s="75">
        <v>1394.0</v>
      </c>
      <c r="B1400" s="62" t="s">
        <v>755</v>
      </c>
      <c r="C1400" s="62" t="s">
        <v>97</v>
      </c>
      <c r="D1400" s="62" t="s">
        <v>836</v>
      </c>
      <c r="E1400" s="76">
        <v>43930.0</v>
      </c>
      <c r="F1400" s="77">
        <v>0.0625</v>
      </c>
      <c r="G1400" s="62" t="b">
        <v>0</v>
      </c>
      <c r="H1400" s="78" t="b">
        <f>IF(VLOOKUP(C1400,Projetos!A:L,12,false)=TRUE,TRUE,FALSE)</f>
        <v>1</v>
      </c>
      <c r="I1400" s="68">
        <v>20.684394051308537</v>
      </c>
      <c r="J1400" s="68">
        <f t="shared" si="1"/>
        <v>0</v>
      </c>
      <c r="K1400" s="68" t="b">
        <v>1</v>
      </c>
    </row>
    <row r="1401" hidden="1">
      <c r="A1401" s="75">
        <v>1395.0</v>
      </c>
      <c r="B1401" s="62" t="s">
        <v>755</v>
      </c>
      <c r="C1401" s="62" t="s">
        <v>90</v>
      </c>
      <c r="D1401" s="62" t="s">
        <v>837</v>
      </c>
      <c r="E1401" s="76">
        <v>43934.0</v>
      </c>
      <c r="F1401" s="77">
        <v>0.08333333333333333</v>
      </c>
      <c r="G1401" s="62" t="b">
        <v>1</v>
      </c>
      <c r="H1401" s="78" t="b">
        <f>IF(VLOOKUP(C1401,Projetos!A:L,12,false)=TRUE,TRUE,FALSE)</f>
        <v>1</v>
      </c>
      <c r="I1401" s="68">
        <v>20.684394051308537</v>
      </c>
      <c r="J1401" s="68">
        <f t="shared" si="1"/>
        <v>41.3687881</v>
      </c>
      <c r="K1401" s="68" t="b">
        <v>1</v>
      </c>
    </row>
    <row r="1402" hidden="1">
      <c r="A1402" s="75">
        <v>1396.0</v>
      </c>
      <c r="B1402" s="62" t="s">
        <v>755</v>
      </c>
      <c r="C1402" s="62" t="s">
        <v>90</v>
      </c>
      <c r="D1402" s="62" t="s">
        <v>838</v>
      </c>
      <c r="E1402" s="76">
        <v>43934.0</v>
      </c>
      <c r="F1402" s="77">
        <v>0.08333333333333333</v>
      </c>
      <c r="G1402" s="62" t="b">
        <v>1</v>
      </c>
      <c r="H1402" s="78" t="b">
        <f>IF(VLOOKUP(C1402,Projetos!A:L,12,false)=TRUE,TRUE,FALSE)</f>
        <v>1</v>
      </c>
      <c r="I1402" s="68">
        <v>20.684394051308537</v>
      </c>
      <c r="J1402" s="68">
        <f t="shared" si="1"/>
        <v>41.3687881</v>
      </c>
      <c r="K1402" s="68" t="b">
        <v>1</v>
      </c>
    </row>
    <row r="1403" hidden="1">
      <c r="A1403" s="75">
        <v>1397.0</v>
      </c>
      <c r="B1403" s="62" t="s">
        <v>755</v>
      </c>
      <c r="C1403" s="62" t="s">
        <v>100</v>
      </c>
      <c r="D1403" s="62" t="s">
        <v>839</v>
      </c>
      <c r="E1403" s="76">
        <v>43934.0</v>
      </c>
      <c r="F1403" s="77">
        <v>0.08333333333333333</v>
      </c>
      <c r="G1403" s="62" t="b">
        <v>1</v>
      </c>
      <c r="H1403" s="78" t="b">
        <f>IF(VLOOKUP(C1403,Projetos!A:L,12,false)=TRUE,TRUE,FALSE)</f>
        <v>1</v>
      </c>
      <c r="I1403" s="68">
        <v>20.684394051308537</v>
      </c>
      <c r="J1403" s="68">
        <f t="shared" si="1"/>
        <v>41.3687881</v>
      </c>
      <c r="K1403" s="68" t="b">
        <v>1</v>
      </c>
    </row>
    <row r="1404" hidden="1">
      <c r="A1404" s="75">
        <v>1398.0</v>
      </c>
      <c r="B1404" s="62" t="s">
        <v>755</v>
      </c>
      <c r="C1404" s="62" t="s">
        <v>90</v>
      </c>
      <c r="D1404" s="62" t="s">
        <v>840</v>
      </c>
      <c r="E1404" s="76">
        <v>43934.0</v>
      </c>
      <c r="F1404" s="77">
        <v>0.10416666666666667</v>
      </c>
      <c r="G1404" s="62" t="b">
        <v>1</v>
      </c>
      <c r="H1404" s="78" t="b">
        <f>IF(VLOOKUP(C1404,Projetos!A:L,12,false)=TRUE,TRUE,FALSE)</f>
        <v>1</v>
      </c>
      <c r="I1404" s="68">
        <v>20.684394051308537</v>
      </c>
      <c r="J1404" s="68">
        <f t="shared" si="1"/>
        <v>51.71098513</v>
      </c>
      <c r="K1404" s="68" t="b">
        <v>1</v>
      </c>
    </row>
    <row r="1405">
      <c r="A1405" s="75">
        <v>1399.0</v>
      </c>
      <c r="B1405" s="62" t="s">
        <v>755</v>
      </c>
      <c r="C1405" s="62" t="s">
        <v>104</v>
      </c>
      <c r="D1405" s="62" t="s">
        <v>841</v>
      </c>
      <c r="E1405" s="76">
        <v>43935.0</v>
      </c>
      <c r="F1405" s="77">
        <v>0.08333333333333333</v>
      </c>
      <c r="G1405" s="62" t="b">
        <v>1</v>
      </c>
      <c r="H1405" s="78" t="b">
        <f>IF(VLOOKUP(C1405,Projetos!A:L,12,false)=TRUE,TRUE,FALSE)</f>
        <v>1</v>
      </c>
      <c r="I1405" s="68">
        <v>20.684394051308537</v>
      </c>
      <c r="J1405" s="68">
        <f t="shared" si="1"/>
        <v>41.3687881</v>
      </c>
      <c r="K1405" s="68" t="b">
        <v>1</v>
      </c>
    </row>
    <row r="1406" hidden="1">
      <c r="A1406" s="75">
        <v>1400.0</v>
      </c>
      <c r="B1406" s="62" t="s">
        <v>755</v>
      </c>
      <c r="C1406" s="62" t="s">
        <v>90</v>
      </c>
      <c r="D1406" s="62" t="s">
        <v>842</v>
      </c>
      <c r="E1406" s="76">
        <v>43935.0</v>
      </c>
      <c r="F1406" s="77">
        <v>0.020833333333333332</v>
      </c>
      <c r="G1406" s="62" t="b">
        <v>0</v>
      </c>
      <c r="H1406" s="78" t="b">
        <f>IF(VLOOKUP(C1406,Projetos!A:L,12,false)=TRUE,TRUE,FALSE)</f>
        <v>1</v>
      </c>
      <c r="I1406" s="68">
        <v>20.684394051308537</v>
      </c>
      <c r="J1406" s="68">
        <f t="shared" si="1"/>
        <v>0</v>
      </c>
      <c r="K1406" s="68" t="b">
        <v>1</v>
      </c>
    </row>
    <row r="1407" hidden="1">
      <c r="A1407" s="75">
        <v>1401.0</v>
      </c>
      <c r="B1407" s="62" t="s">
        <v>755</v>
      </c>
      <c r="C1407" s="62" t="s">
        <v>90</v>
      </c>
      <c r="D1407" s="62" t="s">
        <v>843</v>
      </c>
      <c r="E1407" s="76">
        <v>43935.0</v>
      </c>
      <c r="F1407" s="77">
        <v>0.08333333333333333</v>
      </c>
      <c r="G1407" s="62" t="b">
        <v>1</v>
      </c>
      <c r="H1407" s="78" t="b">
        <f>IF(VLOOKUP(C1407,Projetos!A:L,12,false)=TRUE,TRUE,FALSE)</f>
        <v>1</v>
      </c>
      <c r="I1407" s="68">
        <v>20.684394051308537</v>
      </c>
      <c r="J1407" s="68">
        <f t="shared" si="1"/>
        <v>41.3687881</v>
      </c>
      <c r="K1407" s="68" t="b">
        <v>1</v>
      </c>
    </row>
    <row r="1408" hidden="1">
      <c r="A1408" s="75">
        <v>1402.0</v>
      </c>
      <c r="B1408" s="62" t="s">
        <v>755</v>
      </c>
      <c r="C1408" s="62" t="s">
        <v>90</v>
      </c>
      <c r="D1408" s="62" t="s">
        <v>827</v>
      </c>
      <c r="E1408" s="76">
        <v>43935.0</v>
      </c>
      <c r="F1408" s="77">
        <v>0.041666666666666664</v>
      </c>
      <c r="G1408" s="62" t="b">
        <v>1</v>
      </c>
      <c r="H1408" s="78" t="b">
        <f>IF(VLOOKUP(C1408,Projetos!A:L,12,false)=TRUE,TRUE,FALSE)</f>
        <v>1</v>
      </c>
      <c r="I1408" s="68">
        <v>20.684394051308537</v>
      </c>
      <c r="J1408" s="68">
        <f t="shared" si="1"/>
        <v>20.68439405</v>
      </c>
      <c r="K1408" s="68" t="b">
        <v>1</v>
      </c>
    </row>
    <row r="1409" hidden="1">
      <c r="A1409" s="75">
        <v>1403.0</v>
      </c>
      <c r="B1409" s="62" t="s">
        <v>755</v>
      </c>
      <c r="C1409" s="62" t="s">
        <v>90</v>
      </c>
      <c r="D1409" s="62" t="s">
        <v>813</v>
      </c>
      <c r="E1409" s="76">
        <v>43936.0</v>
      </c>
      <c r="F1409" s="77">
        <v>0.0625</v>
      </c>
      <c r="G1409" s="62" t="b">
        <v>1</v>
      </c>
      <c r="H1409" s="78" t="b">
        <f>IF(VLOOKUP(C1409,Projetos!A:L,12,false)=TRUE,TRUE,FALSE)</f>
        <v>1</v>
      </c>
      <c r="I1409" s="68">
        <v>20.684394051308537</v>
      </c>
      <c r="J1409" s="68">
        <f t="shared" si="1"/>
        <v>31.02659108</v>
      </c>
      <c r="K1409" s="68" t="b">
        <v>1</v>
      </c>
    </row>
    <row r="1410" hidden="1">
      <c r="A1410" s="75">
        <v>1404.0</v>
      </c>
      <c r="B1410" s="62" t="s">
        <v>755</v>
      </c>
      <c r="C1410" s="62" t="s">
        <v>103</v>
      </c>
      <c r="D1410" s="62" t="s">
        <v>844</v>
      </c>
      <c r="E1410" s="76">
        <v>43936.0</v>
      </c>
      <c r="F1410" s="77">
        <v>0.041666666666666664</v>
      </c>
      <c r="G1410" s="62" t="b">
        <v>1</v>
      </c>
      <c r="H1410" s="78" t="b">
        <f>IF(VLOOKUP(C1410,Projetos!A:L,12,false)=TRUE,TRUE,FALSE)</f>
        <v>1</v>
      </c>
      <c r="I1410" s="68">
        <v>20.684394051308537</v>
      </c>
      <c r="J1410" s="68">
        <f t="shared" si="1"/>
        <v>20.68439405</v>
      </c>
      <c r="K1410" s="68" t="b">
        <v>1</v>
      </c>
    </row>
    <row r="1411" hidden="1">
      <c r="A1411" s="75">
        <v>1405.0</v>
      </c>
      <c r="B1411" s="62" t="s">
        <v>755</v>
      </c>
      <c r="C1411" s="62" t="s">
        <v>90</v>
      </c>
      <c r="D1411" s="62" t="s">
        <v>845</v>
      </c>
      <c r="E1411" s="76">
        <v>43936.0</v>
      </c>
      <c r="F1411" s="77">
        <v>0.041666666666666664</v>
      </c>
      <c r="G1411" s="62" t="b">
        <v>1</v>
      </c>
      <c r="H1411" s="78" t="b">
        <f>IF(VLOOKUP(C1411,Projetos!A:L,12,false)=TRUE,TRUE,FALSE)</f>
        <v>1</v>
      </c>
      <c r="I1411" s="68">
        <v>20.684394051308537</v>
      </c>
      <c r="J1411" s="68">
        <f t="shared" si="1"/>
        <v>20.68439405</v>
      </c>
      <c r="K1411" s="68" t="b">
        <v>1</v>
      </c>
    </row>
    <row r="1412" hidden="1">
      <c r="A1412" s="75">
        <v>1406.0</v>
      </c>
      <c r="B1412" s="62" t="s">
        <v>755</v>
      </c>
      <c r="C1412" s="62" t="s">
        <v>90</v>
      </c>
      <c r="D1412" s="62" t="s">
        <v>846</v>
      </c>
      <c r="E1412" s="76">
        <v>43936.0</v>
      </c>
      <c r="F1412" s="77">
        <v>0.16666666666666666</v>
      </c>
      <c r="G1412" s="62" t="b">
        <v>1</v>
      </c>
      <c r="H1412" s="78" t="b">
        <f>IF(VLOOKUP(C1412,Projetos!A:L,12,false)=TRUE,TRUE,FALSE)</f>
        <v>1</v>
      </c>
      <c r="I1412" s="68">
        <v>20.684394051308537</v>
      </c>
      <c r="J1412" s="68">
        <f t="shared" si="1"/>
        <v>82.73757621</v>
      </c>
      <c r="K1412" s="68" t="b">
        <v>1</v>
      </c>
    </row>
    <row r="1413">
      <c r="A1413" s="75">
        <v>1407.0</v>
      </c>
      <c r="B1413" s="62" t="s">
        <v>755</v>
      </c>
      <c r="C1413" s="62" t="s">
        <v>104</v>
      </c>
      <c r="D1413" s="62" t="s">
        <v>847</v>
      </c>
      <c r="E1413" s="76">
        <v>43967.0</v>
      </c>
      <c r="F1413" s="77">
        <v>0.041666666666666664</v>
      </c>
      <c r="G1413" s="62" t="b">
        <v>1</v>
      </c>
      <c r="H1413" s="78" t="b">
        <f>IF(VLOOKUP(C1413,Projetos!A:L,12,false)=TRUE,TRUE,FALSE)</f>
        <v>1</v>
      </c>
      <c r="I1413" s="68">
        <v>21.669365196608947</v>
      </c>
      <c r="J1413" s="68">
        <f t="shared" si="1"/>
        <v>21.6693652</v>
      </c>
      <c r="K1413" s="68" t="b">
        <v>1</v>
      </c>
    </row>
    <row r="1414" hidden="1">
      <c r="A1414" s="75">
        <v>1408.0</v>
      </c>
      <c r="B1414" s="62" t="s">
        <v>755</v>
      </c>
      <c r="C1414" s="62" t="s">
        <v>90</v>
      </c>
      <c r="D1414" s="62" t="s">
        <v>848</v>
      </c>
      <c r="E1414" s="76">
        <v>43938.0</v>
      </c>
      <c r="F1414" s="77">
        <v>0.16666666666666666</v>
      </c>
      <c r="G1414" s="62" t="b">
        <v>1</v>
      </c>
      <c r="H1414" s="78" t="b">
        <f>IF(VLOOKUP(C1414,Projetos!A:L,12,false)=TRUE,TRUE,FALSE)</f>
        <v>1</v>
      </c>
      <c r="I1414" s="68">
        <v>20.684394051308537</v>
      </c>
      <c r="J1414" s="68">
        <f t="shared" si="1"/>
        <v>82.73757621</v>
      </c>
      <c r="K1414" s="68" t="b">
        <v>1</v>
      </c>
    </row>
    <row r="1415" hidden="1">
      <c r="A1415" s="75">
        <v>1409.0</v>
      </c>
      <c r="B1415" s="62" t="s">
        <v>755</v>
      </c>
      <c r="C1415" s="62" t="s">
        <v>90</v>
      </c>
      <c r="D1415" s="62" t="s">
        <v>849</v>
      </c>
      <c r="E1415" s="76">
        <v>43938.0</v>
      </c>
      <c r="F1415" s="77">
        <v>0.0625</v>
      </c>
      <c r="G1415" s="62" t="b">
        <v>1</v>
      </c>
      <c r="H1415" s="78" t="b">
        <f>IF(VLOOKUP(C1415,Projetos!A:L,12,false)=TRUE,TRUE,FALSE)</f>
        <v>1</v>
      </c>
      <c r="I1415" s="68">
        <v>20.684394051308537</v>
      </c>
      <c r="J1415" s="68">
        <f t="shared" si="1"/>
        <v>31.02659108</v>
      </c>
      <c r="K1415" s="68" t="b">
        <v>1</v>
      </c>
    </row>
    <row r="1416" hidden="1">
      <c r="A1416" s="75">
        <v>1410.0</v>
      </c>
      <c r="B1416" s="62" t="s">
        <v>755</v>
      </c>
      <c r="C1416" s="62" t="s">
        <v>90</v>
      </c>
      <c r="D1416" s="62" t="s">
        <v>850</v>
      </c>
      <c r="E1416" s="76">
        <v>43938.0</v>
      </c>
      <c r="F1416" s="77">
        <v>0.0625</v>
      </c>
      <c r="G1416" s="62" t="b">
        <v>1</v>
      </c>
      <c r="H1416" s="78" t="b">
        <f>IF(VLOOKUP(C1416,Projetos!A:L,12,false)=TRUE,TRUE,FALSE)</f>
        <v>1</v>
      </c>
      <c r="I1416" s="68">
        <v>20.684394051308537</v>
      </c>
      <c r="J1416" s="68">
        <f t="shared" si="1"/>
        <v>31.02659108</v>
      </c>
      <c r="K1416" s="68" t="b">
        <v>1</v>
      </c>
    </row>
    <row r="1417" hidden="1">
      <c r="A1417" s="75">
        <v>1411.0</v>
      </c>
      <c r="B1417" s="62" t="s">
        <v>755</v>
      </c>
      <c r="C1417" s="62" t="s">
        <v>90</v>
      </c>
      <c r="D1417" s="62" t="s">
        <v>851</v>
      </c>
      <c r="E1417" s="76">
        <v>43938.0</v>
      </c>
      <c r="F1417" s="77">
        <v>0.0625</v>
      </c>
      <c r="G1417" s="62" t="b">
        <v>1</v>
      </c>
      <c r="H1417" s="78" t="b">
        <f>IF(VLOOKUP(C1417,Projetos!A:L,12,false)=TRUE,TRUE,FALSE)</f>
        <v>1</v>
      </c>
      <c r="I1417" s="68">
        <v>20.684394051308537</v>
      </c>
      <c r="J1417" s="68">
        <f t="shared" si="1"/>
        <v>31.02659108</v>
      </c>
      <c r="K1417" s="68" t="b">
        <v>1</v>
      </c>
    </row>
    <row r="1418" hidden="1">
      <c r="A1418" s="75">
        <v>1412.0</v>
      </c>
      <c r="B1418" s="62" t="s">
        <v>755</v>
      </c>
      <c r="C1418" s="62" t="s">
        <v>90</v>
      </c>
      <c r="D1418" s="62" t="s">
        <v>852</v>
      </c>
      <c r="E1418" s="76">
        <v>43941.0</v>
      </c>
      <c r="F1418" s="77">
        <v>0.16666666666666666</v>
      </c>
      <c r="G1418" s="62" t="b">
        <v>1</v>
      </c>
      <c r="H1418" s="78" t="b">
        <f>IF(VLOOKUP(C1418,Projetos!A:L,12,false)=TRUE,TRUE,FALSE)</f>
        <v>1</v>
      </c>
      <c r="I1418" s="68">
        <v>20.684394051308537</v>
      </c>
      <c r="J1418" s="68">
        <f t="shared" si="1"/>
        <v>82.73757621</v>
      </c>
      <c r="K1418" s="68" t="b">
        <v>1</v>
      </c>
    </row>
    <row r="1419" hidden="1">
      <c r="A1419" s="75">
        <v>1413.0</v>
      </c>
      <c r="B1419" s="62" t="s">
        <v>755</v>
      </c>
      <c r="C1419" s="62" t="s">
        <v>90</v>
      </c>
      <c r="D1419" s="62" t="s">
        <v>853</v>
      </c>
      <c r="E1419" s="76">
        <v>43941.0</v>
      </c>
      <c r="F1419" s="77">
        <v>0.14583333333333334</v>
      </c>
      <c r="G1419" s="62" t="b">
        <v>1</v>
      </c>
      <c r="H1419" s="78" t="b">
        <f>IF(VLOOKUP(C1419,Projetos!A:L,12,false)=TRUE,TRUE,FALSE)</f>
        <v>1</v>
      </c>
      <c r="I1419" s="68">
        <v>20.684394051308537</v>
      </c>
      <c r="J1419" s="68">
        <f t="shared" si="1"/>
        <v>72.39537918</v>
      </c>
      <c r="K1419" s="68" t="b">
        <v>1</v>
      </c>
    </row>
    <row r="1420">
      <c r="A1420" s="75">
        <v>1414.0</v>
      </c>
      <c r="B1420" s="62" t="s">
        <v>755</v>
      </c>
      <c r="C1420" s="62" t="s">
        <v>104</v>
      </c>
      <c r="D1420" s="62" t="s">
        <v>854</v>
      </c>
      <c r="E1420" s="76">
        <v>43941.0</v>
      </c>
      <c r="F1420" s="77">
        <v>0.041666666666666664</v>
      </c>
      <c r="G1420" s="62" t="b">
        <v>1</v>
      </c>
      <c r="H1420" s="78" t="b">
        <f>IF(VLOOKUP(C1420,Projetos!A:L,12,false)=TRUE,TRUE,FALSE)</f>
        <v>1</v>
      </c>
      <c r="I1420" s="68">
        <v>20.684394051308537</v>
      </c>
      <c r="J1420" s="68">
        <f t="shared" si="1"/>
        <v>20.68439405</v>
      </c>
      <c r="K1420" s="68" t="b">
        <v>1</v>
      </c>
    </row>
    <row r="1421" hidden="1">
      <c r="A1421" s="75">
        <v>1415.0</v>
      </c>
      <c r="B1421" s="62" t="s">
        <v>755</v>
      </c>
      <c r="C1421" s="62" t="s">
        <v>90</v>
      </c>
      <c r="D1421" s="62" t="s">
        <v>855</v>
      </c>
      <c r="E1421" s="76">
        <v>43963.0</v>
      </c>
      <c r="F1421" s="77">
        <v>0.125</v>
      </c>
      <c r="G1421" s="62" t="b">
        <v>1</v>
      </c>
      <c r="H1421" s="78" t="b">
        <f>IF(VLOOKUP(C1421,Projetos!A:L,12,false)=TRUE,TRUE,FALSE)</f>
        <v>1</v>
      </c>
      <c r="I1421" s="68">
        <v>21.669365196608947</v>
      </c>
      <c r="J1421" s="68">
        <f t="shared" si="1"/>
        <v>65.00809559</v>
      </c>
      <c r="K1421" s="68" t="b">
        <v>1</v>
      </c>
    </row>
    <row r="1422" hidden="1">
      <c r="A1422" s="75">
        <v>1416.0</v>
      </c>
      <c r="B1422" s="62" t="s">
        <v>755</v>
      </c>
      <c r="C1422" s="62" t="s">
        <v>90</v>
      </c>
      <c r="D1422" s="62" t="s">
        <v>856</v>
      </c>
      <c r="E1422" s="76">
        <v>43964.0</v>
      </c>
      <c r="F1422" s="77">
        <v>0.08333333333333333</v>
      </c>
      <c r="G1422" s="62" t="b">
        <v>1</v>
      </c>
      <c r="H1422" s="78" t="b">
        <f>IF(VLOOKUP(C1422,Projetos!A:L,12,false)=TRUE,TRUE,FALSE)</f>
        <v>1</v>
      </c>
      <c r="I1422" s="68">
        <v>21.669365196608947</v>
      </c>
      <c r="J1422" s="68">
        <f t="shared" si="1"/>
        <v>43.33873039</v>
      </c>
      <c r="K1422" s="68" t="b">
        <v>1</v>
      </c>
    </row>
    <row r="1423" hidden="1">
      <c r="A1423" s="75">
        <v>1417.0</v>
      </c>
      <c r="B1423" s="62" t="s">
        <v>755</v>
      </c>
      <c r="C1423" s="62" t="s">
        <v>90</v>
      </c>
      <c r="D1423" s="62" t="s">
        <v>827</v>
      </c>
      <c r="E1423" s="76">
        <v>43964.0</v>
      </c>
      <c r="F1423" s="77">
        <v>0.041666666666666664</v>
      </c>
      <c r="G1423" s="62" t="b">
        <v>1</v>
      </c>
      <c r="H1423" s="78" t="b">
        <f>IF(VLOOKUP(C1423,Projetos!A:L,12,false)=TRUE,TRUE,FALSE)</f>
        <v>1</v>
      </c>
      <c r="I1423" s="68">
        <v>21.669365196608947</v>
      </c>
      <c r="J1423" s="68">
        <f t="shared" si="1"/>
        <v>21.6693652</v>
      </c>
      <c r="K1423" s="68" t="b">
        <v>1</v>
      </c>
    </row>
    <row r="1424" hidden="1">
      <c r="A1424" s="75">
        <v>1418.0</v>
      </c>
      <c r="B1424" s="62" t="s">
        <v>755</v>
      </c>
      <c r="C1424" s="62" t="s">
        <v>90</v>
      </c>
      <c r="D1424" s="62" t="s">
        <v>857</v>
      </c>
      <c r="E1424" s="76">
        <v>43964.0</v>
      </c>
      <c r="F1424" s="77">
        <v>0.041666666666666664</v>
      </c>
      <c r="G1424" s="62" t="b">
        <v>1</v>
      </c>
      <c r="H1424" s="78" t="b">
        <f>IF(VLOOKUP(C1424,Projetos!A:L,12,false)=TRUE,TRUE,FALSE)</f>
        <v>1</v>
      </c>
      <c r="I1424" s="68">
        <v>21.669365196608947</v>
      </c>
      <c r="J1424" s="68">
        <f t="shared" si="1"/>
        <v>21.6693652</v>
      </c>
      <c r="K1424" s="68" t="b">
        <v>1</v>
      </c>
    </row>
    <row r="1425" hidden="1">
      <c r="A1425" s="75">
        <v>1419.0</v>
      </c>
      <c r="B1425" s="62" t="s">
        <v>755</v>
      </c>
      <c r="C1425" s="62" t="s">
        <v>90</v>
      </c>
      <c r="D1425" s="62" t="s">
        <v>858</v>
      </c>
      <c r="E1425" s="76">
        <v>43965.0</v>
      </c>
      <c r="F1425" s="77">
        <v>0.10416666666666667</v>
      </c>
      <c r="G1425" s="62" t="b">
        <v>1</v>
      </c>
      <c r="H1425" s="78" t="b">
        <f>IF(VLOOKUP(C1425,Projetos!A:L,12,false)=TRUE,TRUE,FALSE)</f>
        <v>1</v>
      </c>
      <c r="I1425" s="68">
        <v>21.669365196608947</v>
      </c>
      <c r="J1425" s="68">
        <f t="shared" si="1"/>
        <v>54.17341299</v>
      </c>
      <c r="K1425" s="68" t="b">
        <v>1</v>
      </c>
    </row>
    <row r="1426" hidden="1">
      <c r="A1426" s="75">
        <v>1420.0</v>
      </c>
      <c r="B1426" s="62" t="s">
        <v>755</v>
      </c>
      <c r="C1426" s="62" t="s">
        <v>90</v>
      </c>
      <c r="D1426" s="62" t="s">
        <v>859</v>
      </c>
      <c r="E1426" s="76">
        <v>43966.0</v>
      </c>
      <c r="F1426" s="77">
        <v>0.020833333333333332</v>
      </c>
      <c r="G1426" s="62" t="b">
        <v>1</v>
      </c>
      <c r="H1426" s="78" t="b">
        <f>IF(VLOOKUP(C1426,Projetos!A:L,12,false)=TRUE,TRUE,FALSE)</f>
        <v>1</v>
      </c>
      <c r="I1426" s="68">
        <v>21.669365196608947</v>
      </c>
      <c r="J1426" s="68">
        <f t="shared" si="1"/>
        <v>10.8346826</v>
      </c>
      <c r="K1426" s="68" t="b">
        <v>1</v>
      </c>
    </row>
    <row r="1427" hidden="1">
      <c r="A1427" s="75">
        <v>1421.0</v>
      </c>
      <c r="B1427" s="62" t="s">
        <v>755</v>
      </c>
      <c r="C1427" s="62" t="s">
        <v>90</v>
      </c>
      <c r="D1427" s="62" t="s">
        <v>860</v>
      </c>
      <c r="E1427" s="76">
        <v>43966.0</v>
      </c>
      <c r="F1427" s="77">
        <v>0.041666666666666664</v>
      </c>
      <c r="G1427" s="62" t="b">
        <v>1</v>
      </c>
      <c r="H1427" s="78" t="b">
        <f>IF(VLOOKUP(C1427,Projetos!A:L,12,false)=TRUE,TRUE,FALSE)</f>
        <v>1</v>
      </c>
      <c r="I1427" s="68">
        <v>21.669365196608947</v>
      </c>
      <c r="J1427" s="68">
        <f t="shared" si="1"/>
        <v>21.6693652</v>
      </c>
      <c r="K1427" s="68" t="b">
        <v>1</v>
      </c>
    </row>
    <row r="1428" hidden="1">
      <c r="A1428" s="75">
        <v>1422.0</v>
      </c>
      <c r="B1428" s="62" t="s">
        <v>755</v>
      </c>
      <c r="C1428" s="62" t="s">
        <v>90</v>
      </c>
      <c r="D1428" s="62" t="s">
        <v>861</v>
      </c>
      <c r="E1428" s="76">
        <v>43969.0</v>
      </c>
      <c r="F1428" s="77">
        <v>0.041666666666666664</v>
      </c>
      <c r="G1428" s="62" t="b">
        <v>1</v>
      </c>
      <c r="H1428" s="78" t="b">
        <f>IF(VLOOKUP(C1428,Projetos!A:L,12,false)=TRUE,TRUE,FALSE)</f>
        <v>1</v>
      </c>
      <c r="I1428" s="68">
        <v>21.669365196608947</v>
      </c>
      <c r="J1428" s="68">
        <f t="shared" si="1"/>
        <v>21.6693652</v>
      </c>
      <c r="K1428" s="68" t="b">
        <v>1</v>
      </c>
    </row>
    <row r="1429" hidden="1">
      <c r="A1429" s="75">
        <v>1423.0</v>
      </c>
      <c r="B1429" s="62" t="s">
        <v>755</v>
      </c>
      <c r="C1429" s="62" t="s">
        <v>90</v>
      </c>
      <c r="D1429" s="62" t="s">
        <v>862</v>
      </c>
      <c r="E1429" s="76">
        <v>43969.0</v>
      </c>
      <c r="F1429" s="77">
        <v>0.041666666666666664</v>
      </c>
      <c r="G1429" s="62" t="b">
        <v>1</v>
      </c>
      <c r="H1429" s="78" t="b">
        <f>IF(VLOOKUP(C1429,Projetos!A:L,12,false)=TRUE,TRUE,FALSE)</f>
        <v>1</v>
      </c>
      <c r="I1429" s="68">
        <v>21.669365196608947</v>
      </c>
      <c r="J1429" s="68">
        <f t="shared" si="1"/>
        <v>21.6693652</v>
      </c>
      <c r="K1429" s="68" t="b">
        <v>1</v>
      </c>
    </row>
    <row r="1430" hidden="1">
      <c r="A1430" s="75">
        <v>1424.0</v>
      </c>
      <c r="B1430" s="62" t="s">
        <v>755</v>
      </c>
      <c r="C1430" s="62" t="s">
        <v>90</v>
      </c>
      <c r="D1430" s="62" t="s">
        <v>863</v>
      </c>
      <c r="E1430" s="76">
        <v>43969.0</v>
      </c>
      <c r="F1430" s="77">
        <v>0.0625</v>
      </c>
      <c r="G1430" s="62" t="b">
        <v>1</v>
      </c>
      <c r="H1430" s="78" t="b">
        <f>IF(VLOOKUP(C1430,Projetos!A:L,12,false)=TRUE,TRUE,FALSE)</f>
        <v>1</v>
      </c>
      <c r="I1430" s="68">
        <v>21.669365196608947</v>
      </c>
      <c r="J1430" s="68">
        <f t="shared" si="1"/>
        <v>32.50404779</v>
      </c>
      <c r="K1430" s="68" t="b">
        <v>1</v>
      </c>
    </row>
    <row r="1431" hidden="1">
      <c r="A1431" s="75">
        <v>1425.0</v>
      </c>
      <c r="B1431" s="62" t="s">
        <v>755</v>
      </c>
      <c r="C1431" s="62" t="s">
        <v>90</v>
      </c>
      <c r="D1431" s="62" t="s">
        <v>864</v>
      </c>
      <c r="E1431" s="76">
        <v>43969.0</v>
      </c>
      <c r="F1431" s="77">
        <v>0.0625</v>
      </c>
      <c r="G1431" s="62" t="b">
        <v>1</v>
      </c>
      <c r="H1431" s="78" t="b">
        <f>IF(VLOOKUP(C1431,Projetos!A:L,12,false)=TRUE,TRUE,FALSE)</f>
        <v>1</v>
      </c>
      <c r="I1431" s="68">
        <v>21.669365196608947</v>
      </c>
      <c r="J1431" s="68">
        <f t="shared" si="1"/>
        <v>32.50404779</v>
      </c>
      <c r="K1431" s="68" t="b">
        <v>1</v>
      </c>
    </row>
    <row r="1432" hidden="1">
      <c r="A1432" s="75">
        <v>1426.0</v>
      </c>
      <c r="B1432" s="62" t="s">
        <v>755</v>
      </c>
      <c r="C1432" s="62" t="s">
        <v>138</v>
      </c>
      <c r="D1432" s="62" t="s">
        <v>865</v>
      </c>
      <c r="E1432" s="76">
        <v>43969.0</v>
      </c>
      <c r="F1432" s="77">
        <v>0.041666666666666664</v>
      </c>
      <c r="G1432" s="62" t="b">
        <v>1</v>
      </c>
      <c r="H1432" s="78" t="b">
        <f>IF(VLOOKUP(C1432,Projetos!A:L,12,false)=TRUE,TRUE,FALSE)</f>
        <v>1</v>
      </c>
      <c r="I1432" s="68">
        <v>21.669365196608947</v>
      </c>
      <c r="J1432" s="68">
        <f t="shared" si="1"/>
        <v>21.6693652</v>
      </c>
      <c r="K1432" s="68" t="b">
        <v>1</v>
      </c>
    </row>
    <row r="1433" hidden="1">
      <c r="A1433" s="75">
        <v>1427.0</v>
      </c>
      <c r="B1433" s="62" t="s">
        <v>755</v>
      </c>
      <c r="C1433" s="62" t="s">
        <v>90</v>
      </c>
      <c r="D1433" s="62" t="s">
        <v>866</v>
      </c>
      <c r="E1433" s="76">
        <v>43970.0</v>
      </c>
      <c r="F1433" s="77">
        <v>0.041666666666666664</v>
      </c>
      <c r="G1433" s="62" t="b">
        <v>1</v>
      </c>
      <c r="H1433" s="78" t="b">
        <f>IF(VLOOKUP(C1433,Projetos!A:L,12,false)=TRUE,TRUE,FALSE)</f>
        <v>1</v>
      </c>
      <c r="I1433" s="68">
        <v>21.669365196608947</v>
      </c>
      <c r="J1433" s="68">
        <f t="shared" si="1"/>
        <v>21.6693652</v>
      </c>
      <c r="K1433" s="68" t="b">
        <v>1</v>
      </c>
    </row>
    <row r="1434" hidden="1">
      <c r="A1434" s="75">
        <v>1428.0</v>
      </c>
      <c r="B1434" s="62" t="s">
        <v>755</v>
      </c>
      <c r="C1434" s="62" t="s">
        <v>90</v>
      </c>
      <c r="D1434" s="62" t="s">
        <v>867</v>
      </c>
      <c r="E1434" s="76">
        <v>43971.0</v>
      </c>
      <c r="F1434" s="77">
        <v>0.041666666666666664</v>
      </c>
      <c r="G1434" s="62" t="b">
        <v>1</v>
      </c>
      <c r="H1434" s="78" t="b">
        <f>IF(VLOOKUP(C1434,Projetos!A:L,12,false)=TRUE,TRUE,FALSE)</f>
        <v>1</v>
      </c>
      <c r="I1434" s="68">
        <v>21.669365196608947</v>
      </c>
      <c r="J1434" s="68">
        <f t="shared" si="1"/>
        <v>21.6693652</v>
      </c>
      <c r="K1434" s="68" t="b">
        <v>1</v>
      </c>
    </row>
    <row r="1435" hidden="1">
      <c r="A1435" s="75">
        <v>1429.0</v>
      </c>
      <c r="B1435" s="62" t="s">
        <v>755</v>
      </c>
      <c r="C1435" s="62" t="s">
        <v>90</v>
      </c>
      <c r="D1435" s="62" t="s">
        <v>868</v>
      </c>
      <c r="E1435" s="76">
        <v>43971.0</v>
      </c>
      <c r="F1435" s="77">
        <v>0.0625</v>
      </c>
      <c r="G1435" s="62" t="b">
        <v>1</v>
      </c>
      <c r="H1435" s="78" t="b">
        <f>IF(VLOOKUP(C1435,Projetos!A:L,12,false)=TRUE,TRUE,FALSE)</f>
        <v>1</v>
      </c>
      <c r="I1435" s="68">
        <v>21.669365196608947</v>
      </c>
      <c r="J1435" s="68">
        <f t="shared" si="1"/>
        <v>32.50404779</v>
      </c>
      <c r="K1435" s="68" t="b">
        <v>1</v>
      </c>
    </row>
    <row r="1436" hidden="1">
      <c r="A1436" s="75">
        <v>1430.0</v>
      </c>
      <c r="B1436" s="62" t="s">
        <v>755</v>
      </c>
      <c r="C1436" s="62" t="s">
        <v>90</v>
      </c>
      <c r="D1436" s="62" t="s">
        <v>869</v>
      </c>
      <c r="E1436" s="76">
        <v>43971.0</v>
      </c>
      <c r="F1436" s="77">
        <v>0.10416666666666667</v>
      </c>
      <c r="G1436" s="62" t="b">
        <v>1</v>
      </c>
      <c r="H1436" s="78" t="b">
        <f>IF(VLOOKUP(C1436,Projetos!A:L,12,false)=TRUE,TRUE,FALSE)</f>
        <v>1</v>
      </c>
      <c r="I1436" s="68">
        <v>21.669365196608947</v>
      </c>
      <c r="J1436" s="68">
        <f t="shared" si="1"/>
        <v>54.17341299</v>
      </c>
      <c r="K1436" s="68" t="b">
        <v>1</v>
      </c>
    </row>
    <row r="1437" hidden="1">
      <c r="A1437" s="75">
        <v>1431.0</v>
      </c>
      <c r="B1437" s="62" t="s">
        <v>755</v>
      </c>
      <c r="C1437" s="62" t="s">
        <v>90</v>
      </c>
      <c r="D1437" s="62" t="s">
        <v>870</v>
      </c>
      <c r="E1437" s="76">
        <v>43972.0</v>
      </c>
      <c r="F1437" s="77">
        <v>0.13541666666666666</v>
      </c>
      <c r="G1437" s="62" t="b">
        <v>1</v>
      </c>
      <c r="H1437" s="78" t="b">
        <f>IF(VLOOKUP(C1437,Projetos!A:L,12,false)=TRUE,TRUE,FALSE)</f>
        <v>1</v>
      </c>
      <c r="I1437" s="68">
        <v>21.669365196608947</v>
      </c>
      <c r="J1437" s="68">
        <f t="shared" si="1"/>
        <v>70.42543689</v>
      </c>
      <c r="K1437" s="68" t="b">
        <v>1</v>
      </c>
    </row>
    <row r="1438" hidden="1">
      <c r="A1438" s="75">
        <v>1432.0</v>
      </c>
      <c r="B1438" s="62" t="s">
        <v>755</v>
      </c>
      <c r="C1438" s="62" t="s">
        <v>90</v>
      </c>
      <c r="D1438" s="62" t="s">
        <v>871</v>
      </c>
      <c r="E1438" s="76">
        <v>43972.0</v>
      </c>
      <c r="F1438" s="77">
        <v>0.13541666666666666</v>
      </c>
      <c r="G1438" s="62" t="b">
        <v>1</v>
      </c>
      <c r="H1438" s="78" t="b">
        <f>IF(VLOOKUP(C1438,Projetos!A:L,12,false)=TRUE,TRUE,FALSE)</f>
        <v>1</v>
      </c>
      <c r="I1438" s="68">
        <v>21.669365196608947</v>
      </c>
      <c r="J1438" s="68">
        <f t="shared" si="1"/>
        <v>70.42543689</v>
      </c>
      <c r="K1438" s="68" t="b">
        <v>1</v>
      </c>
    </row>
    <row r="1439" hidden="1">
      <c r="A1439" s="75">
        <v>1433.0</v>
      </c>
      <c r="B1439" s="62" t="s">
        <v>755</v>
      </c>
      <c r="C1439" s="62" t="s">
        <v>90</v>
      </c>
      <c r="D1439" s="62" t="s">
        <v>872</v>
      </c>
      <c r="E1439" s="76">
        <v>43972.0</v>
      </c>
      <c r="F1439" s="77">
        <v>0.13541666666666666</v>
      </c>
      <c r="G1439" s="62" t="b">
        <v>1</v>
      </c>
      <c r="H1439" s="78" t="b">
        <f>IF(VLOOKUP(C1439,Projetos!A:L,12,false)=TRUE,TRUE,FALSE)</f>
        <v>1</v>
      </c>
      <c r="I1439" s="68">
        <v>21.669365196608947</v>
      </c>
      <c r="J1439" s="68">
        <f t="shared" si="1"/>
        <v>70.42543689</v>
      </c>
      <c r="K1439" s="68" t="b">
        <v>1</v>
      </c>
    </row>
    <row r="1440" hidden="1">
      <c r="A1440" s="75">
        <v>1434.0</v>
      </c>
      <c r="B1440" s="62" t="s">
        <v>755</v>
      </c>
      <c r="C1440" s="62" t="s">
        <v>90</v>
      </c>
      <c r="D1440" s="62" t="s">
        <v>873</v>
      </c>
      <c r="E1440" s="76">
        <v>43973.0</v>
      </c>
      <c r="F1440" s="77">
        <v>0.020833333333333332</v>
      </c>
      <c r="G1440" s="62" t="b">
        <v>1</v>
      </c>
      <c r="H1440" s="78" t="b">
        <f>IF(VLOOKUP(C1440,Projetos!A:L,12,false)=TRUE,TRUE,FALSE)</f>
        <v>1</v>
      </c>
      <c r="I1440" s="68">
        <v>21.669365196608947</v>
      </c>
      <c r="J1440" s="68">
        <f t="shared" si="1"/>
        <v>10.8346826</v>
      </c>
      <c r="K1440" s="68" t="b">
        <v>1</v>
      </c>
    </row>
    <row r="1441" hidden="1">
      <c r="A1441" s="75">
        <v>1435.0</v>
      </c>
      <c r="B1441" s="62" t="s">
        <v>755</v>
      </c>
      <c r="C1441" s="62" t="s">
        <v>90</v>
      </c>
      <c r="D1441" s="62" t="s">
        <v>874</v>
      </c>
      <c r="E1441" s="76">
        <v>43973.0</v>
      </c>
      <c r="F1441" s="77">
        <v>0.041666666666666664</v>
      </c>
      <c r="G1441" s="62" t="b">
        <v>1</v>
      </c>
      <c r="H1441" s="78" t="b">
        <f>IF(VLOOKUP(C1441,Projetos!A:L,12,false)=TRUE,TRUE,FALSE)</f>
        <v>1</v>
      </c>
      <c r="I1441" s="68">
        <v>21.669365196608947</v>
      </c>
      <c r="J1441" s="68">
        <f t="shared" si="1"/>
        <v>21.6693652</v>
      </c>
      <c r="K1441" s="68" t="b">
        <v>1</v>
      </c>
    </row>
    <row r="1442" hidden="1">
      <c r="A1442" s="75">
        <v>1436.0</v>
      </c>
      <c r="B1442" s="62" t="s">
        <v>755</v>
      </c>
      <c r="C1442" s="62" t="s">
        <v>90</v>
      </c>
      <c r="D1442" s="62" t="s">
        <v>875</v>
      </c>
      <c r="E1442" s="76">
        <v>43973.0</v>
      </c>
      <c r="F1442" s="77">
        <v>0.13472222222222222</v>
      </c>
      <c r="G1442" s="62" t="b">
        <v>1</v>
      </c>
      <c r="H1442" s="78" t="b">
        <f>IF(VLOOKUP(C1442,Projetos!A:L,12,false)=TRUE,TRUE,FALSE)</f>
        <v>1</v>
      </c>
      <c r="I1442" s="68">
        <v>21.669365196608947</v>
      </c>
      <c r="J1442" s="68">
        <f t="shared" si="1"/>
        <v>70.0642808</v>
      </c>
      <c r="K1442" s="68" t="b">
        <v>1</v>
      </c>
    </row>
    <row r="1443" hidden="1">
      <c r="A1443" s="75">
        <v>1437.0</v>
      </c>
      <c r="B1443" s="62" t="s">
        <v>755</v>
      </c>
      <c r="C1443" s="62" t="s">
        <v>90</v>
      </c>
      <c r="D1443" s="62" t="s">
        <v>876</v>
      </c>
      <c r="E1443" s="76">
        <v>43976.0</v>
      </c>
      <c r="F1443" s="77">
        <v>0.13541666666666666</v>
      </c>
      <c r="G1443" s="62" t="b">
        <v>1</v>
      </c>
      <c r="H1443" s="78" t="b">
        <f>IF(VLOOKUP(C1443,Projetos!A:L,12,false)=TRUE,TRUE,FALSE)</f>
        <v>1</v>
      </c>
      <c r="I1443" s="68">
        <v>21.669365196608947</v>
      </c>
      <c r="J1443" s="68">
        <f t="shared" si="1"/>
        <v>70.42543689</v>
      </c>
      <c r="K1443" s="68" t="b">
        <v>1</v>
      </c>
    </row>
    <row r="1444" hidden="1">
      <c r="A1444" s="75">
        <v>1438.0</v>
      </c>
      <c r="B1444" s="62" t="s">
        <v>755</v>
      </c>
      <c r="C1444" s="62" t="s">
        <v>90</v>
      </c>
      <c r="D1444" s="62" t="s">
        <v>877</v>
      </c>
      <c r="E1444" s="76">
        <v>43976.0</v>
      </c>
      <c r="F1444" s="77">
        <v>0.125</v>
      </c>
      <c r="G1444" s="62" t="b">
        <v>1</v>
      </c>
      <c r="H1444" s="78" t="b">
        <f>IF(VLOOKUP(C1444,Projetos!A:L,12,false)=TRUE,TRUE,FALSE)</f>
        <v>1</v>
      </c>
      <c r="I1444" s="68">
        <v>21.669365196608947</v>
      </c>
      <c r="J1444" s="68">
        <f t="shared" si="1"/>
        <v>65.00809559</v>
      </c>
      <c r="K1444" s="68" t="b">
        <v>1</v>
      </c>
    </row>
    <row r="1445" hidden="1">
      <c r="A1445" s="75">
        <v>1439.0</v>
      </c>
      <c r="B1445" s="62" t="s">
        <v>755</v>
      </c>
      <c r="C1445" s="62" t="s">
        <v>90</v>
      </c>
      <c r="D1445" s="62" t="s">
        <v>878</v>
      </c>
      <c r="E1445" s="76">
        <v>43976.0</v>
      </c>
      <c r="F1445" s="77">
        <v>0.0625</v>
      </c>
      <c r="G1445" s="62" t="b">
        <v>1</v>
      </c>
      <c r="H1445" s="78" t="b">
        <f>IF(VLOOKUP(C1445,Projetos!A:L,12,false)=TRUE,TRUE,FALSE)</f>
        <v>1</v>
      </c>
      <c r="I1445" s="68">
        <v>21.669365196608947</v>
      </c>
      <c r="J1445" s="68">
        <f t="shared" si="1"/>
        <v>32.50404779</v>
      </c>
      <c r="K1445" s="68" t="b">
        <v>1</v>
      </c>
    </row>
    <row r="1446" hidden="1">
      <c r="A1446" s="75">
        <v>1440.0</v>
      </c>
      <c r="B1446" s="62" t="s">
        <v>755</v>
      </c>
      <c r="C1446" s="62" t="s">
        <v>90</v>
      </c>
      <c r="D1446" s="62" t="s">
        <v>879</v>
      </c>
      <c r="E1446" s="76">
        <v>43976.0</v>
      </c>
      <c r="F1446" s="77">
        <v>0.041666666666666664</v>
      </c>
      <c r="G1446" s="62" t="b">
        <v>1</v>
      </c>
      <c r="H1446" s="78" t="b">
        <f>IF(VLOOKUP(C1446,Projetos!A:L,12,false)=TRUE,TRUE,FALSE)</f>
        <v>1</v>
      </c>
      <c r="I1446" s="68">
        <v>21.669365196608947</v>
      </c>
      <c r="J1446" s="68">
        <f t="shared" si="1"/>
        <v>21.6693652</v>
      </c>
      <c r="K1446" s="68" t="b">
        <v>1</v>
      </c>
    </row>
    <row r="1447" hidden="1">
      <c r="A1447" s="75">
        <v>1441.0</v>
      </c>
      <c r="B1447" s="62" t="s">
        <v>755</v>
      </c>
      <c r="C1447" s="62" t="s">
        <v>97</v>
      </c>
      <c r="D1447" s="62" t="s">
        <v>880</v>
      </c>
      <c r="E1447" s="76">
        <v>43976.0</v>
      </c>
      <c r="F1447" s="77">
        <v>0.041666666666666664</v>
      </c>
      <c r="G1447" s="62" t="b">
        <v>0</v>
      </c>
      <c r="H1447" s="78" t="b">
        <f>IF(VLOOKUP(C1447,Projetos!A:L,12,false)=TRUE,TRUE,FALSE)</f>
        <v>1</v>
      </c>
      <c r="I1447" s="68">
        <v>21.669365196608947</v>
      </c>
      <c r="J1447" s="68">
        <f t="shared" si="1"/>
        <v>0</v>
      </c>
      <c r="K1447" s="68" t="b">
        <v>1</v>
      </c>
    </row>
    <row r="1448" hidden="1">
      <c r="A1448" s="75">
        <v>1442.0</v>
      </c>
      <c r="B1448" s="62" t="s">
        <v>755</v>
      </c>
      <c r="C1448" s="62" t="s">
        <v>90</v>
      </c>
      <c r="D1448" s="62" t="s">
        <v>881</v>
      </c>
      <c r="E1448" s="76">
        <v>43977.0</v>
      </c>
      <c r="F1448" s="77">
        <v>0.041666666666666664</v>
      </c>
      <c r="G1448" s="62" t="b">
        <v>1</v>
      </c>
      <c r="H1448" s="78" t="b">
        <f>IF(VLOOKUP(C1448,Projetos!A:L,12,false)=TRUE,TRUE,FALSE)</f>
        <v>1</v>
      </c>
      <c r="I1448" s="68">
        <v>21.669365196608947</v>
      </c>
      <c r="J1448" s="68">
        <f t="shared" si="1"/>
        <v>21.6693652</v>
      </c>
      <c r="K1448" s="68" t="b">
        <v>1</v>
      </c>
    </row>
    <row r="1449" hidden="1">
      <c r="A1449" s="75">
        <v>1443.0</v>
      </c>
      <c r="B1449" s="62" t="s">
        <v>755</v>
      </c>
      <c r="C1449" s="62" t="s">
        <v>90</v>
      </c>
      <c r="D1449" s="62" t="s">
        <v>882</v>
      </c>
      <c r="E1449" s="76">
        <v>43977.0</v>
      </c>
      <c r="F1449" s="77">
        <v>0.041666666666666664</v>
      </c>
      <c r="G1449" s="62" t="b">
        <v>1</v>
      </c>
      <c r="H1449" s="78" t="b">
        <f>IF(VLOOKUP(C1449,Projetos!A:L,12,false)=TRUE,TRUE,FALSE)</f>
        <v>1</v>
      </c>
      <c r="I1449" s="68">
        <v>21.669365196608947</v>
      </c>
      <c r="J1449" s="68">
        <f t="shared" si="1"/>
        <v>21.6693652</v>
      </c>
      <c r="K1449" s="68" t="b">
        <v>1</v>
      </c>
    </row>
    <row r="1450" hidden="1">
      <c r="A1450" s="75">
        <v>1444.0</v>
      </c>
      <c r="B1450" s="62" t="s">
        <v>755</v>
      </c>
      <c r="C1450" s="62" t="s">
        <v>90</v>
      </c>
      <c r="D1450" s="62" t="s">
        <v>883</v>
      </c>
      <c r="E1450" s="76">
        <v>43977.0</v>
      </c>
      <c r="F1450" s="77">
        <v>0.041666666666666664</v>
      </c>
      <c r="G1450" s="62" t="b">
        <v>1</v>
      </c>
      <c r="H1450" s="78" t="b">
        <f>IF(VLOOKUP(C1450,Projetos!A:L,12,false)=TRUE,TRUE,FALSE)</f>
        <v>1</v>
      </c>
      <c r="I1450" s="68">
        <v>21.669365196608947</v>
      </c>
      <c r="J1450" s="68">
        <f t="shared" si="1"/>
        <v>21.6693652</v>
      </c>
      <c r="K1450" s="68" t="b">
        <v>1</v>
      </c>
    </row>
    <row r="1451" hidden="1">
      <c r="A1451" s="75">
        <v>1445.0</v>
      </c>
      <c r="B1451" s="62" t="s">
        <v>755</v>
      </c>
      <c r="C1451" s="62" t="s">
        <v>90</v>
      </c>
      <c r="D1451" s="62" t="s">
        <v>884</v>
      </c>
      <c r="E1451" s="76">
        <v>43977.0</v>
      </c>
      <c r="F1451" s="77">
        <v>0.041666666666666664</v>
      </c>
      <c r="G1451" s="62" t="b">
        <v>1</v>
      </c>
      <c r="H1451" s="78" t="b">
        <f>IF(VLOOKUP(C1451,Projetos!A:L,12,false)=TRUE,TRUE,FALSE)</f>
        <v>1</v>
      </c>
      <c r="I1451" s="68">
        <v>21.669365196608947</v>
      </c>
      <c r="J1451" s="68">
        <f t="shared" si="1"/>
        <v>21.6693652</v>
      </c>
      <c r="K1451" s="68" t="b">
        <v>1</v>
      </c>
    </row>
    <row r="1452" hidden="1">
      <c r="A1452" s="75">
        <v>1446.0</v>
      </c>
      <c r="B1452" s="62" t="s">
        <v>755</v>
      </c>
      <c r="C1452" s="62" t="s">
        <v>90</v>
      </c>
      <c r="D1452" s="62" t="s">
        <v>885</v>
      </c>
      <c r="E1452" s="76">
        <v>43977.0</v>
      </c>
      <c r="F1452" s="77">
        <v>0.041666666666666664</v>
      </c>
      <c r="G1452" s="62" t="b">
        <v>1</v>
      </c>
      <c r="H1452" s="78" t="b">
        <f>IF(VLOOKUP(C1452,Projetos!A:L,12,false)=TRUE,TRUE,FALSE)</f>
        <v>1</v>
      </c>
      <c r="I1452" s="68">
        <v>21.669365196608947</v>
      </c>
      <c r="J1452" s="68">
        <f t="shared" si="1"/>
        <v>21.6693652</v>
      </c>
      <c r="K1452" s="68" t="b">
        <v>1</v>
      </c>
    </row>
    <row r="1453" hidden="1">
      <c r="A1453" s="75">
        <v>1447.0</v>
      </c>
      <c r="B1453" s="62" t="s">
        <v>755</v>
      </c>
      <c r="C1453" s="62" t="s">
        <v>90</v>
      </c>
      <c r="D1453" s="62" t="s">
        <v>886</v>
      </c>
      <c r="E1453" s="76">
        <v>43978.0</v>
      </c>
      <c r="F1453" s="77">
        <v>0.020833333333333332</v>
      </c>
      <c r="G1453" s="62" t="b">
        <v>1</v>
      </c>
      <c r="H1453" s="78" t="b">
        <f>IF(VLOOKUP(C1453,Projetos!A:L,12,false)=TRUE,TRUE,FALSE)</f>
        <v>1</v>
      </c>
      <c r="I1453" s="68">
        <v>21.669365196608947</v>
      </c>
      <c r="J1453" s="68">
        <f t="shared" si="1"/>
        <v>10.8346826</v>
      </c>
      <c r="K1453" s="68" t="b">
        <v>1</v>
      </c>
    </row>
    <row r="1454" hidden="1">
      <c r="A1454" s="75">
        <v>1448.0</v>
      </c>
      <c r="B1454" s="62" t="s">
        <v>755</v>
      </c>
      <c r="C1454" s="62" t="s">
        <v>90</v>
      </c>
      <c r="D1454" s="62" t="s">
        <v>887</v>
      </c>
      <c r="E1454" s="76">
        <v>43978.0</v>
      </c>
      <c r="F1454" s="77">
        <v>0.020833333333333332</v>
      </c>
      <c r="G1454" s="62" t="b">
        <v>1</v>
      </c>
      <c r="H1454" s="78" t="b">
        <f>IF(VLOOKUP(C1454,Projetos!A:L,12,false)=TRUE,TRUE,FALSE)</f>
        <v>1</v>
      </c>
      <c r="I1454" s="68">
        <v>21.669365196608947</v>
      </c>
      <c r="J1454" s="68">
        <f t="shared" si="1"/>
        <v>10.8346826</v>
      </c>
      <c r="K1454" s="68" t="b">
        <v>1</v>
      </c>
    </row>
    <row r="1455" hidden="1">
      <c r="A1455" s="75">
        <v>1449.0</v>
      </c>
      <c r="B1455" s="62" t="s">
        <v>755</v>
      </c>
      <c r="C1455" s="62" t="s">
        <v>90</v>
      </c>
      <c r="D1455" s="62" t="s">
        <v>888</v>
      </c>
      <c r="E1455" s="76">
        <v>43978.0</v>
      </c>
      <c r="F1455" s="77">
        <v>0.020833333333333332</v>
      </c>
      <c r="G1455" s="62" t="b">
        <v>1</v>
      </c>
      <c r="H1455" s="78" t="b">
        <f>IF(VLOOKUP(C1455,Projetos!A:L,12,false)=TRUE,TRUE,FALSE)</f>
        <v>1</v>
      </c>
      <c r="I1455" s="68">
        <v>21.669365196608947</v>
      </c>
      <c r="J1455" s="68">
        <f t="shared" si="1"/>
        <v>10.8346826</v>
      </c>
      <c r="K1455" s="68" t="b">
        <v>1</v>
      </c>
    </row>
    <row r="1456" hidden="1">
      <c r="A1456" s="75">
        <v>1450.0</v>
      </c>
      <c r="B1456" s="62" t="s">
        <v>755</v>
      </c>
      <c r="C1456" s="62" t="s">
        <v>90</v>
      </c>
      <c r="D1456" s="62" t="s">
        <v>889</v>
      </c>
      <c r="E1456" s="76">
        <v>43979.0</v>
      </c>
      <c r="F1456" s="77">
        <v>0.10416666666666667</v>
      </c>
      <c r="G1456" s="62" t="b">
        <v>1</v>
      </c>
      <c r="H1456" s="78" t="b">
        <f>IF(VLOOKUP(C1456,Projetos!A:L,12,false)=TRUE,TRUE,FALSE)</f>
        <v>1</v>
      </c>
      <c r="I1456" s="68">
        <v>21.669365196608947</v>
      </c>
      <c r="J1456" s="68">
        <f t="shared" si="1"/>
        <v>54.17341299</v>
      </c>
      <c r="K1456" s="68" t="b">
        <v>1</v>
      </c>
    </row>
    <row r="1457" hidden="1">
      <c r="A1457" s="75">
        <v>1451.0</v>
      </c>
      <c r="B1457" s="62" t="s">
        <v>755</v>
      </c>
      <c r="C1457" s="62" t="s">
        <v>90</v>
      </c>
      <c r="D1457" s="62" t="s">
        <v>890</v>
      </c>
      <c r="E1457" s="76">
        <v>43980.0</v>
      </c>
      <c r="F1457" s="77">
        <v>0.041666666666666664</v>
      </c>
      <c r="G1457" s="62" t="b">
        <v>1</v>
      </c>
      <c r="H1457" s="78" t="b">
        <f>IF(VLOOKUP(C1457,Projetos!A:L,12,false)=TRUE,TRUE,FALSE)</f>
        <v>1</v>
      </c>
      <c r="I1457" s="68">
        <v>21.669365196608947</v>
      </c>
      <c r="J1457" s="68">
        <f t="shared" si="1"/>
        <v>21.6693652</v>
      </c>
      <c r="K1457" s="68" t="b">
        <v>1</v>
      </c>
    </row>
    <row r="1458" hidden="1">
      <c r="A1458" s="75">
        <v>1452.0</v>
      </c>
      <c r="B1458" s="62" t="s">
        <v>755</v>
      </c>
      <c r="C1458" s="62" t="s">
        <v>90</v>
      </c>
      <c r="D1458" s="62" t="s">
        <v>891</v>
      </c>
      <c r="E1458" s="76">
        <v>43984.0</v>
      </c>
      <c r="F1458" s="77">
        <v>0.08333333333333333</v>
      </c>
      <c r="G1458" s="62" t="b">
        <v>1</v>
      </c>
      <c r="H1458" s="78" t="b">
        <f>IF(VLOOKUP(C1458,Projetos!A:L,12,false)=TRUE,TRUE,FALSE)</f>
        <v>1</v>
      </c>
      <c r="I1458" s="68">
        <v>20.684394051308537</v>
      </c>
      <c r="J1458" s="68">
        <f t="shared" si="1"/>
        <v>41.3687881</v>
      </c>
      <c r="K1458" s="68" t="b">
        <v>1</v>
      </c>
    </row>
    <row r="1459" hidden="1">
      <c r="A1459" s="75">
        <v>1453.0</v>
      </c>
      <c r="B1459" s="62" t="s">
        <v>755</v>
      </c>
      <c r="C1459" s="62" t="s">
        <v>98</v>
      </c>
      <c r="D1459" s="62" t="s">
        <v>892</v>
      </c>
      <c r="E1459" s="76">
        <v>43984.0</v>
      </c>
      <c r="F1459" s="77">
        <v>0.16666666666666666</v>
      </c>
      <c r="G1459" s="62" t="b">
        <v>1</v>
      </c>
      <c r="H1459" s="78" t="b">
        <f>IF(VLOOKUP(C1459,Projetos!A:L,12,false)=TRUE,TRUE,FALSE)</f>
        <v>1</v>
      </c>
      <c r="I1459" s="68">
        <v>20.684394051308537</v>
      </c>
      <c r="J1459" s="68">
        <f t="shared" si="1"/>
        <v>82.73757621</v>
      </c>
      <c r="K1459" s="68" t="b">
        <v>1</v>
      </c>
    </row>
    <row r="1460" hidden="1">
      <c r="A1460" s="75">
        <v>1454.0</v>
      </c>
      <c r="B1460" s="62" t="s">
        <v>755</v>
      </c>
      <c r="C1460" s="62" t="s">
        <v>90</v>
      </c>
      <c r="D1460" s="62" t="s">
        <v>893</v>
      </c>
      <c r="E1460" s="76">
        <v>43985.0</v>
      </c>
      <c r="F1460" s="77">
        <v>0.041666666666666664</v>
      </c>
      <c r="G1460" s="62" t="b">
        <v>1</v>
      </c>
      <c r="H1460" s="78" t="b">
        <f>IF(VLOOKUP(C1460,Projetos!A:L,12,false)=TRUE,TRUE,FALSE)</f>
        <v>1</v>
      </c>
      <c r="I1460" s="68">
        <v>20.684394051308537</v>
      </c>
      <c r="J1460" s="68">
        <f t="shared" si="1"/>
        <v>20.68439405</v>
      </c>
      <c r="K1460" s="68" t="b">
        <v>1</v>
      </c>
    </row>
    <row r="1461" hidden="1">
      <c r="A1461" s="75">
        <v>1455.0</v>
      </c>
      <c r="B1461" s="62" t="s">
        <v>755</v>
      </c>
      <c r="C1461" s="62" t="s">
        <v>90</v>
      </c>
      <c r="D1461" s="62" t="s">
        <v>894</v>
      </c>
      <c r="E1461" s="76">
        <v>43985.0</v>
      </c>
      <c r="F1461" s="77">
        <v>0.041666666666666664</v>
      </c>
      <c r="G1461" s="62" t="b">
        <v>1</v>
      </c>
      <c r="H1461" s="78" t="b">
        <f>IF(VLOOKUP(C1461,Projetos!A:L,12,false)=TRUE,TRUE,FALSE)</f>
        <v>1</v>
      </c>
      <c r="I1461" s="68">
        <v>20.684394051308537</v>
      </c>
      <c r="J1461" s="68">
        <f t="shared" si="1"/>
        <v>20.68439405</v>
      </c>
      <c r="K1461" s="68" t="b">
        <v>1</v>
      </c>
    </row>
    <row r="1462" hidden="1">
      <c r="A1462" s="75">
        <v>1456.0</v>
      </c>
      <c r="B1462" s="62" t="s">
        <v>755</v>
      </c>
      <c r="C1462" s="62" t="s">
        <v>90</v>
      </c>
      <c r="D1462" s="62" t="s">
        <v>895</v>
      </c>
      <c r="E1462" s="76">
        <v>43985.0</v>
      </c>
      <c r="F1462" s="77">
        <v>0.08333333333333333</v>
      </c>
      <c r="G1462" s="62" t="b">
        <v>1</v>
      </c>
      <c r="H1462" s="78" t="b">
        <f>IF(VLOOKUP(C1462,Projetos!A:L,12,false)=TRUE,TRUE,FALSE)</f>
        <v>1</v>
      </c>
      <c r="I1462" s="68">
        <v>20.684394051308537</v>
      </c>
      <c r="J1462" s="68">
        <f t="shared" si="1"/>
        <v>41.3687881</v>
      </c>
      <c r="K1462" s="68" t="b">
        <v>1</v>
      </c>
    </row>
    <row r="1463" hidden="1">
      <c r="A1463" s="75">
        <v>1457.0</v>
      </c>
      <c r="B1463" s="62" t="s">
        <v>755</v>
      </c>
      <c r="C1463" s="62" t="s">
        <v>90</v>
      </c>
      <c r="D1463" s="62" t="s">
        <v>896</v>
      </c>
      <c r="E1463" s="76">
        <v>43985.0</v>
      </c>
      <c r="F1463" s="77">
        <v>0.041666666666666664</v>
      </c>
      <c r="G1463" s="62" t="b">
        <v>1</v>
      </c>
      <c r="H1463" s="78" t="b">
        <f>IF(VLOOKUP(C1463,Projetos!A:L,12,false)=TRUE,TRUE,FALSE)</f>
        <v>1</v>
      </c>
      <c r="I1463" s="68">
        <v>20.684394051308537</v>
      </c>
      <c r="J1463" s="68">
        <f t="shared" si="1"/>
        <v>20.68439405</v>
      </c>
      <c r="K1463" s="68" t="b">
        <v>1</v>
      </c>
    </row>
    <row r="1464" hidden="1">
      <c r="A1464" s="75">
        <v>1458.0</v>
      </c>
      <c r="B1464" s="62" t="s">
        <v>755</v>
      </c>
      <c r="C1464" s="62" t="s">
        <v>90</v>
      </c>
      <c r="D1464" s="62" t="s">
        <v>897</v>
      </c>
      <c r="E1464" s="76">
        <v>43986.0</v>
      </c>
      <c r="F1464" s="77">
        <v>0.020833333333333332</v>
      </c>
      <c r="G1464" s="62" t="b">
        <v>1</v>
      </c>
      <c r="H1464" s="78" t="b">
        <f>IF(VLOOKUP(C1464,Projetos!A:L,12,false)=TRUE,TRUE,FALSE)</f>
        <v>1</v>
      </c>
      <c r="I1464" s="68">
        <v>20.684394051308537</v>
      </c>
      <c r="J1464" s="68">
        <f t="shared" si="1"/>
        <v>10.34219703</v>
      </c>
      <c r="K1464" s="68" t="b">
        <v>1</v>
      </c>
    </row>
    <row r="1465" hidden="1">
      <c r="A1465" s="75">
        <v>1459.0</v>
      </c>
      <c r="B1465" s="62" t="s">
        <v>755</v>
      </c>
      <c r="C1465" s="62" t="s">
        <v>90</v>
      </c>
      <c r="D1465" s="62" t="s">
        <v>898</v>
      </c>
      <c r="E1465" s="76">
        <v>43986.0</v>
      </c>
      <c r="F1465" s="77">
        <v>0.1875</v>
      </c>
      <c r="G1465" s="62" t="b">
        <v>1</v>
      </c>
      <c r="H1465" s="78" t="b">
        <f>IF(VLOOKUP(C1465,Projetos!A:L,12,false)=TRUE,TRUE,FALSE)</f>
        <v>1</v>
      </c>
      <c r="I1465" s="68">
        <v>20.684394051308537</v>
      </c>
      <c r="J1465" s="68">
        <f t="shared" si="1"/>
        <v>93.07977323</v>
      </c>
      <c r="K1465" s="68" t="b">
        <v>1</v>
      </c>
    </row>
    <row r="1466" hidden="1">
      <c r="A1466" s="75">
        <v>1460.0</v>
      </c>
      <c r="B1466" s="62" t="s">
        <v>755</v>
      </c>
      <c r="C1466" s="62" t="s">
        <v>115</v>
      </c>
      <c r="D1466" s="62" t="s">
        <v>899</v>
      </c>
      <c r="E1466" s="76">
        <v>43986.0</v>
      </c>
      <c r="F1466" s="77">
        <v>0.0625</v>
      </c>
      <c r="G1466" s="62" t="b">
        <v>0</v>
      </c>
      <c r="H1466" s="78" t="b">
        <f>IF(VLOOKUP(C1466,Projetos!A:L,12,false)=TRUE,TRUE,FALSE)</f>
        <v>1</v>
      </c>
      <c r="I1466" s="68">
        <v>20.684394051308537</v>
      </c>
      <c r="J1466" s="68">
        <f t="shared" si="1"/>
        <v>0</v>
      </c>
      <c r="K1466" s="68" t="b">
        <v>1</v>
      </c>
    </row>
    <row r="1467" hidden="1">
      <c r="A1467" s="75">
        <v>1461.0</v>
      </c>
      <c r="B1467" s="62" t="s">
        <v>755</v>
      </c>
      <c r="C1467" s="62" t="s">
        <v>90</v>
      </c>
      <c r="D1467" s="62" t="s">
        <v>898</v>
      </c>
      <c r="E1467" s="76">
        <v>43987.0</v>
      </c>
      <c r="F1467" s="77">
        <v>0.0625</v>
      </c>
      <c r="G1467" s="62" t="b">
        <v>1</v>
      </c>
      <c r="H1467" s="78" t="b">
        <f>IF(VLOOKUP(C1467,Projetos!A:L,12,false)=TRUE,TRUE,FALSE)</f>
        <v>1</v>
      </c>
      <c r="I1467" s="68">
        <v>20.684394051308537</v>
      </c>
      <c r="J1467" s="68">
        <f t="shared" si="1"/>
        <v>31.02659108</v>
      </c>
      <c r="K1467" s="68" t="b">
        <v>1</v>
      </c>
    </row>
    <row r="1468" hidden="1">
      <c r="A1468" s="75">
        <v>1462.0</v>
      </c>
      <c r="B1468" s="62" t="s">
        <v>755</v>
      </c>
      <c r="C1468" s="62" t="s">
        <v>90</v>
      </c>
      <c r="D1468" s="62" t="s">
        <v>900</v>
      </c>
      <c r="E1468" s="76">
        <v>43987.0</v>
      </c>
      <c r="F1468" s="77">
        <v>0.041666666666666664</v>
      </c>
      <c r="G1468" s="62" t="b">
        <v>1</v>
      </c>
      <c r="H1468" s="78" t="b">
        <f>IF(VLOOKUP(C1468,Projetos!A:L,12,false)=TRUE,TRUE,FALSE)</f>
        <v>1</v>
      </c>
      <c r="I1468" s="68">
        <v>20.684394051308537</v>
      </c>
      <c r="J1468" s="68">
        <f t="shared" si="1"/>
        <v>20.68439405</v>
      </c>
      <c r="K1468" s="68" t="b">
        <v>1</v>
      </c>
    </row>
    <row r="1469" hidden="1">
      <c r="A1469" s="75">
        <v>1463.0</v>
      </c>
      <c r="B1469" s="62" t="s">
        <v>755</v>
      </c>
      <c r="C1469" s="62" t="s">
        <v>90</v>
      </c>
      <c r="D1469" s="62" t="s">
        <v>901</v>
      </c>
      <c r="E1469" s="76">
        <v>43987.0</v>
      </c>
      <c r="F1469" s="77">
        <v>0.08333333333333333</v>
      </c>
      <c r="G1469" s="62" t="b">
        <v>1</v>
      </c>
      <c r="H1469" s="78" t="b">
        <f>IF(VLOOKUP(C1469,Projetos!A:L,12,false)=TRUE,TRUE,FALSE)</f>
        <v>1</v>
      </c>
      <c r="I1469" s="68">
        <v>20.684394051308537</v>
      </c>
      <c r="J1469" s="68">
        <f t="shared" si="1"/>
        <v>41.3687881</v>
      </c>
      <c r="K1469" s="68" t="b">
        <v>1</v>
      </c>
    </row>
    <row r="1470" hidden="1">
      <c r="A1470" s="75">
        <v>1464.0</v>
      </c>
      <c r="B1470" s="62" t="s">
        <v>755</v>
      </c>
      <c r="C1470" s="62" t="s">
        <v>90</v>
      </c>
      <c r="D1470" s="62" t="s">
        <v>902</v>
      </c>
      <c r="E1470" s="76">
        <v>43990.0</v>
      </c>
      <c r="F1470" s="77">
        <v>0.08333333333333333</v>
      </c>
      <c r="G1470" s="62" t="b">
        <v>1</v>
      </c>
      <c r="H1470" s="78" t="b">
        <f>IF(VLOOKUP(C1470,Projetos!A:L,12,false)=TRUE,TRUE,FALSE)</f>
        <v>1</v>
      </c>
      <c r="I1470" s="68">
        <v>20.684394051308537</v>
      </c>
      <c r="J1470" s="68">
        <f t="shared" si="1"/>
        <v>41.3687881</v>
      </c>
      <c r="K1470" s="68" t="b">
        <v>1</v>
      </c>
    </row>
    <row r="1471" hidden="1">
      <c r="A1471" s="75">
        <v>1465.0</v>
      </c>
      <c r="B1471" s="62" t="s">
        <v>755</v>
      </c>
      <c r="C1471" s="62" t="s">
        <v>90</v>
      </c>
      <c r="D1471" s="62" t="s">
        <v>903</v>
      </c>
      <c r="E1471" s="76">
        <v>43990.0</v>
      </c>
      <c r="F1471" s="77">
        <v>0.041666666666666664</v>
      </c>
      <c r="G1471" s="62" t="b">
        <v>1</v>
      </c>
      <c r="H1471" s="78" t="b">
        <f>IF(VLOOKUP(C1471,Projetos!A:L,12,false)=TRUE,TRUE,FALSE)</f>
        <v>1</v>
      </c>
      <c r="I1471" s="68">
        <v>20.684394051308537</v>
      </c>
      <c r="J1471" s="68">
        <f t="shared" si="1"/>
        <v>20.68439405</v>
      </c>
      <c r="K1471" s="68" t="b">
        <v>1</v>
      </c>
    </row>
    <row r="1472" hidden="1">
      <c r="A1472" s="75">
        <v>1466.0</v>
      </c>
      <c r="B1472" s="62" t="s">
        <v>755</v>
      </c>
      <c r="C1472" s="62" t="s">
        <v>90</v>
      </c>
      <c r="D1472" s="62" t="s">
        <v>904</v>
      </c>
      <c r="E1472" s="76">
        <v>43991.0</v>
      </c>
      <c r="F1472" s="77">
        <v>0.08333333333333333</v>
      </c>
      <c r="G1472" s="62" t="b">
        <v>1</v>
      </c>
      <c r="H1472" s="78" t="b">
        <f>IF(VLOOKUP(C1472,Projetos!A:L,12,false)=TRUE,TRUE,FALSE)</f>
        <v>1</v>
      </c>
      <c r="I1472" s="68">
        <v>20.684394051308537</v>
      </c>
      <c r="J1472" s="68">
        <f t="shared" si="1"/>
        <v>41.3687881</v>
      </c>
      <c r="K1472" s="68" t="b">
        <v>1</v>
      </c>
    </row>
    <row r="1473" hidden="1">
      <c r="A1473" s="75">
        <v>1467.0</v>
      </c>
      <c r="B1473" s="62" t="s">
        <v>755</v>
      </c>
      <c r="C1473" s="62" t="s">
        <v>90</v>
      </c>
      <c r="D1473" s="62" t="s">
        <v>874</v>
      </c>
      <c r="E1473" s="76">
        <v>43992.0</v>
      </c>
      <c r="F1473" s="77">
        <v>0.041666666666666664</v>
      </c>
      <c r="G1473" s="62" t="b">
        <v>1</v>
      </c>
      <c r="H1473" s="78" t="b">
        <f>IF(VLOOKUP(C1473,Projetos!A:L,12,false)=TRUE,TRUE,FALSE)</f>
        <v>1</v>
      </c>
      <c r="I1473" s="68">
        <v>20.684394051308537</v>
      </c>
      <c r="J1473" s="68">
        <f t="shared" si="1"/>
        <v>20.68439405</v>
      </c>
      <c r="K1473" s="68" t="b">
        <v>1</v>
      </c>
    </row>
    <row r="1474" hidden="1">
      <c r="A1474" s="75">
        <v>1468.0</v>
      </c>
      <c r="B1474" s="62" t="s">
        <v>755</v>
      </c>
      <c r="C1474" s="62" t="s">
        <v>90</v>
      </c>
      <c r="D1474" s="62" t="s">
        <v>897</v>
      </c>
      <c r="E1474" s="76">
        <v>43994.0</v>
      </c>
      <c r="F1474" s="77">
        <v>0.020833333333333332</v>
      </c>
      <c r="G1474" s="62" t="b">
        <v>1</v>
      </c>
      <c r="H1474" s="78" t="b">
        <f>IF(VLOOKUP(C1474,Projetos!A:L,12,false)=TRUE,TRUE,FALSE)</f>
        <v>1</v>
      </c>
      <c r="I1474" s="68">
        <v>20.684394051308537</v>
      </c>
      <c r="J1474" s="68">
        <f t="shared" si="1"/>
        <v>10.34219703</v>
      </c>
      <c r="K1474" s="68" t="b">
        <v>1</v>
      </c>
    </row>
    <row r="1475" hidden="1">
      <c r="A1475" s="75">
        <v>1469.0</v>
      </c>
      <c r="B1475" s="62" t="s">
        <v>755</v>
      </c>
      <c r="C1475" s="62" t="s">
        <v>90</v>
      </c>
      <c r="D1475" s="62" t="s">
        <v>905</v>
      </c>
      <c r="E1475" s="76">
        <v>43997.0</v>
      </c>
      <c r="F1475" s="77">
        <v>0.041666666666666664</v>
      </c>
      <c r="G1475" s="62" t="b">
        <v>1</v>
      </c>
      <c r="H1475" s="78" t="b">
        <f>IF(VLOOKUP(C1475,Projetos!A:L,12,false)=TRUE,TRUE,FALSE)</f>
        <v>1</v>
      </c>
      <c r="I1475" s="68">
        <v>20.684394051308537</v>
      </c>
      <c r="J1475" s="68">
        <f t="shared" si="1"/>
        <v>20.68439405</v>
      </c>
      <c r="K1475" s="68" t="b">
        <v>1</v>
      </c>
    </row>
    <row r="1476" hidden="1">
      <c r="A1476" s="75">
        <v>1470.0</v>
      </c>
      <c r="B1476" s="62" t="s">
        <v>755</v>
      </c>
      <c r="C1476" s="62" t="s">
        <v>90</v>
      </c>
      <c r="D1476" s="62" t="s">
        <v>906</v>
      </c>
      <c r="E1476" s="76">
        <v>43997.0</v>
      </c>
      <c r="F1476" s="77">
        <v>0.020833333333333332</v>
      </c>
      <c r="G1476" s="62" t="b">
        <v>1</v>
      </c>
      <c r="H1476" s="78" t="b">
        <f>IF(VLOOKUP(C1476,Projetos!A:L,12,false)=TRUE,TRUE,FALSE)</f>
        <v>1</v>
      </c>
      <c r="I1476" s="68">
        <v>20.684394051308537</v>
      </c>
      <c r="J1476" s="68">
        <f t="shared" si="1"/>
        <v>10.34219703</v>
      </c>
      <c r="K1476" s="68" t="b">
        <v>1</v>
      </c>
    </row>
    <row r="1477" hidden="1">
      <c r="A1477" s="75">
        <v>1471.0</v>
      </c>
      <c r="B1477" s="62" t="s">
        <v>755</v>
      </c>
      <c r="C1477" s="62" t="s">
        <v>98</v>
      </c>
      <c r="D1477" s="62" t="s">
        <v>907</v>
      </c>
      <c r="E1477" s="76">
        <v>43997.0</v>
      </c>
      <c r="F1477" s="77">
        <v>0.14583333333333334</v>
      </c>
      <c r="G1477" s="62" t="b">
        <v>1</v>
      </c>
      <c r="H1477" s="78" t="b">
        <f>IF(VLOOKUP(C1477,Projetos!A:L,12,false)=TRUE,TRUE,FALSE)</f>
        <v>1</v>
      </c>
      <c r="I1477" s="68">
        <v>20.684394051308537</v>
      </c>
      <c r="J1477" s="68">
        <f t="shared" si="1"/>
        <v>72.39537918</v>
      </c>
      <c r="K1477" s="68" t="b">
        <v>1</v>
      </c>
    </row>
    <row r="1478" hidden="1">
      <c r="A1478" s="75">
        <v>1472.0</v>
      </c>
      <c r="B1478" s="62" t="s">
        <v>755</v>
      </c>
      <c r="C1478" s="62" t="s">
        <v>115</v>
      </c>
      <c r="D1478" s="62" t="s">
        <v>908</v>
      </c>
      <c r="E1478" s="76">
        <v>43998.0</v>
      </c>
      <c r="F1478" s="77">
        <v>0.041666666666666664</v>
      </c>
      <c r="G1478" s="62" t="b">
        <v>1</v>
      </c>
      <c r="H1478" s="78" t="b">
        <f>IF(VLOOKUP(C1478,Projetos!A:L,12,false)=TRUE,TRUE,FALSE)</f>
        <v>1</v>
      </c>
      <c r="I1478" s="68">
        <v>20.684394051308537</v>
      </c>
      <c r="J1478" s="68">
        <f t="shared" si="1"/>
        <v>20.68439405</v>
      </c>
      <c r="K1478" s="68" t="b">
        <v>1</v>
      </c>
    </row>
    <row r="1479" hidden="1">
      <c r="A1479" s="75">
        <v>1473.0</v>
      </c>
      <c r="B1479" s="62" t="s">
        <v>755</v>
      </c>
      <c r="C1479" s="62" t="s">
        <v>109</v>
      </c>
      <c r="D1479" s="62" t="s">
        <v>909</v>
      </c>
      <c r="E1479" s="76">
        <v>43999.0</v>
      </c>
      <c r="F1479" s="77">
        <v>0.041666666666666664</v>
      </c>
      <c r="G1479" s="62" t="b">
        <v>0</v>
      </c>
      <c r="H1479" s="78" t="b">
        <f>IF(VLOOKUP(C1479,Projetos!A:L,12,false)=TRUE,TRUE,FALSE)</f>
        <v>0</v>
      </c>
      <c r="I1479" s="68">
        <v>20.684394051308537</v>
      </c>
      <c r="J1479" s="68">
        <f t="shared" si="1"/>
        <v>0</v>
      </c>
      <c r="K1479" s="68" t="b">
        <v>0</v>
      </c>
    </row>
    <row r="1480" hidden="1">
      <c r="A1480" s="75">
        <v>1474.0</v>
      </c>
      <c r="B1480" s="62" t="s">
        <v>755</v>
      </c>
      <c r="C1480" s="62" t="s">
        <v>90</v>
      </c>
      <c r="D1480" s="62" t="s">
        <v>897</v>
      </c>
      <c r="E1480" s="76">
        <v>44001.0</v>
      </c>
      <c r="F1480" s="77">
        <v>0.041666666666666664</v>
      </c>
      <c r="G1480" s="62" t="b">
        <v>1</v>
      </c>
      <c r="H1480" s="78" t="b">
        <f>IF(VLOOKUP(C1480,Projetos!A:L,12,false)=TRUE,TRUE,FALSE)</f>
        <v>1</v>
      </c>
      <c r="I1480" s="68">
        <v>20.684394051308537</v>
      </c>
      <c r="J1480" s="68">
        <f t="shared" si="1"/>
        <v>20.68439405</v>
      </c>
      <c r="K1480" s="68" t="b">
        <v>1</v>
      </c>
    </row>
    <row r="1481" hidden="1">
      <c r="A1481" s="75">
        <v>1475.0</v>
      </c>
      <c r="B1481" s="62" t="s">
        <v>755</v>
      </c>
      <c r="C1481" s="62" t="s">
        <v>90</v>
      </c>
      <c r="D1481" s="62" t="s">
        <v>910</v>
      </c>
      <c r="E1481" s="76">
        <v>44004.0</v>
      </c>
      <c r="F1481" s="77">
        <v>0.0625</v>
      </c>
      <c r="G1481" s="62" t="b">
        <v>1</v>
      </c>
      <c r="H1481" s="78" t="b">
        <f>IF(VLOOKUP(C1481,Projetos!A:L,12,false)=TRUE,TRUE,FALSE)</f>
        <v>1</v>
      </c>
      <c r="I1481" s="68">
        <v>20.684394051308537</v>
      </c>
      <c r="J1481" s="68">
        <f t="shared" si="1"/>
        <v>31.02659108</v>
      </c>
      <c r="K1481" s="68" t="b">
        <v>1</v>
      </c>
    </row>
    <row r="1482" hidden="1">
      <c r="A1482" s="75">
        <v>1476.0</v>
      </c>
      <c r="B1482" s="62" t="s">
        <v>755</v>
      </c>
      <c r="C1482" s="62" t="s">
        <v>98</v>
      </c>
      <c r="D1482" s="62" t="s">
        <v>911</v>
      </c>
      <c r="E1482" s="76">
        <v>44004.0</v>
      </c>
      <c r="F1482" s="77">
        <v>0.0625</v>
      </c>
      <c r="G1482" s="62" t="b">
        <v>1</v>
      </c>
      <c r="H1482" s="78" t="b">
        <f>IF(VLOOKUP(C1482,Projetos!A:L,12,false)=TRUE,TRUE,FALSE)</f>
        <v>1</v>
      </c>
      <c r="I1482" s="68">
        <v>20.684394051308537</v>
      </c>
      <c r="J1482" s="68">
        <f t="shared" si="1"/>
        <v>31.02659108</v>
      </c>
      <c r="K1482" s="68" t="b">
        <v>1</v>
      </c>
    </row>
    <row r="1483" hidden="1">
      <c r="A1483" s="75">
        <v>1477.0</v>
      </c>
      <c r="B1483" s="62" t="s">
        <v>755</v>
      </c>
      <c r="C1483" s="62" t="s">
        <v>90</v>
      </c>
      <c r="D1483" s="62" t="s">
        <v>912</v>
      </c>
      <c r="E1483" s="76">
        <v>44004.0</v>
      </c>
      <c r="F1483" s="77">
        <v>0.041666666666666664</v>
      </c>
      <c r="G1483" s="62" t="b">
        <v>1</v>
      </c>
      <c r="H1483" s="78" t="b">
        <f>IF(VLOOKUP(C1483,Projetos!A:L,12,false)=TRUE,TRUE,FALSE)</f>
        <v>1</v>
      </c>
      <c r="I1483" s="68">
        <v>20.684394051308537</v>
      </c>
      <c r="J1483" s="68">
        <f t="shared" si="1"/>
        <v>20.68439405</v>
      </c>
      <c r="K1483" s="68" t="b">
        <v>1</v>
      </c>
    </row>
    <row r="1484" hidden="1">
      <c r="A1484" s="75">
        <v>1478.0</v>
      </c>
      <c r="B1484" s="62" t="s">
        <v>755</v>
      </c>
      <c r="C1484" s="62" t="s">
        <v>101</v>
      </c>
      <c r="D1484" s="62" t="s">
        <v>913</v>
      </c>
      <c r="E1484" s="76">
        <v>44005.0</v>
      </c>
      <c r="F1484" s="77">
        <v>0.041666666666666664</v>
      </c>
      <c r="G1484" s="62" t="b">
        <v>1</v>
      </c>
      <c r="H1484" s="78" t="b">
        <f>IF(VLOOKUP(C1484,Projetos!A:L,12,false)=TRUE,TRUE,FALSE)</f>
        <v>1</v>
      </c>
      <c r="I1484" s="68">
        <v>20.684394051308537</v>
      </c>
      <c r="J1484" s="68">
        <f t="shared" si="1"/>
        <v>20.68439405</v>
      </c>
      <c r="K1484" s="68" t="b">
        <v>1</v>
      </c>
    </row>
    <row r="1485" hidden="1">
      <c r="A1485" s="75">
        <v>1479.0</v>
      </c>
      <c r="B1485" s="62" t="s">
        <v>755</v>
      </c>
      <c r="C1485" s="62" t="s">
        <v>101</v>
      </c>
      <c r="D1485" s="62" t="s">
        <v>914</v>
      </c>
      <c r="E1485" s="76">
        <v>44005.0</v>
      </c>
      <c r="F1485" s="77">
        <v>0.0625</v>
      </c>
      <c r="G1485" s="62" t="b">
        <v>1</v>
      </c>
      <c r="H1485" s="78" t="b">
        <f>IF(VLOOKUP(C1485,Projetos!A:L,12,false)=TRUE,TRUE,FALSE)</f>
        <v>1</v>
      </c>
      <c r="I1485" s="68">
        <v>20.684394051308537</v>
      </c>
      <c r="J1485" s="68">
        <f t="shared" si="1"/>
        <v>31.02659108</v>
      </c>
      <c r="K1485" s="68" t="b">
        <v>1</v>
      </c>
    </row>
    <row r="1486" hidden="1">
      <c r="A1486" s="75">
        <v>1480.0</v>
      </c>
      <c r="B1486" s="62" t="s">
        <v>755</v>
      </c>
      <c r="C1486" s="62" t="s">
        <v>109</v>
      </c>
      <c r="D1486" s="62" t="s">
        <v>915</v>
      </c>
      <c r="E1486" s="76">
        <v>44005.0</v>
      </c>
      <c r="F1486" s="77">
        <v>0.020833333333333332</v>
      </c>
      <c r="G1486" s="62" t="b">
        <v>0</v>
      </c>
      <c r="H1486" s="78" t="b">
        <f>IF(VLOOKUP(C1486,Projetos!A:L,12,false)=TRUE,TRUE,FALSE)</f>
        <v>0</v>
      </c>
      <c r="I1486" s="68">
        <v>20.684394051308537</v>
      </c>
      <c r="J1486" s="68">
        <f t="shared" si="1"/>
        <v>0</v>
      </c>
      <c r="K1486" s="68" t="b">
        <v>0</v>
      </c>
    </row>
    <row r="1487" hidden="1">
      <c r="A1487" s="75">
        <v>1481.0</v>
      </c>
      <c r="B1487" s="62" t="s">
        <v>755</v>
      </c>
      <c r="C1487" s="62" t="s">
        <v>90</v>
      </c>
      <c r="D1487" s="62" t="s">
        <v>916</v>
      </c>
      <c r="E1487" s="76">
        <v>44006.0</v>
      </c>
      <c r="F1487" s="77">
        <v>0.041666666666666664</v>
      </c>
      <c r="G1487" s="62" t="b">
        <v>1</v>
      </c>
      <c r="H1487" s="78" t="b">
        <f>IF(VLOOKUP(C1487,Projetos!A:L,12,false)=TRUE,TRUE,FALSE)</f>
        <v>1</v>
      </c>
      <c r="I1487" s="68">
        <v>20.684394051308537</v>
      </c>
      <c r="J1487" s="68">
        <f t="shared" si="1"/>
        <v>20.68439405</v>
      </c>
      <c r="K1487" s="68" t="b">
        <v>1</v>
      </c>
    </row>
    <row r="1488" hidden="1">
      <c r="A1488" s="75">
        <v>1482.0</v>
      </c>
      <c r="B1488" s="62" t="s">
        <v>755</v>
      </c>
      <c r="C1488" s="62" t="s">
        <v>90</v>
      </c>
      <c r="D1488" s="62" t="s">
        <v>897</v>
      </c>
      <c r="E1488" s="76">
        <v>44008.0</v>
      </c>
      <c r="F1488" s="77">
        <v>0.020833333333333332</v>
      </c>
      <c r="G1488" s="62" t="b">
        <v>1</v>
      </c>
      <c r="H1488" s="78" t="b">
        <f>IF(VLOOKUP(C1488,Projetos!A:L,12,false)=TRUE,TRUE,FALSE)</f>
        <v>1</v>
      </c>
      <c r="I1488" s="68">
        <v>20.684394051308537</v>
      </c>
      <c r="J1488" s="68">
        <f t="shared" si="1"/>
        <v>10.34219703</v>
      </c>
      <c r="K1488" s="68" t="b">
        <v>1</v>
      </c>
    </row>
    <row r="1489" hidden="1">
      <c r="A1489" s="75">
        <v>1483.0</v>
      </c>
      <c r="B1489" s="62" t="s">
        <v>755</v>
      </c>
      <c r="C1489" s="62" t="s">
        <v>109</v>
      </c>
      <c r="D1489" s="62" t="s">
        <v>917</v>
      </c>
      <c r="E1489" s="76">
        <v>44008.0</v>
      </c>
      <c r="F1489" s="77">
        <v>0.041666666666666664</v>
      </c>
      <c r="G1489" s="62" t="b">
        <v>0</v>
      </c>
      <c r="H1489" s="78" t="b">
        <f>IF(VLOOKUP(C1489,Projetos!A:L,12,false)=TRUE,TRUE,FALSE)</f>
        <v>0</v>
      </c>
      <c r="I1489" s="68">
        <v>20.684394051308537</v>
      </c>
      <c r="J1489" s="68">
        <f t="shared" si="1"/>
        <v>0</v>
      </c>
      <c r="K1489" s="68" t="b">
        <v>0</v>
      </c>
    </row>
    <row r="1490" hidden="1">
      <c r="A1490" s="75">
        <v>1484.0</v>
      </c>
      <c r="B1490" s="62" t="s">
        <v>755</v>
      </c>
      <c r="C1490" s="62" t="s">
        <v>109</v>
      </c>
      <c r="D1490" s="62" t="s">
        <v>918</v>
      </c>
      <c r="E1490" s="76">
        <v>44008.0</v>
      </c>
      <c r="F1490" s="77">
        <v>0.041666666666666664</v>
      </c>
      <c r="G1490" s="62" t="b">
        <v>0</v>
      </c>
      <c r="H1490" s="78" t="b">
        <f>IF(VLOOKUP(C1490,Projetos!A:L,12,false)=TRUE,TRUE,FALSE)</f>
        <v>0</v>
      </c>
      <c r="I1490" s="68">
        <v>20.684394051308537</v>
      </c>
      <c r="J1490" s="68">
        <f t="shared" si="1"/>
        <v>0</v>
      </c>
      <c r="K1490" s="68" t="b">
        <v>0</v>
      </c>
    </row>
    <row r="1491" hidden="1">
      <c r="A1491" s="75">
        <v>1485.0</v>
      </c>
      <c r="B1491" s="62" t="s">
        <v>755</v>
      </c>
      <c r="C1491" s="62" t="s">
        <v>97</v>
      </c>
      <c r="D1491" s="62" t="s">
        <v>919</v>
      </c>
      <c r="E1491" s="76">
        <v>44012.0</v>
      </c>
      <c r="F1491" s="77">
        <v>0.041666666666666664</v>
      </c>
      <c r="G1491" s="62" t="b">
        <v>0</v>
      </c>
      <c r="H1491" s="78" t="b">
        <f>IF(VLOOKUP(C1491,Projetos!A:L,12,false)=TRUE,TRUE,FALSE)</f>
        <v>1</v>
      </c>
      <c r="I1491" s="68">
        <v>20.684394051308537</v>
      </c>
      <c r="J1491" s="68">
        <f t="shared" si="1"/>
        <v>0</v>
      </c>
      <c r="K1491" s="68" t="b">
        <v>1</v>
      </c>
    </row>
    <row r="1492" hidden="1">
      <c r="A1492" s="75">
        <v>1486.0</v>
      </c>
      <c r="B1492" s="62" t="s">
        <v>755</v>
      </c>
      <c r="C1492" s="62" t="s">
        <v>97</v>
      </c>
      <c r="D1492" s="62" t="s">
        <v>920</v>
      </c>
      <c r="E1492" s="76">
        <v>44012.0</v>
      </c>
      <c r="F1492" s="77">
        <v>0.10416666666666667</v>
      </c>
      <c r="G1492" s="62" t="b">
        <v>1</v>
      </c>
      <c r="H1492" s="78" t="b">
        <f>IF(VLOOKUP(C1492,Projetos!A:L,12,false)=TRUE,TRUE,FALSE)</f>
        <v>1</v>
      </c>
      <c r="I1492" s="68">
        <v>20.684394051308537</v>
      </c>
      <c r="J1492" s="68">
        <f t="shared" si="1"/>
        <v>51.71098513</v>
      </c>
      <c r="K1492" s="68" t="b">
        <v>1</v>
      </c>
    </row>
    <row r="1493" hidden="1">
      <c r="A1493" s="75">
        <v>1487.0</v>
      </c>
      <c r="B1493" s="62" t="s">
        <v>755</v>
      </c>
      <c r="C1493" s="62" t="s">
        <v>90</v>
      </c>
      <c r="D1493" s="62" t="s">
        <v>921</v>
      </c>
      <c r="E1493" s="76">
        <v>44013.0</v>
      </c>
      <c r="F1493" s="77">
        <v>0.08333333333333333</v>
      </c>
      <c r="G1493" s="62" t="b">
        <v>1</v>
      </c>
      <c r="H1493" s="78" t="b">
        <f>IF(VLOOKUP(C1493,Projetos!A:L,12,false)=TRUE,TRUE,FALSE)</f>
        <v>1</v>
      </c>
      <c r="I1493" s="68">
        <v>21.669365196608947</v>
      </c>
      <c r="J1493" s="68">
        <f t="shared" si="1"/>
        <v>43.33873039</v>
      </c>
      <c r="K1493" s="68" t="b">
        <v>1</v>
      </c>
    </row>
    <row r="1494" hidden="1">
      <c r="A1494" s="75">
        <v>1488.0</v>
      </c>
      <c r="B1494" s="62" t="s">
        <v>755</v>
      </c>
      <c r="C1494" s="62" t="s">
        <v>98</v>
      </c>
      <c r="D1494" s="62" t="s">
        <v>922</v>
      </c>
      <c r="E1494" s="76">
        <v>44013.0</v>
      </c>
      <c r="F1494" s="77">
        <v>0.0625</v>
      </c>
      <c r="G1494" s="62" t="b">
        <v>1</v>
      </c>
      <c r="H1494" s="78" t="b">
        <f>IF(VLOOKUP(C1494,Projetos!A:L,12,false)=TRUE,TRUE,FALSE)</f>
        <v>1</v>
      </c>
      <c r="I1494" s="68">
        <v>21.669365196608947</v>
      </c>
      <c r="J1494" s="68">
        <f t="shared" si="1"/>
        <v>32.50404779</v>
      </c>
      <c r="K1494" s="68" t="b">
        <v>1</v>
      </c>
    </row>
    <row r="1495" hidden="1">
      <c r="A1495" s="75">
        <v>1489.0</v>
      </c>
      <c r="B1495" s="62" t="s">
        <v>755</v>
      </c>
      <c r="C1495" s="62" t="s">
        <v>98</v>
      </c>
      <c r="D1495" s="62" t="s">
        <v>923</v>
      </c>
      <c r="E1495" s="76">
        <v>44013.0</v>
      </c>
      <c r="F1495" s="77">
        <v>0.0625</v>
      </c>
      <c r="G1495" s="62" t="b">
        <v>1</v>
      </c>
      <c r="H1495" s="78" t="b">
        <f>IF(VLOOKUP(C1495,Projetos!A:L,12,false)=TRUE,TRUE,FALSE)</f>
        <v>1</v>
      </c>
      <c r="I1495" s="68">
        <v>21.669365196608947</v>
      </c>
      <c r="J1495" s="68">
        <f t="shared" si="1"/>
        <v>32.50404779</v>
      </c>
      <c r="K1495" s="68" t="b">
        <v>1</v>
      </c>
    </row>
    <row r="1496" hidden="1">
      <c r="A1496" s="75">
        <v>1490.0</v>
      </c>
      <c r="B1496" s="62" t="s">
        <v>755</v>
      </c>
      <c r="C1496" s="62" t="s">
        <v>90</v>
      </c>
      <c r="D1496" s="62" t="s">
        <v>924</v>
      </c>
      <c r="E1496" s="76">
        <v>44013.0</v>
      </c>
      <c r="F1496" s="77">
        <v>0.041666666666666664</v>
      </c>
      <c r="G1496" s="62" t="b">
        <v>1</v>
      </c>
      <c r="H1496" s="78" t="b">
        <f>IF(VLOOKUP(C1496,Projetos!A:L,12,false)=TRUE,TRUE,FALSE)</f>
        <v>1</v>
      </c>
      <c r="I1496" s="68">
        <v>21.669365196608947</v>
      </c>
      <c r="J1496" s="68">
        <f t="shared" si="1"/>
        <v>21.6693652</v>
      </c>
      <c r="K1496" s="68" t="b">
        <v>1</v>
      </c>
    </row>
    <row r="1497" hidden="1">
      <c r="A1497" s="75">
        <v>1491.0</v>
      </c>
      <c r="B1497" s="62" t="s">
        <v>755</v>
      </c>
      <c r="C1497" s="62" t="s">
        <v>102</v>
      </c>
      <c r="D1497" s="62" t="s">
        <v>925</v>
      </c>
      <c r="E1497" s="76">
        <v>44013.0</v>
      </c>
      <c r="F1497" s="77">
        <v>0.010416666666666666</v>
      </c>
      <c r="G1497" s="62" t="b">
        <v>0</v>
      </c>
      <c r="H1497" s="78" t="b">
        <f>IF(VLOOKUP(C1497,Projetos!A:L,12,false)=TRUE,TRUE,FALSE)</f>
        <v>0</v>
      </c>
      <c r="I1497" s="68">
        <v>21.669365196608947</v>
      </c>
      <c r="J1497" s="68">
        <f t="shared" si="1"/>
        <v>0</v>
      </c>
      <c r="K1497" s="68" t="b">
        <v>0</v>
      </c>
    </row>
    <row r="1498" hidden="1">
      <c r="A1498" s="75">
        <v>1492.0</v>
      </c>
      <c r="B1498" s="62" t="s">
        <v>755</v>
      </c>
      <c r="C1498" s="62" t="s">
        <v>109</v>
      </c>
      <c r="D1498" s="62" t="s">
        <v>926</v>
      </c>
      <c r="E1498" s="76">
        <v>44014.0</v>
      </c>
      <c r="F1498" s="77">
        <v>0.10416666666666667</v>
      </c>
      <c r="G1498" s="62" t="b">
        <v>0</v>
      </c>
      <c r="H1498" s="78" t="b">
        <f>IF(VLOOKUP(C1498,Projetos!A:L,12,false)=TRUE,TRUE,FALSE)</f>
        <v>0</v>
      </c>
      <c r="I1498" s="68">
        <v>21.669365196608947</v>
      </c>
      <c r="J1498" s="68">
        <f t="shared" si="1"/>
        <v>0</v>
      </c>
      <c r="K1498" s="68" t="b">
        <v>0</v>
      </c>
    </row>
    <row r="1499" hidden="1">
      <c r="A1499" s="75">
        <v>1493.0</v>
      </c>
      <c r="B1499" s="62" t="s">
        <v>755</v>
      </c>
      <c r="C1499" s="62" t="s">
        <v>109</v>
      </c>
      <c r="D1499" s="62" t="s">
        <v>927</v>
      </c>
      <c r="E1499" s="76">
        <v>44014.0</v>
      </c>
      <c r="F1499" s="77">
        <v>0.08333333333333333</v>
      </c>
      <c r="G1499" s="62" t="b">
        <v>0</v>
      </c>
      <c r="H1499" s="78" t="b">
        <f>IF(VLOOKUP(C1499,Projetos!A:L,12,false)=TRUE,TRUE,FALSE)</f>
        <v>0</v>
      </c>
      <c r="I1499" s="68">
        <v>21.669365196608947</v>
      </c>
      <c r="J1499" s="68">
        <f t="shared" si="1"/>
        <v>0</v>
      </c>
      <c r="K1499" s="68" t="b">
        <v>0</v>
      </c>
    </row>
    <row r="1500" hidden="1">
      <c r="A1500" s="75">
        <v>1494.0</v>
      </c>
      <c r="B1500" s="62" t="s">
        <v>755</v>
      </c>
      <c r="C1500" s="62" t="s">
        <v>102</v>
      </c>
      <c r="D1500" s="62" t="s">
        <v>928</v>
      </c>
      <c r="E1500" s="76">
        <v>44015.0</v>
      </c>
      <c r="F1500" s="77">
        <v>0.041666666666666664</v>
      </c>
      <c r="G1500" s="62" t="b">
        <v>0</v>
      </c>
      <c r="H1500" s="78" t="b">
        <f>IF(VLOOKUP(C1500,Projetos!A:L,12,false)=TRUE,TRUE,FALSE)</f>
        <v>0</v>
      </c>
      <c r="I1500" s="68">
        <v>21.669365196608947</v>
      </c>
      <c r="J1500" s="68">
        <f t="shared" si="1"/>
        <v>0</v>
      </c>
      <c r="K1500" s="68" t="b">
        <v>0</v>
      </c>
    </row>
    <row r="1501" hidden="1">
      <c r="A1501" s="75">
        <v>1495.0</v>
      </c>
      <c r="B1501" s="62" t="s">
        <v>755</v>
      </c>
      <c r="C1501" s="62" t="s">
        <v>90</v>
      </c>
      <c r="D1501" s="62" t="s">
        <v>929</v>
      </c>
      <c r="E1501" s="76">
        <v>44015.0</v>
      </c>
      <c r="F1501" s="77">
        <v>0.125</v>
      </c>
      <c r="G1501" s="62" t="b">
        <v>1</v>
      </c>
      <c r="H1501" s="78" t="b">
        <f>IF(VLOOKUP(C1501,Projetos!A:L,12,false)=TRUE,TRUE,FALSE)</f>
        <v>1</v>
      </c>
      <c r="I1501" s="68">
        <v>21.669365196608947</v>
      </c>
      <c r="J1501" s="68">
        <f t="shared" si="1"/>
        <v>65.00809559</v>
      </c>
      <c r="K1501" s="68" t="b">
        <v>1</v>
      </c>
    </row>
    <row r="1502" hidden="1">
      <c r="A1502" s="75">
        <v>1496.0</v>
      </c>
      <c r="B1502" s="62" t="s">
        <v>755</v>
      </c>
      <c r="C1502" s="62" t="s">
        <v>90</v>
      </c>
      <c r="D1502" s="62" t="s">
        <v>930</v>
      </c>
      <c r="E1502" s="76">
        <v>44018.0</v>
      </c>
      <c r="F1502" s="77">
        <v>0.08333333333333333</v>
      </c>
      <c r="G1502" s="62" t="b">
        <v>1</v>
      </c>
      <c r="H1502" s="78" t="b">
        <f>IF(VLOOKUP(C1502,Projetos!A:L,12,false)=TRUE,TRUE,FALSE)</f>
        <v>1</v>
      </c>
      <c r="I1502" s="68">
        <v>21.669365196608947</v>
      </c>
      <c r="J1502" s="68">
        <f t="shared" si="1"/>
        <v>43.33873039</v>
      </c>
      <c r="K1502" s="68" t="b">
        <v>1</v>
      </c>
    </row>
    <row r="1503" hidden="1">
      <c r="A1503" s="75">
        <v>1497.0</v>
      </c>
      <c r="B1503" s="62" t="s">
        <v>755</v>
      </c>
      <c r="C1503" s="62" t="s">
        <v>90</v>
      </c>
      <c r="D1503" s="62" t="s">
        <v>931</v>
      </c>
      <c r="E1503" s="76">
        <v>44018.0</v>
      </c>
      <c r="F1503" s="77">
        <v>0.020833333333333332</v>
      </c>
      <c r="G1503" s="62" t="b">
        <v>1</v>
      </c>
      <c r="H1503" s="78" t="b">
        <f>IF(VLOOKUP(C1503,Projetos!A:L,12,false)=TRUE,TRUE,FALSE)</f>
        <v>1</v>
      </c>
      <c r="I1503" s="68">
        <v>21.669365196608947</v>
      </c>
      <c r="J1503" s="68">
        <f t="shared" si="1"/>
        <v>10.8346826</v>
      </c>
      <c r="K1503" s="68" t="b">
        <v>1</v>
      </c>
    </row>
    <row r="1504" hidden="1">
      <c r="A1504" s="75">
        <v>1498.0</v>
      </c>
      <c r="B1504" s="62" t="s">
        <v>755</v>
      </c>
      <c r="C1504" s="62" t="s">
        <v>109</v>
      </c>
      <c r="D1504" s="62" t="s">
        <v>932</v>
      </c>
      <c r="E1504" s="76">
        <v>44018.0</v>
      </c>
      <c r="F1504" s="77">
        <v>0.08333333333333333</v>
      </c>
      <c r="G1504" s="62" t="b">
        <v>0</v>
      </c>
      <c r="H1504" s="78" t="b">
        <f>IF(VLOOKUP(C1504,Projetos!A:L,12,false)=TRUE,TRUE,FALSE)</f>
        <v>0</v>
      </c>
      <c r="I1504" s="68">
        <v>21.669365196608947</v>
      </c>
      <c r="J1504" s="68">
        <f t="shared" si="1"/>
        <v>0</v>
      </c>
      <c r="K1504" s="68" t="b">
        <v>0</v>
      </c>
    </row>
    <row r="1505" hidden="1">
      <c r="A1505" s="75">
        <v>1499.0</v>
      </c>
      <c r="B1505" s="62" t="s">
        <v>755</v>
      </c>
      <c r="C1505" s="62" t="s">
        <v>109</v>
      </c>
      <c r="D1505" s="62" t="s">
        <v>933</v>
      </c>
      <c r="E1505" s="76">
        <v>44018.0</v>
      </c>
      <c r="F1505" s="77">
        <v>0.041666666666666664</v>
      </c>
      <c r="G1505" s="62" t="b">
        <v>0</v>
      </c>
      <c r="H1505" s="78" t="b">
        <f>IF(VLOOKUP(C1505,Projetos!A:L,12,false)=TRUE,TRUE,FALSE)</f>
        <v>0</v>
      </c>
      <c r="I1505" s="68">
        <v>21.669365196608947</v>
      </c>
      <c r="J1505" s="68">
        <f t="shared" si="1"/>
        <v>0</v>
      </c>
      <c r="K1505" s="68" t="b">
        <v>0</v>
      </c>
    </row>
    <row r="1506" hidden="1">
      <c r="A1506" s="75">
        <v>1500.0</v>
      </c>
      <c r="B1506" s="62" t="s">
        <v>755</v>
      </c>
      <c r="C1506" s="62" t="s">
        <v>109</v>
      </c>
      <c r="D1506" s="62" t="s">
        <v>934</v>
      </c>
      <c r="E1506" s="76">
        <v>44018.0</v>
      </c>
      <c r="F1506" s="77">
        <v>0.125</v>
      </c>
      <c r="G1506" s="62" t="b">
        <v>0</v>
      </c>
      <c r="H1506" s="78" t="b">
        <f>IF(VLOOKUP(C1506,Projetos!A:L,12,false)=TRUE,TRUE,FALSE)</f>
        <v>0</v>
      </c>
      <c r="I1506" s="68">
        <v>21.669365196608947</v>
      </c>
      <c r="J1506" s="68">
        <f t="shared" si="1"/>
        <v>0</v>
      </c>
      <c r="K1506" s="68" t="b">
        <v>0</v>
      </c>
    </row>
    <row r="1507" hidden="1">
      <c r="A1507" s="75">
        <v>1501.0</v>
      </c>
      <c r="B1507" s="62" t="s">
        <v>755</v>
      </c>
      <c r="C1507" s="62" t="s">
        <v>90</v>
      </c>
      <c r="D1507" s="62" t="s">
        <v>874</v>
      </c>
      <c r="E1507" s="76">
        <v>44019.0</v>
      </c>
      <c r="F1507" s="77">
        <v>0.041666666666666664</v>
      </c>
      <c r="G1507" s="62" t="b">
        <v>1</v>
      </c>
      <c r="H1507" s="78" t="b">
        <f>IF(VLOOKUP(C1507,Projetos!A:L,12,false)=TRUE,TRUE,FALSE)</f>
        <v>1</v>
      </c>
      <c r="I1507" s="68">
        <v>21.669365196608947</v>
      </c>
      <c r="J1507" s="68">
        <f t="shared" si="1"/>
        <v>21.6693652</v>
      </c>
      <c r="K1507" s="68" t="b">
        <v>1</v>
      </c>
    </row>
    <row r="1508" hidden="1">
      <c r="A1508" s="75">
        <v>1502.0</v>
      </c>
      <c r="B1508" s="62" t="s">
        <v>755</v>
      </c>
      <c r="C1508" s="62" t="s">
        <v>109</v>
      </c>
      <c r="D1508" s="62" t="s">
        <v>935</v>
      </c>
      <c r="E1508" s="76">
        <v>44020.0</v>
      </c>
      <c r="F1508" s="77">
        <v>0.041666666666666664</v>
      </c>
      <c r="G1508" s="62" t="b">
        <v>0</v>
      </c>
      <c r="H1508" s="78" t="b">
        <f>IF(VLOOKUP(C1508,Projetos!A:L,12,false)=TRUE,TRUE,FALSE)</f>
        <v>0</v>
      </c>
      <c r="I1508" s="68">
        <v>21.669365196608947</v>
      </c>
      <c r="J1508" s="68">
        <f t="shared" si="1"/>
        <v>0</v>
      </c>
      <c r="K1508" s="68" t="b">
        <v>0</v>
      </c>
    </row>
    <row r="1509" hidden="1">
      <c r="A1509" s="75">
        <v>1503.0</v>
      </c>
      <c r="B1509" s="62" t="s">
        <v>755</v>
      </c>
      <c r="C1509" s="62" t="s">
        <v>109</v>
      </c>
      <c r="D1509" s="62" t="s">
        <v>936</v>
      </c>
      <c r="E1509" s="76">
        <v>44020.0</v>
      </c>
      <c r="F1509" s="77">
        <v>0.041666666666666664</v>
      </c>
      <c r="G1509" s="62" t="b">
        <v>0</v>
      </c>
      <c r="H1509" s="78" t="b">
        <f>IF(VLOOKUP(C1509,Projetos!A:L,12,false)=TRUE,TRUE,FALSE)</f>
        <v>0</v>
      </c>
      <c r="I1509" s="68">
        <v>21.669365196608947</v>
      </c>
      <c r="J1509" s="68">
        <f t="shared" si="1"/>
        <v>0</v>
      </c>
      <c r="K1509" s="68" t="b">
        <v>0</v>
      </c>
    </row>
    <row r="1510" hidden="1">
      <c r="A1510" s="75">
        <v>1504.0</v>
      </c>
      <c r="B1510" s="62" t="s">
        <v>755</v>
      </c>
      <c r="C1510" s="62" t="s">
        <v>110</v>
      </c>
      <c r="D1510" s="62" t="s">
        <v>937</v>
      </c>
      <c r="E1510" s="76">
        <v>44021.0</v>
      </c>
      <c r="F1510" s="77">
        <v>0.041666666666666664</v>
      </c>
      <c r="G1510" s="62" t="b">
        <v>1</v>
      </c>
      <c r="H1510" s="78" t="b">
        <f>IF(VLOOKUP(C1510,Projetos!A:L,12,false)=TRUE,TRUE,FALSE)</f>
        <v>1</v>
      </c>
      <c r="I1510" s="68">
        <v>21.669365196608947</v>
      </c>
      <c r="J1510" s="68">
        <f t="shared" si="1"/>
        <v>21.6693652</v>
      </c>
      <c r="K1510" s="68" t="b">
        <v>1</v>
      </c>
    </row>
    <row r="1511" hidden="1">
      <c r="A1511" s="75">
        <v>1505.0</v>
      </c>
      <c r="B1511" s="62" t="s">
        <v>755</v>
      </c>
      <c r="C1511" s="62" t="s">
        <v>109</v>
      </c>
      <c r="D1511" s="62" t="s">
        <v>938</v>
      </c>
      <c r="E1511" s="76">
        <v>44022.0</v>
      </c>
      <c r="F1511" s="77">
        <v>0.16666666666666666</v>
      </c>
      <c r="G1511" s="62" t="b">
        <v>0</v>
      </c>
      <c r="H1511" s="78" t="b">
        <f>IF(VLOOKUP(C1511,Projetos!A:L,12,false)=TRUE,TRUE,FALSE)</f>
        <v>0</v>
      </c>
      <c r="I1511" s="68">
        <v>21.669365196608947</v>
      </c>
      <c r="J1511" s="68">
        <f t="shared" si="1"/>
        <v>0</v>
      </c>
      <c r="K1511" s="68" t="b">
        <v>0</v>
      </c>
    </row>
    <row r="1512" hidden="1">
      <c r="A1512" s="75">
        <v>1506.0</v>
      </c>
      <c r="B1512" s="62" t="s">
        <v>755</v>
      </c>
      <c r="C1512" s="62" t="s">
        <v>115</v>
      </c>
      <c r="D1512" s="62" t="s">
        <v>939</v>
      </c>
      <c r="E1512" s="76">
        <v>44022.0</v>
      </c>
      <c r="F1512" s="77">
        <v>0.041666666666666664</v>
      </c>
      <c r="G1512" s="62" t="b">
        <v>1</v>
      </c>
      <c r="H1512" s="78" t="b">
        <f>IF(VLOOKUP(C1512,Projetos!A:L,12,false)=TRUE,TRUE,FALSE)</f>
        <v>1</v>
      </c>
      <c r="I1512" s="68">
        <v>21.669365196608947</v>
      </c>
      <c r="J1512" s="68">
        <f t="shared" si="1"/>
        <v>21.6693652</v>
      </c>
      <c r="K1512" s="68" t="b">
        <v>1</v>
      </c>
    </row>
    <row r="1513" hidden="1">
      <c r="A1513" s="75">
        <v>1507.0</v>
      </c>
      <c r="B1513" s="62" t="s">
        <v>755</v>
      </c>
      <c r="C1513" s="62" t="s">
        <v>109</v>
      </c>
      <c r="D1513" s="62" t="s">
        <v>940</v>
      </c>
      <c r="E1513" s="76">
        <v>44022.0</v>
      </c>
      <c r="F1513" s="77">
        <v>0.14583333333333334</v>
      </c>
      <c r="G1513" s="62" t="b">
        <v>0</v>
      </c>
      <c r="H1513" s="78" t="b">
        <f>IF(VLOOKUP(C1513,Projetos!A:L,12,false)=TRUE,TRUE,FALSE)</f>
        <v>0</v>
      </c>
      <c r="I1513" s="68">
        <v>21.669365196608947</v>
      </c>
      <c r="J1513" s="68">
        <f t="shared" si="1"/>
        <v>0</v>
      </c>
      <c r="K1513" s="68" t="b">
        <v>0</v>
      </c>
    </row>
    <row r="1514" hidden="1">
      <c r="A1514" s="75">
        <v>1508.0</v>
      </c>
      <c r="B1514" s="62" t="s">
        <v>755</v>
      </c>
      <c r="C1514" s="62" t="s">
        <v>109</v>
      </c>
      <c r="D1514" s="62" t="s">
        <v>941</v>
      </c>
      <c r="E1514" s="76">
        <v>44025.0</v>
      </c>
      <c r="F1514" s="77">
        <v>0.041666666666666664</v>
      </c>
      <c r="G1514" s="62" t="b">
        <v>0</v>
      </c>
      <c r="H1514" s="78" t="b">
        <f>IF(VLOOKUP(C1514,Projetos!A:L,12,false)=TRUE,TRUE,FALSE)</f>
        <v>0</v>
      </c>
      <c r="I1514" s="68">
        <v>21.669365196608947</v>
      </c>
      <c r="J1514" s="68">
        <f t="shared" si="1"/>
        <v>0</v>
      </c>
      <c r="K1514" s="68" t="b">
        <v>0</v>
      </c>
    </row>
    <row r="1515" hidden="1">
      <c r="A1515" s="75">
        <v>1509.0</v>
      </c>
      <c r="B1515" s="62" t="s">
        <v>755</v>
      </c>
      <c r="C1515" s="62" t="s">
        <v>109</v>
      </c>
      <c r="D1515" s="62" t="s">
        <v>942</v>
      </c>
      <c r="E1515" s="76">
        <v>44026.0</v>
      </c>
      <c r="F1515" s="77">
        <v>0.0625</v>
      </c>
      <c r="G1515" s="62" t="b">
        <v>0</v>
      </c>
      <c r="H1515" s="78" t="b">
        <f>IF(VLOOKUP(C1515,Projetos!A:L,12,false)=TRUE,TRUE,FALSE)</f>
        <v>0</v>
      </c>
      <c r="I1515" s="68">
        <v>21.669365196608947</v>
      </c>
      <c r="J1515" s="68">
        <f t="shared" si="1"/>
        <v>0</v>
      </c>
      <c r="K1515" s="68" t="b">
        <v>0</v>
      </c>
    </row>
    <row r="1516" hidden="1">
      <c r="A1516" s="75">
        <v>1510.0</v>
      </c>
      <c r="B1516" s="62" t="s">
        <v>755</v>
      </c>
      <c r="C1516" s="62" t="s">
        <v>115</v>
      </c>
      <c r="D1516" s="62" t="s">
        <v>943</v>
      </c>
      <c r="E1516" s="76">
        <v>44026.0</v>
      </c>
      <c r="F1516" s="77">
        <v>0.041666666666666664</v>
      </c>
      <c r="G1516" s="62" t="b">
        <v>1</v>
      </c>
      <c r="H1516" s="78" t="b">
        <f>IF(VLOOKUP(C1516,Projetos!A:L,12,false)=TRUE,TRUE,FALSE)</f>
        <v>1</v>
      </c>
      <c r="I1516" s="68">
        <v>21.669365196608947</v>
      </c>
      <c r="J1516" s="68">
        <f t="shared" si="1"/>
        <v>21.6693652</v>
      </c>
      <c r="K1516" s="68" t="b">
        <v>1</v>
      </c>
    </row>
    <row r="1517" hidden="1">
      <c r="A1517" s="75">
        <v>1511.0</v>
      </c>
      <c r="B1517" s="62" t="s">
        <v>755</v>
      </c>
      <c r="C1517" s="62" t="s">
        <v>90</v>
      </c>
      <c r="D1517" s="62" t="s">
        <v>944</v>
      </c>
      <c r="E1517" s="76">
        <v>44026.0</v>
      </c>
      <c r="F1517" s="77">
        <v>0.041666666666666664</v>
      </c>
      <c r="G1517" s="62" t="b">
        <v>1</v>
      </c>
      <c r="H1517" s="78" t="b">
        <f>IF(VLOOKUP(C1517,Projetos!A:L,12,false)=TRUE,TRUE,FALSE)</f>
        <v>1</v>
      </c>
      <c r="I1517" s="68">
        <v>21.669365196608947</v>
      </c>
      <c r="J1517" s="68">
        <f t="shared" si="1"/>
        <v>21.6693652</v>
      </c>
      <c r="K1517" s="68" t="b">
        <v>1</v>
      </c>
    </row>
    <row r="1518" hidden="1">
      <c r="A1518" s="75">
        <v>1512.0</v>
      </c>
      <c r="B1518" s="62" t="s">
        <v>755</v>
      </c>
      <c r="C1518" s="62" t="s">
        <v>90</v>
      </c>
      <c r="D1518" s="62" t="s">
        <v>945</v>
      </c>
      <c r="E1518" s="76">
        <v>44026.0</v>
      </c>
      <c r="F1518" s="77">
        <v>0.041666666666666664</v>
      </c>
      <c r="G1518" s="62" t="b">
        <v>1</v>
      </c>
      <c r="H1518" s="78" t="b">
        <f>IF(VLOOKUP(C1518,Projetos!A:L,12,false)=TRUE,TRUE,FALSE)</f>
        <v>1</v>
      </c>
      <c r="I1518" s="68">
        <v>21.669365196608947</v>
      </c>
      <c r="J1518" s="68">
        <f t="shared" si="1"/>
        <v>21.6693652</v>
      </c>
      <c r="K1518" s="68" t="b">
        <v>1</v>
      </c>
    </row>
    <row r="1519" hidden="1">
      <c r="A1519" s="75">
        <v>1513.0</v>
      </c>
      <c r="B1519" s="62" t="s">
        <v>755</v>
      </c>
      <c r="C1519" s="62" t="s">
        <v>90</v>
      </c>
      <c r="D1519" s="62" t="s">
        <v>946</v>
      </c>
      <c r="E1519" s="76">
        <v>44026.0</v>
      </c>
      <c r="F1519" s="77">
        <v>0.041666666666666664</v>
      </c>
      <c r="G1519" s="62" t="b">
        <v>1</v>
      </c>
      <c r="H1519" s="78" t="b">
        <f>IF(VLOOKUP(C1519,Projetos!A:L,12,false)=TRUE,TRUE,FALSE)</f>
        <v>1</v>
      </c>
      <c r="I1519" s="68">
        <v>21.669365196608947</v>
      </c>
      <c r="J1519" s="68">
        <f t="shared" si="1"/>
        <v>21.6693652</v>
      </c>
      <c r="K1519" s="68" t="b">
        <v>1</v>
      </c>
    </row>
    <row r="1520" hidden="1">
      <c r="A1520" s="75">
        <v>1514.0</v>
      </c>
      <c r="B1520" s="62" t="s">
        <v>755</v>
      </c>
      <c r="C1520" s="62" t="s">
        <v>90</v>
      </c>
      <c r="D1520" s="62" t="s">
        <v>947</v>
      </c>
      <c r="E1520" s="76">
        <v>44026.0</v>
      </c>
      <c r="F1520" s="77">
        <v>0.041666666666666664</v>
      </c>
      <c r="G1520" s="62" t="b">
        <v>1</v>
      </c>
      <c r="H1520" s="78" t="b">
        <f>IF(VLOOKUP(C1520,Projetos!A:L,12,false)=TRUE,TRUE,FALSE)</f>
        <v>1</v>
      </c>
      <c r="I1520" s="68">
        <v>21.669365196608947</v>
      </c>
      <c r="J1520" s="68">
        <f t="shared" si="1"/>
        <v>21.6693652</v>
      </c>
      <c r="K1520" s="68" t="b">
        <v>1</v>
      </c>
    </row>
    <row r="1521" hidden="1">
      <c r="A1521" s="75">
        <v>1515.0</v>
      </c>
      <c r="B1521" s="62" t="s">
        <v>755</v>
      </c>
      <c r="C1521" s="62" t="s">
        <v>90</v>
      </c>
      <c r="D1521" s="62" t="s">
        <v>874</v>
      </c>
      <c r="E1521" s="76">
        <v>44026.0</v>
      </c>
      <c r="F1521" s="77">
        <v>0.041666666666666664</v>
      </c>
      <c r="G1521" s="62" t="b">
        <v>1</v>
      </c>
      <c r="H1521" s="78" t="b">
        <f>IF(VLOOKUP(C1521,Projetos!A:L,12,false)=TRUE,TRUE,FALSE)</f>
        <v>1</v>
      </c>
      <c r="I1521" s="68">
        <v>21.669365196608947</v>
      </c>
      <c r="J1521" s="68">
        <f t="shared" si="1"/>
        <v>21.6693652</v>
      </c>
      <c r="K1521" s="68" t="b">
        <v>1</v>
      </c>
    </row>
    <row r="1522" hidden="1">
      <c r="A1522" s="75">
        <v>1516.0</v>
      </c>
      <c r="B1522" s="62" t="s">
        <v>755</v>
      </c>
      <c r="C1522" s="62" t="s">
        <v>115</v>
      </c>
      <c r="D1522" s="62" t="s">
        <v>948</v>
      </c>
      <c r="E1522" s="76">
        <v>44027.0</v>
      </c>
      <c r="F1522" s="77">
        <v>0.08333333333333333</v>
      </c>
      <c r="G1522" s="62" t="b">
        <v>1</v>
      </c>
      <c r="H1522" s="78" t="b">
        <f>IF(VLOOKUP(C1522,Projetos!A:L,12,false)=TRUE,TRUE,FALSE)</f>
        <v>1</v>
      </c>
      <c r="I1522" s="68">
        <v>21.669365196608947</v>
      </c>
      <c r="J1522" s="68">
        <f t="shared" si="1"/>
        <v>43.33873039</v>
      </c>
      <c r="K1522" s="68" t="b">
        <v>1</v>
      </c>
    </row>
    <row r="1523" hidden="1">
      <c r="A1523" s="75">
        <v>1517.0</v>
      </c>
      <c r="B1523" s="62" t="s">
        <v>755</v>
      </c>
      <c r="C1523" s="62" t="s">
        <v>90</v>
      </c>
      <c r="D1523" s="62" t="s">
        <v>949</v>
      </c>
      <c r="E1523" s="76">
        <v>44027.0</v>
      </c>
      <c r="F1523" s="77">
        <v>0.041666666666666664</v>
      </c>
      <c r="G1523" s="62" t="b">
        <v>1</v>
      </c>
      <c r="H1523" s="78" t="b">
        <f>IF(VLOOKUP(C1523,Projetos!A:L,12,false)=TRUE,TRUE,FALSE)</f>
        <v>1</v>
      </c>
      <c r="I1523" s="68">
        <v>21.669365196608947</v>
      </c>
      <c r="J1523" s="68">
        <f t="shared" si="1"/>
        <v>21.6693652</v>
      </c>
      <c r="K1523" s="68" t="b">
        <v>1</v>
      </c>
    </row>
    <row r="1524" hidden="1">
      <c r="A1524" s="75">
        <v>1518.0</v>
      </c>
      <c r="B1524" s="62" t="s">
        <v>755</v>
      </c>
      <c r="C1524" s="62" t="s">
        <v>90</v>
      </c>
      <c r="D1524" s="62" t="s">
        <v>950</v>
      </c>
      <c r="E1524" s="76">
        <v>44027.0</v>
      </c>
      <c r="F1524" s="77">
        <v>0.041666666666666664</v>
      </c>
      <c r="G1524" s="62" t="b">
        <v>1</v>
      </c>
      <c r="H1524" s="78" t="b">
        <f>IF(VLOOKUP(C1524,Projetos!A:L,12,false)=TRUE,TRUE,FALSE)</f>
        <v>1</v>
      </c>
      <c r="I1524" s="68">
        <v>21.669365196608947</v>
      </c>
      <c r="J1524" s="68">
        <f t="shared" si="1"/>
        <v>21.6693652</v>
      </c>
      <c r="K1524" s="68" t="b">
        <v>1</v>
      </c>
    </row>
    <row r="1525" hidden="1">
      <c r="A1525" s="75">
        <v>1519.0</v>
      </c>
      <c r="B1525" s="62" t="s">
        <v>755</v>
      </c>
      <c r="C1525" s="62" t="s">
        <v>90</v>
      </c>
      <c r="D1525" s="62" t="s">
        <v>951</v>
      </c>
      <c r="E1525" s="76">
        <v>44027.0</v>
      </c>
      <c r="F1525" s="77">
        <v>0.16666666666666666</v>
      </c>
      <c r="G1525" s="62" t="b">
        <v>1</v>
      </c>
      <c r="H1525" s="78" t="b">
        <f>IF(VLOOKUP(C1525,Projetos!A:L,12,false)=TRUE,TRUE,FALSE)</f>
        <v>1</v>
      </c>
      <c r="I1525" s="68">
        <v>21.669365196608947</v>
      </c>
      <c r="J1525" s="68">
        <f t="shared" si="1"/>
        <v>86.67746079</v>
      </c>
      <c r="K1525" s="68" t="b">
        <v>1</v>
      </c>
    </row>
    <row r="1526" hidden="1">
      <c r="A1526" s="75">
        <v>1520.0</v>
      </c>
      <c r="B1526" s="62" t="s">
        <v>755</v>
      </c>
      <c r="C1526" s="62" t="s">
        <v>90</v>
      </c>
      <c r="D1526" s="62" t="s">
        <v>952</v>
      </c>
      <c r="E1526" s="76">
        <v>44028.0</v>
      </c>
      <c r="F1526" s="77">
        <v>0.041666666666666664</v>
      </c>
      <c r="G1526" s="62" t="b">
        <v>1</v>
      </c>
      <c r="H1526" s="78" t="b">
        <f>IF(VLOOKUP(C1526,Projetos!A:L,12,false)=TRUE,TRUE,FALSE)</f>
        <v>1</v>
      </c>
      <c r="I1526" s="68">
        <v>21.669365196608947</v>
      </c>
      <c r="J1526" s="68">
        <f t="shared" si="1"/>
        <v>21.6693652</v>
      </c>
      <c r="K1526" s="68" t="b">
        <v>1</v>
      </c>
    </row>
    <row r="1527" hidden="1">
      <c r="A1527" s="75">
        <v>1521.0</v>
      </c>
      <c r="B1527" s="62" t="s">
        <v>755</v>
      </c>
      <c r="C1527" s="62" t="s">
        <v>90</v>
      </c>
      <c r="D1527" s="62" t="s">
        <v>953</v>
      </c>
      <c r="E1527" s="76">
        <v>44028.0</v>
      </c>
      <c r="F1527" s="77">
        <v>0.08333333333333333</v>
      </c>
      <c r="G1527" s="62" t="b">
        <v>1</v>
      </c>
      <c r="H1527" s="78" t="b">
        <f>IF(VLOOKUP(C1527,Projetos!A:L,12,false)=TRUE,TRUE,FALSE)</f>
        <v>1</v>
      </c>
      <c r="I1527" s="68">
        <v>21.669365196608947</v>
      </c>
      <c r="J1527" s="68">
        <f t="shared" si="1"/>
        <v>43.33873039</v>
      </c>
      <c r="K1527" s="68" t="b">
        <v>1</v>
      </c>
    </row>
    <row r="1528" hidden="1">
      <c r="A1528" s="75">
        <v>1522.0</v>
      </c>
      <c r="B1528" s="62" t="s">
        <v>755</v>
      </c>
      <c r="C1528" s="62" t="s">
        <v>90</v>
      </c>
      <c r="D1528" s="62" t="s">
        <v>954</v>
      </c>
      <c r="E1528" s="76">
        <v>44028.0</v>
      </c>
      <c r="F1528" s="77">
        <v>0.041666666666666664</v>
      </c>
      <c r="G1528" s="62" t="b">
        <v>1</v>
      </c>
      <c r="H1528" s="78" t="b">
        <f>IF(VLOOKUP(C1528,Projetos!A:L,12,false)=TRUE,TRUE,FALSE)</f>
        <v>1</v>
      </c>
      <c r="I1528" s="68">
        <v>21.669365196608947</v>
      </c>
      <c r="J1528" s="68">
        <f t="shared" si="1"/>
        <v>21.6693652</v>
      </c>
      <c r="K1528" s="68" t="b">
        <v>1</v>
      </c>
    </row>
    <row r="1529" hidden="1">
      <c r="A1529" s="75">
        <v>1523.0</v>
      </c>
      <c r="B1529" s="62" t="s">
        <v>755</v>
      </c>
      <c r="C1529" s="62" t="s">
        <v>109</v>
      </c>
      <c r="D1529" s="62" t="s">
        <v>955</v>
      </c>
      <c r="E1529" s="76">
        <v>44028.0</v>
      </c>
      <c r="F1529" s="77">
        <v>0.041666666666666664</v>
      </c>
      <c r="G1529" s="62" t="b">
        <v>0</v>
      </c>
      <c r="H1529" s="78" t="b">
        <f>IF(VLOOKUP(C1529,Projetos!A:L,12,false)=TRUE,TRUE,FALSE)</f>
        <v>0</v>
      </c>
      <c r="I1529" s="68">
        <v>21.669365196608947</v>
      </c>
      <c r="J1529" s="68">
        <f t="shared" si="1"/>
        <v>0</v>
      </c>
      <c r="K1529" s="68" t="b">
        <v>0</v>
      </c>
    </row>
    <row r="1530">
      <c r="A1530" s="75">
        <v>1524.0</v>
      </c>
      <c r="B1530" s="62" t="s">
        <v>755</v>
      </c>
      <c r="C1530" s="62" t="s">
        <v>104</v>
      </c>
      <c r="D1530" s="62" t="s">
        <v>956</v>
      </c>
      <c r="E1530" s="76">
        <v>44029.0</v>
      </c>
      <c r="F1530" s="77">
        <v>0.041666666666666664</v>
      </c>
      <c r="G1530" s="62" t="b">
        <v>1</v>
      </c>
      <c r="H1530" s="78" t="b">
        <f>IF(VLOOKUP(C1530,Projetos!A:L,12,false)=TRUE,TRUE,FALSE)</f>
        <v>1</v>
      </c>
      <c r="I1530" s="68">
        <v>21.669365196608947</v>
      </c>
      <c r="J1530" s="68">
        <f t="shared" si="1"/>
        <v>21.6693652</v>
      </c>
      <c r="K1530" s="68" t="b">
        <v>1</v>
      </c>
    </row>
    <row r="1531" hidden="1">
      <c r="A1531" s="75">
        <v>1525.0</v>
      </c>
      <c r="B1531" s="62" t="s">
        <v>755</v>
      </c>
      <c r="C1531" s="62" t="s">
        <v>90</v>
      </c>
      <c r="D1531" s="62" t="s">
        <v>957</v>
      </c>
      <c r="E1531" s="76">
        <v>44029.0</v>
      </c>
      <c r="F1531" s="77">
        <v>0.125</v>
      </c>
      <c r="G1531" s="62" t="b">
        <v>1</v>
      </c>
      <c r="H1531" s="78" t="b">
        <f>IF(VLOOKUP(C1531,Projetos!A:L,12,false)=TRUE,TRUE,FALSE)</f>
        <v>1</v>
      </c>
      <c r="I1531" s="68">
        <v>21.669365196608947</v>
      </c>
      <c r="J1531" s="68">
        <f t="shared" si="1"/>
        <v>65.00809559</v>
      </c>
      <c r="K1531" s="68" t="b">
        <v>1</v>
      </c>
    </row>
    <row r="1532" hidden="1">
      <c r="A1532" s="75">
        <v>1526.0</v>
      </c>
      <c r="B1532" s="62" t="s">
        <v>755</v>
      </c>
      <c r="C1532" s="62" t="s">
        <v>98</v>
      </c>
      <c r="D1532" s="62" t="s">
        <v>958</v>
      </c>
      <c r="E1532" s="76">
        <v>44029.0</v>
      </c>
      <c r="F1532" s="77">
        <v>0.08333333333333333</v>
      </c>
      <c r="G1532" s="62" t="b">
        <v>1</v>
      </c>
      <c r="H1532" s="78" t="b">
        <f>IF(VLOOKUP(C1532,Projetos!A:L,12,false)=TRUE,TRUE,FALSE)</f>
        <v>1</v>
      </c>
      <c r="I1532" s="68">
        <v>21.669365196608947</v>
      </c>
      <c r="J1532" s="68">
        <f t="shared" si="1"/>
        <v>43.33873039</v>
      </c>
      <c r="K1532" s="68" t="b">
        <v>1</v>
      </c>
    </row>
    <row r="1533" hidden="1">
      <c r="A1533" s="75">
        <v>1527.0</v>
      </c>
      <c r="B1533" s="62" t="s">
        <v>755</v>
      </c>
      <c r="C1533" s="62" t="s">
        <v>98</v>
      </c>
      <c r="D1533" s="62" t="s">
        <v>959</v>
      </c>
      <c r="E1533" s="76">
        <v>44029.0</v>
      </c>
      <c r="F1533" s="77">
        <v>0.08333333333333333</v>
      </c>
      <c r="G1533" s="62" t="b">
        <v>1</v>
      </c>
      <c r="H1533" s="78" t="b">
        <f>IF(VLOOKUP(C1533,Projetos!A:L,12,false)=TRUE,TRUE,FALSE)</f>
        <v>1</v>
      </c>
      <c r="I1533" s="68">
        <v>21.669365196608947</v>
      </c>
      <c r="J1533" s="68">
        <f t="shared" si="1"/>
        <v>43.33873039</v>
      </c>
      <c r="K1533" s="68" t="b">
        <v>1</v>
      </c>
    </row>
    <row r="1534" hidden="1">
      <c r="A1534" s="75">
        <v>1528.0</v>
      </c>
      <c r="B1534" s="62" t="s">
        <v>755</v>
      </c>
      <c r="C1534" s="62" t="s">
        <v>98</v>
      </c>
      <c r="D1534" s="62" t="s">
        <v>959</v>
      </c>
      <c r="E1534" s="76">
        <v>44032.0</v>
      </c>
      <c r="F1534" s="77">
        <v>0.08333333333333333</v>
      </c>
      <c r="G1534" s="62" t="b">
        <v>1</v>
      </c>
      <c r="H1534" s="78" t="b">
        <f>IF(VLOOKUP(C1534,Projetos!A:L,12,false)=TRUE,TRUE,FALSE)</f>
        <v>1</v>
      </c>
      <c r="I1534" s="68">
        <v>21.669365196608947</v>
      </c>
      <c r="J1534" s="68">
        <f t="shared" si="1"/>
        <v>43.33873039</v>
      </c>
      <c r="K1534" s="68" t="b">
        <v>1</v>
      </c>
    </row>
    <row r="1535" hidden="1">
      <c r="A1535" s="75">
        <v>1529.0</v>
      </c>
      <c r="B1535" s="62" t="s">
        <v>755</v>
      </c>
      <c r="C1535" s="62" t="s">
        <v>90</v>
      </c>
      <c r="D1535" s="62" t="s">
        <v>874</v>
      </c>
      <c r="E1535" s="76">
        <v>44032.0</v>
      </c>
      <c r="F1535" s="77">
        <v>0.041666666666666664</v>
      </c>
      <c r="G1535" s="62" t="b">
        <v>1</v>
      </c>
      <c r="H1535" s="78" t="b">
        <f>IF(VLOOKUP(C1535,Projetos!A:L,12,false)=TRUE,TRUE,FALSE)</f>
        <v>1</v>
      </c>
      <c r="I1535" s="68">
        <v>21.669365196608947</v>
      </c>
      <c r="J1535" s="68">
        <f t="shared" si="1"/>
        <v>21.6693652</v>
      </c>
      <c r="K1535" s="68" t="b">
        <v>1</v>
      </c>
    </row>
    <row r="1536" hidden="1">
      <c r="A1536" s="75">
        <v>1530.0</v>
      </c>
      <c r="B1536" s="62" t="s">
        <v>755</v>
      </c>
      <c r="C1536" s="62" t="s">
        <v>90</v>
      </c>
      <c r="D1536" s="62" t="s">
        <v>960</v>
      </c>
      <c r="E1536" s="76">
        <v>44033.0</v>
      </c>
      <c r="F1536" s="77">
        <v>0.041666666666666664</v>
      </c>
      <c r="G1536" s="62" t="b">
        <v>1</v>
      </c>
      <c r="H1536" s="78" t="b">
        <f>IF(VLOOKUP(C1536,Projetos!A:L,12,false)=TRUE,TRUE,FALSE)</f>
        <v>1</v>
      </c>
      <c r="I1536" s="68">
        <v>21.669365196608947</v>
      </c>
      <c r="J1536" s="68">
        <f t="shared" si="1"/>
        <v>21.6693652</v>
      </c>
      <c r="K1536" s="68" t="b">
        <v>1</v>
      </c>
    </row>
    <row r="1537" hidden="1">
      <c r="A1537" s="75">
        <v>1531.0</v>
      </c>
      <c r="B1537" s="62" t="s">
        <v>755</v>
      </c>
      <c r="C1537" s="62" t="s">
        <v>109</v>
      </c>
      <c r="D1537" s="62" t="s">
        <v>961</v>
      </c>
      <c r="E1537" s="76">
        <v>44033.0</v>
      </c>
      <c r="F1537" s="77">
        <v>0.08333333333333333</v>
      </c>
      <c r="G1537" s="62" t="b">
        <v>0</v>
      </c>
      <c r="H1537" s="78" t="b">
        <f>IF(VLOOKUP(C1537,Projetos!A:L,12,false)=TRUE,TRUE,FALSE)</f>
        <v>0</v>
      </c>
      <c r="I1537" s="68">
        <v>21.669365196608947</v>
      </c>
      <c r="J1537" s="68">
        <f t="shared" si="1"/>
        <v>0</v>
      </c>
      <c r="K1537" s="68" t="b">
        <v>0</v>
      </c>
    </row>
    <row r="1538" hidden="1">
      <c r="A1538" s="75">
        <v>1532.0</v>
      </c>
      <c r="B1538" s="62" t="s">
        <v>755</v>
      </c>
      <c r="C1538" s="62" t="s">
        <v>109</v>
      </c>
      <c r="D1538" s="62" t="s">
        <v>962</v>
      </c>
      <c r="E1538" s="76">
        <v>44034.0</v>
      </c>
      <c r="F1538" s="77">
        <v>0.0625</v>
      </c>
      <c r="G1538" s="62" t="b">
        <v>0</v>
      </c>
      <c r="H1538" s="78" t="b">
        <f>IF(VLOOKUP(C1538,Projetos!A:L,12,false)=TRUE,TRUE,FALSE)</f>
        <v>0</v>
      </c>
      <c r="I1538" s="68">
        <v>21.669365196608947</v>
      </c>
      <c r="J1538" s="68">
        <f t="shared" si="1"/>
        <v>0</v>
      </c>
      <c r="K1538" s="68" t="b">
        <v>0</v>
      </c>
    </row>
    <row r="1539" hidden="1">
      <c r="A1539" s="75">
        <v>1533.0</v>
      </c>
      <c r="B1539" s="62" t="s">
        <v>755</v>
      </c>
      <c r="C1539" s="62" t="s">
        <v>115</v>
      </c>
      <c r="D1539" s="62" t="s">
        <v>963</v>
      </c>
      <c r="E1539" s="76">
        <v>44034.0</v>
      </c>
      <c r="F1539" s="77">
        <v>0.041666666666666664</v>
      </c>
      <c r="G1539" s="62" t="b">
        <v>1</v>
      </c>
      <c r="H1539" s="78" t="b">
        <f>IF(VLOOKUP(C1539,Projetos!A:L,12,false)=TRUE,TRUE,FALSE)</f>
        <v>1</v>
      </c>
      <c r="I1539" s="68">
        <v>21.669365196608947</v>
      </c>
      <c r="J1539" s="68">
        <f t="shared" si="1"/>
        <v>21.6693652</v>
      </c>
      <c r="K1539" s="68" t="b">
        <v>1</v>
      </c>
    </row>
    <row r="1540" hidden="1">
      <c r="A1540" s="75">
        <v>1534.0</v>
      </c>
      <c r="B1540" s="62" t="s">
        <v>755</v>
      </c>
      <c r="C1540" s="62" t="s">
        <v>90</v>
      </c>
      <c r="D1540" s="62" t="s">
        <v>964</v>
      </c>
      <c r="E1540" s="76">
        <v>44034.0</v>
      </c>
      <c r="F1540" s="77">
        <v>0.020833333333333332</v>
      </c>
      <c r="G1540" s="62" t="b">
        <v>1</v>
      </c>
      <c r="H1540" s="78" t="b">
        <f>IF(VLOOKUP(C1540,Projetos!A:L,12,false)=TRUE,TRUE,FALSE)</f>
        <v>1</v>
      </c>
      <c r="I1540" s="68">
        <v>21.669365196608947</v>
      </c>
      <c r="J1540" s="68">
        <f t="shared" si="1"/>
        <v>10.8346826</v>
      </c>
      <c r="K1540" s="68" t="b">
        <v>1</v>
      </c>
    </row>
    <row r="1541" hidden="1">
      <c r="A1541" s="75">
        <v>1535.0</v>
      </c>
      <c r="B1541" s="62" t="s">
        <v>755</v>
      </c>
      <c r="C1541" s="62" t="s">
        <v>90</v>
      </c>
      <c r="D1541" s="62" t="s">
        <v>965</v>
      </c>
      <c r="E1541" s="76">
        <v>44034.0</v>
      </c>
      <c r="F1541" s="77">
        <v>0.020833333333333332</v>
      </c>
      <c r="G1541" s="62" t="b">
        <v>1</v>
      </c>
      <c r="H1541" s="78" t="b">
        <f>IF(VLOOKUP(C1541,Projetos!A:L,12,false)=TRUE,TRUE,FALSE)</f>
        <v>1</v>
      </c>
      <c r="I1541" s="68">
        <v>21.669365196608947</v>
      </c>
      <c r="J1541" s="68">
        <f t="shared" si="1"/>
        <v>10.8346826</v>
      </c>
      <c r="K1541" s="68" t="b">
        <v>1</v>
      </c>
    </row>
    <row r="1542" hidden="1">
      <c r="A1542" s="75">
        <v>1536.0</v>
      </c>
      <c r="B1542" s="62" t="s">
        <v>755</v>
      </c>
      <c r="C1542" s="62" t="s">
        <v>90</v>
      </c>
      <c r="D1542" s="62" t="s">
        <v>966</v>
      </c>
      <c r="E1542" s="76">
        <v>44034.0</v>
      </c>
      <c r="F1542" s="77">
        <v>0.041666666666666664</v>
      </c>
      <c r="G1542" s="62" t="b">
        <v>1</v>
      </c>
      <c r="H1542" s="78" t="b">
        <f>IF(VLOOKUP(C1542,Projetos!A:L,12,false)=TRUE,TRUE,FALSE)</f>
        <v>1</v>
      </c>
      <c r="I1542" s="68">
        <v>21.669365196608947</v>
      </c>
      <c r="J1542" s="68">
        <f t="shared" si="1"/>
        <v>21.6693652</v>
      </c>
      <c r="K1542" s="68" t="b">
        <v>1</v>
      </c>
    </row>
    <row r="1543" hidden="1">
      <c r="A1543" s="75">
        <v>1537.0</v>
      </c>
      <c r="B1543" s="62" t="s">
        <v>755</v>
      </c>
      <c r="C1543" s="62" t="s">
        <v>109</v>
      </c>
      <c r="D1543" s="62" t="s">
        <v>967</v>
      </c>
      <c r="E1543" s="76">
        <v>44035.0</v>
      </c>
      <c r="F1543" s="77">
        <v>0.041666666666666664</v>
      </c>
      <c r="G1543" s="62" t="b">
        <v>0</v>
      </c>
      <c r="H1543" s="78" t="b">
        <f>IF(VLOOKUP(C1543,Projetos!A:L,12,false)=TRUE,TRUE,FALSE)</f>
        <v>0</v>
      </c>
      <c r="I1543" s="68">
        <v>21.669365196608947</v>
      </c>
      <c r="J1543" s="68">
        <f t="shared" si="1"/>
        <v>0</v>
      </c>
      <c r="K1543" s="68" t="b">
        <v>0</v>
      </c>
    </row>
    <row r="1544" hidden="1">
      <c r="A1544" s="75">
        <v>1538.0</v>
      </c>
      <c r="B1544" s="62" t="s">
        <v>755</v>
      </c>
      <c r="C1544" s="62" t="s">
        <v>90</v>
      </c>
      <c r="D1544" s="62" t="s">
        <v>968</v>
      </c>
      <c r="E1544" s="76">
        <v>44035.0</v>
      </c>
      <c r="F1544" s="77">
        <v>0.041666666666666664</v>
      </c>
      <c r="G1544" s="62" t="b">
        <v>1</v>
      </c>
      <c r="H1544" s="78" t="b">
        <f>IF(VLOOKUP(C1544,Projetos!A:L,12,false)=TRUE,TRUE,FALSE)</f>
        <v>1</v>
      </c>
      <c r="I1544" s="68">
        <v>21.669365196608947</v>
      </c>
      <c r="J1544" s="68">
        <f t="shared" si="1"/>
        <v>21.6693652</v>
      </c>
      <c r="K1544" s="68" t="b">
        <v>1</v>
      </c>
    </row>
    <row r="1545" hidden="1">
      <c r="A1545" s="75">
        <v>1539.0</v>
      </c>
      <c r="B1545" s="62" t="s">
        <v>755</v>
      </c>
      <c r="C1545" s="62" t="s">
        <v>90</v>
      </c>
      <c r="D1545" s="62" t="s">
        <v>969</v>
      </c>
      <c r="E1545" s="76">
        <v>44035.0</v>
      </c>
      <c r="F1545" s="77">
        <v>0.020833333333333332</v>
      </c>
      <c r="G1545" s="62" t="b">
        <v>1</v>
      </c>
      <c r="H1545" s="78" t="b">
        <f>IF(VLOOKUP(C1545,Projetos!A:L,12,false)=TRUE,TRUE,FALSE)</f>
        <v>1</v>
      </c>
      <c r="I1545" s="68">
        <v>21.669365196608947</v>
      </c>
      <c r="J1545" s="68">
        <f t="shared" si="1"/>
        <v>10.8346826</v>
      </c>
      <c r="K1545" s="68" t="b">
        <v>1</v>
      </c>
    </row>
    <row r="1546" hidden="1">
      <c r="A1546" s="75">
        <v>1540.0</v>
      </c>
      <c r="B1546" s="62" t="s">
        <v>755</v>
      </c>
      <c r="C1546" s="62" t="s">
        <v>103</v>
      </c>
      <c r="D1546" s="62" t="s">
        <v>970</v>
      </c>
      <c r="E1546" s="76">
        <v>44035.0</v>
      </c>
      <c r="F1546" s="77">
        <v>0.08333333333333333</v>
      </c>
      <c r="G1546" s="62" t="b">
        <v>1</v>
      </c>
      <c r="H1546" s="78" t="b">
        <f>IF(VLOOKUP(C1546,Projetos!A:L,12,false)=TRUE,TRUE,FALSE)</f>
        <v>1</v>
      </c>
      <c r="I1546" s="68">
        <v>21.669365196608947</v>
      </c>
      <c r="J1546" s="68">
        <f t="shared" si="1"/>
        <v>43.33873039</v>
      </c>
      <c r="K1546" s="68" t="b">
        <v>1</v>
      </c>
    </row>
    <row r="1547" hidden="1">
      <c r="A1547" s="75">
        <v>1541.0</v>
      </c>
      <c r="B1547" s="62" t="s">
        <v>755</v>
      </c>
      <c r="C1547" s="62" t="s">
        <v>90</v>
      </c>
      <c r="D1547" s="62" t="s">
        <v>874</v>
      </c>
      <c r="E1547" s="76">
        <v>44035.0</v>
      </c>
      <c r="F1547" s="77">
        <v>0.041666666666666664</v>
      </c>
      <c r="G1547" s="62" t="b">
        <v>1</v>
      </c>
      <c r="H1547" s="78" t="b">
        <f>IF(VLOOKUP(C1547,Projetos!A:L,12,false)=TRUE,TRUE,FALSE)</f>
        <v>1</v>
      </c>
      <c r="I1547" s="68">
        <v>21.669365196608947</v>
      </c>
      <c r="J1547" s="68">
        <f t="shared" si="1"/>
        <v>21.6693652</v>
      </c>
      <c r="K1547" s="68" t="b">
        <v>1</v>
      </c>
    </row>
    <row r="1548" hidden="1">
      <c r="A1548" s="75">
        <v>1542.0</v>
      </c>
      <c r="B1548" s="62" t="s">
        <v>755</v>
      </c>
      <c r="C1548" s="62" t="s">
        <v>90</v>
      </c>
      <c r="D1548" s="62" t="s">
        <v>971</v>
      </c>
      <c r="E1548" s="76">
        <v>44036.0</v>
      </c>
      <c r="F1548" s="77">
        <v>0.020833333333333332</v>
      </c>
      <c r="G1548" s="62" t="b">
        <v>1</v>
      </c>
      <c r="H1548" s="78" t="b">
        <f>IF(VLOOKUP(C1548,Projetos!A:L,12,false)=TRUE,TRUE,FALSE)</f>
        <v>1</v>
      </c>
      <c r="I1548" s="68">
        <v>21.669365196608947</v>
      </c>
      <c r="J1548" s="68">
        <f t="shared" si="1"/>
        <v>10.8346826</v>
      </c>
      <c r="K1548" s="68" t="b">
        <v>1</v>
      </c>
    </row>
    <row r="1549" hidden="1">
      <c r="A1549" s="75">
        <v>1543.0</v>
      </c>
      <c r="B1549" s="62" t="s">
        <v>755</v>
      </c>
      <c r="C1549" s="62" t="s">
        <v>103</v>
      </c>
      <c r="D1549" s="62" t="s">
        <v>972</v>
      </c>
      <c r="E1549" s="76">
        <v>44036.0</v>
      </c>
      <c r="F1549" s="77">
        <v>0.125</v>
      </c>
      <c r="G1549" s="62" t="b">
        <v>1</v>
      </c>
      <c r="H1549" s="78" t="b">
        <f>IF(VLOOKUP(C1549,Projetos!A:L,12,false)=TRUE,TRUE,FALSE)</f>
        <v>1</v>
      </c>
      <c r="I1549" s="68">
        <v>21.669365196608947</v>
      </c>
      <c r="J1549" s="68">
        <f t="shared" si="1"/>
        <v>65.00809559</v>
      </c>
      <c r="K1549" s="68" t="b">
        <v>1</v>
      </c>
    </row>
    <row r="1550" hidden="1">
      <c r="A1550" s="75">
        <v>1544.0</v>
      </c>
      <c r="B1550" s="62" t="s">
        <v>755</v>
      </c>
      <c r="C1550" s="62" t="s">
        <v>90</v>
      </c>
      <c r="D1550" s="62" t="s">
        <v>874</v>
      </c>
      <c r="E1550" s="76">
        <v>44039.0</v>
      </c>
      <c r="F1550" s="77">
        <v>0.041666666666666664</v>
      </c>
      <c r="G1550" s="62" t="b">
        <v>1</v>
      </c>
      <c r="H1550" s="78" t="b">
        <f>IF(VLOOKUP(C1550,Projetos!A:L,12,false)=TRUE,TRUE,FALSE)</f>
        <v>1</v>
      </c>
      <c r="I1550" s="68">
        <v>21.669365196608947</v>
      </c>
      <c r="J1550" s="68">
        <f t="shared" si="1"/>
        <v>21.6693652</v>
      </c>
      <c r="K1550" s="68" t="b">
        <v>1</v>
      </c>
    </row>
    <row r="1551" hidden="1">
      <c r="A1551" s="75">
        <v>1545.0</v>
      </c>
      <c r="B1551" s="62" t="s">
        <v>755</v>
      </c>
      <c r="C1551" s="62" t="s">
        <v>115</v>
      </c>
      <c r="D1551" s="62" t="s">
        <v>973</v>
      </c>
      <c r="E1551" s="76">
        <v>44039.0</v>
      </c>
      <c r="F1551" s="77">
        <v>0.0625</v>
      </c>
      <c r="G1551" s="62" t="b">
        <v>1</v>
      </c>
      <c r="H1551" s="78" t="b">
        <f>IF(VLOOKUP(C1551,Projetos!A:L,12,false)=TRUE,TRUE,FALSE)</f>
        <v>1</v>
      </c>
      <c r="I1551" s="68">
        <v>21.669365196608947</v>
      </c>
      <c r="J1551" s="68">
        <f t="shared" si="1"/>
        <v>32.50404779</v>
      </c>
      <c r="K1551" s="68" t="b">
        <v>1</v>
      </c>
    </row>
    <row r="1552" hidden="1">
      <c r="A1552" s="75">
        <v>1546.0</v>
      </c>
      <c r="B1552" s="62" t="s">
        <v>755</v>
      </c>
      <c r="C1552" s="62" t="s">
        <v>115</v>
      </c>
      <c r="D1552" s="62" t="s">
        <v>974</v>
      </c>
      <c r="E1552" s="76">
        <v>44039.0</v>
      </c>
      <c r="F1552" s="77">
        <v>0.0625</v>
      </c>
      <c r="G1552" s="62" t="b">
        <v>1</v>
      </c>
      <c r="H1552" s="78" t="b">
        <f>IF(VLOOKUP(C1552,Projetos!A:L,12,false)=TRUE,TRUE,FALSE)</f>
        <v>1</v>
      </c>
      <c r="I1552" s="68">
        <v>21.669365196608947</v>
      </c>
      <c r="J1552" s="68">
        <f t="shared" si="1"/>
        <v>32.50404779</v>
      </c>
      <c r="K1552" s="68" t="b">
        <v>1</v>
      </c>
    </row>
    <row r="1553" hidden="1">
      <c r="A1553" s="75">
        <v>1547.0</v>
      </c>
      <c r="B1553" s="62" t="s">
        <v>755</v>
      </c>
      <c r="C1553" s="62" t="s">
        <v>90</v>
      </c>
      <c r="D1553" s="62" t="s">
        <v>975</v>
      </c>
      <c r="E1553" s="76">
        <v>44040.0</v>
      </c>
      <c r="F1553" s="77">
        <v>0.0625</v>
      </c>
      <c r="G1553" s="62" t="b">
        <v>1</v>
      </c>
      <c r="H1553" s="78" t="b">
        <f>IF(VLOOKUP(C1553,Projetos!A:L,12,false)=TRUE,TRUE,FALSE)</f>
        <v>1</v>
      </c>
      <c r="I1553" s="68">
        <v>21.669365196608947</v>
      </c>
      <c r="J1553" s="68">
        <f t="shared" si="1"/>
        <v>32.50404779</v>
      </c>
      <c r="K1553" s="68" t="b">
        <v>1</v>
      </c>
    </row>
    <row r="1554" hidden="1">
      <c r="A1554" s="75">
        <v>1548.0</v>
      </c>
      <c r="B1554" s="62" t="s">
        <v>755</v>
      </c>
      <c r="C1554" s="62" t="s">
        <v>90</v>
      </c>
      <c r="D1554" s="62" t="s">
        <v>976</v>
      </c>
      <c r="E1554" s="76">
        <v>44040.0</v>
      </c>
      <c r="F1554" s="77">
        <v>0.041666666666666664</v>
      </c>
      <c r="G1554" s="62" t="b">
        <v>1</v>
      </c>
      <c r="H1554" s="78" t="b">
        <f>IF(VLOOKUP(C1554,Projetos!A:L,12,false)=TRUE,TRUE,FALSE)</f>
        <v>1</v>
      </c>
      <c r="I1554" s="68">
        <v>21.669365196608947</v>
      </c>
      <c r="J1554" s="68">
        <f t="shared" si="1"/>
        <v>21.6693652</v>
      </c>
      <c r="K1554" s="68" t="b">
        <v>1</v>
      </c>
    </row>
    <row r="1555" hidden="1">
      <c r="A1555" s="75">
        <v>1549.0</v>
      </c>
      <c r="B1555" s="62" t="s">
        <v>755</v>
      </c>
      <c r="C1555" s="62" t="s">
        <v>90</v>
      </c>
      <c r="D1555" s="62" t="s">
        <v>977</v>
      </c>
      <c r="E1555" s="76">
        <v>44040.0</v>
      </c>
      <c r="F1555" s="77">
        <v>0.020833333333333332</v>
      </c>
      <c r="G1555" s="62" t="b">
        <v>1</v>
      </c>
      <c r="H1555" s="78" t="b">
        <f>IF(VLOOKUP(C1555,Projetos!A:L,12,false)=TRUE,TRUE,FALSE)</f>
        <v>1</v>
      </c>
      <c r="I1555" s="68">
        <v>21.669365196608947</v>
      </c>
      <c r="J1555" s="68">
        <f t="shared" si="1"/>
        <v>10.8346826</v>
      </c>
      <c r="K1555" s="68" t="b">
        <v>1</v>
      </c>
    </row>
    <row r="1556">
      <c r="A1556" s="75">
        <v>1550.0</v>
      </c>
      <c r="B1556" s="62" t="s">
        <v>755</v>
      </c>
      <c r="C1556" s="62" t="s">
        <v>104</v>
      </c>
      <c r="D1556" s="62" t="s">
        <v>978</v>
      </c>
      <c r="E1556" s="76">
        <v>44040.0</v>
      </c>
      <c r="F1556" s="77">
        <v>0.041666666666666664</v>
      </c>
      <c r="G1556" s="62" t="b">
        <v>1</v>
      </c>
      <c r="H1556" s="78" t="b">
        <f>IF(VLOOKUP(C1556,Projetos!A:L,12,false)=TRUE,TRUE,FALSE)</f>
        <v>1</v>
      </c>
      <c r="I1556" s="68">
        <v>21.669365196608947</v>
      </c>
      <c r="J1556" s="68">
        <f t="shared" si="1"/>
        <v>21.6693652</v>
      </c>
      <c r="K1556" s="68" t="b">
        <v>1</v>
      </c>
    </row>
    <row r="1557">
      <c r="A1557" s="75">
        <v>1551.0</v>
      </c>
      <c r="B1557" s="62" t="s">
        <v>755</v>
      </c>
      <c r="C1557" s="62" t="s">
        <v>104</v>
      </c>
      <c r="D1557" s="62" t="s">
        <v>979</v>
      </c>
      <c r="E1557" s="76">
        <v>44042.0</v>
      </c>
      <c r="F1557" s="77">
        <v>0.0625</v>
      </c>
      <c r="G1557" s="62" t="b">
        <v>0</v>
      </c>
      <c r="H1557" s="78" t="b">
        <f>IF(VLOOKUP(C1557,Projetos!A:L,12,false)=TRUE,TRUE,FALSE)</f>
        <v>1</v>
      </c>
      <c r="I1557" s="68">
        <v>21.669365196608947</v>
      </c>
      <c r="J1557" s="68">
        <f t="shared" si="1"/>
        <v>0</v>
      </c>
      <c r="K1557" s="68" t="b">
        <v>1</v>
      </c>
    </row>
    <row r="1558" hidden="1">
      <c r="A1558" s="75">
        <v>1552.0</v>
      </c>
      <c r="B1558" s="62" t="s">
        <v>755</v>
      </c>
      <c r="C1558" s="62" t="s">
        <v>90</v>
      </c>
      <c r="D1558" s="62" t="s">
        <v>980</v>
      </c>
      <c r="E1558" s="76">
        <v>44043.0</v>
      </c>
      <c r="F1558" s="77">
        <v>0.020833333333333332</v>
      </c>
      <c r="G1558" s="62" t="b">
        <v>1</v>
      </c>
      <c r="H1558" s="78" t="b">
        <f>IF(VLOOKUP(C1558,Projetos!A:L,12,false)=TRUE,TRUE,FALSE)</f>
        <v>1</v>
      </c>
      <c r="I1558" s="68">
        <v>21.669365196608947</v>
      </c>
      <c r="J1558" s="68">
        <f t="shared" si="1"/>
        <v>10.8346826</v>
      </c>
      <c r="K1558" s="68" t="b">
        <v>1</v>
      </c>
    </row>
    <row r="1559" hidden="1">
      <c r="A1559" s="75">
        <v>1553.0</v>
      </c>
      <c r="B1559" s="62" t="s">
        <v>755</v>
      </c>
      <c r="C1559" s="62" t="s">
        <v>115</v>
      </c>
      <c r="D1559" s="62" t="s">
        <v>981</v>
      </c>
      <c r="E1559" s="76">
        <v>44046.0</v>
      </c>
      <c r="F1559" s="77">
        <v>0.041666666666666664</v>
      </c>
      <c r="G1559" s="62" t="b">
        <v>1</v>
      </c>
      <c r="H1559" s="78" t="b">
        <f>IF(VLOOKUP(C1559,Projetos!A:L,12,false)=TRUE,TRUE,FALSE)</f>
        <v>1</v>
      </c>
      <c r="I1559" s="68">
        <v>21.669365196608947</v>
      </c>
      <c r="J1559" s="68">
        <f t="shared" si="1"/>
        <v>21.6693652</v>
      </c>
      <c r="K1559" s="68" t="b">
        <v>1</v>
      </c>
    </row>
    <row r="1560" hidden="1">
      <c r="A1560" s="75">
        <v>1554.0</v>
      </c>
      <c r="B1560" s="62" t="s">
        <v>755</v>
      </c>
      <c r="C1560" s="62" t="s">
        <v>90</v>
      </c>
      <c r="D1560" s="62" t="s">
        <v>874</v>
      </c>
      <c r="E1560" s="76">
        <v>44046.0</v>
      </c>
      <c r="F1560" s="77">
        <v>0.041666666666666664</v>
      </c>
      <c r="G1560" s="62" t="b">
        <v>1</v>
      </c>
      <c r="H1560" s="78" t="b">
        <f>IF(VLOOKUP(C1560,Projetos!A:L,12,false)=TRUE,TRUE,FALSE)</f>
        <v>1</v>
      </c>
      <c r="I1560" s="68">
        <v>21.669365196608947</v>
      </c>
      <c r="J1560" s="68">
        <f t="shared" si="1"/>
        <v>21.6693652</v>
      </c>
      <c r="K1560" s="68" t="b">
        <v>1</v>
      </c>
    </row>
    <row r="1561" hidden="1">
      <c r="A1561" s="75">
        <v>1555.0</v>
      </c>
      <c r="B1561" s="62" t="s">
        <v>755</v>
      </c>
      <c r="C1561" s="62" t="s">
        <v>90</v>
      </c>
      <c r="D1561" s="62" t="s">
        <v>874</v>
      </c>
      <c r="E1561" s="76">
        <v>44047.0</v>
      </c>
      <c r="F1561" s="77">
        <v>0.041666666666666664</v>
      </c>
      <c r="G1561" s="62" t="b">
        <v>1</v>
      </c>
      <c r="H1561" s="78" t="b">
        <f>IF(VLOOKUP(C1561,Projetos!A:L,12,false)=TRUE,TRUE,FALSE)</f>
        <v>1</v>
      </c>
      <c r="I1561" s="68">
        <v>21.669365196608947</v>
      </c>
      <c r="J1561" s="68">
        <f t="shared" si="1"/>
        <v>21.6693652</v>
      </c>
      <c r="K1561" s="68" t="b">
        <v>1</v>
      </c>
    </row>
    <row r="1562" hidden="1">
      <c r="A1562" s="75">
        <v>1556.0</v>
      </c>
      <c r="B1562" s="62" t="s">
        <v>755</v>
      </c>
      <c r="C1562" s="62" t="s">
        <v>109</v>
      </c>
      <c r="D1562" s="62" t="s">
        <v>982</v>
      </c>
      <c r="E1562" s="76">
        <v>44047.0</v>
      </c>
      <c r="F1562" s="77">
        <v>0.041666666666666664</v>
      </c>
      <c r="G1562" s="62" t="b">
        <v>0</v>
      </c>
      <c r="H1562" s="78" t="b">
        <f>IF(VLOOKUP(C1562,Projetos!A:L,12,false)=TRUE,TRUE,FALSE)</f>
        <v>0</v>
      </c>
      <c r="I1562" s="68">
        <v>21.669365196608947</v>
      </c>
      <c r="J1562" s="68">
        <f t="shared" si="1"/>
        <v>0</v>
      </c>
      <c r="K1562" s="68" t="b">
        <v>0</v>
      </c>
    </row>
    <row r="1563">
      <c r="A1563" s="75">
        <v>1557.0</v>
      </c>
      <c r="B1563" s="62" t="s">
        <v>755</v>
      </c>
      <c r="C1563" s="62" t="s">
        <v>104</v>
      </c>
      <c r="D1563" s="62" t="s">
        <v>983</v>
      </c>
      <c r="E1563" s="76">
        <v>44048.0</v>
      </c>
      <c r="F1563" s="77">
        <v>0.041666666666666664</v>
      </c>
      <c r="G1563" s="62" t="b">
        <v>1</v>
      </c>
      <c r="H1563" s="78" t="b">
        <f>IF(VLOOKUP(C1563,Projetos!A:L,12,false)=TRUE,TRUE,FALSE)</f>
        <v>1</v>
      </c>
      <c r="I1563" s="68">
        <v>21.669365196608947</v>
      </c>
      <c r="J1563" s="68">
        <f t="shared" si="1"/>
        <v>21.6693652</v>
      </c>
      <c r="K1563" s="68" t="b">
        <v>1</v>
      </c>
    </row>
    <row r="1564" hidden="1">
      <c r="A1564" s="75">
        <v>1558.0</v>
      </c>
      <c r="B1564" s="62" t="s">
        <v>755</v>
      </c>
      <c r="C1564" s="62" t="s">
        <v>98</v>
      </c>
      <c r="D1564" s="62" t="s">
        <v>984</v>
      </c>
      <c r="E1564" s="76">
        <v>44048.0</v>
      </c>
      <c r="F1564" s="77">
        <v>0.0625</v>
      </c>
      <c r="G1564" s="62" t="b">
        <v>1</v>
      </c>
      <c r="H1564" s="78" t="b">
        <f>IF(VLOOKUP(C1564,Projetos!A:L,12,false)=TRUE,TRUE,FALSE)</f>
        <v>1</v>
      </c>
      <c r="I1564" s="68">
        <v>21.669365196608947</v>
      </c>
      <c r="J1564" s="68">
        <f t="shared" si="1"/>
        <v>32.50404779</v>
      </c>
      <c r="K1564" s="68" t="b">
        <v>1</v>
      </c>
    </row>
    <row r="1565" hidden="1">
      <c r="A1565" s="75">
        <v>1559.0</v>
      </c>
      <c r="B1565" s="62" t="s">
        <v>755</v>
      </c>
      <c r="C1565" s="62" t="s">
        <v>90</v>
      </c>
      <c r="D1565" s="62" t="s">
        <v>985</v>
      </c>
      <c r="E1565" s="76">
        <v>44048.0</v>
      </c>
      <c r="F1565" s="77">
        <v>0.041666666666666664</v>
      </c>
      <c r="G1565" s="62" t="b">
        <v>1</v>
      </c>
      <c r="H1565" s="78" t="b">
        <f>IF(VLOOKUP(C1565,Projetos!A:L,12,false)=TRUE,TRUE,FALSE)</f>
        <v>1</v>
      </c>
      <c r="I1565" s="68">
        <v>21.669365196608947</v>
      </c>
      <c r="J1565" s="68">
        <f t="shared" si="1"/>
        <v>21.6693652</v>
      </c>
      <c r="K1565" s="68" t="b">
        <v>1</v>
      </c>
    </row>
    <row r="1566" hidden="1">
      <c r="A1566" s="75">
        <v>1560.0</v>
      </c>
      <c r="B1566" s="62" t="s">
        <v>755</v>
      </c>
      <c r="C1566" s="62" t="s">
        <v>90</v>
      </c>
      <c r="D1566" s="62" t="s">
        <v>986</v>
      </c>
      <c r="E1566" s="76">
        <v>44048.0</v>
      </c>
      <c r="F1566" s="77">
        <v>0.0625</v>
      </c>
      <c r="G1566" s="62" t="b">
        <v>1</v>
      </c>
      <c r="H1566" s="78" t="b">
        <f>IF(VLOOKUP(C1566,Projetos!A:L,12,false)=TRUE,TRUE,FALSE)</f>
        <v>1</v>
      </c>
      <c r="I1566" s="68">
        <v>21.669365196608947</v>
      </c>
      <c r="J1566" s="68">
        <f t="shared" si="1"/>
        <v>32.50404779</v>
      </c>
      <c r="K1566" s="68" t="b">
        <v>1</v>
      </c>
    </row>
    <row r="1567" hidden="1">
      <c r="A1567" s="75">
        <v>1561.0</v>
      </c>
      <c r="B1567" s="62" t="s">
        <v>755</v>
      </c>
      <c r="C1567" s="62" t="s">
        <v>102</v>
      </c>
      <c r="D1567" s="62" t="s">
        <v>987</v>
      </c>
      <c r="E1567" s="76">
        <v>44049.0</v>
      </c>
      <c r="F1567" s="77">
        <v>0.10416666666666667</v>
      </c>
      <c r="G1567" s="62" t="b">
        <v>0</v>
      </c>
      <c r="H1567" s="78" t="b">
        <f>IF(VLOOKUP(C1567,Projetos!A:L,12,false)=TRUE,TRUE,FALSE)</f>
        <v>0</v>
      </c>
      <c r="I1567" s="68">
        <v>21.669365196608947</v>
      </c>
      <c r="J1567" s="68">
        <f t="shared" si="1"/>
        <v>0</v>
      </c>
      <c r="K1567" s="68" t="b">
        <v>0</v>
      </c>
    </row>
    <row r="1568" hidden="1">
      <c r="A1568" s="75">
        <v>1562.0</v>
      </c>
      <c r="B1568" s="62" t="s">
        <v>755</v>
      </c>
      <c r="C1568" s="62" t="s">
        <v>98</v>
      </c>
      <c r="D1568" s="62" t="s">
        <v>988</v>
      </c>
      <c r="E1568" s="76">
        <v>44049.0</v>
      </c>
      <c r="F1568" s="77">
        <v>0.041666666666666664</v>
      </c>
      <c r="G1568" s="62" t="b">
        <v>1</v>
      </c>
      <c r="H1568" s="78" t="b">
        <f>IF(VLOOKUP(C1568,Projetos!A:L,12,false)=TRUE,TRUE,FALSE)</f>
        <v>1</v>
      </c>
      <c r="I1568" s="68">
        <v>21.669365196608947</v>
      </c>
      <c r="J1568" s="68">
        <f t="shared" si="1"/>
        <v>21.6693652</v>
      </c>
      <c r="K1568" s="68" t="b">
        <v>1</v>
      </c>
    </row>
    <row r="1569">
      <c r="A1569" s="75">
        <v>1563.0</v>
      </c>
      <c r="B1569" s="62" t="s">
        <v>755</v>
      </c>
      <c r="C1569" s="62" t="s">
        <v>104</v>
      </c>
      <c r="D1569" s="62" t="s">
        <v>989</v>
      </c>
      <c r="E1569" s="76">
        <v>44049.0</v>
      </c>
      <c r="F1569" s="77">
        <v>0.041666666666666664</v>
      </c>
      <c r="G1569" s="62" t="b">
        <v>1</v>
      </c>
      <c r="H1569" s="78" t="b">
        <f>IF(VLOOKUP(C1569,Projetos!A:L,12,false)=TRUE,TRUE,FALSE)</f>
        <v>1</v>
      </c>
      <c r="I1569" s="68">
        <v>21.669365196608947</v>
      </c>
      <c r="J1569" s="68">
        <f t="shared" si="1"/>
        <v>21.6693652</v>
      </c>
      <c r="K1569" s="68" t="b">
        <v>1</v>
      </c>
    </row>
    <row r="1570" hidden="1">
      <c r="A1570" s="75">
        <v>1564.0</v>
      </c>
      <c r="B1570" s="62" t="s">
        <v>755</v>
      </c>
      <c r="C1570" s="62" t="s">
        <v>90</v>
      </c>
      <c r="D1570" s="62" t="s">
        <v>990</v>
      </c>
      <c r="E1570" s="76">
        <v>44050.0</v>
      </c>
      <c r="F1570" s="77">
        <v>0.020833333333333332</v>
      </c>
      <c r="G1570" s="62" t="b">
        <v>1</v>
      </c>
      <c r="H1570" s="78" t="b">
        <f>IF(VLOOKUP(C1570,Projetos!A:L,12,false)=TRUE,TRUE,FALSE)</f>
        <v>1</v>
      </c>
      <c r="I1570" s="68">
        <v>21.669365196608947</v>
      </c>
      <c r="J1570" s="68">
        <f t="shared" si="1"/>
        <v>10.8346826</v>
      </c>
      <c r="K1570" s="68" t="b">
        <v>1</v>
      </c>
    </row>
    <row r="1571" hidden="1">
      <c r="A1571" s="75">
        <v>1565.0</v>
      </c>
      <c r="B1571" s="62" t="s">
        <v>755</v>
      </c>
      <c r="C1571" s="62" t="s">
        <v>102</v>
      </c>
      <c r="D1571" s="62" t="s">
        <v>987</v>
      </c>
      <c r="E1571" s="76">
        <v>44050.0</v>
      </c>
      <c r="F1571" s="77">
        <v>0.0625</v>
      </c>
      <c r="G1571" s="62" t="b">
        <v>0</v>
      </c>
      <c r="H1571" s="78" t="b">
        <f>IF(VLOOKUP(C1571,Projetos!A:L,12,false)=TRUE,TRUE,FALSE)</f>
        <v>0</v>
      </c>
      <c r="I1571" s="68">
        <v>21.669365196608947</v>
      </c>
      <c r="J1571" s="68">
        <f t="shared" si="1"/>
        <v>0</v>
      </c>
      <c r="K1571" s="68" t="b">
        <v>0</v>
      </c>
    </row>
    <row r="1572" hidden="1">
      <c r="A1572" s="75">
        <v>1566.0</v>
      </c>
      <c r="B1572" s="62" t="s">
        <v>755</v>
      </c>
      <c r="C1572" s="62" t="s">
        <v>90</v>
      </c>
      <c r="D1572" s="62" t="s">
        <v>991</v>
      </c>
      <c r="E1572" s="76">
        <v>44050.0</v>
      </c>
      <c r="F1572" s="77">
        <v>0.041666666666666664</v>
      </c>
      <c r="G1572" s="62" t="b">
        <v>1</v>
      </c>
      <c r="H1572" s="78" t="b">
        <f>IF(VLOOKUP(C1572,Projetos!A:L,12,false)=TRUE,TRUE,FALSE)</f>
        <v>1</v>
      </c>
      <c r="I1572" s="68">
        <v>21.669365196608947</v>
      </c>
      <c r="J1572" s="68">
        <f t="shared" si="1"/>
        <v>21.6693652</v>
      </c>
      <c r="K1572" s="68" t="b">
        <v>1</v>
      </c>
    </row>
    <row r="1573" hidden="1">
      <c r="A1573" s="75">
        <v>1567.0</v>
      </c>
      <c r="B1573" s="62" t="s">
        <v>755</v>
      </c>
      <c r="C1573" s="62" t="s">
        <v>90</v>
      </c>
      <c r="D1573" s="62" t="s">
        <v>992</v>
      </c>
      <c r="E1573" s="76">
        <v>44050.0</v>
      </c>
      <c r="F1573" s="77">
        <v>0.020833333333333332</v>
      </c>
      <c r="G1573" s="62" t="b">
        <v>1</v>
      </c>
      <c r="H1573" s="78" t="b">
        <f>IF(VLOOKUP(C1573,Projetos!A:L,12,false)=TRUE,TRUE,FALSE)</f>
        <v>1</v>
      </c>
      <c r="I1573" s="68">
        <v>21.669365196608947</v>
      </c>
      <c r="J1573" s="68">
        <f t="shared" si="1"/>
        <v>10.8346826</v>
      </c>
      <c r="K1573" s="68" t="b">
        <v>1</v>
      </c>
    </row>
    <row r="1574" hidden="1">
      <c r="A1574" s="75">
        <v>1568.0</v>
      </c>
      <c r="B1574" s="62" t="s">
        <v>755</v>
      </c>
      <c r="C1574" s="62" t="s">
        <v>109</v>
      </c>
      <c r="D1574" s="62" t="s">
        <v>993</v>
      </c>
      <c r="E1574" s="76">
        <v>44050.0</v>
      </c>
      <c r="F1574" s="77">
        <v>0.041666666666666664</v>
      </c>
      <c r="G1574" s="62" t="b">
        <v>0</v>
      </c>
      <c r="H1574" s="78" t="b">
        <f>IF(VLOOKUP(C1574,Projetos!A:L,12,false)=TRUE,TRUE,FALSE)</f>
        <v>0</v>
      </c>
      <c r="I1574" s="68">
        <v>21.669365196608947</v>
      </c>
      <c r="J1574" s="68">
        <f t="shared" si="1"/>
        <v>0</v>
      </c>
      <c r="K1574" s="68" t="b">
        <v>0</v>
      </c>
    </row>
    <row r="1575" hidden="1">
      <c r="A1575" s="75">
        <v>1569.0</v>
      </c>
      <c r="B1575" s="62" t="s">
        <v>755</v>
      </c>
      <c r="C1575" s="62" t="s">
        <v>90</v>
      </c>
      <c r="D1575" s="62" t="s">
        <v>874</v>
      </c>
      <c r="E1575" s="76">
        <v>44053.0</v>
      </c>
      <c r="F1575" s="77">
        <v>0.041666666666666664</v>
      </c>
      <c r="G1575" s="62" t="b">
        <v>1</v>
      </c>
      <c r="H1575" s="78" t="b">
        <f>IF(VLOOKUP(C1575,Projetos!A:L,12,false)=TRUE,TRUE,FALSE)</f>
        <v>1</v>
      </c>
      <c r="I1575" s="68">
        <v>21.669365196608947</v>
      </c>
      <c r="J1575" s="68">
        <f t="shared" si="1"/>
        <v>21.6693652</v>
      </c>
      <c r="K1575" s="68" t="b">
        <v>1</v>
      </c>
    </row>
    <row r="1576" hidden="1">
      <c r="A1576" s="75">
        <v>1570.0</v>
      </c>
      <c r="B1576" s="62" t="s">
        <v>755</v>
      </c>
      <c r="C1576" s="62" t="s">
        <v>90</v>
      </c>
      <c r="D1576" s="62" t="s">
        <v>874</v>
      </c>
      <c r="E1576" s="76">
        <v>44054.0</v>
      </c>
      <c r="F1576" s="77">
        <v>0.041666666666666664</v>
      </c>
      <c r="G1576" s="62" t="b">
        <v>1</v>
      </c>
      <c r="H1576" s="78" t="b">
        <f>IF(VLOOKUP(C1576,Projetos!A:L,12,false)=TRUE,TRUE,FALSE)</f>
        <v>1</v>
      </c>
      <c r="I1576" s="68">
        <v>21.669365196608947</v>
      </c>
      <c r="J1576" s="68">
        <f t="shared" si="1"/>
        <v>21.6693652</v>
      </c>
      <c r="K1576" s="68" t="b">
        <v>1</v>
      </c>
    </row>
    <row r="1577" hidden="1">
      <c r="A1577" s="75">
        <v>1571.0</v>
      </c>
      <c r="B1577" s="62" t="s">
        <v>755</v>
      </c>
      <c r="C1577" s="62" t="s">
        <v>90</v>
      </c>
      <c r="D1577" s="62" t="s">
        <v>994</v>
      </c>
      <c r="E1577" s="76">
        <v>44054.0</v>
      </c>
      <c r="F1577" s="77">
        <v>0.16666666666666666</v>
      </c>
      <c r="G1577" s="62" t="b">
        <v>1</v>
      </c>
      <c r="H1577" s="78" t="b">
        <f>IF(VLOOKUP(C1577,Projetos!A:L,12,false)=TRUE,TRUE,FALSE)</f>
        <v>1</v>
      </c>
      <c r="I1577" s="68">
        <v>21.669365196608947</v>
      </c>
      <c r="J1577" s="68">
        <f t="shared" si="1"/>
        <v>86.67746079</v>
      </c>
      <c r="K1577" s="68" t="b">
        <v>1</v>
      </c>
    </row>
    <row r="1578" hidden="1">
      <c r="A1578" s="75">
        <v>1572.0</v>
      </c>
      <c r="B1578" s="62" t="s">
        <v>755</v>
      </c>
      <c r="C1578" s="62" t="s">
        <v>90</v>
      </c>
      <c r="D1578" s="62" t="s">
        <v>994</v>
      </c>
      <c r="E1578" s="76">
        <v>44055.0</v>
      </c>
      <c r="F1578" s="77">
        <v>0.10416666666666667</v>
      </c>
      <c r="G1578" s="62" t="b">
        <v>1</v>
      </c>
      <c r="H1578" s="78" t="b">
        <f>IF(VLOOKUP(C1578,Projetos!A:L,12,false)=TRUE,TRUE,FALSE)</f>
        <v>1</v>
      </c>
      <c r="I1578" s="68">
        <v>21.669365196608947</v>
      </c>
      <c r="J1578" s="68">
        <f t="shared" si="1"/>
        <v>54.17341299</v>
      </c>
      <c r="K1578" s="68" t="b">
        <v>1</v>
      </c>
    </row>
    <row r="1579" hidden="1">
      <c r="A1579" s="75">
        <v>1573.0</v>
      </c>
      <c r="B1579" s="62" t="s">
        <v>755</v>
      </c>
      <c r="C1579" s="62" t="s">
        <v>98</v>
      </c>
      <c r="D1579" s="62" t="s">
        <v>995</v>
      </c>
      <c r="E1579" s="76">
        <v>44055.0</v>
      </c>
      <c r="F1579" s="77">
        <v>0.041666666666666664</v>
      </c>
      <c r="G1579" s="62" t="b">
        <v>0</v>
      </c>
      <c r="H1579" s="78" t="b">
        <f>IF(VLOOKUP(C1579,Projetos!A:L,12,false)=TRUE,TRUE,FALSE)</f>
        <v>1</v>
      </c>
      <c r="I1579" s="68">
        <v>21.669365196608947</v>
      </c>
      <c r="J1579" s="68">
        <f t="shared" si="1"/>
        <v>0</v>
      </c>
      <c r="K1579" s="68" t="b">
        <v>1</v>
      </c>
    </row>
    <row r="1580" hidden="1">
      <c r="A1580" s="75">
        <v>1574.0</v>
      </c>
      <c r="B1580" s="62" t="s">
        <v>755</v>
      </c>
      <c r="C1580" s="62" t="s">
        <v>98</v>
      </c>
      <c r="D1580" s="62" t="s">
        <v>996</v>
      </c>
      <c r="E1580" s="76">
        <v>44055.0</v>
      </c>
      <c r="F1580" s="77">
        <v>0.020833333333333332</v>
      </c>
      <c r="G1580" s="62" t="b">
        <v>1</v>
      </c>
      <c r="H1580" s="78" t="b">
        <f>IF(VLOOKUP(C1580,Projetos!A:L,12,false)=TRUE,TRUE,FALSE)</f>
        <v>1</v>
      </c>
      <c r="I1580" s="68">
        <v>21.669365196608947</v>
      </c>
      <c r="J1580" s="68">
        <f t="shared" si="1"/>
        <v>10.8346826</v>
      </c>
      <c r="K1580" s="68" t="b">
        <v>1</v>
      </c>
    </row>
    <row r="1581" hidden="1">
      <c r="A1581" s="75">
        <v>1575.0</v>
      </c>
      <c r="B1581" s="62" t="s">
        <v>755</v>
      </c>
      <c r="C1581" s="62" t="s">
        <v>102</v>
      </c>
      <c r="D1581" s="62" t="s">
        <v>997</v>
      </c>
      <c r="E1581" s="76">
        <v>44055.0</v>
      </c>
      <c r="F1581" s="77">
        <v>0.020833333333333332</v>
      </c>
      <c r="G1581" s="62" t="b">
        <v>0</v>
      </c>
      <c r="H1581" s="78" t="b">
        <f>IF(VLOOKUP(C1581,Projetos!A:L,12,false)=TRUE,TRUE,FALSE)</f>
        <v>0</v>
      </c>
      <c r="I1581" s="68">
        <v>21.669365196608947</v>
      </c>
      <c r="J1581" s="68">
        <f t="shared" si="1"/>
        <v>0</v>
      </c>
      <c r="K1581" s="68" t="b">
        <v>0</v>
      </c>
    </row>
    <row r="1582" hidden="1">
      <c r="A1582" s="75">
        <v>1576.0</v>
      </c>
      <c r="B1582" s="62" t="s">
        <v>755</v>
      </c>
      <c r="C1582" s="62" t="s">
        <v>90</v>
      </c>
      <c r="D1582" s="62" t="s">
        <v>998</v>
      </c>
      <c r="E1582" s="76">
        <v>44055.0</v>
      </c>
      <c r="F1582" s="77">
        <v>0.020833333333333332</v>
      </c>
      <c r="G1582" s="62" t="b">
        <v>1</v>
      </c>
      <c r="H1582" s="78" t="b">
        <f>IF(VLOOKUP(C1582,Projetos!A:L,12,false)=TRUE,TRUE,FALSE)</f>
        <v>1</v>
      </c>
      <c r="I1582" s="68">
        <v>21.669365196608947</v>
      </c>
      <c r="J1582" s="68">
        <f t="shared" si="1"/>
        <v>10.8346826</v>
      </c>
      <c r="K1582" s="68" t="b">
        <v>1</v>
      </c>
    </row>
    <row r="1583" hidden="1">
      <c r="A1583" s="75">
        <v>1577.0</v>
      </c>
      <c r="B1583" s="62" t="s">
        <v>755</v>
      </c>
      <c r="C1583" s="62" t="s">
        <v>102</v>
      </c>
      <c r="D1583" s="62" t="s">
        <v>999</v>
      </c>
      <c r="E1583" s="76">
        <v>44055.0</v>
      </c>
      <c r="F1583" s="77">
        <v>0.041666666666666664</v>
      </c>
      <c r="G1583" s="62" t="b">
        <v>0</v>
      </c>
      <c r="H1583" s="78" t="b">
        <f>IF(VLOOKUP(C1583,Projetos!A:L,12,false)=TRUE,TRUE,FALSE)</f>
        <v>0</v>
      </c>
      <c r="I1583" s="68">
        <v>21.669365196608947</v>
      </c>
      <c r="J1583" s="68">
        <f t="shared" si="1"/>
        <v>0</v>
      </c>
      <c r="K1583" s="68" t="b">
        <v>0</v>
      </c>
    </row>
    <row r="1584" hidden="1">
      <c r="A1584" s="75">
        <v>1578.0</v>
      </c>
      <c r="B1584" s="62" t="s">
        <v>755</v>
      </c>
      <c r="C1584" s="62" t="s">
        <v>98</v>
      </c>
      <c r="D1584" s="62" t="s">
        <v>1000</v>
      </c>
      <c r="E1584" s="76">
        <v>44056.0</v>
      </c>
      <c r="F1584" s="77">
        <v>0.020833333333333332</v>
      </c>
      <c r="G1584" s="62" t="b">
        <v>1</v>
      </c>
      <c r="H1584" s="78" t="b">
        <f>IF(VLOOKUP(C1584,Projetos!A:L,12,false)=TRUE,TRUE,FALSE)</f>
        <v>1</v>
      </c>
      <c r="I1584" s="68">
        <v>21.669365196608947</v>
      </c>
      <c r="J1584" s="68">
        <f t="shared" si="1"/>
        <v>10.8346826</v>
      </c>
      <c r="K1584" s="68" t="b">
        <v>1</v>
      </c>
    </row>
    <row r="1585" hidden="1">
      <c r="A1585" s="75">
        <v>1579.0</v>
      </c>
      <c r="B1585" s="62" t="s">
        <v>755</v>
      </c>
      <c r="C1585" s="62" t="s">
        <v>102</v>
      </c>
      <c r="D1585" s="62" t="s">
        <v>1001</v>
      </c>
      <c r="E1585" s="76">
        <v>44056.0</v>
      </c>
      <c r="F1585" s="77">
        <v>0.020833333333333332</v>
      </c>
      <c r="G1585" s="62" t="b">
        <v>0</v>
      </c>
      <c r="H1585" s="78" t="b">
        <f>IF(VLOOKUP(C1585,Projetos!A:L,12,false)=TRUE,TRUE,FALSE)</f>
        <v>0</v>
      </c>
      <c r="I1585" s="68">
        <v>21.669365196608947</v>
      </c>
      <c r="J1585" s="68">
        <f t="shared" si="1"/>
        <v>0</v>
      </c>
      <c r="K1585" s="68" t="b">
        <v>0</v>
      </c>
    </row>
    <row r="1586" hidden="1">
      <c r="A1586" s="75">
        <v>1580.0</v>
      </c>
      <c r="B1586" s="62" t="s">
        <v>755</v>
      </c>
      <c r="C1586" s="62" t="s">
        <v>90</v>
      </c>
      <c r="D1586" s="62" t="s">
        <v>1002</v>
      </c>
      <c r="E1586" s="76">
        <v>44057.0</v>
      </c>
      <c r="F1586" s="77">
        <v>0.020833333333333332</v>
      </c>
      <c r="G1586" s="62" t="b">
        <v>1</v>
      </c>
      <c r="H1586" s="78" t="b">
        <f>IF(VLOOKUP(C1586,Projetos!A:L,12,false)=TRUE,TRUE,FALSE)</f>
        <v>1</v>
      </c>
      <c r="I1586" s="68">
        <v>21.669365196608947</v>
      </c>
      <c r="J1586" s="68">
        <f t="shared" si="1"/>
        <v>10.8346826</v>
      </c>
      <c r="K1586" s="68" t="b">
        <v>1</v>
      </c>
    </row>
    <row r="1587" hidden="1">
      <c r="A1587" s="75">
        <v>1581.0</v>
      </c>
      <c r="B1587" s="62" t="s">
        <v>755</v>
      </c>
      <c r="C1587" s="62" t="s">
        <v>90</v>
      </c>
      <c r="D1587" s="62" t="s">
        <v>874</v>
      </c>
      <c r="E1587" s="76">
        <v>44057.0</v>
      </c>
      <c r="F1587" s="77">
        <v>0.041666666666666664</v>
      </c>
      <c r="G1587" s="62" t="b">
        <v>1</v>
      </c>
      <c r="H1587" s="78" t="b">
        <f>IF(VLOOKUP(C1587,Projetos!A:L,12,false)=TRUE,TRUE,FALSE)</f>
        <v>1</v>
      </c>
      <c r="I1587" s="68">
        <v>21.669365196608947</v>
      </c>
      <c r="J1587" s="68">
        <f t="shared" si="1"/>
        <v>21.6693652</v>
      </c>
      <c r="K1587" s="68" t="b">
        <v>1</v>
      </c>
    </row>
    <row r="1588" hidden="1">
      <c r="A1588" s="75">
        <v>1582.0</v>
      </c>
      <c r="B1588" s="62" t="s">
        <v>755</v>
      </c>
      <c r="C1588" s="62" t="s">
        <v>102</v>
      </c>
      <c r="D1588" s="62" t="s">
        <v>1003</v>
      </c>
      <c r="E1588" s="76">
        <v>44060.0</v>
      </c>
      <c r="F1588" s="77">
        <v>0.125</v>
      </c>
      <c r="G1588" s="62" t="b">
        <v>0</v>
      </c>
      <c r="H1588" s="78" t="b">
        <f>IF(VLOOKUP(C1588,Projetos!A:L,12,false)=TRUE,TRUE,FALSE)</f>
        <v>0</v>
      </c>
      <c r="I1588" s="68">
        <v>21.669365196608947</v>
      </c>
      <c r="J1588" s="68">
        <f t="shared" si="1"/>
        <v>0</v>
      </c>
      <c r="K1588" s="68" t="b">
        <v>0</v>
      </c>
    </row>
    <row r="1589" hidden="1">
      <c r="A1589" s="75">
        <v>1583.0</v>
      </c>
      <c r="B1589" s="62" t="s">
        <v>755</v>
      </c>
      <c r="C1589" s="62" t="s">
        <v>90</v>
      </c>
      <c r="D1589" s="62" t="s">
        <v>1004</v>
      </c>
      <c r="E1589" s="76">
        <v>44060.0</v>
      </c>
      <c r="F1589" s="77">
        <v>0.0625</v>
      </c>
      <c r="G1589" s="62" t="b">
        <v>1</v>
      </c>
      <c r="H1589" s="78" t="b">
        <f>IF(VLOOKUP(C1589,Projetos!A:L,12,false)=TRUE,TRUE,FALSE)</f>
        <v>1</v>
      </c>
      <c r="I1589" s="68">
        <v>21.669365196608947</v>
      </c>
      <c r="J1589" s="68">
        <f t="shared" si="1"/>
        <v>32.50404779</v>
      </c>
      <c r="K1589" s="68" t="b">
        <v>1</v>
      </c>
    </row>
    <row r="1590">
      <c r="A1590" s="75">
        <v>1584.0</v>
      </c>
      <c r="B1590" s="62" t="s">
        <v>755</v>
      </c>
      <c r="C1590" s="62" t="s">
        <v>104</v>
      </c>
      <c r="D1590" s="62" t="s">
        <v>1005</v>
      </c>
      <c r="E1590" s="76">
        <v>44060.0</v>
      </c>
      <c r="F1590" s="77">
        <v>0.020833333333333332</v>
      </c>
      <c r="G1590" s="62" t="b">
        <v>1</v>
      </c>
      <c r="H1590" s="78" t="b">
        <f>IF(VLOOKUP(C1590,Projetos!A:L,12,false)=TRUE,TRUE,FALSE)</f>
        <v>1</v>
      </c>
      <c r="I1590" s="68">
        <v>21.669365196608947</v>
      </c>
      <c r="J1590" s="68">
        <f t="shared" si="1"/>
        <v>10.8346826</v>
      </c>
      <c r="K1590" s="68" t="b">
        <v>1</v>
      </c>
    </row>
    <row r="1591" hidden="1">
      <c r="A1591" s="75">
        <v>1585.0</v>
      </c>
      <c r="B1591" s="62" t="s">
        <v>755</v>
      </c>
      <c r="C1591" s="62" t="s">
        <v>88</v>
      </c>
      <c r="D1591" s="62" t="s">
        <v>1006</v>
      </c>
      <c r="E1591" s="76">
        <v>44060.0</v>
      </c>
      <c r="F1591" s="77">
        <v>0.020833333333333332</v>
      </c>
      <c r="G1591" s="62" t="b">
        <v>1</v>
      </c>
      <c r="H1591" s="78" t="b">
        <f>IF(VLOOKUP(C1591,Projetos!A:L,12,false)=TRUE,TRUE,FALSE)</f>
        <v>1</v>
      </c>
      <c r="I1591" s="68">
        <v>21.669365196608947</v>
      </c>
      <c r="J1591" s="68">
        <f t="shared" si="1"/>
        <v>10.8346826</v>
      </c>
      <c r="K1591" s="68" t="b">
        <v>1</v>
      </c>
    </row>
    <row r="1592">
      <c r="A1592" s="75">
        <v>1586.0</v>
      </c>
      <c r="B1592" s="62" t="s">
        <v>755</v>
      </c>
      <c r="C1592" s="62" t="s">
        <v>104</v>
      </c>
      <c r="D1592" s="62" t="s">
        <v>1007</v>
      </c>
      <c r="E1592" s="76">
        <v>44061.0</v>
      </c>
      <c r="F1592" s="77">
        <v>0.041666666666666664</v>
      </c>
      <c r="G1592" s="62" t="b">
        <v>1</v>
      </c>
      <c r="H1592" s="78" t="b">
        <f>IF(VLOOKUP(C1592,Projetos!A:L,12,false)=TRUE,TRUE,FALSE)</f>
        <v>1</v>
      </c>
      <c r="I1592" s="68">
        <v>21.669365196608947</v>
      </c>
      <c r="J1592" s="68">
        <f t="shared" si="1"/>
        <v>21.6693652</v>
      </c>
      <c r="K1592" s="68" t="b">
        <v>1</v>
      </c>
    </row>
    <row r="1593" hidden="1">
      <c r="A1593" s="75">
        <v>1587.0</v>
      </c>
      <c r="B1593" s="62" t="s">
        <v>755</v>
      </c>
      <c r="C1593" s="62" t="s">
        <v>90</v>
      </c>
      <c r="D1593" s="62" t="s">
        <v>1008</v>
      </c>
      <c r="E1593" s="76">
        <v>44061.0</v>
      </c>
      <c r="F1593" s="77">
        <v>0.08333333333333333</v>
      </c>
      <c r="G1593" s="62" t="b">
        <v>0</v>
      </c>
      <c r="H1593" s="78" t="b">
        <f>IF(VLOOKUP(C1593,Projetos!A:L,12,false)=TRUE,TRUE,FALSE)</f>
        <v>1</v>
      </c>
      <c r="I1593" s="68">
        <v>21.669365196608947</v>
      </c>
      <c r="J1593" s="68">
        <f t="shared" si="1"/>
        <v>0</v>
      </c>
      <c r="K1593" s="68" t="b">
        <v>1</v>
      </c>
    </row>
    <row r="1594" hidden="1">
      <c r="A1594" s="75">
        <v>1588.0</v>
      </c>
      <c r="B1594" s="62" t="s">
        <v>755</v>
      </c>
      <c r="C1594" s="62" t="s">
        <v>102</v>
      </c>
      <c r="D1594" s="62" t="s">
        <v>1009</v>
      </c>
      <c r="E1594" s="76">
        <v>44061.0</v>
      </c>
      <c r="F1594" s="77">
        <v>0.020833333333333332</v>
      </c>
      <c r="G1594" s="62" t="b">
        <v>0</v>
      </c>
      <c r="H1594" s="78" t="b">
        <f>IF(VLOOKUP(C1594,Projetos!A:L,12,false)=TRUE,TRUE,FALSE)</f>
        <v>0</v>
      </c>
      <c r="I1594" s="68">
        <v>21.669365196608947</v>
      </c>
      <c r="J1594" s="68">
        <f t="shared" si="1"/>
        <v>0</v>
      </c>
      <c r="K1594" s="68" t="b">
        <v>0</v>
      </c>
    </row>
    <row r="1595" hidden="1">
      <c r="A1595" s="75">
        <v>1589.0</v>
      </c>
      <c r="B1595" s="62" t="s">
        <v>755</v>
      </c>
      <c r="C1595" s="62" t="s">
        <v>90</v>
      </c>
      <c r="D1595" s="62" t="s">
        <v>874</v>
      </c>
      <c r="E1595" s="76">
        <v>44061.0</v>
      </c>
      <c r="F1595" s="77">
        <v>0.041666666666666664</v>
      </c>
      <c r="G1595" s="62" t="b">
        <v>1</v>
      </c>
      <c r="H1595" s="78" t="b">
        <f>IF(VLOOKUP(C1595,Projetos!A:L,12,false)=TRUE,TRUE,FALSE)</f>
        <v>1</v>
      </c>
      <c r="I1595" s="68">
        <v>21.669365196608947</v>
      </c>
      <c r="J1595" s="68">
        <f t="shared" si="1"/>
        <v>21.6693652</v>
      </c>
      <c r="K1595" s="68" t="b">
        <v>1</v>
      </c>
    </row>
    <row r="1596" hidden="1">
      <c r="A1596" s="75">
        <v>1590.0</v>
      </c>
      <c r="B1596" s="62" t="s">
        <v>755</v>
      </c>
      <c r="C1596" s="62" t="s">
        <v>90</v>
      </c>
      <c r="D1596" s="62" t="s">
        <v>1010</v>
      </c>
      <c r="E1596" s="76">
        <v>44062.0</v>
      </c>
      <c r="F1596" s="77">
        <v>0.041666666666666664</v>
      </c>
      <c r="G1596" s="62" t="b">
        <v>1</v>
      </c>
      <c r="H1596" s="78" t="b">
        <f>IF(VLOOKUP(C1596,Projetos!A:L,12,false)=TRUE,TRUE,FALSE)</f>
        <v>1</v>
      </c>
      <c r="I1596" s="68">
        <v>21.669365196608947</v>
      </c>
      <c r="J1596" s="68">
        <f t="shared" si="1"/>
        <v>21.6693652</v>
      </c>
      <c r="K1596" s="68" t="b">
        <v>1</v>
      </c>
    </row>
    <row r="1597" hidden="1">
      <c r="A1597" s="75">
        <v>1591.0</v>
      </c>
      <c r="B1597" s="62" t="s">
        <v>755</v>
      </c>
      <c r="C1597" s="62" t="s">
        <v>102</v>
      </c>
      <c r="D1597" s="62" t="s">
        <v>1011</v>
      </c>
      <c r="E1597" s="76">
        <v>44062.0</v>
      </c>
      <c r="F1597" s="77">
        <v>0.020833333333333332</v>
      </c>
      <c r="G1597" s="62" t="b">
        <v>0</v>
      </c>
      <c r="H1597" s="78" t="b">
        <f>IF(VLOOKUP(C1597,Projetos!A:L,12,false)=TRUE,TRUE,FALSE)</f>
        <v>0</v>
      </c>
      <c r="I1597" s="68">
        <v>21.669365196608947</v>
      </c>
      <c r="J1597" s="68">
        <f t="shared" si="1"/>
        <v>0</v>
      </c>
      <c r="K1597" s="68" t="b">
        <v>0</v>
      </c>
    </row>
    <row r="1598" hidden="1">
      <c r="A1598" s="75">
        <v>1592.0</v>
      </c>
      <c r="B1598" s="62" t="s">
        <v>755</v>
      </c>
      <c r="C1598" s="62" t="s">
        <v>116</v>
      </c>
      <c r="D1598" s="62" t="s">
        <v>1012</v>
      </c>
      <c r="E1598" s="76">
        <v>44062.0</v>
      </c>
      <c r="F1598" s="77">
        <v>0.0625</v>
      </c>
      <c r="G1598" s="62" t="b">
        <v>1</v>
      </c>
      <c r="H1598" s="78" t="b">
        <f>IF(VLOOKUP(C1598,Projetos!A:L,12,false)=TRUE,TRUE,FALSE)</f>
        <v>1</v>
      </c>
      <c r="I1598" s="68">
        <v>21.669365196608947</v>
      </c>
      <c r="J1598" s="68">
        <f t="shared" si="1"/>
        <v>32.50404779</v>
      </c>
      <c r="K1598" s="68" t="b">
        <v>1</v>
      </c>
    </row>
    <row r="1599" hidden="1">
      <c r="A1599" s="75">
        <v>1593.0</v>
      </c>
      <c r="B1599" s="62" t="s">
        <v>755</v>
      </c>
      <c r="C1599" s="62" t="s">
        <v>90</v>
      </c>
      <c r="D1599" s="62" t="s">
        <v>1013</v>
      </c>
      <c r="E1599" s="76">
        <v>44062.0</v>
      </c>
      <c r="F1599" s="77">
        <v>0.08333333333333333</v>
      </c>
      <c r="G1599" s="62" t="b">
        <v>1</v>
      </c>
      <c r="H1599" s="78" t="b">
        <f>IF(VLOOKUP(C1599,Projetos!A:L,12,false)=TRUE,TRUE,FALSE)</f>
        <v>1</v>
      </c>
      <c r="I1599" s="68">
        <v>21.669365196608947</v>
      </c>
      <c r="J1599" s="68">
        <f t="shared" si="1"/>
        <v>43.33873039</v>
      </c>
      <c r="K1599" s="68" t="b">
        <v>1</v>
      </c>
    </row>
    <row r="1600" hidden="1">
      <c r="A1600" s="75">
        <v>1594.0</v>
      </c>
      <c r="B1600" s="62" t="s">
        <v>755</v>
      </c>
      <c r="C1600" s="62" t="s">
        <v>115</v>
      </c>
      <c r="D1600" s="62" t="s">
        <v>1014</v>
      </c>
      <c r="E1600" s="76">
        <v>44063.0</v>
      </c>
      <c r="F1600" s="77">
        <v>0.041666666666666664</v>
      </c>
      <c r="G1600" s="62" t="b">
        <v>1</v>
      </c>
      <c r="H1600" s="78" t="b">
        <f>IF(VLOOKUP(C1600,Projetos!A:L,12,false)=TRUE,TRUE,FALSE)</f>
        <v>1</v>
      </c>
      <c r="I1600" s="68">
        <v>21.669365196608947</v>
      </c>
      <c r="J1600" s="68">
        <f t="shared" si="1"/>
        <v>21.6693652</v>
      </c>
      <c r="K1600" s="68" t="b">
        <v>1</v>
      </c>
    </row>
    <row r="1601" hidden="1">
      <c r="A1601" s="75">
        <v>1595.0</v>
      </c>
      <c r="B1601" s="62" t="s">
        <v>755</v>
      </c>
      <c r="C1601" s="62" t="s">
        <v>90</v>
      </c>
      <c r="D1601" s="62" t="s">
        <v>1013</v>
      </c>
      <c r="E1601" s="76">
        <v>44063.0</v>
      </c>
      <c r="F1601" s="77">
        <v>0.08333333333333333</v>
      </c>
      <c r="G1601" s="62" t="b">
        <v>1</v>
      </c>
      <c r="H1601" s="78" t="b">
        <f>IF(VLOOKUP(C1601,Projetos!A:L,12,false)=TRUE,TRUE,FALSE)</f>
        <v>1</v>
      </c>
      <c r="I1601" s="68">
        <v>21.669365196608947</v>
      </c>
      <c r="J1601" s="68">
        <f t="shared" si="1"/>
        <v>43.33873039</v>
      </c>
      <c r="K1601" s="68" t="b">
        <v>1</v>
      </c>
    </row>
    <row r="1602" hidden="1">
      <c r="A1602" s="75">
        <v>1596.0</v>
      </c>
      <c r="B1602" s="62" t="s">
        <v>755</v>
      </c>
      <c r="C1602" s="62" t="s">
        <v>115</v>
      </c>
      <c r="D1602" s="62" t="s">
        <v>1015</v>
      </c>
      <c r="E1602" s="76">
        <v>44063.0</v>
      </c>
      <c r="F1602" s="77">
        <v>0.041666666666666664</v>
      </c>
      <c r="G1602" s="62" t="b">
        <v>1</v>
      </c>
      <c r="H1602" s="78" t="b">
        <f>IF(VLOOKUP(C1602,Projetos!A:L,12,false)=TRUE,TRUE,FALSE)</f>
        <v>1</v>
      </c>
      <c r="I1602" s="68">
        <v>21.669365196608947</v>
      </c>
      <c r="J1602" s="68">
        <f t="shared" si="1"/>
        <v>21.6693652</v>
      </c>
      <c r="K1602" s="68" t="b">
        <v>1</v>
      </c>
    </row>
    <row r="1603" hidden="1">
      <c r="A1603" s="75">
        <v>1597.0</v>
      </c>
      <c r="B1603" s="62" t="s">
        <v>755</v>
      </c>
      <c r="C1603" s="62" t="s">
        <v>90</v>
      </c>
      <c r="D1603" s="62" t="s">
        <v>1002</v>
      </c>
      <c r="E1603" s="76">
        <v>44064.0</v>
      </c>
      <c r="F1603" s="77">
        <v>0.020833333333333332</v>
      </c>
      <c r="G1603" s="62" t="b">
        <v>1</v>
      </c>
      <c r="H1603" s="78" t="b">
        <f>IF(VLOOKUP(C1603,Projetos!A:L,12,false)=TRUE,TRUE,FALSE)</f>
        <v>1</v>
      </c>
      <c r="I1603" s="68">
        <v>21.669365196608947</v>
      </c>
      <c r="J1603" s="68">
        <f t="shared" si="1"/>
        <v>10.8346826</v>
      </c>
      <c r="K1603" s="68" t="b">
        <v>1</v>
      </c>
    </row>
    <row r="1604" hidden="1">
      <c r="A1604" s="75">
        <v>1598.0</v>
      </c>
      <c r="B1604" s="62" t="s">
        <v>755</v>
      </c>
      <c r="C1604" s="62" t="s">
        <v>102</v>
      </c>
      <c r="D1604" s="62" t="s">
        <v>1016</v>
      </c>
      <c r="E1604" s="76">
        <v>44064.0</v>
      </c>
      <c r="F1604" s="77">
        <v>0.020833333333333332</v>
      </c>
      <c r="G1604" s="62" t="b">
        <v>0</v>
      </c>
      <c r="H1604" s="78" t="b">
        <f>IF(VLOOKUP(C1604,Projetos!A:L,12,false)=TRUE,TRUE,FALSE)</f>
        <v>0</v>
      </c>
      <c r="I1604" s="68">
        <v>21.669365196608947</v>
      </c>
      <c r="J1604" s="68">
        <f t="shared" si="1"/>
        <v>0</v>
      </c>
      <c r="K1604" s="68" t="b">
        <v>0</v>
      </c>
    </row>
    <row r="1605" hidden="1">
      <c r="A1605" s="75">
        <v>1599.0</v>
      </c>
      <c r="B1605" s="62" t="s">
        <v>755</v>
      </c>
      <c r="C1605" s="62" t="s">
        <v>102</v>
      </c>
      <c r="D1605" s="62" t="s">
        <v>1017</v>
      </c>
      <c r="E1605" s="76">
        <v>44064.0</v>
      </c>
      <c r="F1605" s="77">
        <v>0.020833333333333332</v>
      </c>
      <c r="G1605" s="62" t="b">
        <v>0</v>
      </c>
      <c r="H1605" s="78" t="b">
        <f>IF(VLOOKUP(C1605,Projetos!A:L,12,false)=TRUE,TRUE,FALSE)</f>
        <v>0</v>
      </c>
      <c r="I1605" s="68">
        <v>21.669365196608947</v>
      </c>
      <c r="J1605" s="68">
        <f t="shared" si="1"/>
        <v>0</v>
      </c>
      <c r="K1605" s="68" t="b">
        <v>0</v>
      </c>
    </row>
    <row r="1606" hidden="1">
      <c r="A1606" s="75">
        <v>1600.0</v>
      </c>
      <c r="B1606" s="62" t="s">
        <v>755</v>
      </c>
      <c r="C1606" s="62" t="s">
        <v>102</v>
      </c>
      <c r="D1606" s="62" t="s">
        <v>1018</v>
      </c>
      <c r="E1606" s="76">
        <v>44064.0</v>
      </c>
      <c r="F1606" s="77">
        <v>0.020833333333333332</v>
      </c>
      <c r="G1606" s="62" t="b">
        <v>0</v>
      </c>
      <c r="H1606" s="78" t="b">
        <f>IF(VLOOKUP(C1606,Projetos!A:L,12,false)=TRUE,TRUE,FALSE)</f>
        <v>0</v>
      </c>
      <c r="I1606" s="68">
        <v>21.669365196608947</v>
      </c>
      <c r="J1606" s="68">
        <f t="shared" si="1"/>
        <v>0</v>
      </c>
      <c r="K1606" s="68" t="b">
        <v>0</v>
      </c>
    </row>
    <row r="1607" hidden="1">
      <c r="A1607" s="75">
        <v>1601.0</v>
      </c>
      <c r="B1607" s="62" t="s">
        <v>755</v>
      </c>
      <c r="C1607" s="62" t="s">
        <v>90</v>
      </c>
      <c r="D1607" s="62" t="s">
        <v>1019</v>
      </c>
      <c r="E1607" s="76">
        <v>44064.0</v>
      </c>
      <c r="F1607" s="77">
        <v>0.0625</v>
      </c>
      <c r="G1607" s="62" t="b">
        <v>1</v>
      </c>
      <c r="H1607" s="78" t="b">
        <f>IF(VLOOKUP(C1607,Projetos!A:L,12,false)=TRUE,TRUE,FALSE)</f>
        <v>1</v>
      </c>
      <c r="I1607" s="68">
        <v>21.669365196608947</v>
      </c>
      <c r="J1607" s="68">
        <f t="shared" si="1"/>
        <v>32.50404779</v>
      </c>
      <c r="K1607" s="68" t="b">
        <v>1</v>
      </c>
    </row>
    <row r="1608">
      <c r="A1608" s="75">
        <v>1602.0</v>
      </c>
      <c r="B1608" s="62" t="s">
        <v>755</v>
      </c>
      <c r="C1608" s="62" t="s">
        <v>104</v>
      </c>
      <c r="D1608" s="62" t="s">
        <v>1020</v>
      </c>
      <c r="E1608" s="76">
        <v>44064.0</v>
      </c>
      <c r="F1608" s="77">
        <v>0.041666666666666664</v>
      </c>
      <c r="G1608" s="62" t="b">
        <v>1</v>
      </c>
      <c r="H1608" s="78" t="b">
        <f>IF(VLOOKUP(C1608,Projetos!A:L,12,false)=TRUE,TRUE,FALSE)</f>
        <v>1</v>
      </c>
      <c r="I1608" s="68">
        <v>21.669365196608947</v>
      </c>
      <c r="J1608" s="68">
        <f t="shared" si="1"/>
        <v>21.6693652</v>
      </c>
      <c r="K1608" s="68" t="b">
        <v>1</v>
      </c>
    </row>
    <row r="1609" hidden="1">
      <c r="A1609" s="75">
        <v>1603.0</v>
      </c>
      <c r="B1609" s="62" t="s">
        <v>755</v>
      </c>
      <c r="C1609" s="62" t="s">
        <v>90</v>
      </c>
      <c r="D1609" s="62" t="s">
        <v>1021</v>
      </c>
      <c r="E1609" s="76">
        <v>44067.0</v>
      </c>
      <c r="F1609" s="77">
        <v>0.041666666666666664</v>
      </c>
      <c r="G1609" s="62" t="b">
        <v>1</v>
      </c>
      <c r="H1609" s="78" t="b">
        <f>IF(VLOOKUP(C1609,Projetos!A:L,12,false)=TRUE,TRUE,FALSE)</f>
        <v>1</v>
      </c>
      <c r="I1609" s="68">
        <v>21.669365196608947</v>
      </c>
      <c r="J1609" s="68">
        <f t="shared" si="1"/>
        <v>21.6693652</v>
      </c>
      <c r="K1609" s="68" t="b">
        <v>1</v>
      </c>
    </row>
    <row r="1610" hidden="1">
      <c r="A1610" s="75">
        <v>1604.0</v>
      </c>
      <c r="B1610" s="62" t="s">
        <v>755</v>
      </c>
      <c r="C1610" s="62" t="s">
        <v>90</v>
      </c>
      <c r="D1610" s="62" t="s">
        <v>1022</v>
      </c>
      <c r="E1610" s="76">
        <v>44067.0</v>
      </c>
      <c r="F1610" s="77">
        <v>0.020833333333333332</v>
      </c>
      <c r="G1610" s="62" t="b">
        <v>1</v>
      </c>
      <c r="H1610" s="78" t="b">
        <f>IF(VLOOKUP(C1610,Projetos!A:L,12,false)=TRUE,TRUE,FALSE)</f>
        <v>1</v>
      </c>
      <c r="I1610" s="68">
        <v>21.669365196608947</v>
      </c>
      <c r="J1610" s="68">
        <f t="shared" si="1"/>
        <v>10.8346826</v>
      </c>
      <c r="K1610" s="68" t="b">
        <v>1</v>
      </c>
    </row>
    <row r="1611">
      <c r="A1611" s="75">
        <v>1605.0</v>
      </c>
      <c r="B1611" s="62" t="s">
        <v>755</v>
      </c>
      <c r="C1611" s="62" t="s">
        <v>104</v>
      </c>
      <c r="D1611" s="62" t="s">
        <v>1023</v>
      </c>
      <c r="E1611" s="76">
        <v>44067.0</v>
      </c>
      <c r="F1611" s="77">
        <v>0.041666666666666664</v>
      </c>
      <c r="G1611" s="62" t="b">
        <v>1</v>
      </c>
      <c r="H1611" s="78" t="b">
        <f>IF(VLOOKUP(C1611,Projetos!A:L,12,false)=TRUE,TRUE,FALSE)</f>
        <v>1</v>
      </c>
      <c r="I1611" s="68">
        <v>21.669365196608947</v>
      </c>
      <c r="J1611" s="68">
        <f t="shared" si="1"/>
        <v>21.6693652</v>
      </c>
      <c r="K1611" s="68" t="b">
        <v>1</v>
      </c>
    </row>
    <row r="1612" hidden="1">
      <c r="A1612" s="75">
        <v>1606.0</v>
      </c>
      <c r="B1612" s="62" t="s">
        <v>755</v>
      </c>
      <c r="C1612" s="62" t="s">
        <v>90</v>
      </c>
      <c r="D1612" s="62" t="s">
        <v>874</v>
      </c>
      <c r="E1612" s="76">
        <v>44067.0</v>
      </c>
      <c r="F1612" s="77">
        <v>0.041666666666666664</v>
      </c>
      <c r="G1612" s="62" t="b">
        <v>1</v>
      </c>
      <c r="H1612" s="78" t="b">
        <f>IF(VLOOKUP(C1612,Projetos!A:L,12,false)=TRUE,TRUE,FALSE)</f>
        <v>1</v>
      </c>
      <c r="I1612" s="68">
        <v>21.669365196608947</v>
      </c>
      <c r="J1612" s="68">
        <f t="shared" si="1"/>
        <v>21.6693652</v>
      </c>
      <c r="K1612" s="68" t="b">
        <v>1</v>
      </c>
    </row>
    <row r="1613" hidden="1">
      <c r="A1613" s="75">
        <v>1607.0</v>
      </c>
      <c r="B1613" s="62" t="s">
        <v>755</v>
      </c>
      <c r="C1613" s="62" t="s">
        <v>115</v>
      </c>
      <c r="D1613" s="62" t="s">
        <v>1024</v>
      </c>
      <c r="E1613" s="76">
        <v>44068.0</v>
      </c>
      <c r="F1613" s="77">
        <v>0.041666666666666664</v>
      </c>
      <c r="G1613" s="62" t="b">
        <v>1</v>
      </c>
      <c r="H1613" s="78" t="b">
        <f>IF(VLOOKUP(C1613,Projetos!A:L,12,false)=TRUE,TRUE,FALSE)</f>
        <v>1</v>
      </c>
      <c r="I1613" s="68">
        <v>21.669365196608947</v>
      </c>
      <c r="J1613" s="68">
        <f t="shared" si="1"/>
        <v>21.6693652</v>
      </c>
      <c r="K1613" s="68" t="b">
        <v>1</v>
      </c>
    </row>
    <row r="1614" hidden="1">
      <c r="A1614" s="75">
        <v>1608.0</v>
      </c>
      <c r="B1614" s="62" t="s">
        <v>755</v>
      </c>
      <c r="C1614" s="62" t="s">
        <v>90</v>
      </c>
      <c r="D1614" s="62" t="s">
        <v>1025</v>
      </c>
      <c r="E1614" s="76">
        <v>44068.0</v>
      </c>
      <c r="F1614" s="77">
        <v>0.020833333333333332</v>
      </c>
      <c r="G1614" s="62" t="b">
        <v>1</v>
      </c>
      <c r="H1614" s="78" t="b">
        <f>IF(VLOOKUP(C1614,Projetos!A:L,12,false)=TRUE,TRUE,FALSE)</f>
        <v>1</v>
      </c>
      <c r="I1614" s="68">
        <v>21.669365196608947</v>
      </c>
      <c r="J1614" s="68">
        <f t="shared" si="1"/>
        <v>10.8346826</v>
      </c>
      <c r="K1614" s="68" t="b">
        <v>1</v>
      </c>
    </row>
    <row r="1615" hidden="1">
      <c r="A1615" s="75">
        <v>1609.0</v>
      </c>
      <c r="B1615" s="62" t="s">
        <v>755</v>
      </c>
      <c r="C1615" s="62" t="s">
        <v>90</v>
      </c>
      <c r="D1615" s="62" t="s">
        <v>1026</v>
      </c>
      <c r="E1615" s="76">
        <v>44068.0</v>
      </c>
      <c r="F1615" s="77">
        <v>0.14583333333333334</v>
      </c>
      <c r="G1615" s="62" t="b">
        <v>1</v>
      </c>
      <c r="H1615" s="78" t="b">
        <f>IF(VLOOKUP(C1615,Projetos!A:L,12,false)=TRUE,TRUE,FALSE)</f>
        <v>1</v>
      </c>
      <c r="I1615" s="68">
        <v>21.669365196608947</v>
      </c>
      <c r="J1615" s="68">
        <f t="shared" si="1"/>
        <v>75.84277819</v>
      </c>
      <c r="K1615" s="68" t="b">
        <v>1</v>
      </c>
    </row>
    <row r="1616" hidden="1">
      <c r="A1616" s="75">
        <v>1610.0</v>
      </c>
      <c r="B1616" s="62" t="s">
        <v>755</v>
      </c>
      <c r="C1616" s="62" t="s">
        <v>90</v>
      </c>
      <c r="D1616" s="62" t="s">
        <v>874</v>
      </c>
      <c r="E1616" s="76">
        <v>44068.0</v>
      </c>
      <c r="F1616" s="77">
        <v>0.041666666666666664</v>
      </c>
      <c r="G1616" s="62" t="b">
        <v>1</v>
      </c>
      <c r="H1616" s="78" t="b">
        <f>IF(VLOOKUP(C1616,Projetos!A:L,12,false)=TRUE,TRUE,FALSE)</f>
        <v>1</v>
      </c>
      <c r="I1616" s="68">
        <v>21.669365196608947</v>
      </c>
      <c r="J1616" s="68">
        <f t="shared" si="1"/>
        <v>21.6693652</v>
      </c>
      <c r="K1616" s="68" t="b">
        <v>1</v>
      </c>
    </row>
    <row r="1617" hidden="1">
      <c r="A1617" s="75">
        <v>1611.0</v>
      </c>
      <c r="B1617" s="62" t="s">
        <v>755</v>
      </c>
      <c r="C1617" s="62" t="s">
        <v>90</v>
      </c>
      <c r="D1617" s="62" t="s">
        <v>1027</v>
      </c>
      <c r="E1617" s="76">
        <v>44069.0</v>
      </c>
      <c r="F1617" s="77">
        <v>0.041666666666666664</v>
      </c>
      <c r="G1617" s="62" t="b">
        <v>1</v>
      </c>
      <c r="H1617" s="78" t="b">
        <f>IF(VLOOKUP(C1617,Projetos!A:L,12,false)=TRUE,TRUE,FALSE)</f>
        <v>1</v>
      </c>
      <c r="I1617" s="68">
        <v>21.669365196608947</v>
      </c>
      <c r="J1617" s="68">
        <f t="shared" si="1"/>
        <v>21.6693652</v>
      </c>
      <c r="K1617" s="68" t="b">
        <v>1</v>
      </c>
    </row>
    <row r="1618" hidden="1">
      <c r="A1618" s="75">
        <v>1612.0</v>
      </c>
      <c r="B1618" s="62" t="s">
        <v>755</v>
      </c>
      <c r="C1618" s="62" t="s">
        <v>90</v>
      </c>
      <c r="D1618" s="62" t="s">
        <v>1028</v>
      </c>
      <c r="E1618" s="76">
        <v>44069.0</v>
      </c>
      <c r="F1618" s="77">
        <v>0.041666666666666664</v>
      </c>
      <c r="G1618" s="62" t="b">
        <v>1</v>
      </c>
      <c r="H1618" s="78" t="b">
        <f>IF(VLOOKUP(C1618,Projetos!A:L,12,false)=TRUE,TRUE,FALSE)</f>
        <v>1</v>
      </c>
      <c r="I1618" s="68">
        <v>21.669365196608947</v>
      </c>
      <c r="J1618" s="68">
        <f t="shared" si="1"/>
        <v>21.6693652</v>
      </c>
      <c r="K1618" s="68" t="b">
        <v>1</v>
      </c>
    </row>
    <row r="1619" hidden="1">
      <c r="A1619" s="75">
        <v>1613.0</v>
      </c>
      <c r="B1619" s="62" t="s">
        <v>755</v>
      </c>
      <c r="C1619" s="62" t="s">
        <v>90</v>
      </c>
      <c r="D1619" s="62" t="s">
        <v>1029</v>
      </c>
      <c r="E1619" s="76">
        <v>44069.0</v>
      </c>
      <c r="F1619" s="77">
        <v>0.041666666666666664</v>
      </c>
      <c r="G1619" s="62" t="b">
        <v>1</v>
      </c>
      <c r="H1619" s="78" t="b">
        <f>IF(VLOOKUP(C1619,Projetos!A:L,12,false)=TRUE,TRUE,FALSE)</f>
        <v>1</v>
      </c>
      <c r="I1619" s="68">
        <v>21.669365196608947</v>
      </c>
      <c r="J1619" s="68">
        <f t="shared" si="1"/>
        <v>21.6693652</v>
      </c>
      <c r="K1619" s="68" t="b">
        <v>1</v>
      </c>
    </row>
    <row r="1620" hidden="1">
      <c r="A1620" s="75">
        <v>1614.0</v>
      </c>
      <c r="B1620" s="62" t="s">
        <v>755</v>
      </c>
      <c r="C1620" s="62" t="s">
        <v>110</v>
      </c>
      <c r="D1620" s="62" t="s">
        <v>1030</v>
      </c>
      <c r="E1620" s="76">
        <v>44069.0</v>
      </c>
      <c r="F1620" s="77">
        <v>0.125</v>
      </c>
      <c r="G1620" s="62" t="b">
        <v>1</v>
      </c>
      <c r="H1620" s="78" t="b">
        <f>IF(VLOOKUP(C1620,Projetos!A:L,12,false)=TRUE,TRUE,FALSE)</f>
        <v>1</v>
      </c>
      <c r="I1620" s="68">
        <v>21.669365196608947</v>
      </c>
      <c r="J1620" s="68">
        <f t="shared" si="1"/>
        <v>65.00809559</v>
      </c>
      <c r="K1620" s="68" t="b">
        <v>1</v>
      </c>
    </row>
    <row r="1621" hidden="1">
      <c r="A1621" s="75">
        <v>1615.0</v>
      </c>
      <c r="B1621" s="62" t="s">
        <v>755</v>
      </c>
      <c r="C1621" s="62" t="s">
        <v>109</v>
      </c>
      <c r="D1621" s="62" t="s">
        <v>1031</v>
      </c>
      <c r="E1621" s="76">
        <v>44069.0</v>
      </c>
      <c r="F1621" s="77">
        <v>0.041666666666666664</v>
      </c>
      <c r="G1621" s="62" t="b">
        <v>0</v>
      </c>
      <c r="H1621" s="78" t="b">
        <f>IF(VLOOKUP(C1621,Projetos!A:L,12,false)=TRUE,TRUE,FALSE)</f>
        <v>0</v>
      </c>
      <c r="I1621" s="68">
        <v>21.669365196608947</v>
      </c>
      <c r="J1621" s="68">
        <f t="shared" si="1"/>
        <v>0</v>
      </c>
      <c r="K1621" s="68" t="b">
        <v>0</v>
      </c>
    </row>
    <row r="1622" hidden="1">
      <c r="A1622" s="75">
        <v>1616.0</v>
      </c>
      <c r="B1622" s="62" t="s">
        <v>755</v>
      </c>
      <c r="C1622" s="62" t="s">
        <v>90</v>
      </c>
      <c r="D1622" s="62" t="s">
        <v>1032</v>
      </c>
      <c r="E1622" s="76">
        <v>44070.0</v>
      </c>
      <c r="F1622" s="77">
        <v>0.08333333333333333</v>
      </c>
      <c r="G1622" s="62" t="b">
        <v>1</v>
      </c>
      <c r="H1622" s="78" t="b">
        <f>IF(VLOOKUP(C1622,Projetos!A:L,12,false)=TRUE,TRUE,FALSE)</f>
        <v>1</v>
      </c>
      <c r="I1622" s="68">
        <v>21.669365196608947</v>
      </c>
      <c r="J1622" s="68">
        <f t="shared" si="1"/>
        <v>43.33873039</v>
      </c>
      <c r="K1622" s="68" t="b">
        <v>1</v>
      </c>
    </row>
    <row r="1623" hidden="1">
      <c r="A1623" s="75">
        <v>1617.0</v>
      </c>
      <c r="B1623" s="62" t="s">
        <v>755</v>
      </c>
      <c r="C1623" s="62" t="s">
        <v>115</v>
      </c>
      <c r="D1623" s="62" t="s">
        <v>1033</v>
      </c>
      <c r="E1623" s="76">
        <v>44070.0</v>
      </c>
      <c r="F1623" s="77">
        <v>0.041666666666666664</v>
      </c>
      <c r="G1623" s="62" t="b">
        <v>1</v>
      </c>
      <c r="H1623" s="78" t="b">
        <f>IF(VLOOKUP(C1623,Projetos!A:L,12,false)=TRUE,TRUE,FALSE)</f>
        <v>1</v>
      </c>
      <c r="I1623" s="68">
        <v>21.669365196608947</v>
      </c>
      <c r="J1623" s="68">
        <f t="shared" si="1"/>
        <v>21.6693652</v>
      </c>
      <c r="K1623" s="68" t="b">
        <v>1</v>
      </c>
    </row>
    <row r="1624" hidden="1">
      <c r="A1624" s="75">
        <v>1618.0</v>
      </c>
      <c r="B1624" s="62" t="s">
        <v>755</v>
      </c>
      <c r="C1624" s="62" t="s">
        <v>90</v>
      </c>
      <c r="D1624" s="62" t="s">
        <v>990</v>
      </c>
      <c r="E1624" s="76">
        <v>44071.0</v>
      </c>
      <c r="F1624" s="77">
        <v>0.020833333333333332</v>
      </c>
      <c r="G1624" s="62" t="b">
        <v>1</v>
      </c>
      <c r="H1624" s="78" t="b">
        <f>IF(VLOOKUP(C1624,Projetos!A:L,12,false)=TRUE,TRUE,FALSE)</f>
        <v>1</v>
      </c>
      <c r="I1624" s="68">
        <v>21.669365196608947</v>
      </c>
      <c r="J1624" s="68">
        <f t="shared" si="1"/>
        <v>10.8346826</v>
      </c>
      <c r="K1624" s="68" t="b">
        <v>1</v>
      </c>
    </row>
    <row r="1625" hidden="1">
      <c r="A1625" s="75">
        <v>1619.0</v>
      </c>
      <c r="B1625" s="62" t="s">
        <v>755</v>
      </c>
      <c r="C1625" s="62" t="s">
        <v>102</v>
      </c>
      <c r="D1625" s="62" t="s">
        <v>1034</v>
      </c>
      <c r="E1625" s="76">
        <v>44071.0</v>
      </c>
      <c r="F1625" s="77">
        <v>0.041666666666666664</v>
      </c>
      <c r="G1625" s="62" t="b">
        <v>0</v>
      </c>
      <c r="H1625" s="78" t="b">
        <f>IF(VLOOKUP(C1625,Projetos!A:L,12,false)=TRUE,TRUE,FALSE)</f>
        <v>0</v>
      </c>
      <c r="I1625" s="68">
        <v>21.669365196608947</v>
      </c>
      <c r="J1625" s="68">
        <f t="shared" si="1"/>
        <v>0</v>
      </c>
      <c r="K1625" s="68" t="b">
        <v>0</v>
      </c>
    </row>
    <row r="1626" hidden="1">
      <c r="A1626" s="75">
        <v>1620.0</v>
      </c>
      <c r="B1626" s="62" t="s">
        <v>755</v>
      </c>
      <c r="C1626" s="62" t="s">
        <v>90</v>
      </c>
      <c r="D1626" s="62" t="s">
        <v>1035</v>
      </c>
      <c r="E1626" s="76">
        <v>44071.0</v>
      </c>
      <c r="F1626" s="77">
        <v>0.10416666666666667</v>
      </c>
      <c r="G1626" s="62" t="b">
        <v>1</v>
      </c>
      <c r="H1626" s="78" t="b">
        <f>IF(VLOOKUP(C1626,Projetos!A:L,12,false)=TRUE,TRUE,FALSE)</f>
        <v>1</v>
      </c>
      <c r="I1626" s="68">
        <v>21.669365196608947</v>
      </c>
      <c r="J1626" s="68">
        <f t="shared" si="1"/>
        <v>54.17341299</v>
      </c>
      <c r="K1626" s="68" t="b">
        <v>1</v>
      </c>
    </row>
    <row r="1627" hidden="1">
      <c r="A1627" s="75">
        <v>1621.0</v>
      </c>
      <c r="B1627" s="62" t="s">
        <v>755</v>
      </c>
      <c r="C1627" s="62" t="s">
        <v>90</v>
      </c>
      <c r="D1627" s="62" t="s">
        <v>1036</v>
      </c>
      <c r="E1627" s="76">
        <v>44071.0</v>
      </c>
      <c r="F1627" s="77">
        <v>0.020833333333333332</v>
      </c>
      <c r="G1627" s="62" t="b">
        <v>1</v>
      </c>
      <c r="H1627" s="78" t="b">
        <f>IF(VLOOKUP(C1627,Projetos!A:L,12,false)=TRUE,TRUE,FALSE)</f>
        <v>1</v>
      </c>
      <c r="I1627" s="68">
        <v>21.669365196608947</v>
      </c>
      <c r="J1627" s="68">
        <f t="shared" si="1"/>
        <v>10.8346826</v>
      </c>
      <c r="K1627" s="68" t="b">
        <v>1</v>
      </c>
    </row>
    <row r="1628">
      <c r="A1628" s="75">
        <v>1622.0</v>
      </c>
      <c r="B1628" s="62" t="s">
        <v>755</v>
      </c>
      <c r="C1628" s="62" t="s">
        <v>104</v>
      </c>
      <c r="D1628" s="62" t="s">
        <v>841</v>
      </c>
      <c r="E1628" s="76">
        <v>44074.0</v>
      </c>
      <c r="F1628" s="77">
        <v>0.08333333333333333</v>
      </c>
      <c r="G1628" s="62" t="b">
        <v>1</v>
      </c>
      <c r="H1628" s="78" t="b">
        <f>IF(VLOOKUP(C1628,Projetos!A:L,12,false)=TRUE,TRUE,FALSE)</f>
        <v>1</v>
      </c>
      <c r="I1628" s="68">
        <v>21.669365196608947</v>
      </c>
      <c r="J1628" s="68">
        <f t="shared" si="1"/>
        <v>43.33873039</v>
      </c>
      <c r="K1628" s="68" t="b">
        <v>1</v>
      </c>
    </row>
    <row r="1629" hidden="1">
      <c r="A1629" s="75">
        <v>1623.0</v>
      </c>
      <c r="B1629" s="62" t="s">
        <v>755</v>
      </c>
      <c r="C1629" s="62" t="s">
        <v>90</v>
      </c>
      <c r="D1629" s="62" t="s">
        <v>1037</v>
      </c>
      <c r="E1629" s="76">
        <v>44074.0</v>
      </c>
      <c r="F1629" s="77">
        <v>0.041666666666666664</v>
      </c>
      <c r="G1629" s="62" t="b">
        <v>1</v>
      </c>
      <c r="H1629" s="78" t="b">
        <f>IF(VLOOKUP(C1629,Projetos!A:L,12,false)=TRUE,TRUE,FALSE)</f>
        <v>1</v>
      </c>
      <c r="I1629" s="68">
        <v>21.669365196608947</v>
      </c>
      <c r="J1629" s="68">
        <f t="shared" si="1"/>
        <v>21.6693652</v>
      </c>
      <c r="K1629" s="68" t="b">
        <v>1</v>
      </c>
    </row>
    <row r="1630" hidden="1">
      <c r="A1630" s="75">
        <v>1624.0</v>
      </c>
      <c r="B1630" s="62" t="s">
        <v>755</v>
      </c>
      <c r="C1630" s="62" t="s">
        <v>90</v>
      </c>
      <c r="D1630" s="62" t="s">
        <v>1026</v>
      </c>
      <c r="E1630" s="76">
        <v>44074.0</v>
      </c>
      <c r="F1630" s="77">
        <v>0.16666666666666666</v>
      </c>
      <c r="G1630" s="62" t="b">
        <v>1</v>
      </c>
      <c r="H1630" s="78" t="b">
        <f>IF(VLOOKUP(C1630,Projetos!A:L,12,false)=TRUE,TRUE,FALSE)</f>
        <v>1</v>
      </c>
      <c r="I1630" s="68">
        <v>21.669365196608947</v>
      </c>
      <c r="J1630" s="68">
        <f t="shared" si="1"/>
        <v>86.67746079</v>
      </c>
      <c r="K1630" s="68" t="b">
        <v>1</v>
      </c>
    </row>
    <row r="1631">
      <c r="A1631" s="75">
        <v>1625.0</v>
      </c>
      <c r="B1631" s="62" t="s">
        <v>755</v>
      </c>
      <c r="C1631" s="62" t="s">
        <v>104</v>
      </c>
      <c r="D1631" s="62" t="s">
        <v>1038</v>
      </c>
      <c r="E1631" s="76">
        <v>44075.0</v>
      </c>
      <c r="F1631" s="77">
        <v>0.041666666666666664</v>
      </c>
      <c r="G1631" s="62" t="b">
        <v>1</v>
      </c>
      <c r="H1631" s="78" t="b">
        <f>IF(VLOOKUP(C1631,Projetos!A:L,12,false)=TRUE,TRUE,FALSE)</f>
        <v>1</v>
      </c>
      <c r="I1631" s="68">
        <v>22.992671636822767</v>
      </c>
      <c r="J1631" s="68">
        <f t="shared" si="1"/>
        <v>22.99267164</v>
      </c>
      <c r="K1631" s="68" t="b">
        <v>1</v>
      </c>
    </row>
    <row r="1632" hidden="1">
      <c r="A1632" s="75">
        <v>1626.0</v>
      </c>
      <c r="B1632" s="62" t="s">
        <v>755</v>
      </c>
      <c r="C1632" s="62" t="s">
        <v>110</v>
      </c>
      <c r="D1632" s="62" t="s">
        <v>1039</v>
      </c>
      <c r="E1632" s="76">
        <v>44076.0</v>
      </c>
      <c r="F1632" s="77">
        <v>0.0625</v>
      </c>
      <c r="G1632" s="62" t="b">
        <v>1</v>
      </c>
      <c r="H1632" s="78" t="b">
        <f>IF(VLOOKUP(C1632,Projetos!A:L,12,false)=TRUE,TRUE,FALSE)</f>
        <v>1</v>
      </c>
      <c r="I1632" s="68">
        <v>22.992671636822767</v>
      </c>
      <c r="J1632" s="68">
        <f t="shared" si="1"/>
        <v>34.48900746</v>
      </c>
      <c r="K1632" s="68" t="b">
        <v>1</v>
      </c>
    </row>
    <row r="1633">
      <c r="A1633" s="75">
        <v>1627.0</v>
      </c>
      <c r="B1633" s="62" t="s">
        <v>755</v>
      </c>
      <c r="C1633" s="62" t="s">
        <v>104</v>
      </c>
      <c r="D1633" s="62" t="s">
        <v>1040</v>
      </c>
      <c r="E1633" s="76">
        <v>44077.0</v>
      </c>
      <c r="F1633" s="77">
        <v>0.041666666666666664</v>
      </c>
      <c r="G1633" s="62" t="b">
        <v>1</v>
      </c>
      <c r="H1633" s="78" t="b">
        <f>IF(VLOOKUP(C1633,Projetos!A:L,12,false)=TRUE,TRUE,FALSE)</f>
        <v>1</v>
      </c>
      <c r="I1633" s="68">
        <v>22.992671636822767</v>
      </c>
      <c r="J1633" s="68">
        <f t="shared" si="1"/>
        <v>22.99267164</v>
      </c>
      <c r="K1633" s="68" t="b">
        <v>1</v>
      </c>
    </row>
    <row r="1634" hidden="1">
      <c r="A1634" s="75">
        <v>1628.0</v>
      </c>
      <c r="B1634" s="62" t="s">
        <v>755</v>
      </c>
      <c r="C1634" s="62" t="s">
        <v>90</v>
      </c>
      <c r="D1634" s="62" t="s">
        <v>874</v>
      </c>
      <c r="E1634" s="76">
        <v>44077.0</v>
      </c>
      <c r="F1634" s="77">
        <v>0.041666666666666664</v>
      </c>
      <c r="G1634" s="62" t="b">
        <v>1</v>
      </c>
      <c r="H1634" s="78" t="b">
        <f>IF(VLOOKUP(C1634,Projetos!A:L,12,false)=TRUE,TRUE,FALSE)</f>
        <v>1</v>
      </c>
      <c r="I1634" s="68">
        <v>22.992671636822767</v>
      </c>
      <c r="J1634" s="68">
        <f t="shared" si="1"/>
        <v>22.99267164</v>
      </c>
      <c r="K1634" s="68" t="b">
        <v>1</v>
      </c>
    </row>
    <row r="1635" hidden="1">
      <c r="A1635" s="75">
        <v>1629.0</v>
      </c>
      <c r="B1635" s="62" t="s">
        <v>755</v>
      </c>
      <c r="C1635" s="62" t="s">
        <v>90</v>
      </c>
      <c r="D1635" s="62" t="s">
        <v>1041</v>
      </c>
      <c r="E1635" s="76">
        <v>44077.0</v>
      </c>
      <c r="F1635" s="77">
        <v>0.020833333333333332</v>
      </c>
      <c r="G1635" s="62" t="b">
        <v>1</v>
      </c>
      <c r="H1635" s="78" t="b">
        <f>IF(VLOOKUP(C1635,Projetos!A:L,12,false)=TRUE,TRUE,FALSE)</f>
        <v>1</v>
      </c>
      <c r="I1635" s="68">
        <v>22.992671636822767</v>
      </c>
      <c r="J1635" s="68">
        <f t="shared" si="1"/>
        <v>11.49633582</v>
      </c>
      <c r="K1635" s="68" t="b">
        <v>1</v>
      </c>
    </row>
    <row r="1636" hidden="1">
      <c r="A1636" s="75">
        <v>1630.0</v>
      </c>
      <c r="B1636" s="62" t="s">
        <v>755</v>
      </c>
      <c r="C1636" s="62" t="s">
        <v>90</v>
      </c>
      <c r="D1636" s="62" t="s">
        <v>897</v>
      </c>
      <c r="E1636" s="76">
        <v>44078.0</v>
      </c>
      <c r="F1636" s="77">
        <v>0.020833333333333332</v>
      </c>
      <c r="G1636" s="62" t="b">
        <v>1</v>
      </c>
      <c r="H1636" s="78" t="b">
        <f>IF(VLOOKUP(C1636,Projetos!A:L,12,false)=TRUE,TRUE,FALSE)</f>
        <v>1</v>
      </c>
      <c r="I1636" s="68">
        <v>22.992671636822767</v>
      </c>
      <c r="J1636" s="68">
        <f t="shared" si="1"/>
        <v>11.49633582</v>
      </c>
      <c r="K1636" s="68" t="b">
        <v>1</v>
      </c>
    </row>
    <row r="1637" hidden="1">
      <c r="A1637" s="75">
        <v>1631.0</v>
      </c>
      <c r="B1637" s="62" t="s">
        <v>755</v>
      </c>
      <c r="C1637" s="62" t="s">
        <v>110</v>
      </c>
      <c r="D1637" s="62" t="s">
        <v>1042</v>
      </c>
      <c r="E1637" s="76">
        <v>44078.0</v>
      </c>
      <c r="F1637" s="77">
        <v>0.041666666666666664</v>
      </c>
      <c r="G1637" s="62" t="b">
        <v>1</v>
      </c>
      <c r="H1637" s="78" t="b">
        <f>IF(VLOOKUP(C1637,Projetos!A:L,12,false)=TRUE,TRUE,FALSE)</f>
        <v>1</v>
      </c>
      <c r="I1637" s="68">
        <v>22.992671636822767</v>
      </c>
      <c r="J1637" s="68">
        <f t="shared" si="1"/>
        <v>22.99267164</v>
      </c>
      <c r="K1637" s="68" t="b">
        <v>1</v>
      </c>
    </row>
    <row r="1638" hidden="1">
      <c r="A1638" s="75">
        <v>1632.0</v>
      </c>
      <c r="B1638" s="62" t="s">
        <v>755</v>
      </c>
      <c r="C1638" s="62" t="s">
        <v>90</v>
      </c>
      <c r="D1638" s="62" t="s">
        <v>874</v>
      </c>
      <c r="E1638" s="76">
        <v>44083.0</v>
      </c>
      <c r="F1638" s="77">
        <v>0.041666666666666664</v>
      </c>
      <c r="G1638" s="62" t="b">
        <v>1</v>
      </c>
      <c r="H1638" s="78" t="b">
        <f>IF(VLOOKUP(C1638,Projetos!A:L,12,false)=TRUE,TRUE,FALSE)</f>
        <v>1</v>
      </c>
      <c r="I1638" s="68">
        <v>22.992671636822767</v>
      </c>
      <c r="J1638" s="68">
        <f t="shared" si="1"/>
        <v>22.99267164</v>
      </c>
      <c r="K1638" s="68" t="b">
        <v>1</v>
      </c>
    </row>
    <row r="1639" hidden="1">
      <c r="A1639" s="75">
        <v>1633.0</v>
      </c>
      <c r="B1639" s="62" t="s">
        <v>755</v>
      </c>
      <c r="C1639" s="62" t="s">
        <v>102</v>
      </c>
      <c r="D1639" s="62" t="s">
        <v>1043</v>
      </c>
      <c r="E1639" s="76">
        <v>44083.0</v>
      </c>
      <c r="F1639" s="77">
        <v>0.020833333333333332</v>
      </c>
      <c r="G1639" s="62" t="b">
        <v>0</v>
      </c>
      <c r="H1639" s="78" t="b">
        <f>IF(VLOOKUP(C1639,Projetos!A:L,12,false)=TRUE,TRUE,FALSE)</f>
        <v>0</v>
      </c>
      <c r="I1639" s="68">
        <v>22.992671636822767</v>
      </c>
      <c r="J1639" s="68">
        <f t="shared" si="1"/>
        <v>0</v>
      </c>
      <c r="K1639" s="68" t="b">
        <v>0</v>
      </c>
    </row>
    <row r="1640">
      <c r="A1640" s="75">
        <v>1634.0</v>
      </c>
      <c r="B1640" s="62" t="s">
        <v>755</v>
      </c>
      <c r="C1640" s="62" t="s">
        <v>104</v>
      </c>
      <c r="D1640" s="62" t="s">
        <v>1044</v>
      </c>
      <c r="E1640" s="76">
        <v>44083.0</v>
      </c>
      <c r="F1640" s="77">
        <v>0.041666666666666664</v>
      </c>
      <c r="G1640" s="62" t="b">
        <v>1</v>
      </c>
      <c r="H1640" s="78" t="b">
        <f>IF(VLOOKUP(C1640,Projetos!A:L,12,false)=TRUE,TRUE,FALSE)</f>
        <v>1</v>
      </c>
      <c r="I1640" s="68">
        <v>22.992671636822767</v>
      </c>
      <c r="J1640" s="68">
        <f t="shared" si="1"/>
        <v>22.99267164</v>
      </c>
      <c r="K1640" s="68" t="b">
        <v>1</v>
      </c>
    </row>
    <row r="1641" hidden="1">
      <c r="A1641" s="75">
        <v>1635.0</v>
      </c>
      <c r="B1641" s="62" t="s">
        <v>755</v>
      </c>
      <c r="C1641" s="62" t="s">
        <v>90</v>
      </c>
      <c r="D1641" s="62" t="s">
        <v>1045</v>
      </c>
      <c r="E1641" s="76">
        <v>44084.0</v>
      </c>
      <c r="F1641" s="77">
        <v>0.041666666666666664</v>
      </c>
      <c r="G1641" s="62" t="b">
        <v>1</v>
      </c>
      <c r="H1641" s="78" t="b">
        <f>IF(VLOOKUP(C1641,Projetos!A:L,12,false)=TRUE,TRUE,FALSE)</f>
        <v>1</v>
      </c>
      <c r="I1641" s="68">
        <v>22.992671636822767</v>
      </c>
      <c r="J1641" s="68">
        <f t="shared" si="1"/>
        <v>22.99267164</v>
      </c>
      <c r="K1641" s="68" t="b">
        <v>1</v>
      </c>
    </row>
    <row r="1642" hidden="1">
      <c r="A1642" s="75">
        <v>1636.0</v>
      </c>
      <c r="B1642" s="62" t="s">
        <v>755</v>
      </c>
      <c r="C1642" s="62" t="s">
        <v>110</v>
      </c>
      <c r="D1642" s="62" t="s">
        <v>1046</v>
      </c>
      <c r="E1642" s="76">
        <v>44084.0</v>
      </c>
      <c r="F1642" s="77">
        <v>0.041666666666666664</v>
      </c>
      <c r="G1642" s="62" t="b">
        <v>1</v>
      </c>
      <c r="H1642" s="78" t="b">
        <f>IF(VLOOKUP(C1642,Projetos!A:L,12,false)=TRUE,TRUE,FALSE)</f>
        <v>1</v>
      </c>
      <c r="I1642" s="68">
        <v>22.992671636822767</v>
      </c>
      <c r="J1642" s="68">
        <f t="shared" si="1"/>
        <v>22.99267164</v>
      </c>
      <c r="K1642" s="68" t="b">
        <v>1</v>
      </c>
    </row>
    <row r="1643" hidden="1">
      <c r="A1643" s="75">
        <v>1637.0</v>
      </c>
      <c r="B1643" s="62" t="s">
        <v>755</v>
      </c>
      <c r="C1643" s="62" t="s">
        <v>102</v>
      </c>
      <c r="D1643" s="62" t="s">
        <v>1047</v>
      </c>
      <c r="E1643" s="76">
        <v>44085.0</v>
      </c>
      <c r="F1643" s="77">
        <v>0.020833333333333332</v>
      </c>
      <c r="G1643" s="62" t="b">
        <v>0</v>
      </c>
      <c r="H1643" s="78" t="b">
        <f>IF(VLOOKUP(C1643,Projetos!A:L,12,false)=TRUE,TRUE,FALSE)</f>
        <v>0</v>
      </c>
      <c r="I1643" s="68">
        <v>22.992671636822767</v>
      </c>
      <c r="J1643" s="68">
        <f t="shared" si="1"/>
        <v>0</v>
      </c>
      <c r="K1643" s="68" t="b">
        <v>0</v>
      </c>
    </row>
    <row r="1644">
      <c r="A1644" s="75">
        <v>1638.0</v>
      </c>
      <c r="B1644" s="62" t="s">
        <v>755</v>
      </c>
      <c r="C1644" s="62" t="s">
        <v>104</v>
      </c>
      <c r="D1644" s="62" t="s">
        <v>1048</v>
      </c>
      <c r="E1644" s="76">
        <v>44085.0</v>
      </c>
      <c r="F1644" s="77">
        <v>0.020833333333333332</v>
      </c>
      <c r="G1644" s="62" t="b">
        <v>1</v>
      </c>
      <c r="H1644" s="78" t="b">
        <f>IF(VLOOKUP(C1644,Projetos!A:L,12,false)=TRUE,TRUE,FALSE)</f>
        <v>1</v>
      </c>
      <c r="I1644" s="68">
        <v>22.992671636822767</v>
      </c>
      <c r="J1644" s="68">
        <f t="shared" si="1"/>
        <v>11.49633582</v>
      </c>
      <c r="K1644" s="68" t="b">
        <v>1</v>
      </c>
    </row>
    <row r="1645" hidden="1">
      <c r="A1645" s="75">
        <v>1639.0</v>
      </c>
      <c r="B1645" s="62" t="s">
        <v>755</v>
      </c>
      <c r="C1645" s="62" t="s">
        <v>109</v>
      </c>
      <c r="D1645" s="62" t="s">
        <v>1049</v>
      </c>
      <c r="E1645" s="76">
        <v>44085.0</v>
      </c>
      <c r="F1645" s="77">
        <v>0.020833333333333332</v>
      </c>
      <c r="G1645" s="62" t="b">
        <v>0</v>
      </c>
      <c r="H1645" s="78" t="b">
        <f>IF(VLOOKUP(C1645,Projetos!A:L,12,false)=TRUE,TRUE,FALSE)</f>
        <v>0</v>
      </c>
      <c r="I1645" s="68">
        <v>22.992671636822767</v>
      </c>
      <c r="J1645" s="68">
        <f t="shared" si="1"/>
        <v>0</v>
      </c>
      <c r="K1645" s="68" t="b">
        <v>0</v>
      </c>
    </row>
    <row r="1646" hidden="1">
      <c r="A1646" s="75">
        <v>1640.0</v>
      </c>
      <c r="B1646" s="62" t="s">
        <v>755</v>
      </c>
      <c r="C1646" s="62" t="s">
        <v>90</v>
      </c>
      <c r="D1646" s="62" t="s">
        <v>1050</v>
      </c>
      <c r="E1646" s="76">
        <v>44085.0</v>
      </c>
      <c r="F1646" s="77">
        <v>0.020833333333333332</v>
      </c>
      <c r="G1646" s="62" t="b">
        <v>1</v>
      </c>
      <c r="H1646" s="78" t="b">
        <f>IF(VLOOKUP(C1646,Projetos!A:L,12,false)=TRUE,TRUE,FALSE)</f>
        <v>1</v>
      </c>
      <c r="I1646" s="68">
        <v>22.992671636822767</v>
      </c>
      <c r="J1646" s="68">
        <f t="shared" si="1"/>
        <v>11.49633582</v>
      </c>
      <c r="K1646" s="68" t="b">
        <v>1</v>
      </c>
    </row>
    <row r="1647" hidden="1">
      <c r="A1647" s="75">
        <v>1641.0</v>
      </c>
      <c r="B1647" s="62" t="s">
        <v>755</v>
      </c>
      <c r="C1647" s="62" t="s">
        <v>102</v>
      </c>
      <c r="D1647" s="62" t="s">
        <v>1011</v>
      </c>
      <c r="E1647" s="76">
        <v>44085.0</v>
      </c>
      <c r="F1647" s="77">
        <v>0.041666666666666664</v>
      </c>
      <c r="G1647" s="62" t="b">
        <v>0</v>
      </c>
      <c r="H1647" s="78" t="b">
        <f>IF(VLOOKUP(C1647,Projetos!A:L,12,false)=TRUE,TRUE,FALSE)</f>
        <v>0</v>
      </c>
      <c r="I1647" s="68">
        <v>22.992671636822767</v>
      </c>
      <c r="J1647" s="68">
        <f t="shared" si="1"/>
        <v>0</v>
      </c>
      <c r="K1647" s="68" t="b">
        <v>0</v>
      </c>
    </row>
    <row r="1648" hidden="1">
      <c r="A1648" s="75">
        <v>1642.0</v>
      </c>
      <c r="B1648" s="62" t="s">
        <v>755</v>
      </c>
      <c r="C1648" s="62" t="s">
        <v>138</v>
      </c>
      <c r="D1648" s="62" t="s">
        <v>1051</v>
      </c>
      <c r="E1648" s="76">
        <v>44088.0</v>
      </c>
      <c r="F1648" s="77">
        <v>0.020833333333333332</v>
      </c>
      <c r="G1648" s="62" t="b">
        <v>1</v>
      </c>
      <c r="H1648" s="78" t="b">
        <f>IF(VLOOKUP(C1648,Projetos!A:L,12,false)=TRUE,TRUE,FALSE)</f>
        <v>1</v>
      </c>
      <c r="I1648" s="68">
        <v>22.992671636822767</v>
      </c>
      <c r="J1648" s="68">
        <f t="shared" si="1"/>
        <v>11.49633582</v>
      </c>
      <c r="K1648" s="68" t="b">
        <v>1</v>
      </c>
    </row>
    <row r="1649">
      <c r="A1649" s="75">
        <v>1643.0</v>
      </c>
      <c r="B1649" s="62" t="s">
        <v>755</v>
      </c>
      <c r="C1649" s="62" t="s">
        <v>104</v>
      </c>
      <c r="D1649" s="62" t="s">
        <v>1052</v>
      </c>
      <c r="E1649" s="76">
        <v>44088.0</v>
      </c>
      <c r="F1649" s="77">
        <v>0.041666666666666664</v>
      </c>
      <c r="G1649" s="62" t="b">
        <v>1</v>
      </c>
      <c r="H1649" s="78" t="b">
        <f>IF(VLOOKUP(C1649,Projetos!A:L,12,false)=TRUE,TRUE,FALSE)</f>
        <v>1</v>
      </c>
      <c r="I1649" s="68">
        <v>22.992671636822767</v>
      </c>
      <c r="J1649" s="68">
        <f t="shared" si="1"/>
        <v>22.99267164</v>
      </c>
      <c r="K1649" s="68" t="b">
        <v>1</v>
      </c>
    </row>
    <row r="1650" hidden="1">
      <c r="A1650" s="75">
        <v>1644.0</v>
      </c>
      <c r="B1650" s="62" t="s">
        <v>755</v>
      </c>
      <c r="C1650" s="62" t="s">
        <v>90</v>
      </c>
      <c r="D1650" s="62" t="s">
        <v>1053</v>
      </c>
      <c r="E1650" s="76">
        <v>44088.0</v>
      </c>
      <c r="F1650" s="77">
        <v>0.041666666666666664</v>
      </c>
      <c r="G1650" s="62" t="b">
        <v>1</v>
      </c>
      <c r="H1650" s="78" t="b">
        <f>IF(VLOOKUP(C1650,Projetos!A:L,12,false)=TRUE,TRUE,FALSE)</f>
        <v>1</v>
      </c>
      <c r="I1650" s="68">
        <v>22.992671636822767</v>
      </c>
      <c r="J1650" s="68">
        <f t="shared" si="1"/>
        <v>22.99267164</v>
      </c>
      <c r="K1650" s="68" t="b">
        <v>1</v>
      </c>
    </row>
    <row r="1651" hidden="1">
      <c r="A1651" s="75">
        <v>1645.0</v>
      </c>
      <c r="B1651" s="62" t="s">
        <v>755</v>
      </c>
      <c r="C1651" s="62" t="s">
        <v>98</v>
      </c>
      <c r="D1651" s="62" t="s">
        <v>1054</v>
      </c>
      <c r="E1651" s="76">
        <v>44088.0</v>
      </c>
      <c r="F1651" s="77">
        <v>0.08333333333333333</v>
      </c>
      <c r="G1651" s="62" t="b">
        <v>1</v>
      </c>
      <c r="H1651" s="78" t="b">
        <f>IF(VLOOKUP(C1651,Projetos!A:L,12,false)=TRUE,TRUE,FALSE)</f>
        <v>1</v>
      </c>
      <c r="I1651" s="68">
        <v>22.992671636822767</v>
      </c>
      <c r="J1651" s="68">
        <f t="shared" si="1"/>
        <v>45.98534327</v>
      </c>
      <c r="K1651" s="68" t="b">
        <v>1</v>
      </c>
    </row>
    <row r="1652" hidden="1">
      <c r="A1652" s="75">
        <v>1646.0</v>
      </c>
      <c r="B1652" s="62" t="s">
        <v>755</v>
      </c>
      <c r="C1652" s="62" t="s">
        <v>138</v>
      </c>
      <c r="D1652" s="62" t="s">
        <v>1055</v>
      </c>
      <c r="E1652" s="76">
        <v>44089.0</v>
      </c>
      <c r="F1652" s="77">
        <v>0.041666666666666664</v>
      </c>
      <c r="G1652" s="62" t="b">
        <v>1</v>
      </c>
      <c r="H1652" s="78" t="b">
        <f>IF(VLOOKUP(C1652,Projetos!A:L,12,false)=TRUE,TRUE,FALSE)</f>
        <v>1</v>
      </c>
      <c r="I1652" s="68">
        <v>22.992671636822767</v>
      </c>
      <c r="J1652" s="68">
        <f t="shared" si="1"/>
        <v>22.99267164</v>
      </c>
      <c r="K1652" s="68" t="b">
        <v>1</v>
      </c>
    </row>
    <row r="1653" hidden="1">
      <c r="A1653" s="75">
        <v>1647.0</v>
      </c>
      <c r="B1653" s="62" t="s">
        <v>755</v>
      </c>
      <c r="C1653" s="62" t="s">
        <v>109</v>
      </c>
      <c r="D1653" s="62" t="s">
        <v>1056</v>
      </c>
      <c r="E1653" s="76">
        <v>44089.0</v>
      </c>
      <c r="F1653" s="77">
        <v>0.041666666666666664</v>
      </c>
      <c r="G1653" s="62" t="b">
        <v>0</v>
      </c>
      <c r="H1653" s="78" t="b">
        <f>IF(VLOOKUP(C1653,Projetos!A:L,12,false)=TRUE,TRUE,FALSE)</f>
        <v>0</v>
      </c>
      <c r="I1653" s="68">
        <v>22.992671636822767</v>
      </c>
      <c r="J1653" s="68">
        <f t="shared" si="1"/>
        <v>0</v>
      </c>
      <c r="K1653" s="68" t="b">
        <v>0</v>
      </c>
    </row>
    <row r="1654" hidden="1">
      <c r="A1654" s="75">
        <v>1648.0</v>
      </c>
      <c r="B1654" s="62" t="s">
        <v>755</v>
      </c>
      <c r="C1654" s="62" t="s">
        <v>90</v>
      </c>
      <c r="D1654" s="62" t="s">
        <v>1057</v>
      </c>
      <c r="E1654" s="76">
        <v>44089.0</v>
      </c>
      <c r="F1654" s="77">
        <v>0.020833333333333332</v>
      </c>
      <c r="G1654" s="62" t="b">
        <v>1</v>
      </c>
      <c r="H1654" s="78" t="b">
        <f>IF(VLOOKUP(C1654,Projetos!A:L,12,false)=TRUE,TRUE,FALSE)</f>
        <v>1</v>
      </c>
      <c r="I1654" s="68">
        <v>22.992671636822767</v>
      </c>
      <c r="J1654" s="68">
        <f t="shared" si="1"/>
        <v>11.49633582</v>
      </c>
      <c r="K1654" s="68" t="b">
        <v>1</v>
      </c>
    </row>
    <row r="1655">
      <c r="A1655" s="75">
        <v>1649.0</v>
      </c>
      <c r="B1655" s="62" t="s">
        <v>755</v>
      </c>
      <c r="C1655" s="62" t="s">
        <v>104</v>
      </c>
      <c r="D1655" s="62" t="s">
        <v>1058</v>
      </c>
      <c r="E1655" s="76">
        <v>44089.0</v>
      </c>
      <c r="F1655" s="77">
        <v>0.020833333333333332</v>
      </c>
      <c r="G1655" s="62" t="b">
        <v>1</v>
      </c>
      <c r="H1655" s="78" t="b">
        <f>IF(VLOOKUP(C1655,Projetos!A:L,12,false)=TRUE,TRUE,FALSE)</f>
        <v>1</v>
      </c>
      <c r="I1655" s="68">
        <v>22.992671636822767</v>
      </c>
      <c r="J1655" s="68">
        <f t="shared" si="1"/>
        <v>11.49633582</v>
      </c>
      <c r="K1655" s="68" t="b">
        <v>1</v>
      </c>
    </row>
    <row r="1656" hidden="1">
      <c r="A1656" s="75">
        <v>1650.0</v>
      </c>
      <c r="B1656" s="62" t="s">
        <v>755</v>
      </c>
      <c r="C1656" s="62" t="s">
        <v>102</v>
      </c>
      <c r="D1656" s="62" t="s">
        <v>1059</v>
      </c>
      <c r="E1656" s="76">
        <v>44090.0</v>
      </c>
      <c r="F1656" s="77">
        <v>0.3958333333333333</v>
      </c>
      <c r="G1656" s="62" t="b">
        <v>0</v>
      </c>
      <c r="H1656" s="78" t="b">
        <f>IF(VLOOKUP(C1656,Projetos!A:L,12,false)=TRUE,TRUE,FALSE)</f>
        <v>0</v>
      </c>
      <c r="I1656" s="68">
        <v>22.992671636822767</v>
      </c>
      <c r="J1656" s="68">
        <f t="shared" si="1"/>
        <v>0</v>
      </c>
      <c r="K1656" s="68" t="b">
        <v>0</v>
      </c>
    </row>
    <row r="1657" hidden="1">
      <c r="A1657" s="75">
        <v>1651.0</v>
      </c>
      <c r="B1657" s="62" t="s">
        <v>755</v>
      </c>
      <c r="C1657" s="62" t="s">
        <v>102</v>
      </c>
      <c r="D1657" s="62" t="s">
        <v>1060</v>
      </c>
      <c r="E1657" s="76">
        <v>44091.0</v>
      </c>
      <c r="F1657" s="77">
        <v>0.041666666666666664</v>
      </c>
      <c r="G1657" s="62" t="b">
        <v>0</v>
      </c>
      <c r="H1657" s="78" t="b">
        <f>IF(VLOOKUP(C1657,Projetos!A:L,12,false)=TRUE,TRUE,FALSE)</f>
        <v>0</v>
      </c>
      <c r="I1657" s="68">
        <v>22.992671636822767</v>
      </c>
      <c r="J1657" s="68">
        <f t="shared" si="1"/>
        <v>0</v>
      </c>
      <c r="K1657" s="68" t="b">
        <v>0</v>
      </c>
    </row>
    <row r="1658" hidden="1">
      <c r="A1658" s="75">
        <v>1652.0</v>
      </c>
      <c r="B1658" s="62" t="s">
        <v>755</v>
      </c>
      <c r="C1658" s="62" t="s">
        <v>90</v>
      </c>
      <c r="D1658" s="62" t="s">
        <v>1061</v>
      </c>
      <c r="E1658" s="76">
        <v>44091.0</v>
      </c>
      <c r="F1658" s="77">
        <v>0.08333333333333333</v>
      </c>
      <c r="G1658" s="62" t="b">
        <v>1</v>
      </c>
      <c r="H1658" s="78" t="b">
        <f>IF(VLOOKUP(C1658,Projetos!A:L,12,false)=TRUE,TRUE,FALSE)</f>
        <v>1</v>
      </c>
      <c r="I1658" s="68">
        <v>22.992671636822767</v>
      </c>
      <c r="J1658" s="68">
        <f t="shared" si="1"/>
        <v>45.98534327</v>
      </c>
      <c r="K1658" s="68" t="b">
        <v>1</v>
      </c>
    </row>
    <row r="1659">
      <c r="A1659" s="75">
        <v>1653.0</v>
      </c>
      <c r="B1659" s="62" t="s">
        <v>755</v>
      </c>
      <c r="C1659" s="62" t="s">
        <v>104</v>
      </c>
      <c r="D1659" s="62" t="s">
        <v>1062</v>
      </c>
      <c r="E1659" s="76">
        <v>44092.0</v>
      </c>
      <c r="F1659" s="77">
        <v>0.041666666666666664</v>
      </c>
      <c r="G1659" s="62" t="b">
        <v>1</v>
      </c>
      <c r="H1659" s="78" t="b">
        <f>IF(VLOOKUP(C1659,Projetos!A:L,12,false)=TRUE,TRUE,FALSE)</f>
        <v>1</v>
      </c>
      <c r="I1659" s="68">
        <v>22.992671636822767</v>
      </c>
      <c r="J1659" s="68">
        <f t="shared" si="1"/>
        <v>22.99267164</v>
      </c>
      <c r="K1659" s="68" t="b">
        <v>1</v>
      </c>
    </row>
    <row r="1660" hidden="1">
      <c r="A1660" s="75">
        <v>1654.0</v>
      </c>
      <c r="B1660" s="62" t="s">
        <v>755</v>
      </c>
      <c r="C1660" s="62" t="s">
        <v>102</v>
      </c>
      <c r="D1660" s="62" t="s">
        <v>1063</v>
      </c>
      <c r="E1660" s="76">
        <v>44092.0</v>
      </c>
      <c r="F1660" s="77">
        <v>0.08333333333333333</v>
      </c>
      <c r="G1660" s="62" t="b">
        <v>0</v>
      </c>
      <c r="H1660" s="78" t="b">
        <f>IF(VLOOKUP(C1660,Projetos!A:L,12,false)=TRUE,TRUE,FALSE)</f>
        <v>0</v>
      </c>
      <c r="I1660" s="68">
        <v>22.992671636822767</v>
      </c>
      <c r="J1660" s="68">
        <f t="shared" si="1"/>
        <v>0</v>
      </c>
      <c r="K1660" s="68" t="b">
        <v>0</v>
      </c>
    </row>
    <row r="1661" hidden="1">
      <c r="A1661" s="75">
        <v>1655.0</v>
      </c>
      <c r="B1661" s="62" t="s">
        <v>755</v>
      </c>
      <c r="C1661" s="62" t="s">
        <v>102</v>
      </c>
      <c r="D1661" s="62" t="s">
        <v>1064</v>
      </c>
      <c r="E1661" s="76">
        <v>44092.0</v>
      </c>
      <c r="F1661" s="77">
        <v>0.020833333333333332</v>
      </c>
      <c r="G1661" s="62" t="b">
        <v>0</v>
      </c>
      <c r="H1661" s="78" t="b">
        <f>IF(VLOOKUP(C1661,Projetos!A:L,12,false)=TRUE,TRUE,FALSE)</f>
        <v>0</v>
      </c>
      <c r="I1661" s="68">
        <v>22.992671636822767</v>
      </c>
      <c r="J1661" s="68">
        <f t="shared" si="1"/>
        <v>0</v>
      </c>
      <c r="K1661" s="68" t="b">
        <v>0</v>
      </c>
    </row>
    <row r="1662" hidden="1">
      <c r="A1662" s="75">
        <v>1656.0</v>
      </c>
      <c r="B1662" s="62" t="s">
        <v>755</v>
      </c>
      <c r="C1662" s="62" t="s">
        <v>90</v>
      </c>
      <c r="D1662" s="62" t="s">
        <v>874</v>
      </c>
      <c r="E1662" s="76">
        <v>44095.0</v>
      </c>
      <c r="F1662" s="77">
        <v>0.041666666666666664</v>
      </c>
      <c r="G1662" s="62" t="b">
        <v>1</v>
      </c>
      <c r="H1662" s="78" t="b">
        <f>IF(VLOOKUP(C1662,Projetos!A:L,12,false)=TRUE,TRUE,FALSE)</f>
        <v>1</v>
      </c>
      <c r="I1662" s="68">
        <v>22.992671636822767</v>
      </c>
      <c r="J1662" s="68">
        <f t="shared" si="1"/>
        <v>22.99267164</v>
      </c>
      <c r="K1662" s="68" t="b">
        <v>1</v>
      </c>
    </row>
    <row r="1663" hidden="1">
      <c r="A1663" s="75">
        <v>1657.0</v>
      </c>
      <c r="B1663" s="62" t="s">
        <v>755</v>
      </c>
      <c r="C1663" s="62" t="s">
        <v>102</v>
      </c>
      <c r="D1663" s="62" t="s">
        <v>1065</v>
      </c>
      <c r="E1663" s="76">
        <v>44095.0</v>
      </c>
      <c r="F1663" s="77">
        <v>0.020833333333333332</v>
      </c>
      <c r="G1663" s="62" t="b">
        <v>0</v>
      </c>
      <c r="H1663" s="78" t="b">
        <f>IF(VLOOKUP(C1663,Projetos!A:L,12,false)=TRUE,TRUE,FALSE)</f>
        <v>0</v>
      </c>
      <c r="I1663" s="68">
        <v>22.992671636822767</v>
      </c>
      <c r="J1663" s="68">
        <f t="shared" si="1"/>
        <v>0</v>
      </c>
      <c r="K1663" s="68" t="b">
        <v>0</v>
      </c>
    </row>
    <row r="1664" hidden="1">
      <c r="A1664" s="75">
        <v>1658.0</v>
      </c>
      <c r="B1664" s="62" t="s">
        <v>755</v>
      </c>
      <c r="C1664" s="62" t="s">
        <v>103</v>
      </c>
      <c r="D1664" s="62" t="s">
        <v>1066</v>
      </c>
      <c r="E1664" s="76">
        <v>44095.0</v>
      </c>
      <c r="F1664" s="77">
        <v>0.08333333333333333</v>
      </c>
      <c r="G1664" s="62" t="b">
        <v>1</v>
      </c>
      <c r="H1664" s="78" t="b">
        <f>IF(VLOOKUP(C1664,Projetos!A:L,12,false)=TRUE,TRUE,FALSE)</f>
        <v>1</v>
      </c>
      <c r="I1664" s="68">
        <v>22.992671636822767</v>
      </c>
      <c r="J1664" s="68">
        <f t="shared" si="1"/>
        <v>45.98534327</v>
      </c>
      <c r="K1664" s="68" t="b">
        <v>1</v>
      </c>
    </row>
    <row r="1665" hidden="1">
      <c r="A1665" s="75">
        <v>1659.0</v>
      </c>
      <c r="B1665" s="62" t="s">
        <v>755</v>
      </c>
      <c r="C1665" s="62" t="s">
        <v>103</v>
      </c>
      <c r="D1665" s="62" t="s">
        <v>1067</v>
      </c>
      <c r="E1665" s="76">
        <v>44096.0</v>
      </c>
      <c r="F1665" s="77">
        <v>0.10416666666666667</v>
      </c>
      <c r="G1665" s="62" t="b">
        <v>1</v>
      </c>
      <c r="H1665" s="78" t="b">
        <f>IF(VLOOKUP(C1665,Projetos!A:L,12,false)=TRUE,TRUE,FALSE)</f>
        <v>1</v>
      </c>
      <c r="I1665" s="68">
        <v>22.992671636822767</v>
      </c>
      <c r="J1665" s="68">
        <f t="shared" si="1"/>
        <v>57.48167909</v>
      </c>
      <c r="K1665" s="68" t="b">
        <v>1</v>
      </c>
    </row>
    <row r="1666" hidden="1">
      <c r="A1666" s="75">
        <v>1660.0</v>
      </c>
      <c r="B1666" s="62" t="s">
        <v>755</v>
      </c>
      <c r="C1666" s="62" t="s">
        <v>109</v>
      </c>
      <c r="D1666" s="62" t="s">
        <v>1068</v>
      </c>
      <c r="E1666" s="76">
        <v>44096.0</v>
      </c>
      <c r="F1666" s="77">
        <v>0.08333333333333333</v>
      </c>
      <c r="G1666" s="62" t="b">
        <v>0</v>
      </c>
      <c r="H1666" s="78" t="b">
        <f>IF(VLOOKUP(C1666,Projetos!A:L,12,false)=TRUE,TRUE,FALSE)</f>
        <v>0</v>
      </c>
      <c r="I1666" s="68">
        <v>22.992671636822767</v>
      </c>
      <c r="J1666" s="68">
        <f t="shared" si="1"/>
        <v>0</v>
      </c>
      <c r="K1666" s="68" t="b">
        <v>0</v>
      </c>
    </row>
    <row r="1667">
      <c r="A1667" s="75">
        <v>1661.0</v>
      </c>
      <c r="B1667" s="62" t="s">
        <v>755</v>
      </c>
      <c r="C1667" s="62" t="s">
        <v>104</v>
      </c>
      <c r="D1667" s="62" t="s">
        <v>1069</v>
      </c>
      <c r="E1667" s="76">
        <v>44097.0</v>
      </c>
      <c r="F1667" s="77">
        <v>0.020833333333333332</v>
      </c>
      <c r="G1667" s="62" t="b">
        <v>1</v>
      </c>
      <c r="H1667" s="78" t="b">
        <f>IF(VLOOKUP(C1667,Projetos!A:L,12,false)=TRUE,TRUE,FALSE)</f>
        <v>1</v>
      </c>
      <c r="I1667" s="68">
        <v>22.992671636822767</v>
      </c>
      <c r="J1667" s="68">
        <f t="shared" si="1"/>
        <v>11.49633582</v>
      </c>
      <c r="K1667" s="68" t="b">
        <v>1</v>
      </c>
    </row>
    <row r="1668">
      <c r="A1668" s="75">
        <v>1662.0</v>
      </c>
      <c r="B1668" s="62" t="s">
        <v>755</v>
      </c>
      <c r="C1668" s="62" t="s">
        <v>104</v>
      </c>
      <c r="D1668" s="62" t="s">
        <v>1070</v>
      </c>
      <c r="E1668" s="76">
        <v>44097.0</v>
      </c>
      <c r="F1668" s="77">
        <v>0.041666666666666664</v>
      </c>
      <c r="G1668" s="62" t="b">
        <v>1</v>
      </c>
      <c r="H1668" s="78" t="b">
        <f>IF(VLOOKUP(C1668,Projetos!A:L,12,false)=TRUE,TRUE,FALSE)</f>
        <v>1</v>
      </c>
      <c r="I1668" s="68">
        <v>22.992671636822767</v>
      </c>
      <c r="J1668" s="68">
        <f t="shared" si="1"/>
        <v>22.99267164</v>
      </c>
      <c r="K1668" s="68" t="b">
        <v>1</v>
      </c>
    </row>
    <row r="1669" hidden="1">
      <c r="A1669" s="75">
        <v>1663.0</v>
      </c>
      <c r="B1669" s="62" t="s">
        <v>755</v>
      </c>
      <c r="C1669" s="62" t="s">
        <v>90</v>
      </c>
      <c r="D1669" s="62" t="s">
        <v>1071</v>
      </c>
      <c r="E1669" s="76">
        <v>44097.0</v>
      </c>
      <c r="F1669" s="77">
        <v>0.020833333333333332</v>
      </c>
      <c r="G1669" s="62" t="b">
        <v>1</v>
      </c>
      <c r="H1669" s="78" t="b">
        <f>IF(VLOOKUP(C1669,Projetos!A:L,12,false)=TRUE,TRUE,FALSE)</f>
        <v>1</v>
      </c>
      <c r="I1669" s="68">
        <v>22.992671636822767</v>
      </c>
      <c r="J1669" s="68">
        <f t="shared" si="1"/>
        <v>11.49633582</v>
      </c>
      <c r="K1669" s="68" t="b">
        <v>1</v>
      </c>
    </row>
    <row r="1670" hidden="1">
      <c r="A1670" s="75">
        <v>1664.0</v>
      </c>
      <c r="B1670" s="62" t="s">
        <v>755</v>
      </c>
      <c r="C1670" s="62" t="s">
        <v>97</v>
      </c>
      <c r="D1670" s="62" t="s">
        <v>1072</v>
      </c>
      <c r="E1670" s="76">
        <v>44097.0</v>
      </c>
      <c r="F1670" s="77">
        <v>0.041666666666666664</v>
      </c>
      <c r="G1670" s="62" t="b">
        <v>0</v>
      </c>
      <c r="H1670" s="78" t="b">
        <f>IF(VLOOKUP(C1670,Projetos!A:L,12,false)=TRUE,TRUE,FALSE)</f>
        <v>1</v>
      </c>
      <c r="I1670" s="68">
        <v>22.992671636822767</v>
      </c>
      <c r="J1670" s="68">
        <f t="shared" si="1"/>
        <v>0</v>
      </c>
      <c r="K1670" s="68" t="b">
        <v>1</v>
      </c>
    </row>
    <row r="1671" hidden="1">
      <c r="A1671" s="75">
        <v>1665.0</v>
      </c>
      <c r="B1671" s="62" t="s">
        <v>755</v>
      </c>
      <c r="C1671" s="62" t="s">
        <v>100</v>
      </c>
      <c r="D1671" s="62" t="s">
        <v>1073</v>
      </c>
      <c r="E1671" s="76">
        <v>44097.0</v>
      </c>
      <c r="F1671" s="77">
        <v>0.020833333333333332</v>
      </c>
      <c r="G1671" s="62" t="b">
        <v>1</v>
      </c>
      <c r="H1671" s="78" t="b">
        <f>IF(VLOOKUP(C1671,Projetos!A:L,12,false)=TRUE,TRUE,FALSE)</f>
        <v>1</v>
      </c>
      <c r="I1671" s="68">
        <v>22.992671636822767</v>
      </c>
      <c r="J1671" s="68">
        <f t="shared" si="1"/>
        <v>11.49633582</v>
      </c>
      <c r="K1671" s="68" t="b">
        <v>1</v>
      </c>
    </row>
    <row r="1672" hidden="1">
      <c r="A1672" s="75">
        <v>1666.0</v>
      </c>
      <c r="B1672" s="62" t="s">
        <v>755</v>
      </c>
      <c r="C1672" s="62" t="s">
        <v>90</v>
      </c>
      <c r="D1672" s="62" t="s">
        <v>1074</v>
      </c>
      <c r="E1672" s="76">
        <v>44097.0</v>
      </c>
      <c r="F1672" s="77">
        <v>0.020833333333333332</v>
      </c>
      <c r="G1672" s="62" t="b">
        <v>1</v>
      </c>
      <c r="H1672" s="78" t="b">
        <f>IF(VLOOKUP(C1672,Projetos!A:L,12,false)=TRUE,TRUE,FALSE)</f>
        <v>1</v>
      </c>
      <c r="I1672" s="68">
        <v>22.992671636822767</v>
      </c>
      <c r="J1672" s="68">
        <f t="shared" si="1"/>
        <v>11.49633582</v>
      </c>
      <c r="K1672" s="68" t="b">
        <v>1</v>
      </c>
    </row>
    <row r="1673">
      <c r="A1673" s="75">
        <v>1667.0</v>
      </c>
      <c r="B1673" s="62" t="s">
        <v>755</v>
      </c>
      <c r="C1673" s="62" t="s">
        <v>104</v>
      </c>
      <c r="D1673" s="62" t="s">
        <v>1075</v>
      </c>
      <c r="E1673" s="76">
        <v>44097.0</v>
      </c>
      <c r="F1673" s="77">
        <v>0.020833333333333332</v>
      </c>
      <c r="G1673" s="62" t="b">
        <v>1</v>
      </c>
      <c r="H1673" s="78" t="b">
        <f>IF(VLOOKUP(C1673,Projetos!A:L,12,false)=TRUE,TRUE,FALSE)</f>
        <v>1</v>
      </c>
      <c r="I1673" s="68">
        <v>22.992671636822767</v>
      </c>
      <c r="J1673" s="68">
        <f t="shared" si="1"/>
        <v>11.49633582</v>
      </c>
      <c r="K1673" s="68" t="b">
        <v>1</v>
      </c>
    </row>
    <row r="1674" hidden="1">
      <c r="A1674" s="75">
        <v>1668.0</v>
      </c>
      <c r="B1674" s="62" t="s">
        <v>755</v>
      </c>
      <c r="C1674" s="62" t="s">
        <v>98</v>
      </c>
      <c r="D1674" s="62" t="s">
        <v>1076</v>
      </c>
      <c r="E1674" s="76">
        <v>44097.0</v>
      </c>
      <c r="F1674" s="77">
        <v>0.041666666666666664</v>
      </c>
      <c r="G1674" s="62" t="b">
        <v>1</v>
      </c>
      <c r="H1674" s="78" t="b">
        <f>IF(VLOOKUP(C1674,Projetos!A:L,12,false)=TRUE,TRUE,FALSE)</f>
        <v>1</v>
      </c>
      <c r="I1674" s="68">
        <v>22.992671636822767</v>
      </c>
      <c r="J1674" s="68">
        <f t="shared" si="1"/>
        <v>22.99267164</v>
      </c>
      <c r="K1674" s="68" t="b">
        <v>1</v>
      </c>
    </row>
    <row r="1675" hidden="1">
      <c r="A1675" s="75">
        <v>1669.0</v>
      </c>
      <c r="B1675" s="62" t="s">
        <v>755</v>
      </c>
      <c r="C1675" s="62" t="s">
        <v>108</v>
      </c>
      <c r="D1675" s="62" t="s">
        <v>1077</v>
      </c>
      <c r="E1675" s="76">
        <v>44098.0</v>
      </c>
      <c r="F1675" s="77">
        <v>0.041666666666666664</v>
      </c>
      <c r="G1675" s="62" t="b">
        <v>0</v>
      </c>
      <c r="H1675" s="78" t="b">
        <f>IF(VLOOKUP(C1675,Projetos!A:L,12,false)=TRUE,TRUE,FALSE)</f>
        <v>1</v>
      </c>
      <c r="I1675" s="68">
        <v>22.992671636822767</v>
      </c>
      <c r="J1675" s="68">
        <f t="shared" si="1"/>
        <v>0</v>
      </c>
      <c r="K1675" s="68" t="b">
        <v>1</v>
      </c>
    </row>
    <row r="1676" hidden="1">
      <c r="A1676" s="75">
        <v>1670.0</v>
      </c>
      <c r="B1676" s="62" t="s">
        <v>755</v>
      </c>
      <c r="C1676" s="62" t="s">
        <v>109</v>
      </c>
      <c r="D1676" s="62" t="s">
        <v>1078</v>
      </c>
      <c r="E1676" s="76">
        <v>44098.0</v>
      </c>
      <c r="F1676" s="77">
        <v>0.08333333333333333</v>
      </c>
      <c r="G1676" s="62" t="b">
        <v>0</v>
      </c>
      <c r="H1676" s="78" t="b">
        <f>IF(VLOOKUP(C1676,Projetos!A:L,12,false)=TRUE,TRUE,FALSE)</f>
        <v>0</v>
      </c>
      <c r="I1676" s="68">
        <v>22.992671636822767</v>
      </c>
      <c r="J1676" s="68">
        <f t="shared" si="1"/>
        <v>0</v>
      </c>
      <c r="K1676" s="68" t="b">
        <v>0</v>
      </c>
    </row>
    <row r="1677" hidden="1">
      <c r="A1677" s="75">
        <v>1671.0</v>
      </c>
      <c r="B1677" s="62" t="s">
        <v>755</v>
      </c>
      <c r="C1677" s="62" t="s">
        <v>103</v>
      </c>
      <c r="D1677" s="62" t="s">
        <v>1067</v>
      </c>
      <c r="E1677" s="76">
        <v>44098.0</v>
      </c>
      <c r="F1677" s="77">
        <v>0.08333333333333333</v>
      </c>
      <c r="G1677" s="62" t="b">
        <v>1</v>
      </c>
      <c r="H1677" s="78" t="b">
        <f>IF(VLOOKUP(C1677,Projetos!A:L,12,false)=TRUE,TRUE,FALSE)</f>
        <v>1</v>
      </c>
      <c r="I1677" s="68">
        <v>22.992671636822767</v>
      </c>
      <c r="J1677" s="68">
        <f t="shared" si="1"/>
        <v>45.98534327</v>
      </c>
      <c r="K1677" s="68" t="b">
        <v>1</v>
      </c>
    </row>
    <row r="1678" hidden="1">
      <c r="A1678" s="75">
        <v>1672.0</v>
      </c>
      <c r="B1678" s="62" t="s">
        <v>755</v>
      </c>
      <c r="C1678" s="62" t="s">
        <v>109</v>
      </c>
      <c r="D1678" s="62" t="s">
        <v>1078</v>
      </c>
      <c r="E1678" s="76">
        <v>44099.0</v>
      </c>
      <c r="F1678" s="77">
        <v>0.041666666666666664</v>
      </c>
      <c r="G1678" s="62" t="b">
        <v>0</v>
      </c>
      <c r="H1678" s="78" t="b">
        <f>IF(VLOOKUP(C1678,Projetos!A:L,12,false)=TRUE,TRUE,FALSE)</f>
        <v>0</v>
      </c>
      <c r="I1678" s="68">
        <v>22.992671636822767</v>
      </c>
      <c r="J1678" s="68">
        <f t="shared" si="1"/>
        <v>0</v>
      </c>
      <c r="K1678" s="68" t="b">
        <v>0</v>
      </c>
    </row>
    <row r="1679" hidden="1">
      <c r="A1679" s="75">
        <v>1673.0</v>
      </c>
      <c r="B1679" s="62" t="s">
        <v>755</v>
      </c>
      <c r="C1679" s="62" t="s">
        <v>138</v>
      </c>
      <c r="D1679" s="62" t="s">
        <v>1055</v>
      </c>
      <c r="E1679" s="76">
        <v>44099.0</v>
      </c>
      <c r="F1679" s="77">
        <v>0.020833333333333332</v>
      </c>
      <c r="G1679" s="62" t="b">
        <v>1</v>
      </c>
      <c r="H1679" s="78" t="b">
        <f>IF(VLOOKUP(C1679,Projetos!A:L,12,false)=TRUE,TRUE,FALSE)</f>
        <v>1</v>
      </c>
      <c r="I1679" s="68">
        <v>22.992671636822767</v>
      </c>
      <c r="J1679" s="68">
        <f t="shared" si="1"/>
        <v>11.49633582</v>
      </c>
      <c r="K1679" s="68" t="b">
        <v>1</v>
      </c>
    </row>
    <row r="1680" hidden="1">
      <c r="A1680" s="75">
        <v>1674.0</v>
      </c>
      <c r="B1680" s="62" t="s">
        <v>755</v>
      </c>
      <c r="C1680" s="62" t="s">
        <v>100</v>
      </c>
      <c r="D1680" s="62" t="s">
        <v>1079</v>
      </c>
      <c r="E1680" s="76">
        <v>44099.0</v>
      </c>
      <c r="F1680" s="77">
        <v>0.041666666666666664</v>
      </c>
      <c r="G1680" s="62" t="b">
        <v>1</v>
      </c>
      <c r="H1680" s="78" t="b">
        <f>IF(VLOOKUP(C1680,Projetos!A:L,12,false)=TRUE,TRUE,FALSE)</f>
        <v>1</v>
      </c>
      <c r="I1680" s="68">
        <v>22.992671636822767</v>
      </c>
      <c r="J1680" s="68">
        <f t="shared" si="1"/>
        <v>22.99267164</v>
      </c>
      <c r="K1680" s="68" t="b">
        <v>1</v>
      </c>
    </row>
    <row r="1681" hidden="1">
      <c r="A1681" s="75">
        <v>1675.0</v>
      </c>
      <c r="B1681" s="62" t="s">
        <v>755</v>
      </c>
      <c r="C1681" s="62" t="s">
        <v>100</v>
      </c>
      <c r="D1681" s="62" t="s">
        <v>1080</v>
      </c>
      <c r="E1681" s="76">
        <v>44099.0</v>
      </c>
      <c r="F1681" s="77">
        <v>0.041666666666666664</v>
      </c>
      <c r="G1681" s="62" t="b">
        <v>1</v>
      </c>
      <c r="H1681" s="78" t="b">
        <f>IF(VLOOKUP(C1681,Projetos!A:L,12,false)=TRUE,TRUE,FALSE)</f>
        <v>1</v>
      </c>
      <c r="I1681" s="68">
        <v>22.992671636822767</v>
      </c>
      <c r="J1681" s="68">
        <f t="shared" si="1"/>
        <v>22.99267164</v>
      </c>
      <c r="K1681" s="68" t="b">
        <v>1</v>
      </c>
    </row>
    <row r="1682">
      <c r="A1682" s="75">
        <v>1676.0</v>
      </c>
      <c r="B1682" s="62" t="s">
        <v>755</v>
      </c>
      <c r="C1682" s="62" t="s">
        <v>104</v>
      </c>
      <c r="D1682" s="62" t="s">
        <v>1081</v>
      </c>
      <c r="E1682" s="76">
        <v>44099.0</v>
      </c>
      <c r="F1682" s="77">
        <v>0.041666666666666664</v>
      </c>
      <c r="G1682" s="62" t="b">
        <v>1</v>
      </c>
      <c r="H1682" s="78" t="b">
        <f>IF(VLOOKUP(C1682,Projetos!A:L,12,false)=TRUE,TRUE,FALSE)</f>
        <v>1</v>
      </c>
      <c r="I1682" s="68">
        <v>22.992671636822767</v>
      </c>
      <c r="J1682" s="68">
        <f t="shared" si="1"/>
        <v>22.99267164</v>
      </c>
      <c r="K1682" s="68" t="b">
        <v>1</v>
      </c>
    </row>
    <row r="1683">
      <c r="A1683" s="75">
        <v>1677.0</v>
      </c>
      <c r="B1683" s="62" t="s">
        <v>755</v>
      </c>
      <c r="C1683" s="62" t="s">
        <v>104</v>
      </c>
      <c r="D1683" s="62" t="s">
        <v>1082</v>
      </c>
      <c r="E1683" s="76">
        <v>44099.0</v>
      </c>
      <c r="F1683" s="77">
        <v>0.020833333333333332</v>
      </c>
      <c r="G1683" s="62" t="b">
        <v>1</v>
      </c>
      <c r="H1683" s="78" t="b">
        <f>IF(VLOOKUP(C1683,Projetos!A:L,12,false)=TRUE,TRUE,FALSE)</f>
        <v>1</v>
      </c>
      <c r="I1683" s="68">
        <v>22.992671636822767</v>
      </c>
      <c r="J1683" s="68">
        <f t="shared" si="1"/>
        <v>11.49633582</v>
      </c>
      <c r="K1683" s="68" t="b">
        <v>1</v>
      </c>
    </row>
    <row r="1684" hidden="1">
      <c r="A1684" s="75">
        <v>1678.0</v>
      </c>
      <c r="B1684" s="62" t="s">
        <v>755</v>
      </c>
      <c r="C1684" s="62" t="s">
        <v>108</v>
      </c>
      <c r="D1684" s="62" t="s">
        <v>1083</v>
      </c>
      <c r="E1684" s="76">
        <v>44102.0</v>
      </c>
      <c r="F1684" s="77">
        <v>0.08333333333333333</v>
      </c>
      <c r="G1684" s="62" t="b">
        <v>1</v>
      </c>
      <c r="H1684" s="78" t="b">
        <f>IF(VLOOKUP(C1684,Projetos!A:L,12,false)=TRUE,TRUE,FALSE)</f>
        <v>1</v>
      </c>
      <c r="I1684" s="68">
        <v>22.992671636822767</v>
      </c>
      <c r="J1684" s="68">
        <f t="shared" si="1"/>
        <v>45.98534327</v>
      </c>
      <c r="K1684" s="68" t="b">
        <v>1</v>
      </c>
    </row>
    <row r="1685" hidden="1">
      <c r="A1685" s="75">
        <v>1679.0</v>
      </c>
      <c r="B1685" s="62" t="s">
        <v>755</v>
      </c>
      <c r="C1685" s="62" t="s">
        <v>90</v>
      </c>
      <c r="D1685" s="62" t="s">
        <v>874</v>
      </c>
      <c r="E1685" s="76">
        <v>44102.0</v>
      </c>
      <c r="F1685" s="77">
        <v>0.041666666666666664</v>
      </c>
      <c r="G1685" s="62" t="b">
        <v>1</v>
      </c>
      <c r="H1685" s="78" t="b">
        <f>IF(VLOOKUP(C1685,Projetos!A:L,12,false)=TRUE,TRUE,FALSE)</f>
        <v>1</v>
      </c>
      <c r="I1685" s="68">
        <v>22.992671636822767</v>
      </c>
      <c r="J1685" s="68">
        <f t="shared" si="1"/>
        <v>22.99267164</v>
      </c>
      <c r="K1685" s="68" t="b">
        <v>1</v>
      </c>
    </row>
    <row r="1686">
      <c r="A1686" s="75">
        <v>1680.0</v>
      </c>
      <c r="B1686" s="62" t="s">
        <v>755</v>
      </c>
      <c r="C1686" s="62" t="s">
        <v>104</v>
      </c>
      <c r="D1686" s="62" t="s">
        <v>1084</v>
      </c>
      <c r="E1686" s="76">
        <v>44102.0</v>
      </c>
      <c r="F1686" s="77">
        <v>0.041666666666666664</v>
      </c>
      <c r="G1686" s="62" t="b">
        <v>1</v>
      </c>
      <c r="H1686" s="78" t="b">
        <f>IF(VLOOKUP(C1686,Projetos!A:L,12,false)=TRUE,TRUE,FALSE)</f>
        <v>1</v>
      </c>
      <c r="I1686" s="68">
        <v>22.992671636822767</v>
      </c>
      <c r="J1686" s="68">
        <f t="shared" si="1"/>
        <v>22.99267164</v>
      </c>
      <c r="K1686" s="68" t="b">
        <v>1</v>
      </c>
    </row>
    <row r="1687" hidden="1">
      <c r="A1687" s="75">
        <v>1681.0</v>
      </c>
      <c r="B1687" s="62" t="s">
        <v>755</v>
      </c>
      <c r="C1687" s="62" t="s">
        <v>110</v>
      </c>
      <c r="D1687" s="62" t="s">
        <v>1085</v>
      </c>
      <c r="E1687" s="76">
        <v>44102.0</v>
      </c>
      <c r="F1687" s="77">
        <v>0.08333333333333333</v>
      </c>
      <c r="G1687" s="62" t="b">
        <v>1</v>
      </c>
      <c r="H1687" s="78" t="b">
        <f>IF(VLOOKUP(C1687,Projetos!A:L,12,false)=TRUE,TRUE,FALSE)</f>
        <v>1</v>
      </c>
      <c r="I1687" s="68">
        <v>22.992671636822767</v>
      </c>
      <c r="J1687" s="68">
        <f t="shared" si="1"/>
        <v>45.98534327</v>
      </c>
      <c r="K1687" s="68" t="b">
        <v>1</v>
      </c>
    </row>
    <row r="1688" hidden="1">
      <c r="A1688" s="75">
        <v>1682.0</v>
      </c>
      <c r="B1688" s="62" t="s">
        <v>755</v>
      </c>
      <c r="C1688" s="62" t="s">
        <v>103</v>
      </c>
      <c r="D1688" s="62" t="s">
        <v>1086</v>
      </c>
      <c r="E1688" s="76">
        <v>44103.0</v>
      </c>
      <c r="F1688" s="77">
        <v>0.041666666666666664</v>
      </c>
      <c r="G1688" s="62" t="b">
        <v>1</v>
      </c>
      <c r="H1688" s="78" t="b">
        <f>IF(VLOOKUP(C1688,Projetos!A:L,12,false)=TRUE,TRUE,FALSE)</f>
        <v>1</v>
      </c>
      <c r="I1688" s="68">
        <v>22.992671636822767</v>
      </c>
      <c r="J1688" s="68">
        <f t="shared" si="1"/>
        <v>22.99267164</v>
      </c>
      <c r="K1688" s="68" t="b">
        <v>1</v>
      </c>
    </row>
    <row r="1689" hidden="1">
      <c r="A1689" s="75">
        <v>1683.0</v>
      </c>
      <c r="B1689" s="62" t="s">
        <v>755</v>
      </c>
      <c r="C1689" s="62" t="s">
        <v>103</v>
      </c>
      <c r="D1689" s="62" t="s">
        <v>1087</v>
      </c>
      <c r="E1689" s="76">
        <v>44103.0</v>
      </c>
      <c r="F1689" s="77">
        <v>0.041666666666666664</v>
      </c>
      <c r="G1689" s="62" t="b">
        <v>1</v>
      </c>
      <c r="H1689" s="78" t="b">
        <f>IF(VLOOKUP(C1689,Projetos!A:L,12,false)=TRUE,TRUE,FALSE)</f>
        <v>1</v>
      </c>
      <c r="I1689" s="68">
        <v>22.992671636822767</v>
      </c>
      <c r="J1689" s="68">
        <f t="shared" si="1"/>
        <v>22.99267164</v>
      </c>
      <c r="K1689" s="68" t="b">
        <v>1</v>
      </c>
    </row>
    <row r="1690" hidden="1">
      <c r="A1690" s="75">
        <v>1684.0</v>
      </c>
      <c r="B1690" s="62" t="s">
        <v>755</v>
      </c>
      <c r="C1690" s="62" t="s">
        <v>102</v>
      </c>
      <c r="D1690" s="62" t="s">
        <v>1088</v>
      </c>
      <c r="E1690" s="76">
        <v>44103.0</v>
      </c>
      <c r="F1690" s="77">
        <v>0.10416666666666667</v>
      </c>
      <c r="G1690" s="62" t="b">
        <v>0</v>
      </c>
      <c r="H1690" s="78" t="b">
        <f>IF(VLOOKUP(C1690,Projetos!A:L,12,false)=TRUE,TRUE,FALSE)</f>
        <v>0</v>
      </c>
      <c r="I1690" s="68">
        <v>22.992671636822767</v>
      </c>
      <c r="J1690" s="68">
        <f t="shared" si="1"/>
        <v>0</v>
      </c>
      <c r="K1690" s="68" t="b">
        <v>0</v>
      </c>
    </row>
    <row r="1691" hidden="1">
      <c r="A1691" s="75">
        <v>1685.0</v>
      </c>
      <c r="B1691" s="62" t="s">
        <v>755</v>
      </c>
      <c r="C1691" s="62" t="s">
        <v>102</v>
      </c>
      <c r="D1691" s="62" t="s">
        <v>1089</v>
      </c>
      <c r="E1691" s="76">
        <v>44104.0</v>
      </c>
      <c r="F1691" s="77">
        <v>0.041666666666666664</v>
      </c>
      <c r="G1691" s="62" t="b">
        <v>0</v>
      </c>
      <c r="H1691" s="78" t="b">
        <f>IF(VLOOKUP(C1691,Projetos!A:L,12,false)=TRUE,TRUE,FALSE)</f>
        <v>0</v>
      </c>
      <c r="I1691" s="68">
        <v>22.992671636822767</v>
      </c>
      <c r="J1691" s="68">
        <f t="shared" si="1"/>
        <v>0</v>
      </c>
      <c r="K1691" s="68" t="b">
        <v>0</v>
      </c>
    </row>
    <row r="1692" hidden="1">
      <c r="A1692" s="75">
        <v>1686.0</v>
      </c>
      <c r="B1692" s="62" t="s">
        <v>755</v>
      </c>
      <c r="C1692" s="62" t="s">
        <v>103</v>
      </c>
      <c r="D1692" s="62" t="s">
        <v>1090</v>
      </c>
      <c r="E1692" s="76">
        <v>44104.0</v>
      </c>
      <c r="F1692" s="77">
        <v>0.041666666666666664</v>
      </c>
      <c r="G1692" s="62" t="b">
        <v>1</v>
      </c>
      <c r="H1692" s="78" t="b">
        <f>IF(VLOOKUP(C1692,Projetos!A:L,12,false)=TRUE,TRUE,FALSE)</f>
        <v>1</v>
      </c>
      <c r="I1692" s="68">
        <v>22.992671636822767</v>
      </c>
      <c r="J1692" s="68">
        <f t="shared" si="1"/>
        <v>22.99267164</v>
      </c>
      <c r="K1692" s="68" t="b">
        <v>1</v>
      </c>
    </row>
    <row r="1693" hidden="1">
      <c r="A1693" s="75">
        <v>1687.0</v>
      </c>
      <c r="B1693" s="62" t="s">
        <v>755</v>
      </c>
      <c r="C1693" s="62" t="s">
        <v>103</v>
      </c>
      <c r="D1693" s="62" t="s">
        <v>1091</v>
      </c>
      <c r="E1693" s="76">
        <v>44104.0</v>
      </c>
      <c r="F1693" s="77">
        <v>0.020833333333333332</v>
      </c>
      <c r="G1693" s="62" t="b">
        <v>1</v>
      </c>
      <c r="H1693" s="78" t="b">
        <f>IF(VLOOKUP(C1693,Projetos!A:L,12,false)=TRUE,TRUE,FALSE)</f>
        <v>1</v>
      </c>
      <c r="I1693" s="68">
        <v>22.992671636822767</v>
      </c>
      <c r="J1693" s="68">
        <f t="shared" si="1"/>
        <v>11.49633582</v>
      </c>
      <c r="K1693" s="68" t="b">
        <v>1</v>
      </c>
    </row>
    <row r="1694" hidden="1">
      <c r="A1694" s="75">
        <v>1688.0</v>
      </c>
      <c r="B1694" s="62" t="s">
        <v>755</v>
      </c>
      <c r="C1694" s="62" t="s">
        <v>98</v>
      </c>
      <c r="D1694" s="62" t="s">
        <v>1092</v>
      </c>
      <c r="E1694" s="76">
        <v>44104.0</v>
      </c>
      <c r="F1694" s="77">
        <v>0.020833333333333332</v>
      </c>
      <c r="G1694" s="62" t="b">
        <v>1</v>
      </c>
      <c r="H1694" s="78" t="b">
        <f>IF(VLOOKUP(C1694,Projetos!A:L,12,false)=TRUE,TRUE,FALSE)</f>
        <v>1</v>
      </c>
      <c r="I1694" s="68">
        <v>22.992671636822767</v>
      </c>
      <c r="J1694" s="68">
        <f t="shared" si="1"/>
        <v>11.49633582</v>
      </c>
      <c r="K1694" s="68" t="b">
        <v>1</v>
      </c>
    </row>
    <row r="1695" hidden="1">
      <c r="A1695" s="75">
        <v>1689.0</v>
      </c>
      <c r="B1695" s="62" t="s">
        <v>755</v>
      </c>
      <c r="C1695" s="62" t="s">
        <v>109</v>
      </c>
      <c r="D1695" s="62" t="s">
        <v>1093</v>
      </c>
      <c r="E1695" s="76">
        <v>44104.0</v>
      </c>
      <c r="F1695" s="77">
        <v>0.0625</v>
      </c>
      <c r="G1695" s="62" t="b">
        <v>0</v>
      </c>
      <c r="H1695" s="78" t="b">
        <f>IF(VLOOKUP(C1695,Projetos!A:L,12,false)=TRUE,TRUE,FALSE)</f>
        <v>0</v>
      </c>
      <c r="I1695" s="68">
        <v>22.992671636822767</v>
      </c>
      <c r="J1695" s="68">
        <f t="shared" si="1"/>
        <v>0</v>
      </c>
      <c r="K1695" s="68" t="b">
        <v>0</v>
      </c>
    </row>
    <row r="1696" hidden="1">
      <c r="A1696" s="75">
        <v>1690.0</v>
      </c>
      <c r="B1696" s="62" t="s">
        <v>755</v>
      </c>
      <c r="C1696" s="62" t="s">
        <v>102</v>
      </c>
      <c r="D1696" s="62" t="s">
        <v>1094</v>
      </c>
      <c r="E1696" s="76">
        <v>44104.0</v>
      </c>
      <c r="F1696" s="77">
        <v>0.0625</v>
      </c>
      <c r="G1696" s="62" t="b">
        <v>0</v>
      </c>
      <c r="H1696" s="78" t="b">
        <f>IF(VLOOKUP(C1696,Projetos!A:L,12,false)=TRUE,TRUE,FALSE)</f>
        <v>0</v>
      </c>
      <c r="I1696" s="68">
        <v>22.992671636822767</v>
      </c>
      <c r="J1696" s="68">
        <f t="shared" si="1"/>
        <v>0</v>
      </c>
      <c r="K1696" s="68" t="b">
        <v>0</v>
      </c>
    </row>
    <row r="1697" hidden="1">
      <c r="A1697" s="75">
        <v>1691.0</v>
      </c>
      <c r="B1697" s="62" t="s">
        <v>755</v>
      </c>
      <c r="C1697" s="62" t="s">
        <v>98</v>
      </c>
      <c r="D1697" s="62" t="s">
        <v>1095</v>
      </c>
      <c r="E1697" s="76">
        <v>44105.0</v>
      </c>
      <c r="F1697" s="77">
        <v>0.14583333333333334</v>
      </c>
      <c r="G1697" s="62" t="b">
        <v>1</v>
      </c>
      <c r="H1697" s="78" t="b">
        <f>IF(VLOOKUP(C1697,Projetos!A:L,12,false)=TRUE,TRUE,FALSE)</f>
        <v>1</v>
      </c>
      <c r="I1697" s="68">
        <v>24.08756076238576</v>
      </c>
      <c r="J1697" s="68">
        <f t="shared" si="1"/>
        <v>84.30646267</v>
      </c>
      <c r="K1697" s="68" t="b">
        <v>1</v>
      </c>
    </row>
    <row r="1698" hidden="1">
      <c r="A1698" s="75">
        <v>1692.0</v>
      </c>
      <c r="B1698" s="62" t="s">
        <v>755</v>
      </c>
      <c r="C1698" s="62" t="s">
        <v>98</v>
      </c>
      <c r="D1698" s="62" t="s">
        <v>1096</v>
      </c>
      <c r="E1698" s="76">
        <v>44105.0</v>
      </c>
      <c r="F1698" s="77">
        <v>0.20833333333333334</v>
      </c>
      <c r="G1698" s="62" t="b">
        <v>1</v>
      </c>
      <c r="H1698" s="78" t="b">
        <f>IF(VLOOKUP(C1698,Projetos!A:L,12,false)=TRUE,TRUE,FALSE)</f>
        <v>1</v>
      </c>
      <c r="I1698" s="68">
        <v>24.08756076238576</v>
      </c>
      <c r="J1698" s="68">
        <f t="shared" si="1"/>
        <v>120.4378038</v>
      </c>
      <c r="K1698" s="68" t="b">
        <v>1</v>
      </c>
    </row>
    <row r="1699" hidden="1">
      <c r="A1699" s="75">
        <v>1693.0</v>
      </c>
      <c r="B1699" s="62" t="s">
        <v>755</v>
      </c>
      <c r="C1699" s="62" t="s">
        <v>90</v>
      </c>
      <c r="D1699" s="62" t="s">
        <v>1097</v>
      </c>
      <c r="E1699" s="76">
        <v>44106.0</v>
      </c>
      <c r="F1699" s="77">
        <v>0.041666666666666664</v>
      </c>
      <c r="G1699" s="62" t="b">
        <v>1</v>
      </c>
      <c r="H1699" s="78" t="b">
        <f>IF(VLOOKUP(C1699,Projetos!A:L,12,false)=TRUE,TRUE,FALSE)</f>
        <v>1</v>
      </c>
      <c r="I1699" s="68">
        <v>24.08756076238576</v>
      </c>
      <c r="J1699" s="68">
        <f t="shared" si="1"/>
        <v>24.08756076</v>
      </c>
      <c r="K1699" s="68" t="b">
        <v>1</v>
      </c>
    </row>
    <row r="1700" hidden="1">
      <c r="A1700" s="75">
        <v>1694.0</v>
      </c>
      <c r="B1700" s="62" t="s">
        <v>755</v>
      </c>
      <c r="C1700" s="62" t="s">
        <v>90</v>
      </c>
      <c r="D1700" s="62" t="s">
        <v>1098</v>
      </c>
      <c r="E1700" s="76">
        <v>44106.0</v>
      </c>
      <c r="F1700" s="77">
        <v>0.0625</v>
      </c>
      <c r="G1700" s="62" t="b">
        <v>1</v>
      </c>
      <c r="H1700" s="78" t="b">
        <f>IF(VLOOKUP(C1700,Projetos!A:L,12,false)=TRUE,TRUE,FALSE)</f>
        <v>1</v>
      </c>
      <c r="I1700" s="68">
        <v>24.08756076238576</v>
      </c>
      <c r="J1700" s="68">
        <f t="shared" si="1"/>
        <v>36.13134114</v>
      </c>
      <c r="K1700" s="68" t="b">
        <v>1</v>
      </c>
    </row>
    <row r="1701" hidden="1">
      <c r="A1701" s="75">
        <v>1695.0</v>
      </c>
      <c r="B1701" s="62" t="s">
        <v>755</v>
      </c>
      <c r="C1701" s="62" t="s">
        <v>90</v>
      </c>
      <c r="D1701" s="62" t="s">
        <v>1002</v>
      </c>
      <c r="E1701" s="76">
        <v>44106.0</v>
      </c>
      <c r="F1701" s="77">
        <v>0.020833333333333332</v>
      </c>
      <c r="G1701" s="62" t="b">
        <v>1</v>
      </c>
      <c r="H1701" s="78" t="b">
        <f>IF(VLOOKUP(C1701,Projetos!A:L,12,false)=TRUE,TRUE,FALSE)</f>
        <v>1</v>
      </c>
      <c r="I1701" s="68">
        <v>24.08756076238576</v>
      </c>
      <c r="J1701" s="68">
        <f t="shared" si="1"/>
        <v>12.04378038</v>
      </c>
      <c r="K1701" s="68" t="b">
        <v>1</v>
      </c>
    </row>
    <row r="1702" hidden="1">
      <c r="A1702" s="75">
        <v>1696.0</v>
      </c>
      <c r="B1702" s="62" t="s">
        <v>755</v>
      </c>
      <c r="C1702" s="62" t="s">
        <v>90</v>
      </c>
      <c r="D1702" s="62" t="s">
        <v>1099</v>
      </c>
      <c r="E1702" s="76">
        <v>44106.0</v>
      </c>
      <c r="F1702" s="77">
        <v>0.020833333333333332</v>
      </c>
      <c r="G1702" s="62" t="b">
        <v>1</v>
      </c>
      <c r="H1702" s="78" t="b">
        <f>IF(VLOOKUP(C1702,Projetos!A:L,12,false)=TRUE,TRUE,FALSE)</f>
        <v>1</v>
      </c>
      <c r="I1702" s="68">
        <v>24.08756076238576</v>
      </c>
      <c r="J1702" s="68">
        <f t="shared" si="1"/>
        <v>12.04378038</v>
      </c>
      <c r="K1702" s="68" t="b">
        <v>1</v>
      </c>
    </row>
    <row r="1703" hidden="1">
      <c r="A1703" s="75">
        <v>1697.0</v>
      </c>
      <c r="B1703" s="62" t="s">
        <v>755</v>
      </c>
      <c r="C1703" s="62" t="s">
        <v>98</v>
      </c>
      <c r="D1703" s="62" t="s">
        <v>1100</v>
      </c>
      <c r="E1703" s="76">
        <v>44106.0</v>
      </c>
      <c r="F1703" s="77">
        <v>0.0625</v>
      </c>
      <c r="G1703" s="62" t="b">
        <v>1</v>
      </c>
      <c r="H1703" s="78" t="b">
        <f>IF(VLOOKUP(C1703,Projetos!A:L,12,false)=TRUE,TRUE,FALSE)</f>
        <v>1</v>
      </c>
      <c r="I1703" s="68">
        <v>24.08756076238576</v>
      </c>
      <c r="J1703" s="68">
        <f t="shared" si="1"/>
        <v>36.13134114</v>
      </c>
      <c r="K1703" s="68" t="b">
        <v>1</v>
      </c>
    </row>
    <row r="1704" hidden="1">
      <c r="A1704" s="75">
        <v>1698.0</v>
      </c>
      <c r="B1704" s="62" t="s">
        <v>755</v>
      </c>
      <c r="C1704" s="62" t="s">
        <v>110</v>
      </c>
      <c r="D1704" s="62" t="s">
        <v>1101</v>
      </c>
      <c r="E1704" s="76">
        <v>44107.0</v>
      </c>
      <c r="F1704" s="77">
        <v>0.020833333333333332</v>
      </c>
      <c r="G1704" s="62" t="b">
        <v>1</v>
      </c>
      <c r="H1704" s="78" t="b">
        <f>IF(VLOOKUP(C1704,Projetos!A:L,12,false)=TRUE,TRUE,FALSE)</f>
        <v>1</v>
      </c>
      <c r="I1704" s="68">
        <v>24.08756076238576</v>
      </c>
      <c r="J1704" s="68">
        <f t="shared" si="1"/>
        <v>12.04378038</v>
      </c>
      <c r="K1704" s="68" t="b">
        <v>1</v>
      </c>
    </row>
    <row r="1705">
      <c r="A1705" s="75">
        <v>1699.0</v>
      </c>
      <c r="B1705" s="62" t="s">
        <v>755</v>
      </c>
      <c r="C1705" s="62" t="s">
        <v>104</v>
      </c>
      <c r="D1705" s="62" t="s">
        <v>1102</v>
      </c>
      <c r="E1705" s="76">
        <v>44110.0</v>
      </c>
      <c r="F1705" s="77">
        <v>0.020833333333333332</v>
      </c>
      <c r="G1705" s="62" t="b">
        <v>1</v>
      </c>
      <c r="H1705" s="78" t="b">
        <f>IF(VLOOKUP(C1705,Projetos!A:L,12,false)=TRUE,TRUE,FALSE)</f>
        <v>1</v>
      </c>
      <c r="I1705" s="68">
        <v>24.08756076238576</v>
      </c>
      <c r="J1705" s="68">
        <f t="shared" si="1"/>
        <v>12.04378038</v>
      </c>
      <c r="K1705" s="68" t="b">
        <v>1</v>
      </c>
    </row>
    <row r="1706" hidden="1">
      <c r="A1706" s="75">
        <v>1700.0</v>
      </c>
      <c r="B1706" s="62" t="s">
        <v>755</v>
      </c>
      <c r="C1706" s="62" t="s">
        <v>103</v>
      </c>
      <c r="D1706" s="62" t="s">
        <v>1103</v>
      </c>
      <c r="E1706" s="76">
        <v>44110.0</v>
      </c>
      <c r="F1706" s="77">
        <v>0.041666666666666664</v>
      </c>
      <c r="G1706" s="62" t="b">
        <v>1</v>
      </c>
      <c r="H1706" s="78" t="b">
        <f>IF(VLOOKUP(C1706,Projetos!A:L,12,false)=TRUE,TRUE,FALSE)</f>
        <v>1</v>
      </c>
      <c r="I1706" s="68">
        <v>24.08756076238576</v>
      </c>
      <c r="J1706" s="68">
        <f t="shared" si="1"/>
        <v>24.08756076</v>
      </c>
      <c r="K1706" s="68" t="b">
        <v>1</v>
      </c>
    </row>
    <row r="1707" hidden="1">
      <c r="A1707" s="75">
        <v>1701.0</v>
      </c>
      <c r="B1707" s="62" t="s">
        <v>755</v>
      </c>
      <c r="C1707" s="62" t="s">
        <v>109</v>
      </c>
      <c r="D1707" s="62" t="s">
        <v>1104</v>
      </c>
      <c r="E1707" s="76">
        <v>44110.0</v>
      </c>
      <c r="F1707" s="77">
        <v>0.20833333333333334</v>
      </c>
      <c r="G1707" s="62" t="b">
        <v>0</v>
      </c>
      <c r="H1707" s="78" t="b">
        <f>IF(VLOOKUP(C1707,Projetos!A:L,12,false)=TRUE,TRUE,FALSE)</f>
        <v>0</v>
      </c>
      <c r="I1707" s="68">
        <v>24.08756076238576</v>
      </c>
      <c r="J1707" s="68">
        <f t="shared" si="1"/>
        <v>0</v>
      </c>
      <c r="K1707" s="68" t="b">
        <v>0</v>
      </c>
    </row>
    <row r="1708" hidden="1">
      <c r="A1708" s="75">
        <v>1702.0</v>
      </c>
      <c r="B1708" s="62" t="s">
        <v>755</v>
      </c>
      <c r="C1708" s="62" t="s">
        <v>90</v>
      </c>
      <c r="D1708" s="62" t="s">
        <v>874</v>
      </c>
      <c r="E1708" s="76">
        <v>44111.0</v>
      </c>
      <c r="F1708" s="77">
        <v>0.020833333333333332</v>
      </c>
      <c r="G1708" s="62" t="b">
        <v>1</v>
      </c>
      <c r="H1708" s="78" t="b">
        <f>IF(VLOOKUP(C1708,Projetos!A:L,12,false)=TRUE,TRUE,FALSE)</f>
        <v>1</v>
      </c>
      <c r="I1708" s="68">
        <v>24.08756076238576</v>
      </c>
      <c r="J1708" s="68">
        <f t="shared" si="1"/>
        <v>12.04378038</v>
      </c>
      <c r="K1708" s="68" t="b">
        <v>1</v>
      </c>
    </row>
    <row r="1709" hidden="1">
      <c r="A1709" s="75">
        <v>1703.0</v>
      </c>
      <c r="B1709" s="62" t="s">
        <v>755</v>
      </c>
      <c r="C1709" s="62" t="s">
        <v>103</v>
      </c>
      <c r="D1709" s="62" t="s">
        <v>1105</v>
      </c>
      <c r="E1709" s="76">
        <v>44111.0</v>
      </c>
      <c r="F1709" s="77">
        <v>0.020833333333333332</v>
      </c>
      <c r="G1709" s="62" t="b">
        <v>1</v>
      </c>
      <c r="H1709" s="78" t="b">
        <f>IF(VLOOKUP(C1709,Projetos!A:L,12,false)=TRUE,TRUE,FALSE)</f>
        <v>1</v>
      </c>
      <c r="I1709" s="68">
        <v>24.08756076238576</v>
      </c>
      <c r="J1709" s="68">
        <f t="shared" si="1"/>
        <v>12.04378038</v>
      </c>
      <c r="K1709" s="68" t="b">
        <v>1</v>
      </c>
    </row>
    <row r="1710" hidden="1">
      <c r="A1710" s="75">
        <v>1704.0</v>
      </c>
      <c r="B1710" s="62" t="s">
        <v>755</v>
      </c>
      <c r="C1710" s="62" t="s">
        <v>109</v>
      </c>
      <c r="D1710" s="62" t="s">
        <v>1106</v>
      </c>
      <c r="E1710" s="76">
        <v>44111.0</v>
      </c>
      <c r="F1710" s="77">
        <v>0.0625</v>
      </c>
      <c r="G1710" s="62" t="b">
        <v>0</v>
      </c>
      <c r="H1710" s="78" t="b">
        <f>IF(VLOOKUP(C1710,Projetos!A:L,12,false)=TRUE,TRUE,FALSE)</f>
        <v>0</v>
      </c>
      <c r="I1710" s="68">
        <v>24.08756076238576</v>
      </c>
      <c r="J1710" s="68">
        <f t="shared" si="1"/>
        <v>0</v>
      </c>
      <c r="K1710" s="68" t="b">
        <v>0</v>
      </c>
    </row>
    <row r="1711" hidden="1">
      <c r="A1711" s="75">
        <v>1705.0</v>
      </c>
      <c r="B1711" s="62" t="s">
        <v>755</v>
      </c>
      <c r="C1711" s="62" t="s">
        <v>102</v>
      </c>
      <c r="D1711" s="62" t="s">
        <v>1107</v>
      </c>
      <c r="E1711" s="76">
        <v>44111.0</v>
      </c>
      <c r="F1711" s="77">
        <v>0.020833333333333332</v>
      </c>
      <c r="G1711" s="62" t="b">
        <v>0</v>
      </c>
      <c r="H1711" s="78" t="b">
        <f>IF(VLOOKUP(C1711,Projetos!A:L,12,false)=TRUE,TRUE,FALSE)</f>
        <v>0</v>
      </c>
      <c r="I1711" s="68">
        <v>24.08756076238576</v>
      </c>
      <c r="J1711" s="68">
        <f t="shared" si="1"/>
        <v>0</v>
      </c>
      <c r="K1711" s="68" t="b">
        <v>0</v>
      </c>
    </row>
    <row r="1712" hidden="1">
      <c r="A1712" s="75">
        <v>1706.0</v>
      </c>
      <c r="B1712" s="62" t="s">
        <v>755</v>
      </c>
      <c r="C1712" s="62" t="s">
        <v>109</v>
      </c>
      <c r="D1712" s="62" t="s">
        <v>1104</v>
      </c>
      <c r="E1712" s="76">
        <v>44112.0</v>
      </c>
      <c r="F1712" s="77">
        <v>0.08333333333333333</v>
      </c>
      <c r="G1712" s="62" t="b">
        <v>0</v>
      </c>
      <c r="H1712" s="78" t="b">
        <f>IF(VLOOKUP(C1712,Projetos!A:L,12,false)=TRUE,TRUE,FALSE)</f>
        <v>0</v>
      </c>
      <c r="I1712" s="68">
        <v>24.08756076238576</v>
      </c>
      <c r="J1712" s="68">
        <f t="shared" si="1"/>
        <v>0</v>
      </c>
      <c r="K1712" s="68" t="b">
        <v>0</v>
      </c>
    </row>
    <row r="1713">
      <c r="A1713" s="75">
        <v>1707.0</v>
      </c>
      <c r="B1713" s="62" t="s">
        <v>755</v>
      </c>
      <c r="C1713" s="62" t="s">
        <v>104</v>
      </c>
      <c r="D1713" s="62" t="s">
        <v>1108</v>
      </c>
      <c r="E1713" s="76">
        <v>44112.0</v>
      </c>
      <c r="F1713" s="77">
        <v>0.041666666666666664</v>
      </c>
      <c r="G1713" s="62" t="b">
        <v>1</v>
      </c>
      <c r="H1713" s="78" t="b">
        <f>IF(VLOOKUP(C1713,Projetos!A:L,12,false)=TRUE,TRUE,FALSE)</f>
        <v>1</v>
      </c>
      <c r="I1713" s="68">
        <v>24.08756076238576</v>
      </c>
      <c r="J1713" s="68">
        <f t="shared" si="1"/>
        <v>24.08756076</v>
      </c>
      <c r="K1713" s="68" t="b">
        <v>1</v>
      </c>
    </row>
    <row r="1714">
      <c r="A1714" s="75">
        <v>1708.0</v>
      </c>
      <c r="B1714" s="62" t="s">
        <v>755</v>
      </c>
      <c r="C1714" s="62" t="s">
        <v>104</v>
      </c>
      <c r="D1714" s="62" t="s">
        <v>1109</v>
      </c>
      <c r="E1714" s="76">
        <v>44113.0</v>
      </c>
      <c r="F1714" s="77">
        <v>0.041666666666666664</v>
      </c>
      <c r="G1714" s="62" t="b">
        <v>1</v>
      </c>
      <c r="H1714" s="78" t="b">
        <f>IF(VLOOKUP(C1714,Projetos!A:L,12,false)=TRUE,TRUE,FALSE)</f>
        <v>1</v>
      </c>
      <c r="I1714" s="68">
        <v>24.08756076238576</v>
      </c>
      <c r="J1714" s="68">
        <f t="shared" si="1"/>
        <v>24.08756076</v>
      </c>
      <c r="K1714" s="68" t="b">
        <v>1</v>
      </c>
    </row>
    <row r="1715" hidden="1">
      <c r="A1715" s="75">
        <v>1709.0</v>
      </c>
      <c r="B1715" s="62" t="s">
        <v>755</v>
      </c>
      <c r="C1715" s="62" t="s">
        <v>90</v>
      </c>
      <c r="D1715" s="62" t="s">
        <v>874</v>
      </c>
      <c r="E1715" s="76">
        <v>44113.0</v>
      </c>
      <c r="F1715" s="77">
        <v>0.020833333333333332</v>
      </c>
      <c r="G1715" s="62" t="b">
        <v>1</v>
      </c>
      <c r="H1715" s="78" t="b">
        <f>IF(VLOOKUP(C1715,Projetos!A:L,12,false)=TRUE,TRUE,FALSE)</f>
        <v>1</v>
      </c>
      <c r="I1715" s="68">
        <v>24.08756076238576</v>
      </c>
      <c r="J1715" s="68">
        <f t="shared" si="1"/>
        <v>12.04378038</v>
      </c>
      <c r="K1715" s="68" t="b">
        <v>1</v>
      </c>
    </row>
    <row r="1716" hidden="1">
      <c r="A1716" s="75">
        <v>1710.0</v>
      </c>
      <c r="B1716" s="62" t="s">
        <v>755</v>
      </c>
      <c r="C1716" s="62" t="s">
        <v>100</v>
      </c>
      <c r="D1716" s="62" t="s">
        <v>1110</v>
      </c>
      <c r="E1716" s="76">
        <v>44113.0</v>
      </c>
      <c r="F1716" s="77">
        <v>0.020833333333333332</v>
      </c>
      <c r="G1716" s="62" t="b">
        <v>1</v>
      </c>
      <c r="H1716" s="78" t="b">
        <f>IF(VLOOKUP(C1716,Projetos!A:L,12,false)=TRUE,TRUE,FALSE)</f>
        <v>1</v>
      </c>
      <c r="I1716" s="68">
        <v>24.08756076238576</v>
      </c>
      <c r="J1716" s="68">
        <f t="shared" si="1"/>
        <v>12.04378038</v>
      </c>
      <c r="K1716" s="68" t="b">
        <v>1</v>
      </c>
    </row>
    <row r="1717" hidden="1">
      <c r="A1717" s="75">
        <v>1711.0</v>
      </c>
      <c r="B1717" s="62" t="s">
        <v>755</v>
      </c>
      <c r="C1717" s="62" t="s">
        <v>98</v>
      </c>
      <c r="D1717" s="62" t="s">
        <v>1111</v>
      </c>
      <c r="E1717" s="76">
        <v>44113.0</v>
      </c>
      <c r="F1717" s="77">
        <v>0.020833333333333332</v>
      </c>
      <c r="G1717" s="62" t="b">
        <v>1</v>
      </c>
      <c r="H1717" s="78" t="b">
        <f>IF(VLOOKUP(C1717,Projetos!A:L,12,false)=TRUE,TRUE,FALSE)</f>
        <v>1</v>
      </c>
      <c r="I1717" s="68">
        <v>24.08756076238576</v>
      </c>
      <c r="J1717" s="68">
        <f t="shared" si="1"/>
        <v>12.04378038</v>
      </c>
      <c r="K1717" s="68" t="b">
        <v>1</v>
      </c>
    </row>
    <row r="1718" hidden="1">
      <c r="A1718" s="75">
        <v>1712.0</v>
      </c>
      <c r="B1718" s="62" t="s">
        <v>755</v>
      </c>
      <c r="C1718" s="62" t="s">
        <v>98</v>
      </c>
      <c r="D1718" s="62" t="s">
        <v>1112</v>
      </c>
      <c r="E1718" s="76">
        <v>44113.0</v>
      </c>
      <c r="F1718" s="77">
        <v>0.125</v>
      </c>
      <c r="G1718" s="62" t="b">
        <v>1</v>
      </c>
      <c r="H1718" s="78" t="b">
        <f>IF(VLOOKUP(C1718,Projetos!A:L,12,false)=TRUE,TRUE,FALSE)</f>
        <v>1</v>
      </c>
      <c r="I1718" s="68">
        <v>24.08756076238576</v>
      </c>
      <c r="J1718" s="68">
        <f t="shared" si="1"/>
        <v>72.26268229</v>
      </c>
      <c r="K1718" s="68" t="b">
        <v>1</v>
      </c>
    </row>
    <row r="1719" hidden="1">
      <c r="A1719" s="75">
        <v>1713.0</v>
      </c>
      <c r="B1719" s="62" t="s">
        <v>755</v>
      </c>
      <c r="C1719" s="62" t="s">
        <v>90</v>
      </c>
      <c r="D1719" s="62" t="s">
        <v>874</v>
      </c>
      <c r="E1719" s="76">
        <v>44117.0</v>
      </c>
      <c r="F1719" s="77">
        <v>0.020833333333333332</v>
      </c>
      <c r="G1719" s="62" t="b">
        <v>1</v>
      </c>
      <c r="H1719" s="78" t="b">
        <f>IF(VLOOKUP(C1719,Projetos!A:L,12,false)=TRUE,TRUE,FALSE)</f>
        <v>1</v>
      </c>
      <c r="I1719" s="68">
        <v>24.08756076238576</v>
      </c>
      <c r="J1719" s="68">
        <f t="shared" si="1"/>
        <v>12.04378038</v>
      </c>
      <c r="K1719" s="68" t="b">
        <v>1</v>
      </c>
    </row>
    <row r="1720" hidden="1">
      <c r="A1720" s="75">
        <v>1714.0</v>
      </c>
      <c r="B1720" s="62" t="s">
        <v>755</v>
      </c>
      <c r="C1720" s="62" t="s">
        <v>98</v>
      </c>
      <c r="D1720" s="62" t="s">
        <v>1113</v>
      </c>
      <c r="E1720" s="76">
        <v>44117.0</v>
      </c>
      <c r="F1720" s="77">
        <v>0.041666666666666664</v>
      </c>
      <c r="G1720" s="62" t="b">
        <v>1</v>
      </c>
      <c r="H1720" s="78" t="b">
        <f>IF(VLOOKUP(C1720,Projetos!A:L,12,false)=TRUE,TRUE,FALSE)</f>
        <v>1</v>
      </c>
      <c r="I1720" s="68">
        <v>24.08756076238576</v>
      </c>
      <c r="J1720" s="68">
        <f t="shared" si="1"/>
        <v>24.08756076</v>
      </c>
      <c r="K1720" s="68" t="b">
        <v>1</v>
      </c>
    </row>
    <row r="1721" hidden="1">
      <c r="A1721" s="75">
        <v>1715.0</v>
      </c>
      <c r="B1721" s="62" t="s">
        <v>755</v>
      </c>
      <c r="C1721" s="62" t="s">
        <v>90</v>
      </c>
      <c r="D1721" s="62" t="s">
        <v>874</v>
      </c>
      <c r="E1721" s="76">
        <v>44118.0</v>
      </c>
      <c r="F1721" s="77">
        <v>0.020833333333333332</v>
      </c>
      <c r="G1721" s="62" t="b">
        <v>1</v>
      </c>
      <c r="H1721" s="78" t="b">
        <f>IF(VLOOKUP(C1721,Projetos!A:L,12,false)=TRUE,TRUE,FALSE)</f>
        <v>1</v>
      </c>
      <c r="I1721" s="68">
        <v>24.08756076238576</v>
      </c>
      <c r="J1721" s="68">
        <f t="shared" si="1"/>
        <v>12.04378038</v>
      </c>
      <c r="K1721" s="68" t="b">
        <v>1</v>
      </c>
    </row>
    <row r="1722" hidden="1">
      <c r="A1722" s="75">
        <v>1716.0</v>
      </c>
      <c r="B1722" s="62" t="s">
        <v>755</v>
      </c>
      <c r="C1722" s="62" t="s">
        <v>98</v>
      </c>
      <c r="D1722" s="62" t="s">
        <v>1114</v>
      </c>
      <c r="E1722" s="76">
        <v>44118.0</v>
      </c>
      <c r="F1722" s="77">
        <v>0.125</v>
      </c>
      <c r="G1722" s="62" t="b">
        <v>1</v>
      </c>
      <c r="H1722" s="78" t="b">
        <f>IF(VLOOKUP(C1722,Projetos!A:L,12,false)=TRUE,TRUE,FALSE)</f>
        <v>1</v>
      </c>
      <c r="I1722" s="68">
        <v>24.08756076238576</v>
      </c>
      <c r="J1722" s="68">
        <f t="shared" si="1"/>
        <v>72.26268229</v>
      </c>
      <c r="K1722" s="68" t="b">
        <v>1</v>
      </c>
    </row>
    <row r="1723" hidden="1">
      <c r="A1723" s="75">
        <v>1717.0</v>
      </c>
      <c r="B1723" s="62" t="s">
        <v>755</v>
      </c>
      <c r="C1723" s="62" t="s">
        <v>98</v>
      </c>
      <c r="D1723" s="62" t="s">
        <v>1115</v>
      </c>
      <c r="E1723" s="76">
        <v>44118.0</v>
      </c>
      <c r="F1723" s="77">
        <v>0.08333333333333333</v>
      </c>
      <c r="G1723" s="62" t="b">
        <v>1</v>
      </c>
      <c r="H1723" s="78" t="b">
        <f>IF(VLOOKUP(C1723,Projetos!A:L,12,false)=TRUE,TRUE,FALSE)</f>
        <v>1</v>
      </c>
      <c r="I1723" s="68">
        <v>24.08756076238576</v>
      </c>
      <c r="J1723" s="68">
        <f t="shared" si="1"/>
        <v>48.17512152</v>
      </c>
      <c r="K1723" s="68" t="b">
        <v>1</v>
      </c>
    </row>
    <row r="1724" hidden="1">
      <c r="A1724" s="75">
        <v>1718.0</v>
      </c>
      <c r="B1724" s="62" t="s">
        <v>755</v>
      </c>
      <c r="C1724" s="62" t="s">
        <v>90</v>
      </c>
      <c r="D1724" s="62" t="s">
        <v>1116</v>
      </c>
      <c r="E1724" s="76">
        <v>44118.0</v>
      </c>
      <c r="F1724" s="77">
        <v>0.020833333333333332</v>
      </c>
      <c r="G1724" s="62" t="b">
        <v>1</v>
      </c>
      <c r="H1724" s="78" t="b">
        <f>IF(VLOOKUP(C1724,Projetos!A:L,12,false)=TRUE,TRUE,FALSE)</f>
        <v>1</v>
      </c>
      <c r="I1724" s="68">
        <v>24.08756076238576</v>
      </c>
      <c r="J1724" s="68">
        <f t="shared" si="1"/>
        <v>12.04378038</v>
      </c>
      <c r="K1724" s="68" t="b">
        <v>1</v>
      </c>
    </row>
    <row r="1725" hidden="1">
      <c r="A1725" s="75">
        <v>1719.0</v>
      </c>
      <c r="B1725" s="62" t="s">
        <v>755</v>
      </c>
      <c r="C1725" s="62" t="s">
        <v>90</v>
      </c>
      <c r="D1725" s="62" t="s">
        <v>1117</v>
      </c>
      <c r="E1725" s="76">
        <v>44118.0</v>
      </c>
      <c r="F1725" s="77">
        <v>0.020833333333333332</v>
      </c>
      <c r="G1725" s="62" t="b">
        <v>1</v>
      </c>
      <c r="H1725" s="78" t="b">
        <f>IF(VLOOKUP(C1725,Projetos!A:L,12,false)=TRUE,TRUE,FALSE)</f>
        <v>1</v>
      </c>
      <c r="I1725" s="68">
        <v>24.08756076238576</v>
      </c>
      <c r="J1725" s="68">
        <f t="shared" si="1"/>
        <v>12.04378038</v>
      </c>
      <c r="K1725" s="68" t="b">
        <v>1</v>
      </c>
    </row>
    <row r="1726">
      <c r="A1726" s="75">
        <v>1720.0</v>
      </c>
      <c r="B1726" s="62" t="s">
        <v>755</v>
      </c>
      <c r="C1726" s="62" t="s">
        <v>104</v>
      </c>
      <c r="D1726" s="62" t="s">
        <v>1118</v>
      </c>
      <c r="E1726" s="76">
        <v>44118.0</v>
      </c>
      <c r="F1726" s="77">
        <v>0.020833333333333332</v>
      </c>
      <c r="G1726" s="62" t="b">
        <v>1</v>
      </c>
      <c r="H1726" s="78" t="b">
        <f>IF(VLOOKUP(C1726,Projetos!A:L,12,false)=TRUE,TRUE,FALSE)</f>
        <v>1</v>
      </c>
      <c r="I1726" s="68">
        <v>24.08756076238576</v>
      </c>
      <c r="J1726" s="68">
        <f t="shared" si="1"/>
        <v>12.04378038</v>
      </c>
      <c r="K1726" s="68" t="b">
        <v>1</v>
      </c>
    </row>
    <row r="1727" hidden="1">
      <c r="A1727" s="75">
        <v>1721.0</v>
      </c>
      <c r="B1727" s="62" t="s">
        <v>755</v>
      </c>
      <c r="C1727" s="62" t="s">
        <v>90</v>
      </c>
      <c r="D1727" s="62" t="s">
        <v>874</v>
      </c>
      <c r="E1727" s="76">
        <v>44119.0</v>
      </c>
      <c r="F1727" s="77">
        <v>0.020833333333333332</v>
      </c>
      <c r="G1727" s="62" t="b">
        <v>1</v>
      </c>
      <c r="H1727" s="78" t="b">
        <f>IF(VLOOKUP(C1727,Projetos!A:L,12,false)=TRUE,TRUE,FALSE)</f>
        <v>1</v>
      </c>
      <c r="I1727" s="68">
        <v>24.08756076238576</v>
      </c>
      <c r="J1727" s="68">
        <f t="shared" si="1"/>
        <v>12.04378038</v>
      </c>
      <c r="K1727" s="68" t="b">
        <v>1</v>
      </c>
    </row>
    <row r="1728" hidden="1">
      <c r="A1728" s="75">
        <v>1722.0</v>
      </c>
      <c r="B1728" s="62" t="s">
        <v>755</v>
      </c>
      <c r="C1728" s="62" t="s">
        <v>98</v>
      </c>
      <c r="D1728" s="62" t="s">
        <v>1119</v>
      </c>
      <c r="E1728" s="76">
        <v>44120.0</v>
      </c>
      <c r="F1728" s="77">
        <v>0.041666666666666664</v>
      </c>
      <c r="G1728" s="62" t="b">
        <v>1</v>
      </c>
      <c r="H1728" s="78" t="b">
        <f>IF(VLOOKUP(C1728,Projetos!A:L,12,false)=TRUE,TRUE,FALSE)</f>
        <v>1</v>
      </c>
      <c r="I1728" s="68">
        <v>24.08756076238576</v>
      </c>
      <c r="J1728" s="68">
        <f t="shared" si="1"/>
        <v>24.08756076</v>
      </c>
      <c r="K1728" s="68" t="b">
        <v>1</v>
      </c>
    </row>
    <row r="1729" hidden="1">
      <c r="A1729" s="75">
        <v>1723.0</v>
      </c>
      <c r="B1729" s="62" t="s">
        <v>755</v>
      </c>
      <c r="C1729" s="62" t="s">
        <v>98</v>
      </c>
      <c r="D1729" s="62" t="s">
        <v>1115</v>
      </c>
      <c r="E1729" s="76">
        <v>44120.0</v>
      </c>
      <c r="F1729" s="77">
        <v>0.11458333333333333</v>
      </c>
      <c r="G1729" s="62" t="b">
        <v>1</v>
      </c>
      <c r="H1729" s="78" t="b">
        <f>IF(VLOOKUP(C1729,Projetos!A:L,12,false)=TRUE,TRUE,FALSE)</f>
        <v>1</v>
      </c>
      <c r="I1729" s="68">
        <v>24.08756076238576</v>
      </c>
      <c r="J1729" s="68">
        <f t="shared" si="1"/>
        <v>66.2407921</v>
      </c>
      <c r="K1729" s="68" t="b">
        <v>1</v>
      </c>
    </row>
    <row r="1730" hidden="1">
      <c r="A1730" s="75">
        <v>1724.0</v>
      </c>
      <c r="B1730" s="62" t="s">
        <v>755</v>
      </c>
      <c r="C1730" s="62" t="s">
        <v>98</v>
      </c>
      <c r="D1730" s="62" t="s">
        <v>1120</v>
      </c>
      <c r="E1730" s="76">
        <v>44120.0</v>
      </c>
      <c r="F1730" s="77">
        <v>0.010416666666666666</v>
      </c>
      <c r="G1730" s="62" t="b">
        <v>1</v>
      </c>
      <c r="H1730" s="78" t="b">
        <f>IF(VLOOKUP(C1730,Projetos!A:L,12,false)=TRUE,TRUE,FALSE)</f>
        <v>1</v>
      </c>
      <c r="I1730" s="68">
        <v>24.08756076238576</v>
      </c>
      <c r="J1730" s="68">
        <f t="shared" si="1"/>
        <v>6.021890191</v>
      </c>
      <c r="K1730" s="68" t="b">
        <v>1</v>
      </c>
    </row>
    <row r="1731" hidden="1">
      <c r="A1731" s="75">
        <v>1725.0</v>
      </c>
      <c r="B1731" s="62" t="s">
        <v>755</v>
      </c>
      <c r="C1731" s="62" t="s">
        <v>90</v>
      </c>
      <c r="D1731" s="62" t="s">
        <v>1121</v>
      </c>
      <c r="E1731" s="76">
        <v>44120.0</v>
      </c>
      <c r="F1731" s="77">
        <v>0.020833333333333332</v>
      </c>
      <c r="G1731" s="62" t="b">
        <v>1</v>
      </c>
      <c r="H1731" s="78" t="b">
        <f>IF(VLOOKUP(C1731,Projetos!A:L,12,false)=TRUE,TRUE,FALSE)</f>
        <v>1</v>
      </c>
      <c r="I1731" s="68">
        <v>24.08756076238576</v>
      </c>
      <c r="J1731" s="68">
        <f t="shared" si="1"/>
        <v>12.04378038</v>
      </c>
      <c r="K1731" s="68" t="b">
        <v>1</v>
      </c>
    </row>
    <row r="1732" hidden="1">
      <c r="A1732" s="75">
        <v>1726.0</v>
      </c>
      <c r="B1732" s="62" t="s">
        <v>755</v>
      </c>
      <c r="C1732" s="62" t="s">
        <v>90</v>
      </c>
      <c r="D1732" s="62" t="s">
        <v>1122</v>
      </c>
      <c r="E1732" s="76">
        <v>44120.0</v>
      </c>
      <c r="F1732" s="77">
        <v>0.020833333333333332</v>
      </c>
      <c r="G1732" s="62" t="b">
        <v>1</v>
      </c>
      <c r="H1732" s="78" t="b">
        <f>IF(VLOOKUP(C1732,Projetos!A:L,12,false)=TRUE,TRUE,FALSE)</f>
        <v>1</v>
      </c>
      <c r="I1732" s="68">
        <v>24.08756076238576</v>
      </c>
      <c r="J1732" s="68">
        <f t="shared" si="1"/>
        <v>12.04378038</v>
      </c>
      <c r="K1732" s="68" t="b">
        <v>1</v>
      </c>
    </row>
    <row r="1733" hidden="1">
      <c r="A1733" s="75">
        <v>1727.0</v>
      </c>
      <c r="B1733" s="62" t="s">
        <v>755</v>
      </c>
      <c r="C1733" s="62" t="s">
        <v>98</v>
      </c>
      <c r="D1733" s="62" t="s">
        <v>1123</v>
      </c>
      <c r="E1733" s="76">
        <v>44123.0</v>
      </c>
      <c r="F1733" s="77">
        <v>0.16666666666666666</v>
      </c>
      <c r="G1733" s="62" t="b">
        <v>1</v>
      </c>
      <c r="H1733" s="78" t="b">
        <f>IF(VLOOKUP(C1733,Projetos!A:L,12,false)=TRUE,TRUE,FALSE)</f>
        <v>1</v>
      </c>
      <c r="I1733" s="68">
        <v>24.08756076238576</v>
      </c>
      <c r="J1733" s="68">
        <f t="shared" si="1"/>
        <v>96.35024305</v>
      </c>
      <c r="K1733" s="68" t="b">
        <v>1</v>
      </c>
    </row>
    <row r="1734">
      <c r="A1734" s="75">
        <v>1728.0</v>
      </c>
      <c r="B1734" s="62" t="s">
        <v>755</v>
      </c>
      <c r="C1734" s="62" t="s">
        <v>104</v>
      </c>
      <c r="D1734" s="62" t="s">
        <v>1124</v>
      </c>
      <c r="E1734" s="76">
        <v>44123.0</v>
      </c>
      <c r="F1734" s="77">
        <v>0.08333333333333333</v>
      </c>
      <c r="G1734" s="62" t="b">
        <v>0</v>
      </c>
      <c r="H1734" s="78" t="b">
        <f>IF(VLOOKUP(C1734,Projetos!A:L,12,false)=TRUE,TRUE,FALSE)</f>
        <v>1</v>
      </c>
      <c r="I1734" s="68">
        <v>24.08756076238576</v>
      </c>
      <c r="J1734" s="68">
        <f t="shared" si="1"/>
        <v>0</v>
      </c>
      <c r="K1734" s="68" t="b">
        <v>1</v>
      </c>
    </row>
    <row r="1735" hidden="1">
      <c r="A1735" s="75">
        <v>1729.0</v>
      </c>
      <c r="B1735" s="62" t="s">
        <v>755</v>
      </c>
      <c r="C1735" s="62" t="s">
        <v>90</v>
      </c>
      <c r="D1735" s="62" t="s">
        <v>874</v>
      </c>
      <c r="E1735" s="76">
        <v>44124.0</v>
      </c>
      <c r="F1735" s="77">
        <v>0.020833333333333332</v>
      </c>
      <c r="G1735" s="62" t="b">
        <v>1</v>
      </c>
      <c r="H1735" s="78" t="b">
        <f>IF(VLOOKUP(C1735,Projetos!A:L,12,false)=TRUE,TRUE,FALSE)</f>
        <v>1</v>
      </c>
      <c r="I1735" s="68">
        <v>24.08756076238576</v>
      </c>
      <c r="J1735" s="68">
        <f t="shared" si="1"/>
        <v>12.04378038</v>
      </c>
      <c r="K1735" s="68" t="b">
        <v>1</v>
      </c>
    </row>
    <row r="1736" hidden="1">
      <c r="A1736" s="75">
        <v>1730.0</v>
      </c>
      <c r="B1736" s="62" t="s">
        <v>755</v>
      </c>
      <c r="C1736" s="62" t="s">
        <v>109</v>
      </c>
      <c r="D1736" s="62" t="s">
        <v>1125</v>
      </c>
      <c r="E1736" s="76">
        <v>44124.0</v>
      </c>
      <c r="F1736" s="77">
        <v>0.041666666666666664</v>
      </c>
      <c r="G1736" s="62" t="b">
        <v>0</v>
      </c>
      <c r="H1736" s="78" t="b">
        <f>IF(VLOOKUP(C1736,Projetos!A:L,12,false)=TRUE,TRUE,FALSE)</f>
        <v>0</v>
      </c>
      <c r="I1736" s="68">
        <v>24.08756076238576</v>
      </c>
      <c r="J1736" s="68">
        <f t="shared" si="1"/>
        <v>0</v>
      </c>
      <c r="K1736" s="68" t="b">
        <v>0</v>
      </c>
    </row>
    <row r="1737" hidden="1">
      <c r="A1737" s="75">
        <v>1731.0</v>
      </c>
      <c r="B1737" s="62" t="s">
        <v>755</v>
      </c>
      <c r="C1737" s="62" t="s">
        <v>100</v>
      </c>
      <c r="D1737" s="62" t="s">
        <v>1126</v>
      </c>
      <c r="E1737" s="76">
        <v>44125.0</v>
      </c>
      <c r="F1737" s="77">
        <v>0.375</v>
      </c>
      <c r="G1737" s="62" t="b">
        <v>1</v>
      </c>
      <c r="H1737" s="78" t="b">
        <f>IF(VLOOKUP(C1737,Projetos!A:L,12,false)=TRUE,TRUE,FALSE)</f>
        <v>1</v>
      </c>
      <c r="I1737" s="68">
        <v>24.08756076238576</v>
      </c>
      <c r="J1737" s="68">
        <f t="shared" si="1"/>
        <v>216.7880469</v>
      </c>
      <c r="K1737" s="68" t="b">
        <v>1</v>
      </c>
    </row>
    <row r="1738" hidden="1">
      <c r="A1738" s="75">
        <v>1732.0</v>
      </c>
      <c r="B1738" s="62" t="s">
        <v>755</v>
      </c>
      <c r="C1738" s="62" t="s">
        <v>100</v>
      </c>
      <c r="D1738" s="62" t="s">
        <v>1126</v>
      </c>
      <c r="E1738" s="76">
        <v>44126.0</v>
      </c>
      <c r="F1738" s="77">
        <v>0.375</v>
      </c>
      <c r="G1738" s="62" t="b">
        <v>1</v>
      </c>
      <c r="H1738" s="78" t="b">
        <f>IF(VLOOKUP(C1738,Projetos!A:L,12,false)=TRUE,TRUE,FALSE)</f>
        <v>1</v>
      </c>
      <c r="I1738" s="68">
        <v>24.08756076238576</v>
      </c>
      <c r="J1738" s="68">
        <f t="shared" si="1"/>
        <v>216.7880469</v>
      </c>
      <c r="K1738" s="68" t="b">
        <v>1</v>
      </c>
    </row>
    <row r="1739" hidden="1">
      <c r="A1739" s="75">
        <v>1733.0</v>
      </c>
      <c r="B1739" s="62" t="s">
        <v>755</v>
      </c>
      <c r="C1739" s="62" t="s">
        <v>98</v>
      </c>
      <c r="D1739" s="62" t="s">
        <v>1120</v>
      </c>
      <c r="E1739" s="76">
        <v>44127.0</v>
      </c>
      <c r="F1739" s="77">
        <v>0.010416666666666666</v>
      </c>
      <c r="G1739" s="62" t="b">
        <v>1</v>
      </c>
      <c r="H1739" s="78" t="b">
        <f>IF(VLOOKUP(C1739,Projetos!A:L,12,false)=TRUE,TRUE,FALSE)</f>
        <v>1</v>
      </c>
      <c r="I1739" s="68">
        <v>24.08756076238576</v>
      </c>
      <c r="J1739" s="68">
        <f t="shared" si="1"/>
        <v>6.021890191</v>
      </c>
      <c r="K1739" s="68" t="b">
        <v>1</v>
      </c>
    </row>
    <row r="1740" hidden="1">
      <c r="A1740" s="75">
        <v>1734.0</v>
      </c>
      <c r="B1740" s="62" t="s">
        <v>755</v>
      </c>
      <c r="C1740" s="62" t="s">
        <v>90</v>
      </c>
      <c r="D1740" s="62" t="s">
        <v>1127</v>
      </c>
      <c r="E1740" s="76">
        <v>44127.0</v>
      </c>
      <c r="F1740" s="77">
        <v>0.03125</v>
      </c>
      <c r="G1740" s="62" t="b">
        <v>1</v>
      </c>
      <c r="H1740" s="78" t="b">
        <f>IF(VLOOKUP(C1740,Projetos!A:L,12,false)=TRUE,TRUE,FALSE)</f>
        <v>1</v>
      </c>
      <c r="I1740" s="68">
        <v>24.08756076238576</v>
      </c>
      <c r="J1740" s="68">
        <f t="shared" si="1"/>
        <v>18.06567057</v>
      </c>
      <c r="K1740" s="68" t="b">
        <v>1</v>
      </c>
    </row>
    <row r="1741" hidden="1">
      <c r="A1741" s="75">
        <v>1735.0</v>
      </c>
      <c r="B1741" s="62" t="s">
        <v>755</v>
      </c>
      <c r="C1741" s="62" t="s">
        <v>98</v>
      </c>
      <c r="D1741" s="62" t="s">
        <v>1128</v>
      </c>
      <c r="E1741" s="76">
        <v>44130.0</v>
      </c>
      <c r="F1741" s="77">
        <v>0.041666666666666664</v>
      </c>
      <c r="G1741" s="62" t="b">
        <v>1</v>
      </c>
      <c r="H1741" s="78" t="b">
        <f>IF(VLOOKUP(C1741,Projetos!A:L,12,false)=TRUE,TRUE,FALSE)</f>
        <v>1</v>
      </c>
      <c r="I1741" s="68">
        <v>24.08756076238576</v>
      </c>
      <c r="J1741" s="68">
        <f t="shared" si="1"/>
        <v>24.08756076</v>
      </c>
      <c r="K1741" s="68" t="b">
        <v>1</v>
      </c>
    </row>
    <row r="1742" hidden="1">
      <c r="A1742" s="75">
        <v>1736.0</v>
      </c>
      <c r="B1742" s="62" t="s">
        <v>755</v>
      </c>
      <c r="C1742" s="62" t="s">
        <v>110</v>
      </c>
      <c r="D1742" s="62" t="s">
        <v>1129</v>
      </c>
      <c r="E1742" s="76">
        <v>44130.0</v>
      </c>
      <c r="F1742" s="77">
        <v>0.010416666666666666</v>
      </c>
      <c r="G1742" s="62" t="b">
        <v>1</v>
      </c>
      <c r="H1742" s="78" t="b">
        <f>IF(VLOOKUP(C1742,Projetos!A:L,12,false)=TRUE,TRUE,FALSE)</f>
        <v>1</v>
      </c>
      <c r="I1742" s="68">
        <v>24.08756076238576</v>
      </c>
      <c r="J1742" s="68">
        <f t="shared" si="1"/>
        <v>6.021890191</v>
      </c>
      <c r="K1742" s="68" t="b">
        <v>1</v>
      </c>
    </row>
    <row r="1743" hidden="1">
      <c r="A1743" s="75">
        <v>1737.0</v>
      </c>
      <c r="B1743" s="62" t="s">
        <v>755</v>
      </c>
      <c r="C1743" s="62" t="s">
        <v>90</v>
      </c>
      <c r="D1743" s="62" t="s">
        <v>874</v>
      </c>
      <c r="E1743" s="76">
        <v>44130.0</v>
      </c>
      <c r="F1743" s="77">
        <v>0.020833333333333332</v>
      </c>
      <c r="G1743" s="62" t="b">
        <v>1</v>
      </c>
      <c r="H1743" s="78" t="b">
        <f>IF(VLOOKUP(C1743,Projetos!A:L,12,false)=TRUE,TRUE,FALSE)</f>
        <v>1</v>
      </c>
      <c r="I1743" s="68">
        <v>24.08756076238576</v>
      </c>
      <c r="J1743" s="68">
        <f t="shared" si="1"/>
        <v>12.04378038</v>
      </c>
      <c r="K1743" s="68" t="b">
        <v>1</v>
      </c>
    </row>
    <row r="1744" hidden="1">
      <c r="A1744" s="75">
        <v>1738.0</v>
      </c>
      <c r="B1744" s="62" t="s">
        <v>755</v>
      </c>
      <c r="C1744" s="62" t="s">
        <v>90</v>
      </c>
      <c r="D1744" s="62" t="s">
        <v>1130</v>
      </c>
      <c r="E1744" s="76">
        <v>44130.0</v>
      </c>
      <c r="F1744" s="77">
        <v>0.03125</v>
      </c>
      <c r="G1744" s="62" t="b">
        <v>1</v>
      </c>
      <c r="H1744" s="78" t="b">
        <f>IF(VLOOKUP(C1744,Projetos!A:L,12,false)=TRUE,TRUE,FALSE)</f>
        <v>1</v>
      </c>
      <c r="I1744" s="68">
        <v>24.08756076238576</v>
      </c>
      <c r="J1744" s="68">
        <f t="shared" si="1"/>
        <v>18.06567057</v>
      </c>
      <c r="K1744" s="68" t="b">
        <v>1</v>
      </c>
    </row>
    <row r="1745" hidden="1">
      <c r="A1745" s="75">
        <v>1739.0</v>
      </c>
      <c r="B1745" s="62" t="s">
        <v>755</v>
      </c>
      <c r="C1745" s="62" t="s">
        <v>90</v>
      </c>
      <c r="D1745" s="62" t="s">
        <v>874</v>
      </c>
      <c r="E1745" s="76">
        <v>44131.0</v>
      </c>
      <c r="F1745" s="77">
        <v>0.020833333333333332</v>
      </c>
      <c r="G1745" s="62" t="b">
        <v>1</v>
      </c>
      <c r="H1745" s="78" t="b">
        <f>IF(VLOOKUP(C1745,Projetos!A:L,12,false)=TRUE,TRUE,FALSE)</f>
        <v>1</v>
      </c>
      <c r="I1745" s="68">
        <v>24.08756076238576</v>
      </c>
      <c r="J1745" s="68">
        <f t="shared" si="1"/>
        <v>12.04378038</v>
      </c>
      <c r="K1745" s="68" t="b">
        <v>1</v>
      </c>
    </row>
    <row r="1746" hidden="1">
      <c r="A1746" s="75">
        <v>1740.0</v>
      </c>
      <c r="B1746" s="62" t="s">
        <v>755</v>
      </c>
      <c r="C1746" s="62" t="s">
        <v>109</v>
      </c>
      <c r="D1746" s="62" t="s">
        <v>1131</v>
      </c>
      <c r="E1746" s="76">
        <v>44131.0</v>
      </c>
      <c r="F1746" s="77">
        <v>0.08333333333333333</v>
      </c>
      <c r="G1746" s="62" t="b">
        <v>0</v>
      </c>
      <c r="H1746" s="78" t="b">
        <f>IF(VLOOKUP(C1746,Projetos!A:L,12,false)=TRUE,TRUE,FALSE)</f>
        <v>0</v>
      </c>
      <c r="I1746" s="68">
        <v>24.08756076238576</v>
      </c>
      <c r="J1746" s="68">
        <f t="shared" si="1"/>
        <v>0</v>
      </c>
      <c r="K1746" s="68" t="b">
        <v>0</v>
      </c>
    </row>
    <row r="1747" hidden="1">
      <c r="A1747" s="75">
        <v>1741.0</v>
      </c>
      <c r="B1747" s="62" t="s">
        <v>755</v>
      </c>
      <c r="C1747" s="62" t="s">
        <v>97</v>
      </c>
      <c r="D1747" s="62" t="s">
        <v>1132</v>
      </c>
      <c r="E1747" s="76">
        <v>44132.0</v>
      </c>
      <c r="F1747" s="77">
        <v>0.0625</v>
      </c>
      <c r="G1747" s="62" t="b">
        <v>1</v>
      </c>
      <c r="H1747" s="78" t="b">
        <f>IF(VLOOKUP(C1747,Projetos!A:L,12,false)=TRUE,TRUE,FALSE)</f>
        <v>1</v>
      </c>
      <c r="I1747" s="68">
        <v>24.08756076238576</v>
      </c>
      <c r="J1747" s="68">
        <f t="shared" si="1"/>
        <v>36.13134114</v>
      </c>
      <c r="K1747" s="68" t="b">
        <v>1</v>
      </c>
    </row>
    <row r="1748" hidden="1">
      <c r="A1748" s="75">
        <v>1742.0</v>
      </c>
      <c r="B1748" s="62" t="s">
        <v>755</v>
      </c>
      <c r="C1748" s="62" t="s">
        <v>90</v>
      </c>
      <c r="D1748" s="62" t="s">
        <v>1133</v>
      </c>
      <c r="E1748" s="76">
        <v>44132.0</v>
      </c>
      <c r="F1748" s="77">
        <v>0.020833333333333332</v>
      </c>
      <c r="G1748" s="62" t="b">
        <v>1</v>
      </c>
      <c r="H1748" s="78" t="b">
        <f>IF(VLOOKUP(C1748,Projetos!A:L,12,false)=TRUE,TRUE,FALSE)</f>
        <v>1</v>
      </c>
      <c r="I1748" s="68">
        <v>24.08756076238576</v>
      </c>
      <c r="J1748" s="68">
        <f t="shared" si="1"/>
        <v>12.04378038</v>
      </c>
      <c r="K1748" s="68" t="b">
        <v>1</v>
      </c>
    </row>
    <row r="1749" hidden="1">
      <c r="A1749" s="75">
        <v>1743.0</v>
      </c>
      <c r="B1749" s="62" t="s">
        <v>755</v>
      </c>
      <c r="C1749" s="62" t="s">
        <v>98</v>
      </c>
      <c r="D1749" s="62" t="s">
        <v>1134</v>
      </c>
      <c r="E1749" s="76">
        <v>44132.0</v>
      </c>
      <c r="F1749" s="77">
        <v>0.041666666666666664</v>
      </c>
      <c r="G1749" s="62" t="b">
        <v>1</v>
      </c>
      <c r="H1749" s="78" t="b">
        <f>IF(VLOOKUP(C1749,Projetos!A:L,12,false)=TRUE,TRUE,FALSE)</f>
        <v>1</v>
      </c>
      <c r="I1749" s="68">
        <v>24.08756076238576</v>
      </c>
      <c r="J1749" s="68">
        <f t="shared" si="1"/>
        <v>24.08756076</v>
      </c>
      <c r="K1749" s="68" t="b">
        <v>1</v>
      </c>
    </row>
    <row r="1750" hidden="1">
      <c r="A1750" s="75">
        <v>1744.0</v>
      </c>
      <c r="B1750" s="62" t="s">
        <v>755</v>
      </c>
      <c r="C1750" s="62" t="s">
        <v>102</v>
      </c>
      <c r="D1750" s="62" t="s">
        <v>1135</v>
      </c>
      <c r="E1750" s="76">
        <v>44132.0</v>
      </c>
      <c r="F1750" s="77">
        <v>0.08333333333333333</v>
      </c>
      <c r="G1750" s="62" t="b">
        <v>0</v>
      </c>
      <c r="H1750" s="78" t="b">
        <f>IF(VLOOKUP(C1750,Projetos!A:L,12,false)=TRUE,TRUE,FALSE)</f>
        <v>0</v>
      </c>
      <c r="I1750" s="68">
        <v>24.08756076238576</v>
      </c>
      <c r="J1750" s="68">
        <f t="shared" si="1"/>
        <v>0</v>
      </c>
      <c r="K1750" s="68" t="b">
        <v>0</v>
      </c>
    </row>
    <row r="1751" hidden="1">
      <c r="A1751" s="75">
        <v>1745.0</v>
      </c>
      <c r="B1751" s="62" t="s">
        <v>755</v>
      </c>
      <c r="C1751" s="62" t="s">
        <v>90</v>
      </c>
      <c r="D1751" s="62" t="s">
        <v>874</v>
      </c>
      <c r="E1751" s="76">
        <v>44133.0</v>
      </c>
      <c r="F1751" s="77">
        <v>0.041666666666666664</v>
      </c>
      <c r="G1751" s="62" t="b">
        <v>1</v>
      </c>
      <c r="H1751" s="78" t="b">
        <f>IF(VLOOKUP(C1751,Projetos!A:L,12,false)=TRUE,TRUE,FALSE)</f>
        <v>1</v>
      </c>
      <c r="I1751" s="68">
        <v>24.08756076238576</v>
      </c>
      <c r="J1751" s="68">
        <f t="shared" si="1"/>
        <v>24.08756076</v>
      </c>
      <c r="K1751" s="68" t="b">
        <v>1</v>
      </c>
    </row>
    <row r="1752">
      <c r="A1752" s="75">
        <v>1746.0</v>
      </c>
      <c r="B1752" s="62" t="s">
        <v>755</v>
      </c>
      <c r="C1752" s="62" t="s">
        <v>104</v>
      </c>
      <c r="D1752" s="62" t="s">
        <v>1136</v>
      </c>
      <c r="E1752" s="76">
        <v>44133.0</v>
      </c>
      <c r="F1752" s="77">
        <v>0.08333333333333333</v>
      </c>
      <c r="G1752" s="62" t="b">
        <v>0</v>
      </c>
      <c r="H1752" s="78" t="b">
        <f>IF(VLOOKUP(C1752,Projetos!A:L,12,false)=TRUE,TRUE,FALSE)</f>
        <v>1</v>
      </c>
      <c r="I1752" s="68">
        <v>24.08756076238576</v>
      </c>
      <c r="J1752" s="68">
        <f t="shared" si="1"/>
        <v>0</v>
      </c>
      <c r="K1752" s="68" t="b">
        <v>1</v>
      </c>
    </row>
    <row r="1753" hidden="1">
      <c r="A1753" s="75">
        <v>1747.0</v>
      </c>
      <c r="B1753" s="62" t="s">
        <v>755</v>
      </c>
      <c r="C1753" s="62" t="s">
        <v>109</v>
      </c>
      <c r="D1753" s="62" t="s">
        <v>1137</v>
      </c>
      <c r="E1753" s="76">
        <v>44134.0</v>
      </c>
      <c r="F1753" s="77">
        <v>0.041666666666666664</v>
      </c>
      <c r="G1753" s="62" t="b">
        <v>0</v>
      </c>
      <c r="H1753" s="78" t="b">
        <f>IF(VLOOKUP(C1753,Projetos!A:L,12,false)=TRUE,TRUE,FALSE)</f>
        <v>0</v>
      </c>
      <c r="I1753" s="68">
        <v>24.08756076238576</v>
      </c>
      <c r="J1753" s="68">
        <f t="shared" si="1"/>
        <v>0</v>
      </c>
      <c r="K1753" s="68" t="b">
        <v>0</v>
      </c>
    </row>
    <row r="1754" hidden="1">
      <c r="A1754" s="75">
        <v>1748.0</v>
      </c>
      <c r="B1754" s="62" t="s">
        <v>755</v>
      </c>
      <c r="C1754" s="62" t="s">
        <v>109</v>
      </c>
      <c r="D1754" s="62" t="s">
        <v>1138</v>
      </c>
      <c r="E1754" s="76">
        <v>44134.0</v>
      </c>
      <c r="F1754" s="77">
        <v>0.010416666666666666</v>
      </c>
      <c r="G1754" s="62" t="b">
        <v>0</v>
      </c>
      <c r="H1754" s="78" t="b">
        <f>IF(VLOOKUP(C1754,Projetos!A:L,12,false)=TRUE,TRUE,FALSE)</f>
        <v>0</v>
      </c>
      <c r="I1754" s="68">
        <v>24.08756076238576</v>
      </c>
      <c r="J1754" s="68">
        <f t="shared" si="1"/>
        <v>0</v>
      </c>
      <c r="K1754" s="68" t="b">
        <v>0</v>
      </c>
    </row>
    <row r="1755" hidden="1">
      <c r="A1755" s="75">
        <v>1749.0</v>
      </c>
      <c r="B1755" s="62" t="s">
        <v>755</v>
      </c>
      <c r="C1755" s="62" t="s">
        <v>98</v>
      </c>
      <c r="D1755" s="62" t="s">
        <v>1120</v>
      </c>
      <c r="E1755" s="76">
        <v>44134.0</v>
      </c>
      <c r="F1755" s="77">
        <v>0.03125</v>
      </c>
      <c r="G1755" s="62" t="b">
        <v>1</v>
      </c>
      <c r="H1755" s="78" t="b">
        <f>IF(VLOOKUP(C1755,Projetos!A:L,12,false)=TRUE,TRUE,FALSE)</f>
        <v>1</v>
      </c>
      <c r="I1755" s="68">
        <v>24.08756076238576</v>
      </c>
      <c r="J1755" s="68">
        <f t="shared" si="1"/>
        <v>18.06567057</v>
      </c>
      <c r="K1755" s="68" t="b">
        <v>1</v>
      </c>
    </row>
    <row r="1756" hidden="1">
      <c r="A1756" s="75">
        <v>1750.0</v>
      </c>
      <c r="B1756" s="62" t="s">
        <v>755</v>
      </c>
      <c r="C1756" s="62" t="s">
        <v>90</v>
      </c>
      <c r="D1756" s="62" t="s">
        <v>1139</v>
      </c>
      <c r="E1756" s="76">
        <v>44134.0</v>
      </c>
      <c r="F1756" s="77">
        <v>0.03125</v>
      </c>
      <c r="G1756" s="62" t="b">
        <v>1</v>
      </c>
      <c r="H1756" s="78" t="b">
        <f>IF(VLOOKUP(C1756,Projetos!A:L,12,false)=TRUE,TRUE,FALSE)</f>
        <v>1</v>
      </c>
      <c r="I1756" s="68">
        <v>24.08756076238576</v>
      </c>
      <c r="J1756" s="68">
        <f t="shared" si="1"/>
        <v>18.06567057</v>
      </c>
      <c r="K1756" s="68" t="b">
        <v>1</v>
      </c>
    </row>
    <row r="1757" hidden="1">
      <c r="A1757" s="75">
        <v>1751.0</v>
      </c>
      <c r="B1757" s="62" t="s">
        <v>755</v>
      </c>
      <c r="C1757" s="62" t="s">
        <v>102</v>
      </c>
      <c r="D1757" s="62" t="s">
        <v>1140</v>
      </c>
      <c r="E1757" s="76">
        <v>44138.0</v>
      </c>
      <c r="F1757" s="77">
        <v>0.041666666666666664</v>
      </c>
      <c r="G1757" s="62" t="b">
        <v>0</v>
      </c>
      <c r="H1757" s="78" t="b">
        <f>IF(VLOOKUP(C1757,Projetos!A:L,12,false)=TRUE,TRUE,FALSE)</f>
        <v>0</v>
      </c>
      <c r="I1757" s="68">
        <v>23.36976525769054</v>
      </c>
      <c r="J1757" s="68">
        <f t="shared" si="1"/>
        <v>0</v>
      </c>
      <c r="K1757" s="68" t="b">
        <v>0</v>
      </c>
    </row>
    <row r="1758">
      <c r="A1758" s="75">
        <v>1752.0</v>
      </c>
      <c r="B1758" s="62" t="s">
        <v>755</v>
      </c>
      <c r="C1758" s="62" t="s">
        <v>104</v>
      </c>
      <c r="D1758" s="62" t="s">
        <v>1141</v>
      </c>
      <c r="E1758" s="76">
        <v>44138.0</v>
      </c>
      <c r="F1758" s="77">
        <v>0.041666666666666664</v>
      </c>
      <c r="G1758" s="62" t="b">
        <v>1</v>
      </c>
      <c r="H1758" s="78" t="b">
        <f>IF(VLOOKUP(C1758,Projetos!A:L,12,false)=TRUE,TRUE,FALSE)</f>
        <v>1</v>
      </c>
      <c r="I1758" s="68">
        <v>23.36976525769054</v>
      </c>
      <c r="J1758" s="68">
        <f t="shared" si="1"/>
        <v>23.36976526</v>
      </c>
      <c r="K1758" s="68" t="b">
        <v>1</v>
      </c>
    </row>
    <row r="1759" hidden="1">
      <c r="A1759" s="75">
        <v>1753.0</v>
      </c>
      <c r="B1759" s="62" t="s">
        <v>755</v>
      </c>
      <c r="C1759" s="62" t="s">
        <v>90</v>
      </c>
      <c r="D1759" s="62" t="s">
        <v>1142</v>
      </c>
      <c r="E1759" s="76">
        <v>44139.0</v>
      </c>
      <c r="F1759" s="77">
        <v>0.020833333333333332</v>
      </c>
      <c r="G1759" s="62" t="b">
        <v>1</v>
      </c>
      <c r="H1759" s="78" t="b">
        <f>IF(VLOOKUP(C1759,Projetos!A:L,12,false)=TRUE,TRUE,FALSE)</f>
        <v>1</v>
      </c>
      <c r="I1759" s="68">
        <v>23.36976525769054</v>
      </c>
      <c r="J1759" s="68">
        <f t="shared" si="1"/>
        <v>11.68488263</v>
      </c>
      <c r="K1759" s="68" t="b">
        <v>1</v>
      </c>
    </row>
    <row r="1760" hidden="1">
      <c r="A1760" s="75">
        <v>1754.0</v>
      </c>
      <c r="B1760" s="62" t="s">
        <v>755</v>
      </c>
      <c r="C1760" s="62" t="s">
        <v>90</v>
      </c>
      <c r="D1760" s="62" t="s">
        <v>1143</v>
      </c>
      <c r="E1760" s="76">
        <v>44139.0</v>
      </c>
      <c r="F1760" s="77">
        <v>0.020833333333333332</v>
      </c>
      <c r="G1760" s="62" t="b">
        <v>1</v>
      </c>
      <c r="H1760" s="78" t="b">
        <f>IF(VLOOKUP(C1760,Projetos!A:L,12,false)=TRUE,TRUE,FALSE)</f>
        <v>1</v>
      </c>
      <c r="I1760" s="68">
        <v>23.36976525769054</v>
      </c>
      <c r="J1760" s="68">
        <f t="shared" si="1"/>
        <v>11.68488263</v>
      </c>
      <c r="K1760" s="68" t="b">
        <v>1</v>
      </c>
    </row>
    <row r="1761">
      <c r="A1761" s="75">
        <v>1755.0</v>
      </c>
      <c r="B1761" s="62" t="s">
        <v>755</v>
      </c>
      <c r="C1761" s="62" t="s">
        <v>104</v>
      </c>
      <c r="D1761" s="62" t="s">
        <v>1144</v>
      </c>
      <c r="E1761" s="76">
        <v>44139.0</v>
      </c>
      <c r="F1761" s="77">
        <v>0.0625</v>
      </c>
      <c r="G1761" s="62" t="b">
        <v>1</v>
      </c>
      <c r="H1761" s="78" t="b">
        <f>IF(VLOOKUP(C1761,Projetos!A:L,12,false)=TRUE,TRUE,FALSE)</f>
        <v>1</v>
      </c>
      <c r="I1761" s="68">
        <v>23.36976525769054</v>
      </c>
      <c r="J1761" s="68">
        <f t="shared" si="1"/>
        <v>35.05464789</v>
      </c>
      <c r="K1761" s="68" t="b">
        <v>1</v>
      </c>
    </row>
    <row r="1762" hidden="1">
      <c r="A1762" s="75">
        <v>1756.0</v>
      </c>
      <c r="B1762" s="62" t="s">
        <v>755</v>
      </c>
      <c r="C1762" s="62" t="s">
        <v>109</v>
      </c>
      <c r="D1762" s="62" t="s">
        <v>1145</v>
      </c>
      <c r="E1762" s="76">
        <v>44141.0</v>
      </c>
      <c r="F1762" s="77">
        <v>0.0625</v>
      </c>
      <c r="G1762" s="62" t="b">
        <v>0</v>
      </c>
      <c r="H1762" s="78" t="b">
        <f>IF(VLOOKUP(C1762,Projetos!A:L,12,false)=TRUE,TRUE,FALSE)</f>
        <v>0</v>
      </c>
      <c r="I1762" s="68">
        <v>23.36976525769054</v>
      </c>
      <c r="J1762" s="68">
        <f t="shared" si="1"/>
        <v>0</v>
      </c>
      <c r="K1762" s="68" t="b">
        <v>0</v>
      </c>
    </row>
    <row r="1763" hidden="1">
      <c r="A1763" s="75">
        <v>1757.0</v>
      </c>
      <c r="B1763" s="62" t="s">
        <v>755</v>
      </c>
      <c r="C1763" s="62" t="s">
        <v>90</v>
      </c>
      <c r="D1763" s="62" t="s">
        <v>1146</v>
      </c>
      <c r="E1763" s="76">
        <v>44141.0</v>
      </c>
      <c r="F1763" s="77">
        <v>0.125</v>
      </c>
      <c r="G1763" s="62" t="b">
        <v>1</v>
      </c>
      <c r="H1763" s="78" t="b">
        <f>IF(VLOOKUP(C1763,Projetos!A:L,12,false)=TRUE,TRUE,FALSE)</f>
        <v>1</v>
      </c>
      <c r="I1763" s="68">
        <v>23.36976525769054</v>
      </c>
      <c r="J1763" s="68">
        <f t="shared" si="1"/>
        <v>70.10929577</v>
      </c>
      <c r="K1763" s="68" t="b">
        <v>1</v>
      </c>
    </row>
    <row r="1764" hidden="1">
      <c r="A1764" s="75">
        <v>1758.0</v>
      </c>
      <c r="B1764" s="62" t="s">
        <v>755</v>
      </c>
      <c r="C1764" s="62" t="s">
        <v>90</v>
      </c>
      <c r="D1764" s="62" t="s">
        <v>1147</v>
      </c>
      <c r="E1764" s="76">
        <v>44141.0</v>
      </c>
      <c r="F1764" s="77">
        <v>0.08333333333333333</v>
      </c>
      <c r="G1764" s="62" t="b">
        <v>1</v>
      </c>
      <c r="H1764" s="78" t="b">
        <f>IF(VLOOKUP(C1764,Projetos!A:L,12,false)=TRUE,TRUE,FALSE)</f>
        <v>1</v>
      </c>
      <c r="I1764" s="68">
        <v>23.36976525769054</v>
      </c>
      <c r="J1764" s="68">
        <f t="shared" si="1"/>
        <v>46.73953052</v>
      </c>
      <c r="K1764" s="68" t="b">
        <v>1</v>
      </c>
    </row>
    <row r="1765" hidden="1">
      <c r="A1765" s="75">
        <v>1759.0</v>
      </c>
      <c r="B1765" s="62" t="s">
        <v>755</v>
      </c>
      <c r="C1765" s="62" t="s">
        <v>109</v>
      </c>
      <c r="D1765" s="62" t="s">
        <v>1148</v>
      </c>
      <c r="E1765" s="76">
        <v>44141.0</v>
      </c>
      <c r="F1765" s="77">
        <v>0.0625</v>
      </c>
      <c r="G1765" s="62" t="b">
        <v>0</v>
      </c>
      <c r="H1765" s="78" t="b">
        <f>IF(VLOOKUP(C1765,Projetos!A:L,12,false)=TRUE,TRUE,FALSE)</f>
        <v>0</v>
      </c>
      <c r="I1765" s="68">
        <v>23.36976525769054</v>
      </c>
      <c r="J1765" s="68">
        <f t="shared" si="1"/>
        <v>0</v>
      </c>
      <c r="K1765" s="68" t="b">
        <v>0</v>
      </c>
    </row>
    <row r="1766" hidden="1">
      <c r="A1766" s="75">
        <v>1760.0</v>
      </c>
      <c r="B1766" s="62" t="s">
        <v>755</v>
      </c>
      <c r="C1766" s="62" t="s">
        <v>90</v>
      </c>
      <c r="D1766" s="62" t="s">
        <v>874</v>
      </c>
      <c r="E1766" s="76">
        <v>44144.0</v>
      </c>
      <c r="F1766" s="77">
        <v>0.041666666666666664</v>
      </c>
      <c r="G1766" s="62" t="b">
        <v>1</v>
      </c>
      <c r="H1766" s="78" t="b">
        <f>IF(VLOOKUP(C1766,Projetos!A:L,12,false)=TRUE,TRUE,FALSE)</f>
        <v>1</v>
      </c>
      <c r="I1766" s="68">
        <v>23.36976525769054</v>
      </c>
      <c r="J1766" s="68">
        <f t="shared" si="1"/>
        <v>23.36976526</v>
      </c>
      <c r="K1766" s="68" t="b">
        <v>1</v>
      </c>
    </row>
    <row r="1767" hidden="1">
      <c r="A1767" s="75">
        <v>1761.0</v>
      </c>
      <c r="B1767" s="62" t="s">
        <v>755</v>
      </c>
      <c r="C1767" s="62" t="s">
        <v>98</v>
      </c>
      <c r="D1767" s="62" t="s">
        <v>1149</v>
      </c>
      <c r="E1767" s="76">
        <v>44144.0</v>
      </c>
      <c r="F1767" s="77">
        <v>0.20833333333333334</v>
      </c>
      <c r="G1767" s="62" t="b">
        <v>1</v>
      </c>
      <c r="H1767" s="78" t="b">
        <f>IF(VLOOKUP(C1767,Projetos!A:L,12,false)=TRUE,TRUE,FALSE)</f>
        <v>1</v>
      </c>
      <c r="I1767" s="68">
        <v>23.36976525769054</v>
      </c>
      <c r="J1767" s="68">
        <f t="shared" si="1"/>
        <v>116.8488263</v>
      </c>
      <c r="K1767" s="68" t="b">
        <v>1</v>
      </c>
    </row>
    <row r="1768" hidden="1">
      <c r="A1768" s="75">
        <v>1762.0</v>
      </c>
      <c r="B1768" s="62" t="s">
        <v>755</v>
      </c>
      <c r="C1768" s="62" t="s">
        <v>90</v>
      </c>
      <c r="D1768" s="62" t="s">
        <v>874</v>
      </c>
      <c r="E1768" s="76">
        <v>44145.0</v>
      </c>
      <c r="F1768" s="77">
        <v>0.041666666666666664</v>
      </c>
      <c r="G1768" s="62" t="b">
        <v>1</v>
      </c>
      <c r="H1768" s="78" t="b">
        <f>IF(VLOOKUP(C1768,Projetos!A:L,12,false)=TRUE,TRUE,FALSE)</f>
        <v>1</v>
      </c>
      <c r="I1768" s="68">
        <v>23.36976525769054</v>
      </c>
      <c r="J1768" s="68">
        <f t="shared" si="1"/>
        <v>23.36976526</v>
      </c>
      <c r="K1768" s="68" t="b">
        <v>1</v>
      </c>
    </row>
    <row r="1769" hidden="1">
      <c r="A1769" s="75">
        <v>1763.0</v>
      </c>
      <c r="B1769" s="62" t="s">
        <v>755</v>
      </c>
      <c r="C1769" s="62" t="s">
        <v>97</v>
      </c>
      <c r="D1769" s="62" t="s">
        <v>1150</v>
      </c>
      <c r="E1769" s="76">
        <v>44145.0</v>
      </c>
      <c r="F1769" s="77">
        <v>0.0625</v>
      </c>
      <c r="G1769" s="62" t="b">
        <v>0</v>
      </c>
      <c r="H1769" s="78" t="b">
        <f>IF(VLOOKUP(C1769,Projetos!A:L,12,false)=TRUE,TRUE,FALSE)</f>
        <v>1</v>
      </c>
      <c r="I1769" s="68">
        <v>23.36976525769054</v>
      </c>
      <c r="J1769" s="68">
        <f t="shared" si="1"/>
        <v>0</v>
      </c>
      <c r="K1769" s="68" t="b">
        <v>1</v>
      </c>
    </row>
    <row r="1770" hidden="1">
      <c r="A1770" s="75">
        <v>1764.0</v>
      </c>
      <c r="B1770" s="62" t="s">
        <v>755</v>
      </c>
      <c r="C1770" s="62" t="s">
        <v>109</v>
      </c>
      <c r="D1770" s="62" t="s">
        <v>1151</v>
      </c>
      <c r="E1770" s="76">
        <v>44145.0</v>
      </c>
      <c r="F1770" s="77">
        <v>0.041666666666666664</v>
      </c>
      <c r="G1770" s="62" t="b">
        <v>0</v>
      </c>
      <c r="H1770" s="78" t="b">
        <f>IF(VLOOKUP(C1770,Projetos!A:L,12,false)=TRUE,TRUE,FALSE)</f>
        <v>0</v>
      </c>
      <c r="I1770" s="68">
        <v>23.36976525769054</v>
      </c>
      <c r="J1770" s="68">
        <f t="shared" si="1"/>
        <v>0</v>
      </c>
      <c r="K1770" s="68" t="b">
        <v>0</v>
      </c>
    </row>
    <row r="1771" hidden="1">
      <c r="A1771" s="75">
        <v>1765.0</v>
      </c>
      <c r="B1771" s="62" t="s">
        <v>755</v>
      </c>
      <c r="C1771" s="62" t="s">
        <v>90</v>
      </c>
      <c r="D1771" s="62" t="s">
        <v>1152</v>
      </c>
      <c r="E1771" s="76">
        <v>44145.0</v>
      </c>
      <c r="F1771" s="77">
        <v>0.020833333333333332</v>
      </c>
      <c r="G1771" s="62" t="b">
        <v>1</v>
      </c>
      <c r="H1771" s="78" t="b">
        <f>IF(VLOOKUP(C1771,Projetos!A:L,12,false)=TRUE,TRUE,FALSE)</f>
        <v>1</v>
      </c>
      <c r="I1771" s="68">
        <v>23.36976525769054</v>
      </c>
      <c r="J1771" s="68">
        <f t="shared" si="1"/>
        <v>11.68488263</v>
      </c>
      <c r="K1771" s="68" t="b">
        <v>1</v>
      </c>
    </row>
    <row r="1772" hidden="1">
      <c r="A1772" s="75">
        <v>1766.0</v>
      </c>
      <c r="B1772" s="62" t="s">
        <v>755</v>
      </c>
      <c r="C1772" s="62" t="s">
        <v>90</v>
      </c>
      <c r="D1772" s="62" t="s">
        <v>1153</v>
      </c>
      <c r="E1772" s="76">
        <v>44145.0</v>
      </c>
      <c r="F1772" s="77">
        <v>0.041666666666666664</v>
      </c>
      <c r="G1772" s="62" t="b">
        <v>1</v>
      </c>
      <c r="H1772" s="78" t="b">
        <f>IF(VLOOKUP(C1772,Projetos!A:L,12,false)=TRUE,TRUE,FALSE)</f>
        <v>1</v>
      </c>
      <c r="I1772" s="68">
        <v>23.36976525769054</v>
      </c>
      <c r="J1772" s="68">
        <f t="shared" si="1"/>
        <v>23.36976526</v>
      </c>
      <c r="K1772" s="68" t="b">
        <v>1</v>
      </c>
    </row>
    <row r="1773" hidden="1">
      <c r="A1773" s="75">
        <v>1767.0</v>
      </c>
      <c r="B1773" s="62" t="s">
        <v>755</v>
      </c>
      <c r="C1773" s="62" t="s">
        <v>90</v>
      </c>
      <c r="D1773" s="62" t="s">
        <v>1153</v>
      </c>
      <c r="E1773" s="76">
        <v>44146.0</v>
      </c>
      <c r="F1773" s="77">
        <v>0.041666666666666664</v>
      </c>
      <c r="G1773" s="62" t="b">
        <v>1</v>
      </c>
      <c r="H1773" s="78" t="b">
        <f>IF(VLOOKUP(C1773,Projetos!A:L,12,false)=TRUE,TRUE,FALSE)</f>
        <v>1</v>
      </c>
      <c r="I1773" s="68">
        <v>23.36976525769054</v>
      </c>
      <c r="J1773" s="68">
        <f t="shared" si="1"/>
        <v>23.36976526</v>
      </c>
      <c r="K1773" s="68" t="b">
        <v>1</v>
      </c>
    </row>
    <row r="1774" hidden="1">
      <c r="A1774" s="75">
        <v>1768.0</v>
      </c>
      <c r="B1774" s="62" t="s">
        <v>755</v>
      </c>
      <c r="C1774" s="62" t="s">
        <v>90</v>
      </c>
      <c r="D1774" s="62" t="s">
        <v>1154</v>
      </c>
      <c r="E1774" s="76">
        <v>44146.0</v>
      </c>
      <c r="F1774" s="77">
        <v>0.08333333333333333</v>
      </c>
      <c r="G1774" s="62" t="b">
        <v>1</v>
      </c>
      <c r="H1774" s="78" t="b">
        <f>IF(VLOOKUP(C1774,Projetos!A:L,12,false)=TRUE,TRUE,FALSE)</f>
        <v>1</v>
      </c>
      <c r="I1774" s="68">
        <v>23.36976525769054</v>
      </c>
      <c r="J1774" s="68">
        <f t="shared" si="1"/>
        <v>46.73953052</v>
      </c>
      <c r="K1774" s="68" t="b">
        <v>1</v>
      </c>
    </row>
    <row r="1775" hidden="1">
      <c r="A1775" s="75">
        <v>1769.0</v>
      </c>
      <c r="B1775" s="62" t="s">
        <v>755</v>
      </c>
      <c r="C1775" s="62" t="s">
        <v>90</v>
      </c>
      <c r="D1775" s="62" t="s">
        <v>1155</v>
      </c>
      <c r="E1775" s="76">
        <v>44146.0</v>
      </c>
      <c r="F1775" s="77">
        <v>0.08333333333333333</v>
      </c>
      <c r="G1775" s="62" t="b">
        <v>1</v>
      </c>
      <c r="H1775" s="78" t="b">
        <f>IF(VLOOKUP(C1775,Projetos!A:L,12,false)=TRUE,TRUE,FALSE)</f>
        <v>1</v>
      </c>
      <c r="I1775" s="68">
        <v>23.36976525769054</v>
      </c>
      <c r="J1775" s="68">
        <f t="shared" si="1"/>
        <v>46.73953052</v>
      </c>
      <c r="K1775" s="68" t="b">
        <v>1</v>
      </c>
    </row>
    <row r="1776">
      <c r="A1776" s="75">
        <v>1770.0</v>
      </c>
      <c r="B1776" s="62" t="s">
        <v>755</v>
      </c>
      <c r="C1776" s="62" t="s">
        <v>104</v>
      </c>
      <c r="D1776" s="62" t="s">
        <v>1156</v>
      </c>
      <c r="E1776" s="76">
        <v>44146.0</v>
      </c>
      <c r="F1776" s="77">
        <v>0.020833333333333332</v>
      </c>
      <c r="G1776" s="62" t="b">
        <v>1</v>
      </c>
      <c r="H1776" s="78" t="b">
        <f>IF(VLOOKUP(C1776,Projetos!A:L,12,false)=TRUE,TRUE,FALSE)</f>
        <v>1</v>
      </c>
      <c r="I1776" s="68">
        <v>23.36976525769054</v>
      </c>
      <c r="J1776" s="68">
        <f t="shared" si="1"/>
        <v>11.68488263</v>
      </c>
      <c r="K1776" s="68" t="b">
        <v>1</v>
      </c>
    </row>
    <row r="1777" hidden="1">
      <c r="A1777" s="75">
        <v>1771.0</v>
      </c>
      <c r="B1777" s="62" t="s">
        <v>755</v>
      </c>
      <c r="C1777" s="62" t="s">
        <v>98</v>
      </c>
      <c r="D1777" s="62" t="s">
        <v>1157</v>
      </c>
      <c r="E1777" s="76">
        <v>44146.0</v>
      </c>
      <c r="F1777" s="77">
        <v>0.020833333333333332</v>
      </c>
      <c r="G1777" s="62" t="b">
        <v>1</v>
      </c>
      <c r="H1777" s="78" t="b">
        <f>IF(VLOOKUP(C1777,Projetos!A:L,12,false)=TRUE,TRUE,FALSE)</f>
        <v>1</v>
      </c>
      <c r="I1777" s="68">
        <v>23.36976525769054</v>
      </c>
      <c r="J1777" s="68">
        <f t="shared" si="1"/>
        <v>11.68488263</v>
      </c>
      <c r="K1777" s="68" t="b">
        <v>1</v>
      </c>
    </row>
    <row r="1778" hidden="1">
      <c r="A1778" s="75">
        <v>1772.0</v>
      </c>
      <c r="B1778" s="62" t="s">
        <v>755</v>
      </c>
      <c r="C1778" s="62" t="s">
        <v>138</v>
      </c>
      <c r="D1778" s="62" t="s">
        <v>1158</v>
      </c>
      <c r="E1778" s="76">
        <v>44146.0</v>
      </c>
      <c r="F1778" s="77">
        <v>0.020833333333333332</v>
      </c>
      <c r="G1778" s="62" t="b">
        <v>1</v>
      </c>
      <c r="H1778" s="78" t="b">
        <f>IF(VLOOKUP(C1778,Projetos!A:L,12,false)=TRUE,TRUE,FALSE)</f>
        <v>1</v>
      </c>
      <c r="I1778" s="68">
        <v>23.36976525769054</v>
      </c>
      <c r="J1778" s="68">
        <f t="shared" si="1"/>
        <v>11.68488263</v>
      </c>
      <c r="K1778" s="68" t="b">
        <v>1</v>
      </c>
    </row>
    <row r="1779">
      <c r="A1779" s="75">
        <v>1773.0</v>
      </c>
      <c r="B1779" s="62" t="s">
        <v>755</v>
      </c>
      <c r="C1779" s="62" t="s">
        <v>104</v>
      </c>
      <c r="D1779" s="62" t="s">
        <v>1159</v>
      </c>
      <c r="E1779" s="76">
        <v>44146.0</v>
      </c>
      <c r="F1779" s="77">
        <v>0.0625</v>
      </c>
      <c r="G1779" s="62" t="b">
        <v>1</v>
      </c>
      <c r="H1779" s="78" t="b">
        <f>IF(VLOOKUP(C1779,Projetos!A:L,12,false)=TRUE,TRUE,FALSE)</f>
        <v>1</v>
      </c>
      <c r="I1779" s="68">
        <v>23.36976525769054</v>
      </c>
      <c r="J1779" s="68">
        <f t="shared" si="1"/>
        <v>35.05464789</v>
      </c>
      <c r="K1779" s="68" t="b">
        <v>1</v>
      </c>
    </row>
    <row r="1780" hidden="1">
      <c r="A1780" s="75">
        <v>1774.0</v>
      </c>
      <c r="B1780" s="62" t="s">
        <v>755</v>
      </c>
      <c r="C1780" s="62" t="s">
        <v>90</v>
      </c>
      <c r="D1780" s="62" t="s">
        <v>874</v>
      </c>
      <c r="E1780" s="76">
        <v>44147.0</v>
      </c>
      <c r="F1780" s="77">
        <v>0.041666666666666664</v>
      </c>
      <c r="G1780" s="62" t="b">
        <v>1</v>
      </c>
      <c r="H1780" s="78" t="b">
        <f>IF(VLOOKUP(C1780,Projetos!A:L,12,false)=TRUE,TRUE,FALSE)</f>
        <v>1</v>
      </c>
      <c r="I1780" s="68">
        <v>23.36976525769054</v>
      </c>
      <c r="J1780" s="68">
        <f t="shared" si="1"/>
        <v>23.36976526</v>
      </c>
      <c r="K1780" s="68" t="b">
        <v>1</v>
      </c>
    </row>
    <row r="1781">
      <c r="A1781" s="75">
        <v>1775.0</v>
      </c>
      <c r="B1781" s="62" t="s">
        <v>755</v>
      </c>
      <c r="C1781" s="62" t="s">
        <v>104</v>
      </c>
      <c r="D1781" s="62" t="s">
        <v>1160</v>
      </c>
      <c r="E1781" s="76">
        <v>44147.0</v>
      </c>
      <c r="F1781" s="77">
        <v>0.10416666666666667</v>
      </c>
      <c r="G1781" s="62" t="b">
        <v>1</v>
      </c>
      <c r="H1781" s="78" t="b">
        <f>IF(VLOOKUP(C1781,Projetos!A:L,12,false)=TRUE,TRUE,FALSE)</f>
        <v>1</v>
      </c>
      <c r="I1781" s="68">
        <v>23.36976525769054</v>
      </c>
      <c r="J1781" s="68">
        <f t="shared" si="1"/>
        <v>58.42441314</v>
      </c>
      <c r="K1781" s="68" t="b">
        <v>1</v>
      </c>
    </row>
    <row r="1782" hidden="1">
      <c r="A1782" s="75">
        <v>1776.0</v>
      </c>
      <c r="B1782" s="62" t="s">
        <v>755</v>
      </c>
      <c r="C1782" s="62" t="s">
        <v>98</v>
      </c>
      <c r="D1782" s="62" t="s">
        <v>1161</v>
      </c>
      <c r="E1782" s="76">
        <v>44147.0</v>
      </c>
      <c r="F1782" s="77">
        <v>0.20833333333333334</v>
      </c>
      <c r="G1782" s="62" t="b">
        <v>1</v>
      </c>
      <c r="H1782" s="78" t="b">
        <f>IF(VLOOKUP(C1782,Projetos!A:L,12,false)=TRUE,TRUE,FALSE)</f>
        <v>1</v>
      </c>
      <c r="I1782" s="68">
        <v>23.36976525769054</v>
      </c>
      <c r="J1782" s="68">
        <f t="shared" si="1"/>
        <v>116.8488263</v>
      </c>
      <c r="K1782" s="68" t="b">
        <v>1</v>
      </c>
    </row>
    <row r="1783">
      <c r="A1783" s="75">
        <v>1777.0</v>
      </c>
      <c r="B1783" s="62" t="s">
        <v>755</v>
      </c>
      <c r="C1783" s="62" t="s">
        <v>104</v>
      </c>
      <c r="D1783" s="62" t="s">
        <v>1162</v>
      </c>
      <c r="E1783" s="76">
        <v>44148.0</v>
      </c>
      <c r="F1783" s="77">
        <v>0.041666666666666664</v>
      </c>
      <c r="G1783" s="62" t="b">
        <v>1</v>
      </c>
      <c r="H1783" s="78" t="b">
        <f>IF(VLOOKUP(C1783,Projetos!A:L,12,false)=TRUE,TRUE,FALSE)</f>
        <v>1</v>
      </c>
      <c r="I1783" s="68">
        <v>23.36976525769054</v>
      </c>
      <c r="J1783" s="68">
        <f t="shared" si="1"/>
        <v>23.36976526</v>
      </c>
      <c r="K1783" s="68" t="b">
        <v>1</v>
      </c>
    </row>
    <row r="1784" hidden="1">
      <c r="A1784" s="75">
        <v>1778.0</v>
      </c>
      <c r="B1784" s="62" t="s">
        <v>755</v>
      </c>
      <c r="C1784" s="62" t="s">
        <v>138</v>
      </c>
      <c r="D1784" s="62" t="s">
        <v>1163</v>
      </c>
      <c r="E1784" s="76">
        <v>44148.0</v>
      </c>
      <c r="F1784" s="77">
        <v>0.0625</v>
      </c>
      <c r="G1784" s="62" t="b">
        <v>1</v>
      </c>
      <c r="H1784" s="78" t="b">
        <f>IF(VLOOKUP(C1784,Projetos!A:L,12,false)=TRUE,TRUE,FALSE)</f>
        <v>1</v>
      </c>
      <c r="I1784" s="68">
        <v>23.36976525769054</v>
      </c>
      <c r="J1784" s="68">
        <f t="shared" si="1"/>
        <v>35.05464789</v>
      </c>
      <c r="K1784" s="68" t="b">
        <v>1</v>
      </c>
    </row>
    <row r="1785" hidden="1">
      <c r="A1785" s="75">
        <v>1779.0</v>
      </c>
      <c r="B1785" s="62" t="s">
        <v>755</v>
      </c>
      <c r="C1785" s="62" t="s">
        <v>109</v>
      </c>
      <c r="D1785" s="62" t="s">
        <v>1164</v>
      </c>
      <c r="E1785" s="76">
        <v>44148.0</v>
      </c>
      <c r="F1785" s="77">
        <v>0.020833333333333332</v>
      </c>
      <c r="G1785" s="62" t="b">
        <v>0</v>
      </c>
      <c r="H1785" s="78" t="b">
        <f>IF(VLOOKUP(C1785,Projetos!A:L,12,false)=TRUE,TRUE,FALSE)</f>
        <v>0</v>
      </c>
      <c r="I1785" s="68">
        <v>23.36976525769054</v>
      </c>
      <c r="J1785" s="68">
        <f t="shared" si="1"/>
        <v>0</v>
      </c>
      <c r="K1785" s="68" t="b">
        <v>0</v>
      </c>
    </row>
    <row r="1786" hidden="1">
      <c r="A1786" s="75">
        <v>1780.0</v>
      </c>
      <c r="B1786" s="62" t="s">
        <v>755</v>
      </c>
      <c r="C1786" s="62" t="s">
        <v>90</v>
      </c>
      <c r="D1786" s="62" t="s">
        <v>1165</v>
      </c>
      <c r="E1786" s="76">
        <v>44148.0</v>
      </c>
      <c r="F1786" s="77">
        <v>0.020833333333333332</v>
      </c>
      <c r="G1786" s="62" t="b">
        <v>1</v>
      </c>
      <c r="H1786" s="78" t="b">
        <f>IF(VLOOKUP(C1786,Projetos!A:L,12,false)=TRUE,TRUE,FALSE)</f>
        <v>1</v>
      </c>
      <c r="I1786" s="68">
        <v>23.36976525769054</v>
      </c>
      <c r="J1786" s="68">
        <f t="shared" si="1"/>
        <v>11.68488263</v>
      </c>
      <c r="K1786" s="68" t="b">
        <v>1</v>
      </c>
    </row>
    <row r="1787" hidden="1">
      <c r="A1787" s="75">
        <v>1781.0</v>
      </c>
      <c r="B1787" s="62" t="s">
        <v>755</v>
      </c>
      <c r="C1787" s="62" t="s">
        <v>90</v>
      </c>
      <c r="D1787" s="62" t="s">
        <v>1166</v>
      </c>
      <c r="E1787" s="76">
        <v>44148.0</v>
      </c>
      <c r="F1787" s="77">
        <v>0.0625</v>
      </c>
      <c r="G1787" s="62" t="b">
        <v>1</v>
      </c>
      <c r="H1787" s="78" t="b">
        <f>IF(VLOOKUP(C1787,Projetos!A:L,12,false)=TRUE,TRUE,FALSE)</f>
        <v>1</v>
      </c>
      <c r="I1787" s="68">
        <v>23.36976525769054</v>
      </c>
      <c r="J1787" s="68">
        <f t="shared" si="1"/>
        <v>35.05464789</v>
      </c>
      <c r="K1787" s="68" t="b">
        <v>1</v>
      </c>
    </row>
    <row r="1788" hidden="1">
      <c r="A1788" s="75">
        <v>1782.0</v>
      </c>
      <c r="B1788" s="62" t="s">
        <v>755</v>
      </c>
      <c r="C1788" s="62" t="s">
        <v>98</v>
      </c>
      <c r="D1788" s="62" t="s">
        <v>1111</v>
      </c>
      <c r="E1788" s="76">
        <v>44148.0</v>
      </c>
      <c r="F1788" s="77">
        <v>0.020833333333333332</v>
      </c>
      <c r="G1788" s="62" t="b">
        <v>1</v>
      </c>
      <c r="H1788" s="78" t="b">
        <f>IF(VLOOKUP(C1788,Projetos!A:L,12,false)=TRUE,TRUE,FALSE)</f>
        <v>1</v>
      </c>
      <c r="I1788" s="68">
        <v>23.36976525769054</v>
      </c>
      <c r="J1788" s="68">
        <f t="shared" si="1"/>
        <v>11.68488263</v>
      </c>
      <c r="K1788" s="68" t="b">
        <v>1</v>
      </c>
    </row>
    <row r="1789" hidden="1">
      <c r="A1789" s="75">
        <v>1783.0</v>
      </c>
      <c r="B1789" s="62" t="s">
        <v>755</v>
      </c>
      <c r="C1789" s="62" t="s">
        <v>110</v>
      </c>
      <c r="D1789" s="62" t="s">
        <v>1111</v>
      </c>
      <c r="E1789" s="76">
        <v>44151.0</v>
      </c>
      <c r="F1789" s="77">
        <v>0.08333333333333333</v>
      </c>
      <c r="G1789" s="62" t="b">
        <v>1</v>
      </c>
      <c r="H1789" s="78" t="b">
        <f>IF(VLOOKUP(C1789,Projetos!A:L,12,false)=TRUE,TRUE,FALSE)</f>
        <v>1</v>
      </c>
      <c r="I1789" s="68">
        <v>23.36976525769054</v>
      </c>
      <c r="J1789" s="68">
        <f t="shared" si="1"/>
        <v>46.73953052</v>
      </c>
      <c r="K1789" s="68" t="b">
        <v>1</v>
      </c>
    </row>
    <row r="1790" hidden="1">
      <c r="A1790" s="75">
        <v>1784.0</v>
      </c>
      <c r="B1790" s="62" t="s">
        <v>755</v>
      </c>
      <c r="C1790" s="62" t="s">
        <v>138</v>
      </c>
      <c r="D1790" s="62" t="s">
        <v>1167</v>
      </c>
      <c r="E1790" s="76">
        <v>44151.0</v>
      </c>
      <c r="F1790" s="77">
        <v>0.08333333333333333</v>
      </c>
      <c r="G1790" s="62" t="b">
        <v>1</v>
      </c>
      <c r="H1790" s="78" t="b">
        <f>IF(VLOOKUP(C1790,Projetos!A:L,12,false)=TRUE,TRUE,FALSE)</f>
        <v>1</v>
      </c>
      <c r="I1790" s="68">
        <v>23.36976525769054</v>
      </c>
      <c r="J1790" s="68">
        <f t="shared" si="1"/>
        <v>46.73953052</v>
      </c>
      <c r="K1790" s="68" t="b">
        <v>1</v>
      </c>
    </row>
    <row r="1791" hidden="1">
      <c r="A1791" s="75">
        <v>1785.0</v>
      </c>
      <c r="B1791" s="62" t="s">
        <v>755</v>
      </c>
      <c r="C1791" s="62" t="s">
        <v>90</v>
      </c>
      <c r="D1791" s="62" t="s">
        <v>1168</v>
      </c>
      <c r="E1791" s="76">
        <v>44152.0</v>
      </c>
      <c r="F1791" s="77">
        <v>0.041666666666666664</v>
      </c>
      <c r="G1791" s="62" t="b">
        <v>1</v>
      </c>
      <c r="H1791" s="78" t="b">
        <f>IF(VLOOKUP(C1791,Projetos!A:L,12,false)=TRUE,TRUE,FALSE)</f>
        <v>1</v>
      </c>
      <c r="I1791" s="68">
        <v>23.36976525769054</v>
      </c>
      <c r="J1791" s="68">
        <f t="shared" si="1"/>
        <v>23.36976526</v>
      </c>
      <c r="K1791" s="68" t="b">
        <v>1</v>
      </c>
    </row>
    <row r="1792">
      <c r="A1792" s="75">
        <v>1786.0</v>
      </c>
      <c r="B1792" s="62" t="s">
        <v>755</v>
      </c>
      <c r="C1792" s="62" t="s">
        <v>104</v>
      </c>
      <c r="D1792" s="62" t="s">
        <v>1169</v>
      </c>
      <c r="E1792" s="76">
        <v>44152.0</v>
      </c>
      <c r="F1792" s="77">
        <v>0.0625</v>
      </c>
      <c r="G1792" s="62" t="b">
        <v>1</v>
      </c>
      <c r="H1792" s="78" t="b">
        <f>IF(VLOOKUP(C1792,Projetos!A:L,12,false)=TRUE,TRUE,FALSE)</f>
        <v>1</v>
      </c>
      <c r="I1792" s="68">
        <v>23.36976525769054</v>
      </c>
      <c r="J1792" s="68">
        <f t="shared" si="1"/>
        <v>35.05464789</v>
      </c>
      <c r="K1792" s="68" t="b">
        <v>1</v>
      </c>
    </row>
    <row r="1793" hidden="1">
      <c r="A1793" s="75">
        <v>1787.0</v>
      </c>
      <c r="B1793" s="62" t="s">
        <v>755</v>
      </c>
      <c r="C1793" s="62" t="s">
        <v>90</v>
      </c>
      <c r="D1793" s="62" t="s">
        <v>1170</v>
      </c>
      <c r="E1793" s="76">
        <v>44152.0</v>
      </c>
      <c r="F1793" s="77">
        <v>0.041666666666666664</v>
      </c>
      <c r="G1793" s="62" t="b">
        <v>1</v>
      </c>
      <c r="H1793" s="78" t="b">
        <f>IF(VLOOKUP(C1793,Projetos!A:L,12,false)=TRUE,TRUE,FALSE)</f>
        <v>1</v>
      </c>
      <c r="I1793" s="68">
        <v>23.36976525769054</v>
      </c>
      <c r="J1793" s="68">
        <f t="shared" si="1"/>
        <v>23.36976526</v>
      </c>
      <c r="K1793" s="68" t="b">
        <v>1</v>
      </c>
    </row>
    <row r="1794" hidden="1">
      <c r="A1794" s="75">
        <v>1788.0</v>
      </c>
      <c r="B1794" s="62" t="s">
        <v>755</v>
      </c>
      <c r="C1794" s="62" t="s">
        <v>98</v>
      </c>
      <c r="D1794" s="62" t="s">
        <v>1171</v>
      </c>
      <c r="E1794" s="76">
        <v>44152.0</v>
      </c>
      <c r="F1794" s="77">
        <v>0.041666666666666664</v>
      </c>
      <c r="G1794" s="62" t="b">
        <v>1</v>
      </c>
      <c r="H1794" s="78" t="b">
        <f>IF(VLOOKUP(C1794,Projetos!A:L,12,false)=TRUE,TRUE,FALSE)</f>
        <v>1</v>
      </c>
      <c r="I1794" s="68">
        <v>23.36976525769054</v>
      </c>
      <c r="J1794" s="68">
        <f t="shared" si="1"/>
        <v>23.36976526</v>
      </c>
      <c r="K1794" s="68" t="b">
        <v>1</v>
      </c>
    </row>
    <row r="1795" hidden="1">
      <c r="A1795" s="75">
        <v>1789.0</v>
      </c>
      <c r="B1795" s="62" t="s">
        <v>755</v>
      </c>
      <c r="C1795" s="62" t="s">
        <v>90</v>
      </c>
      <c r="D1795" s="62" t="s">
        <v>874</v>
      </c>
      <c r="E1795" s="76">
        <v>44154.0</v>
      </c>
      <c r="F1795" s="77">
        <v>0.041666666666666664</v>
      </c>
      <c r="G1795" s="62" t="b">
        <v>1</v>
      </c>
      <c r="H1795" s="78" t="b">
        <f>IF(VLOOKUP(C1795,Projetos!A:L,12,false)=TRUE,TRUE,FALSE)</f>
        <v>1</v>
      </c>
      <c r="I1795" s="68">
        <v>23.36976525769054</v>
      </c>
      <c r="J1795" s="68">
        <f t="shared" si="1"/>
        <v>23.36976526</v>
      </c>
      <c r="K1795" s="68" t="b">
        <v>1</v>
      </c>
    </row>
    <row r="1796" hidden="1">
      <c r="A1796" s="75">
        <v>1790.0</v>
      </c>
      <c r="B1796" s="62" t="s">
        <v>755</v>
      </c>
      <c r="C1796" s="62" t="s">
        <v>90</v>
      </c>
      <c r="D1796" s="62" t="s">
        <v>1172</v>
      </c>
      <c r="E1796" s="76">
        <v>44154.0</v>
      </c>
      <c r="F1796" s="77">
        <v>0.0625</v>
      </c>
      <c r="G1796" s="62" t="b">
        <v>1</v>
      </c>
      <c r="H1796" s="78" t="b">
        <f>IF(VLOOKUP(C1796,Projetos!A:L,12,false)=TRUE,TRUE,FALSE)</f>
        <v>1</v>
      </c>
      <c r="I1796" s="68">
        <v>23.36976525769054</v>
      </c>
      <c r="J1796" s="68">
        <f t="shared" si="1"/>
        <v>35.05464789</v>
      </c>
      <c r="K1796" s="68" t="b">
        <v>1</v>
      </c>
    </row>
    <row r="1797" hidden="1">
      <c r="A1797" s="75">
        <v>1791.0</v>
      </c>
      <c r="B1797" s="62" t="s">
        <v>755</v>
      </c>
      <c r="C1797" s="62" t="s">
        <v>97</v>
      </c>
      <c r="D1797" s="62" t="s">
        <v>1173</v>
      </c>
      <c r="E1797" s="76">
        <v>44154.0</v>
      </c>
      <c r="F1797" s="77">
        <v>0.08333333333333333</v>
      </c>
      <c r="G1797" s="62" t="b">
        <v>1</v>
      </c>
      <c r="H1797" s="78" t="b">
        <f>IF(VLOOKUP(C1797,Projetos!A:L,12,false)=TRUE,TRUE,FALSE)</f>
        <v>1</v>
      </c>
      <c r="I1797" s="68">
        <v>23.36976525769054</v>
      </c>
      <c r="J1797" s="68">
        <f t="shared" si="1"/>
        <v>46.73953052</v>
      </c>
      <c r="K1797" s="68" t="b">
        <v>1</v>
      </c>
    </row>
    <row r="1798">
      <c r="A1798" s="75">
        <v>1792.0</v>
      </c>
      <c r="B1798" s="62" t="s">
        <v>755</v>
      </c>
      <c r="C1798" s="62" t="s">
        <v>104</v>
      </c>
      <c r="D1798" s="62" t="s">
        <v>1174</v>
      </c>
      <c r="E1798" s="76">
        <v>44154.0</v>
      </c>
      <c r="F1798" s="77">
        <v>0.020833333333333332</v>
      </c>
      <c r="G1798" s="62" t="b">
        <v>1</v>
      </c>
      <c r="H1798" s="78" t="b">
        <f>IF(VLOOKUP(C1798,Projetos!A:L,12,false)=TRUE,TRUE,FALSE)</f>
        <v>1</v>
      </c>
      <c r="I1798" s="68">
        <v>23.36976525769054</v>
      </c>
      <c r="J1798" s="68">
        <f t="shared" si="1"/>
        <v>11.68488263</v>
      </c>
      <c r="K1798" s="68" t="b">
        <v>1</v>
      </c>
    </row>
    <row r="1799" hidden="1">
      <c r="A1799" s="75">
        <v>1793.0</v>
      </c>
      <c r="B1799" s="62" t="s">
        <v>755</v>
      </c>
      <c r="C1799" s="62" t="s">
        <v>90</v>
      </c>
      <c r="D1799" s="62" t="s">
        <v>1175</v>
      </c>
      <c r="E1799" s="76">
        <v>44155.0</v>
      </c>
      <c r="F1799" s="77">
        <v>0.041666666666666664</v>
      </c>
      <c r="G1799" s="62" t="b">
        <v>1</v>
      </c>
      <c r="H1799" s="78" t="b">
        <f>IF(VLOOKUP(C1799,Projetos!A:L,12,false)=TRUE,TRUE,FALSE)</f>
        <v>1</v>
      </c>
      <c r="I1799" s="68">
        <v>23.36976525769054</v>
      </c>
      <c r="J1799" s="68">
        <f t="shared" si="1"/>
        <v>23.36976526</v>
      </c>
      <c r="K1799" s="68" t="b">
        <v>1</v>
      </c>
    </row>
    <row r="1800" hidden="1">
      <c r="A1800" s="75">
        <v>1794.0</v>
      </c>
      <c r="B1800" s="62" t="s">
        <v>755</v>
      </c>
      <c r="C1800" s="62" t="s">
        <v>90</v>
      </c>
      <c r="D1800" s="62" t="s">
        <v>1176</v>
      </c>
      <c r="E1800" s="76">
        <v>44155.0</v>
      </c>
      <c r="F1800" s="77">
        <v>0.041666666666666664</v>
      </c>
      <c r="G1800" s="62" t="b">
        <v>1</v>
      </c>
      <c r="H1800" s="78" t="b">
        <f>IF(VLOOKUP(C1800,Projetos!A:L,12,false)=TRUE,TRUE,FALSE)</f>
        <v>1</v>
      </c>
      <c r="I1800" s="68">
        <v>23.36976525769054</v>
      </c>
      <c r="J1800" s="68">
        <f t="shared" si="1"/>
        <v>23.36976526</v>
      </c>
      <c r="K1800" s="68" t="b">
        <v>1</v>
      </c>
    </row>
    <row r="1801" hidden="1">
      <c r="A1801" s="75">
        <v>1795.0</v>
      </c>
      <c r="B1801" s="62" t="s">
        <v>755</v>
      </c>
      <c r="C1801" s="62" t="s">
        <v>138</v>
      </c>
      <c r="D1801" s="62" t="s">
        <v>1177</v>
      </c>
      <c r="E1801" s="76">
        <v>44155.0</v>
      </c>
      <c r="F1801" s="77">
        <v>0.041666666666666664</v>
      </c>
      <c r="G1801" s="62" t="b">
        <v>1</v>
      </c>
      <c r="H1801" s="78" t="b">
        <f>IF(VLOOKUP(C1801,Projetos!A:L,12,false)=TRUE,TRUE,FALSE)</f>
        <v>1</v>
      </c>
      <c r="I1801" s="68">
        <v>23.36976525769054</v>
      </c>
      <c r="J1801" s="68">
        <f t="shared" si="1"/>
        <v>23.36976526</v>
      </c>
      <c r="K1801" s="68" t="b">
        <v>1</v>
      </c>
    </row>
    <row r="1802" hidden="1">
      <c r="A1802" s="75">
        <v>1796.0</v>
      </c>
      <c r="B1802" s="62" t="s">
        <v>755</v>
      </c>
      <c r="C1802" s="62" t="s">
        <v>90</v>
      </c>
      <c r="D1802" s="62" t="s">
        <v>874</v>
      </c>
      <c r="E1802" s="76">
        <v>44158.0</v>
      </c>
      <c r="F1802" s="77">
        <v>0.041666666666666664</v>
      </c>
      <c r="G1802" s="62" t="b">
        <v>1</v>
      </c>
      <c r="H1802" s="78" t="b">
        <f>IF(VLOOKUP(C1802,Projetos!A:L,12,false)=TRUE,TRUE,FALSE)</f>
        <v>1</v>
      </c>
      <c r="I1802" s="68">
        <v>23.36976525769054</v>
      </c>
      <c r="J1802" s="68">
        <f t="shared" si="1"/>
        <v>23.36976526</v>
      </c>
      <c r="K1802" s="68" t="b">
        <v>1</v>
      </c>
    </row>
    <row r="1803" hidden="1">
      <c r="A1803" s="75">
        <v>1797.0</v>
      </c>
      <c r="B1803" s="62" t="s">
        <v>755</v>
      </c>
      <c r="C1803" s="62" t="s">
        <v>108</v>
      </c>
      <c r="D1803" s="62" t="s">
        <v>1178</v>
      </c>
      <c r="E1803" s="76">
        <v>44158.0</v>
      </c>
      <c r="F1803" s="77">
        <v>0.0625</v>
      </c>
      <c r="G1803" s="62" t="b">
        <v>0</v>
      </c>
      <c r="H1803" s="78" t="b">
        <f>IF(VLOOKUP(C1803,Projetos!A:L,12,false)=TRUE,TRUE,FALSE)</f>
        <v>1</v>
      </c>
      <c r="I1803" s="68">
        <v>23.36976525769054</v>
      </c>
      <c r="J1803" s="68">
        <f t="shared" si="1"/>
        <v>0</v>
      </c>
      <c r="K1803" s="68" t="b">
        <v>1</v>
      </c>
    </row>
    <row r="1804" hidden="1">
      <c r="A1804" s="75">
        <v>1798.0</v>
      </c>
      <c r="B1804" s="62" t="s">
        <v>755</v>
      </c>
      <c r="C1804" s="62" t="s">
        <v>90</v>
      </c>
      <c r="D1804" s="62" t="s">
        <v>1179</v>
      </c>
      <c r="E1804" s="76">
        <v>44158.0</v>
      </c>
      <c r="F1804" s="77">
        <v>0.125</v>
      </c>
      <c r="G1804" s="62" t="b">
        <v>1</v>
      </c>
      <c r="H1804" s="78" t="b">
        <f>IF(VLOOKUP(C1804,Projetos!A:L,12,false)=TRUE,TRUE,FALSE)</f>
        <v>1</v>
      </c>
      <c r="I1804" s="68">
        <v>23.36976525769054</v>
      </c>
      <c r="J1804" s="68">
        <f t="shared" si="1"/>
        <v>70.10929577</v>
      </c>
      <c r="K1804" s="68" t="b">
        <v>1</v>
      </c>
    </row>
    <row r="1805" hidden="1">
      <c r="A1805" s="75">
        <v>1799.0</v>
      </c>
      <c r="B1805" s="62" t="s">
        <v>755</v>
      </c>
      <c r="C1805" s="62" t="s">
        <v>90</v>
      </c>
      <c r="D1805" s="62" t="s">
        <v>1179</v>
      </c>
      <c r="E1805" s="76">
        <v>44159.0</v>
      </c>
      <c r="F1805" s="77">
        <v>0.125</v>
      </c>
      <c r="G1805" s="62" t="b">
        <v>1</v>
      </c>
      <c r="H1805" s="78" t="b">
        <f>IF(VLOOKUP(C1805,Projetos!A:L,12,false)=TRUE,TRUE,FALSE)</f>
        <v>1</v>
      </c>
      <c r="I1805" s="68">
        <v>23.36976525769054</v>
      </c>
      <c r="J1805" s="68">
        <f t="shared" si="1"/>
        <v>70.10929577</v>
      </c>
      <c r="K1805" s="68" t="b">
        <v>1</v>
      </c>
    </row>
    <row r="1806" hidden="1">
      <c r="A1806" s="75">
        <v>1800.0</v>
      </c>
      <c r="B1806" s="62" t="s">
        <v>755</v>
      </c>
      <c r="C1806" s="62" t="s">
        <v>108</v>
      </c>
      <c r="D1806" s="62" t="s">
        <v>1180</v>
      </c>
      <c r="E1806" s="76">
        <v>44160.0</v>
      </c>
      <c r="F1806" s="77">
        <v>0.0625</v>
      </c>
      <c r="G1806" s="62" t="b">
        <v>1</v>
      </c>
      <c r="H1806" s="78" t="b">
        <f>IF(VLOOKUP(C1806,Projetos!A:L,12,false)=TRUE,TRUE,FALSE)</f>
        <v>1</v>
      </c>
      <c r="I1806" s="68">
        <v>23.36976525769054</v>
      </c>
      <c r="J1806" s="68">
        <f t="shared" si="1"/>
        <v>35.05464789</v>
      </c>
      <c r="K1806" s="68" t="b">
        <v>1</v>
      </c>
    </row>
    <row r="1807" hidden="1">
      <c r="A1807" s="75">
        <v>1801.0</v>
      </c>
      <c r="B1807" s="62" t="s">
        <v>755</v>
      </c>
      <c r="C1807" s="62" t="s">
        <v>108</v>
      </c>
      <c r="D1807" s="62" t="s">
        <v>1181</v>
      </c>
      <c r="E1807" s="76">
        <v>44160.0</v>
      </c>
      <c r="F1807" s="77">
        <v>0.020833333333333332</v>
      </c>
      <c r="G1807" s="62" t="b">
        <v>1</v>
      </c>
      <c r="H1807" s="78" t="b">
        <f>IF(VLOOKUP(C1807,Projetos!A:L,12,false)=TRUE,TRUE,FALSE)</f>
        <v>1</v>
      </c>
      <c r="I1807" s="68">
        <v>23.36976525769054</v>
      </c>
      <c r="J1807" s="68">
        <f t="shared" si="1"/>
        <v>11.68488263</v>
      </c>
      <c r="K1807" s="68" t="b">
        <v>1</v>
      </c>
    </row>
    <row r="1808">
      <c r="A1808" s="75">
        <v>1802.0</v>
      </c>
      <c r="B1808" s="62" t="s">
        <v>755</v>
      </c>
      <c r="C1808" s="62" t="s">
        <v>104</v>
      </c>
      <c r="D1808" s="62" t="s">
        <v>1020</v>
      </c>
      <c r="E1808" s="76">
        <v>44160.0</v>
      </c>
      <c r="F1808" s="77">
        <v>0.0625</v>
      </c>
      <c r="G1808" s="62" t="b">
        <v>1</v>
      </c>
      <c r="H1808" s="78" t="b">
        <f>IF(VLOOKUP(C1808,Projetos!A:L,12,false)=TRUE,TRUE,FALSE)</f>
        <v>1</v>
      </c>
      <c r="I1808" s="68">
        <v>23.36976525769054</v>
      </c>
      <c r="J1808" s="68">
        <f t="shared" si="1"/>
        <v>35.05464789</v>
      </c>
      <c r="K1808" s="68" t="b">
        <v>1</v>
      </c>
    </row>
    <row r="1809" hidden="1">
      <c r="A1809" s="75">
        <v>1803.0</v>
      </c>
      <c r="B1809" s="62" t="s">
        <v>755</v>
      </c>
      <c r="C1809" s="62" t="s">
        <v>90</v>
      </c>
      <c r="D1809" s="62" t="s">
        <v>874</v>
      </c>
      <c r="E1809" s="76">
        <v>44161.0</v>
      </c>
      <c r="F1809" s="77">
        <v>0.041666666666666664</v>
      </c>
      <c r="G1809" s="62" t="b">
        <v>1</v>
      </c>
      <c r="H1809" s="78" t="b">
        <f>IF(VLOOKUP(C1809,Projetos!A:L,12,false)=TRUE,TRUE,FALSE)</f>
        <v>1</v>
      </c>
      <c r="I1809" s="68">
        <v>23.36976525769054</v>
      </c>
      <c r="J1809" s="68">
        <f t="shared" si="1"/>
        <v>23.36976526</v>
      </c>
      <c r="K1809" s="68" t="b">
        <v>1</v>
      </c>
    </row>
    <row r="1810" hidden="1">
      <c r="A1810" s="75">
        <v>1804.0</v>
      </c>
      <c r="B1810" s="62" t="s">
        <v>755</v>
      </c>
      <c r="C1810" s="62" t="s">
        <v>98</v>
      </c>
      <c r="D1810" s="62" t="s">
        <v>1182</v>
      </c>
      <c r="E1810" s="76">
        <v>44161.0</v>
      </c>
      <c r="F1810" s="77">
        <v>0.041666666666666664</v>
      </c>
      <c r="G1810" s="62" t="b">
        <v>1</v>
      </c>
      <c r="H1810" s="78" t="b">
        <f>IF(VLOOKUP(C1810,Projetos!A:L,12,false)=TRUE,TRUE,FALSE)</f>
        <v>1</v>
      </c>
      <c r="I1810" s="68">
        <v>23.36976525769054</v>
      </c>
      <c r="J1810" s="68">
        <f t="shared" si="1"/>
        <v>23.36976526</v>
      </c>
      <c r="K1810" s="68" t="b">
        <v>1</v>
      </c>
    </row>
    <row r="1811" hidden="1">
      <c r="A1811" s="75">
        <v>1805.0</v>
      </c>
      <c r="B1811" s="62" t="s">
        <v>755</v>
      </c>
      <c r="C1811" s="62" t="s">
        <v>90</v>
      </c>
      <c r="D1811" s="62" t="s">
        <v>1183</v>
      </c>
      <c r="E1811" s="76">
        <v>44162.0</v>
      </c>
      <c r="F1811" s="77">
        <v>0.020833333333333332</v>
      </c>
      <c r="G1811" s="62" t="b">
        <v>1</v>
      </c>
      <c r="H1811" s="78" t="b">
        <f>IF(VLOOKUP(C1811,Projetos!A:L,12,false)=TRUE,TRUE,FALSE)</f>
        <v>1</v>
      </c>
      <c r="I1811" s="68">
        <v>23.36976525769054</v>
      </c>
      <c r="J1811" s="68">
        <f t="shared" si="1"/>
        <v>11.68488263</v>
      </c>
      <c r="K1811" s="68" t="b">
        <v>1</v>
      </c>
    </row>
    <row r="1812" hidden="1">
      <c r="A1812" s="75">
        <v>1806.0</v>
      </c>
      <c r="B1812" s="62" t="s">
        <v>755</v>
      </c>
      <c r="C1812" s="62" t="s">
        <v>138</v>
      </c>
      <c r="D1812" s="62" t="s">
        <v>1184</v>
      </c>
      <c r="E1812" s="76">
        <v>44162.0</v>
      </c>
      <c r="F1812" s="77">
        <v>0.020833333333333332</v>
      </c>
      <c r="G1812" s="62" t="b">
        <v>1</v>
      </c>
      <c r="H1812" s="78" t="b">
        <f>IF(VLOOKUP(C1812,Projetos!A:L,12,false)=TRUE,TRUE,FALSE)</f>
        <v>1</v>
      </c>
      <c r="I1812" s="68">
        <v>23.36976525769054</v>
      </c>
      <c r="J1812" s="68">
        <f t="shared" si="1"/>
        <v>11.68488263</v>
      </c>
      <c r="K1812" s="68" t="b">
        <v>1</v>
      </c>
    </row>
    <row r="1813" hidden="1">
      <c r="A1813" s="75">
        <v>1807.0</v>
      </c>
      <c r="B1813" s="62" t="s">
        <v>755</v>
      </c>
      <c r="C1813" s="62" t="s">
        <v>90</v>
      </c>
      <c r="D1813" s="62" t="s">
        <v>1185</v>
      </c>
      <c r="E1813" s="76">
        <v>44162.0</v>
      </c>
      <c r="F1813" s="77">
        <v>0.041666666666666664</v>
      </c>
      <c r="G1813" s="62" t="b">
        <v>1</v>
      </c>
      <c r="H1813" s="78" t="b">
        <f>IF(VLOOKUP(C1813,Projetos!A:L,12,false)=TRUE,TRUE,FALSE)</f>
        <v>1</v>
      </c>
      <c r="I1813" s="68">
        <v>23.36976525769054</v>
      </c>
      <c r="J1813" s="68">
        <f t="shared" si="1"/>
        <v>23.36976526</v>
      </c>
      <c r="K1813" s="68" t="b">
        <v>1</v>
      </c>
    </row>
    <row r="1814" hidden="1">
      <c r="A1814" s="75">
        <v>1808.0</v>
      </c>
      <c r="B1814" s="62" t="s">
        <v>755</v>
      </c>
      <c r="C1814" s="62" t="s">
        <v>97</v>
      </c>
      <c r="D1814" s="62" t="s">
        <v>1186</v>
      </c>
      <c r="E1814" s="76">
        <v>44162.0</v>
      </c>
      <c r="F1814" s="77">
        <v>0.10416666666666667</v>
      </c>
      <c r="G1814" s="62" t="b">
        <v>1</v>
      </c>
      <c r="H1814" s="78" t="b">
        <f>IF(VLOOKUP(C1814,Projetos!A:L,12,false)=TRUE,TRUE,FALSE)</f>
        <v>1</v>
      </c>
      <c r="I1814" s="68">
        <v>23.36976525769054</v>
      </c>
      <c r="J1814" s="68">
        <f t="shared" si="1"/>
        <v>58.42441314</v>
      </c>
      <c r="K1814" s="68" t="b">
        <v>1</v>
      </c>
    </row>
    <row r="1815" hidden="1">
      <c r="A1815" s="75">
        <v>1809.0</v>
      </c>
      <c r="B1815" s="62" t="s">
        <v>755</v>
      </c>
      <c r="C1815" s="62" t="s">
        <v>97</v>
      </c>
      <c r="D1815" s="62" t="s">
        <v>1187</v>
      </c>
      <c r="E1815" s="76">
        <v>44162.0</v>
      </c>
      <c r="F1815" s="77">
        <v>0.020833333333333332</v>
      </c>
      <c r="G1815" s="62" t="b">
        <v>1</v>
      </c>
      <c r="H1815" s="78" t="b">
        <f>IF(VLOOKUP(C1815,Projetos!A:L,12,false)=TRUE,TRUE,FALSE)</f>
        <v>1</v>
      </c>
      <c r="I1815" s="68">
        <v>23.36976525769054</v>
      </c>
      <c r="J1815" s="68">
        <f t="shared" si="1"/>
        <v>11.68488263</v>
      </c>
      <c r="K1815" s="68" t="b">
        <v>1</v>
      </c>
    </row>
    <row r="1816" hidden="1">
      <c r="A1816" s="75">
        <v>1810.0</v>
      </c>
      <c r="B1816" s="62" t="s">
        <v>755</v>
      </c>
      <c r="C1816" s="62" t="s">
        <v>97</v>
      </c>
      <c r="D1816" s="62" t="s">
        <v>1188</v>
      </c>
      <c r="E1816" s="76">
        <v>44162.0</v>
      </c>
      <c r="F1816" s="77">
        <v>0.08333333333333333</v>
      </c>
      <c r="G1816" s="62" t="b">
        <v>1</v>
      </c>
      <c r="H1816" s="78" t="b">
        <f>IF(VLOOKUP(C1816,Projetos!A:L,12,false)=TRUE,TRUE,FALSE)</f>
        <v>1</v>
      </c>
      <c r="I1816" s="68">
        <v>23.36976525769054</v>
      </c>
      <c r="J1816" s="68">
        <f t="shared" si="1"/>
        <v>46.73953052</v>
      </c>
      <c r="K1816" s="68" t="b">
        <v>1</v>
      </c>
    </row>
    <row r="1817" hidden="1">
      <c r="A1817" s="75">
        <v>1811.0</v>
      </c>
      <c r="B1817" s="62" t="s">
        <v>755</v>
      </c>
      <c r="C1817" s="62" t="s">
        <v>109</v>
      </c>
      <c r="D1817" s="62" t="s">
        <v>1189</v>
      </c>
      <c r="E1817" s="76">
        <v>44165.0</v>
      </c>
      <c r="F1817" s="77">
        <v>0.0625</v>
      </c>
      <c r="G1817" s="62" t="b">
        <v>0</v>
      </c>
      <c r="H1817" s="78" t="b">
        <f>IF(VLOOKUP(C1817,Projetos!A:L,12,false)=TRUE,TRUE,FALSE)</f>
        <v>0</v>
      </c>
      <c r="I1817" s="68">
        <v>23.36976525769054</v>
      </c>
      <c r="J1817" s="68">
        <f t="shared" si="1"/>
        <v>0</v>
      </c>
      <c r="K1817" s="68" t="b">
        <v>0</v>
      </c>
    </row>
    <row r="1818" hidden="1">
      <c r="A1818" s="75">
        <v>1812.0</v>
      </c>
      <c r="B1818" s="62" t="s">
        <v>755</v>
      </c>
      <c r="C1818" s="62" t="s">
        <v>97</v>
      </c>
      <c r="D1818" s="62" t="s">
        <v>1190</v>
      </c>
      <c r="E1818" s="76">
        <v>44165.0</v>
      </c>
      <c r="F1818" s="77">
        <v>0.08333333333333333</v>
      </c>
      <c r="G1818" s="62" t="b">
        <v>1</v>
      </c>
      <c r="H1818" s="78" t="b">
        <f>IF(VLOOKUP(C1818,Projetos!A:L,12,false)=TRUE,TRUE,FALSE)</f>
        <v>1</v>
      </c>
      <c r="I1818" s="68">
        <v>23.36976525769054</v>
      </c>
      <c r="J1818" s="68">
        <f t="shared" si="1"/>
        <v>46.73953052</v>
      </c>
      <c r="K1818" s="68" t="b">
        <v>1</v>
      </c>
    </row>
    <row r="1819" hidden="1">
      <c r="A1819" s="75">
        <v>1813.0</v>
      </c>
      <c r="B1819" s="62" t="s">
        <v>755</v>
      </c>
      <c r="C1819" s="62" t="s">
        <v>97</v>
      </c>
      <c r="D1819" s="62" t="s">
        <v>1191</v>
      </c>
      <c r="E1819" s="76">
        <v>44165.0</v>
      </c>
      <c r="F1819" s="77">
        <v>0.20833333333333334</v>
      </c>
      <c r="G1819" s="62" t="b">
        <v>1</v>
      </c>
      <c r="H1819" s="78" t="b">
        <f>IF(VLOOKUP(C1819,Projetos!A:L,12,false)=TRUE,TRUE,FALSE)</f>
        <v>1</v>
      </c>
      <c r="I1819" s="68">
        <v>23.36976525769054</v>
      </c>
      <c r="J1819" s="68">
        <f t="shared" si="1"/>
        <v>116.8488263</v>
      </c>
      <c r="K1819" s="68" t="b">
        <v>1</v>
      </c>
    </row>
    <row r="1820" hidden="1">
      <c r="A1820" s="75">
        <v>1814.0</v>
      </c>
      <c r="B1820" s="62" t="s">
        <v>755</v>
      </c>
      <c r="C1820" s="62" t="s">
        <v>117</v>
      </c>
      <c r="D1820" s="62" t="s">
        <v>1192</v>
      </c>
      <c r="E1820" s="76">
        <v>44166.0</v>
      </c>
      <c r="F1820" s="77">
        <v>0.08333333333333333</v>
      </c>
      <c r="G1820" s="62" t="b">
        <v>0</v>
      </c>
      <c r="H1820" s="78" t="b">
        <f>IF(VLOOKUP(C1820,Projetos!A:L,12,false)=TRUE,TRUE,FALSE)</f>
        <v>0</v>
      </c>
      <c r="I1820" s="68">
        <v>24.48261122234247</v>
      </c>
      <c r="J1820" s="68">
        <f t="shared" si="1"/>
        <v>0</v>
      </c>
      <c r="K1820" s="68" t="b">
        <v>0</v>
      </c>
    </row>
    <row r="1821" hidden="1">
      <c r="A1821" s="75">
        <v>1815.0</v>
      </c>
      <c r="B1821" s="62" t="s">
        <v>755</v>
      </c>
      <c r="C1821" s="62" t="s">
        <v>88</v>
      </c>
      <c r="D1821" s="62" t="s">
        <v>1193</v>
      </c>
      <c r="E1821" s="76">
        <v>44166.0</v>
      </c>
      <c r="F1821" s="77">
        <v>0.08333333333333333</v>
      </c>
      <c r="G1821" s="62" t="b">
        <v>0</v>
      </c>
      <c r="H1821" s="78" t="b">
        <f>IF(VLOOKUP(C1821,Projetos!A:L,12,false)=TRUE,TRUE,FALSE)</f>
        <v>1</v>
      </c>
      <c r="I1821" s="68">
        <v>24.48261122234247</v>
      </c>
      <c r="J1821" s="68">
        <f t="shared" si="1"/>
        <v>0</v>
      </c>
      <c r="K1821" s="68" t="b">
        <v>1</v>
      </c>
    </row>
    <row r="1822" hidden="1">
      <c r="A1822" s="75">
        <v>1816.0</v>
      </c>
      <c r="B1822" s="62" t="s">
        <v>755</v>
      </c>
      <c r="C1822" s="62" t="s">
        <v>97</v>
      </c>
      <c r="D1822" s="62" t="s">
        <v>1194</v>
      </c>
      <c r="E1822" s="76">
        <v>44166.0</v>
      </c>
      <c r="F1822" s="77">
        <v>0.20833333333333334</v>
      </c>
      <c r="G1822" s="62" t="b">
        <v>1</v>
      </c>
      <c r="H1822" s="78" t="b">
        <f>IF(VLOOKUP(C1822,Projetos!A:L,12,false)=TRUE,TRUE,FALSE)</f>
        <v>1</v>
      </c>
      <c r="I1822" s="68">
        <v>24.48261122234247</v>
      </c>
      <c r="J1822" s="68">
        <f t="shared" si="1"/>
        <v>122.4130561</v>
      </c>
      <c r="K1822" s="68" t="b">
        <v>1</v>
      </c>
    </row>
    <row r="1823">
      <c r="A1823" s="75">
        <v>1817.0</v>
      </c>
      <c r="B1823" s="62" t="s">
        <v>755</v>
      </c>
      <c r="C1823" s="62" t="s">
        <v>104</v>
      </c>
      <c r="D1823" s="62" t="s">
        <v>1195</v>
      </c>
      <c r="E1823" s="76">
        <v>44167.0</v>
      </c>
      <c r="F1823" s="77">
        <v>0.020833333333333332</v>
      </c>
      <c r="G1823" s="62" t="b">
        <v>1</v>
      </c>
      <c r="H1823" s="78" t="b">
        <f>IF(VLOOKUP(C1823,Projetos!A:L,12,false)=TRUE,TRUE,FALSE)</f>
        <v>1</v>
      </c>
      <c r="I1823" s="68">
        <v>24.48261122234247</v>
      </c>
      <c r="J1823" s="68">
        <f t="shared" si="1"/>
        <v>12.24130561</v>
      </c>
      <c r="K1823" s="68" t="b">
        <v>1</v>
      </c>
    </row>
    <row r="1824">
      <c r="A1824" s="75">
        <v>1818.0</v>
      </c>
      <c r="B1824" s="62" t="s">
        <v>755</v>
      </c>
      <c r="C1824" s="62" t="s">
        <v>104</v>
      </c>
      <c r="D1824" s="62" t="s">
        <v>1196</v>
      </c>
      <c r="E1824" s="76">
        <v>44168.0</v>
      </c>
      <c r="F1824" s="77">
        <v>0.0625</v>
      </c>
      <c r="G1824" s="62" t="b">
        <v>1</v>
      </c>
      <c r="H1824" s="78" t="b">
        <f>IF(VLOOKUP(C1824,Projetos!A:L,12,false)=TRUE,TRUE,FALSE)</f>
        <v>1</v>
      </c>
      <c r="I1824" s="68">
        <v>24.48261122234247</v>
      </c>
      <c r="J1824" s="68">
        <f t="shared" si="1"/>
        <v>36.72391683</v>
      </c>
      <c r="K1824" s="68" t="b">
        <v>1</v>
      </c>
    </row>
    <row r="1825" hidden="1">
      <c r="A1825" s="75">
        <v>1819.0</v>
      </c>
      <c r="B1825" s="62" t="s">
        <v>755</v>
      </c>
      <c r="C1825" s="62" t="s">
        <v>90</v>
      </c>
      <c r="D1825" s="62" t="s">
        <v>1197</v>
      </c>
      <c r="E1825" s="76">
        <v>44169.0</v>
      </c>
      <c r="F1825" s="77">
        <v>0.10416666666666667</v>
      </c>
      <c r="G1825" s="62" t="b">
        <v>1</v>
      </c>
      <c r="H1825" s="78" t="b">
        <f>IF(VLOOKUP(C1825,Projetos!A:L,12,false)=TRUE,TRUE,FALSE)</f>
        <v>1</v>
      </c>
      <c r="I1825" s="68">
        <v>24.48261122234247</v>
      </c>
      <c r="J1825" s="68">
        <f t="shared" si="1"/>
        <v>61.20652806</v>
      </c>
      <c r="K1825" s="68" t="b">
        <v>1</v>
      </c>
    </row>
    <row r="1826" hidden="1">
      <c r="A1826" s="75">
        <v>1820.0</v>
      </c>
      <c r="B1826" s="62" t="s">
        <v>755</v>
      </c>
      <c r="C1826" s="62" t="s">
        <v>97</v>
      </c>
      <c r="D1826" s="62" t="s">
        <v>1198</v>
      </c>
      <c r="E1826" s="76">
        <v>44169.0</v>
      </c>
      <c r="F1826" s="77">
        <v>0.08333333333333333</v>
      </c>
      <c r="G1826" s="62" t="b">
        <v>1</v>
      </c>
      <c r="H1826" s="78" t="b">
        <f>IF(VLOOKUP(C1826,Projetos!A:L,12,false)=TRUE,TRUE,FALSE)</f>
        <v>1</v>
      </c>
      <c r="I1826" s="68">
        <v>24.48261122234247</v>
      </c>
      <c r="J1826" s="68">
        <f t="shared" si="1"/>
        <v>48.96522244</v>
      </c>
      <c r="K1826" s="68" t="b">
        <v>1</v>
      </c>
    </row>
    <row r="1827" hidden="1">
      <c r="A1827" s="75">
        <v>1821.0</v>
      </c>
      <c r="B1827" s="62" t="s">
        <v>755</v>
      </c>
      <c r="C1827" s="62" t="s">
        <v>97</v>
      </c>
      <c r="D1827" s="62" t="s">
        <v>1199</v>
      </c>
      <c r="E1827" s="76">
        <v>44169.0</v>
      </c>
      <c r="F1827" s="77">
        <v>0.020833333333333332</v>
      </c>
      <c r="G1827" s="62" t="b">
        <v>1</v>
      </c>
      <c r="H1827" s="78" t="b">
        <f>IF(VLOOKUP(C1827,Projetos!A:L,12,false)=TRUE,TRUE,FALSE)</f>
        <v>1</v>
      </c>
      <c r="I1827" s="68">
        <v>24.48261122234247</v>
      </c>
      <c r="J1827" s="68">
        <f t="shared" si="1"/>
        <v>12.24130561</v>
      </c>
      <c r="K1827" s="68" t="b">
        <v>1</v>
      </c>
    </row>
    <row r="1828" hidden="1">
      <c r="A1828" s="75">
        <v>1822.0</v>
      </c>
      <c r="B1828" s="62" t="s">
        <v>755</v>
      </c>
      <c r="C1828" s="62" t="s">
        <v>97</v>
      </c>
      <c r="D1828" s="62" t="s">
        <v>1200</v>
      </c>
      <c r="E1828" s="76">
        <v>44169.0</v>
      </c>
      <c r="F1828" s="77">
        <v>0.020833333333333332</v>
      </c>
      <c r="G1828" s="62" t="b">
        <v>1</v>
      </c>
      <c r="H1828" s="78" t="b">
        <f>IF(VLOOKUP(C1828,Projetos!A:L,12,false)=TRUE,TRUE,FALSE)</f>
        <v>1</v>
      </c>
      <c r="I1828" s="68">
        <v>24.48261122234247</v>
      </c>
      <c r="J1828" s="68">
        <f t="shared" si="1"/>
        <v>12.24130561</v>
      </c>
      <c r="K1828" s="68" t="b">
        <v>1</v>
      </c>
    </row>
    <row r="1829" hidden="1">
      <c r="A1829" s="75">
        <v>1823.0</v>
      </c>
      <c r="B1829" s="62" t="s">
        <v>755</v>
      </c>
      <c r="C1829" s="62" t="s">
        <v>97</v>
      </c>
      <c r="D1829" s="62" t="s">
        <v>1201</v>
      </c>
      <c r="E1829" s="76">
        <v>44169.0</v>
      </c>
      <c r="F1829" s="77">
        <v>0.041666666666666664</v>
      </c>
      <c r="G1829" s="62" t="b">
        <v>1</v>
      </c>
      <c r="H1829" s="78" t="b">
        <f>IF(VLOOKUP(C1829,Projetos!A:L,12,false)=TRUE,TRUE,FALSE)</f>
        <v>1</v>
      </c>
      <c r="I1829" s="68">
        <v>24.48261122234247</v>
      </c>
      <c r="J1829" s="68">
        <f t="shared" si="1"/>
        <v>24.48261122</v>
      </c>
      <c r="K1829" s="68" t="b">
        <v>1</v>
      </c>
    </row>
    <row r="1830" hidden="1">
      <c r="A1830" s="75">
        <v>1824.0</v>
      </c>
      <c r="B1830" s="62" t="s">
        <v>755</v>
      </c>
      <c r="C1830" s="62" t="s">
        <v>90</v>
      </c>
      <c r="D1830" s="62" t="s">
        <v>1202</v>
      </c>
      <c r="E1830" s="76">
        <v>44172.0</v>
      </c>
      <c r="F1830" s="77">
        <v>0.020833333333333332</v>
      </c>
      <c r="G1830" s="62" t="b">
        <v>1</v>
      </c>
      <c r="H1830" s="78" t="b">
        <f>IF(VLOOKUP(C1830,Projetos!A:L,12,false)=TRUE,TRUE,FALSE)</f>
        <v>1</v>
      </c>
      <c r="I1830" s="68">
        <v>24.48261122234247</v>
      </c>
      <c r="J1830" s="68">
        <f t="shared" si="1"/>
        <v>12.24130561</v>
      </c>
      <c r="K1830" s="68" t="b">
        <v>1</v>
      </c>
    </row>
    <row r="1831" hidden="1">
      <c r="A1831" s="75">
        <v>1825.0</v>
      </c>
      <c r="B1831" s="62" t="s">
        <v>755</v>
      </c>
      <c r="C1831" s="62" t="s">
        <v>90</v>
      </c>
      <c r="D1831" s="62" t="s">
        <v>874</v>
      </c>
      <c r="E1831" s="76">
        <v>44172.0</v>
      </c>
      <c r="F1831" s="77">
        <v>0.041666666666666664</v>
      </c>
      <c r="G1831" s="62" t="b">
        <v>1</v>
      </c>
      <c r="H1831" s="78" t="b">
        <f>IF(VLOOKUP(C1831,Projetos!A:L,12,false)=TRUE,TRUE,FALSE)</f>
        <v>1</v>
      </c>
      <c r="I1831" s="68">
        <v>24.48261122234247</v>
      </c>
      <c r="J1831" s="68">
        <f t="shared" si="1"/>
        <v>24.48261122</v>
      </c>
      <c r="K1831" s="68" t="b">
        <v>1</v>
      </c>
    </row>
    <row r="1832" hidden="1">
      <c r="A1832" s="75">
        <v>1826.0</v>
      </c>
      <c r="B1832" s="62" t="s">
        <v>755</v>
      </c>
      <c r="C1832" s="62" t="s">
        <v>89</v>
      </c>
      <c r="D1832" s="62" t="s">
        <v>1203</v>
      </c>
      <c r="E1832" s="76">
        <v>44172.0</v>
      </c>
      <c r="F1832" s="77">
        <v>0.0625</v>
      </c>
      <c r="G1832" s="62" t="b">
        <v>0</v>
      </c>
      <c r="H1832" s="78" t="b">
        <f>IF(VLOOKUP(C1832,Projetos!A:L,12,false)=TRUE,TRUE,FALSE)</f>
        <v>1</v>
      </c>
      <c r="I1832" s="68">
        <v>24.48261122234247</v>
      </c>
      <c r="J1832" s="68">
        <f t="shared" si="1"/>
        <v>0</v>
      </c>
      <c r="K1832" s="68" t="b">
        <v>1</v>
      </c>
    </row>
    <row r="1833" hidden="1">
      <c r="A1833" s="75">
        <v>1827.0</v>
      </c>
      <c r="B1833" s="62" t="s">
        <v>755</v>
      </c>
      <c r="C1833" s="62" t="s">
        <v>117</v>
      </c>
      <c r="D1833" s="62" t="s">
        <v>1204</v>
      </c>
      <c r="E1833" s="76">
        <v>44173.0</v>
      </c>
      <c r="F1833" s="77">
        <v>0.0625</v>
      </c>
      <c r="G1833" s="62" t="b">
        <v>0</v>
      </c>
      <c r="H1833" s="78" t="b">
        <f>IF(VLOOKUP(C1833,Projetos!A:L,12,false)=TRUE,TRUE,FALSE)</f>
        <v>0</v>
      </c>
      <c r="I1833" s="68">
        <v>24.48261122234247</v>
      </c>
      <c r="J1833" s="68">
        <f t="shared" si="1"/>
        <v>0</v>
      </c>
      <c r="K1833" s="68" t="b">
        <v>0</v>
      </c>
    </row>
    <row r="1834">
      <c r="A1834" s="75">
        <v>1828.0</v>
      </c>
      <c r="B1834" s="62" t="s">
        <v>755</v>
      </c>
      <c r="C1834" s="62" t="s">
        <v>104</v>
      </c>
      <c r="D1834" s="62" t="s">
        <v>1205</v>
      </c>
      <c r="E1834" s="76">
        <v>44173.0</v>
      </c>
      <c r="F1834" s="77">
        <v>0.125</v>
      </c>
      <c r="G1834" s="62" t="b">
        <v>1</v>
      </c>
      <c r="H1834" s="78" t="b">
        <f>IF(VLOOKUP(C1834,Projetos!A:L,12,false)=TRUE,TRUE,FALSE)</f>
        <v>1</v>
      </c>
      <c r="I1834" s="68">
        <v>24.48261122234247</v>
      </c>
      <c r="J1834" s="68">
        <f t="shared" si="1"/>
        <v>73.44783367</v>
      </c>
      <c r="K1834" s="68" t="b">
        <v>1</v>
      </c>
    </row>
    <row r="1835" hidden="1">
      <c r="A1835" s="75">
        <v>1829.0</v>
      </c>
      <c r="B1835" s="62" t="s">
        <v>755</v>
      </c>
      <c r="C1835" s="62" t="s">
        <v>90</v>
      </c>
      <c r="D1835" s="62" t="s">
        <v>874</v>
      </c>
      <c r="E1835" s="76">
        <v>44173.0</v>
      </c>
      <c r="F1835" s="77">
        <v>0.041666666666666664</v>
      </c>
      <c r="G1835" s="62" t="b">
        <v>1</v>
      </c>
      <c r="H1835" s="78" t="b">
        <f>IF(VLOOKUP(C1835,Projetos!A:L,12,false)=TRUE,TRUE,FALSE)</f>
        <v>1</v>
      </c>
      <c r="I1835" s="68">
        <v>24.48261122234247</v>
      </c>
      <c r="J1835" s="68">
        <f t="shared" si="1"/>
        <v>24.48261122</v>
      </c>
      <c r="K1835" s="68" t="b">
        <v>1</v>
      </c>
    </row>
    <row r="1836" hidden="1">
      <c r="A1836" s="75">
        <v>1830.0</v>
      </c>
      <c r="B1836" s="62" t="s">
        <v>755</v>
      </c>
      <c r="C1836" s="62" t="s">
        <v>109</v>
      </c>
      <c r="D1836" s="62" t="s">
        <v>1206</v>
      </c>
      <c r="E1836" s="76">
        <v>44174.0</v>
      </c>
      <c r="F1836" s="77">
        <v>0.020833333333333332</v>
      </c>
      <c r="G1836" s="62" t="b">
        <v>0</v>
      </c>
      <c r="H1836" s="78" t="b">
        <f>IF(VLOOKUP(C1836,Projetos!A:L,12,false)=TRUE,TRUE,FALSE)</f>
        <v>0</v>
      </c>
      <c r="I1836" s="68">
        <v>24.48261122234247</v>
      </c>
      <c r="J1836" s="68">
        <f t="shared" si="1"/>
        <v>0</v>
      </c>
      <c r="K1836" s="68" t="b">
        <v>0</v>
      </c>
    </row>
    <row r="1837" hidden="1">
      <c r="A1837" s="75">
        <v>1831.0</v>
      </c>
      <c r="B1837" s="62" t="s">
        <v>755</v>
      </c>
      <c r="C1837" s="62" t="s">
        <v>90</v>
      </c>
      <c r="D1837" s="62" t="s">
        <v>1207</v>
      </c>
      <c r="E1837" s="76">
        <v>44174.0</v>
      </c>
      <c r="F1837" s="77">
        <v>0.020833333333333332</v>
      </c>
      <c r="G1837" s="62" t="b">
        <v>1</v>
      </c>
      <c r="H1837" s="78" t="b">
        <f>IF(VLOOKUP(C1837,Projetos!A:L,12,false)=TRUE,TRUE,FALSE)</f>
        <v>1</v>
      </c>
      <c r="I1837" s="68">
        <v>24.48261122234247</v>
      </c>
      <c r="J1837" s="68">
        <f t="shared" si="1"/>
        <v>12.24130561</v>
      </c>
      <c r="K1837" s="68" t="b">
        <v>1</v>
      </c>
    </row>
    <row r="1838" hidden="1">
      <c r="A1838" s="75">
        <v>1832.0</v>
      </c>
      <c r="B1838" s="62" t="s">
        <v>755</v>
      </c>
      <c r="C1838" s="62" t="s">
        <v>90</v>
      </c>
      <c r="D1838" s="62" t="s">
        <v>874</v>
      </c>
      <c r="E1838" s="76">
        <v>44174.0</v>
      </c>
      <c r="F1838" s="77">
        <v>0.041666666666666664</v>
      </c>
      <c r="G1838" s="62" t="b">
        <v>1</v>
      </c>
      <c r="H1838" s="78" t="b">
        <f>IF(VLOOKUP(C1838,Projetos!A:L,12,false)=TRUE,TRUE,FALSE)</f>
        <v>1</v>
      </c>
      <c r="I1838" s="68">
        <v>24.48261122234247</v>
      </c>
      <c r="J1838" s="68">
        <f t="shared" si="1"/>
        <v>24.48261122</v>
      </c>
      <c r="K1838" s="68" t="b">
        <v>1</v>
      </c>
    </row>
    <row r="1839" hidden="1">
      <c r="A1839" s="75">
        <v>1833.0</v>
      </c>
      <c r="B1839" s="62" t="s">
        <v>755</v>
      </c>
      <c r="C1839" s="62" t="s">
        <v>90</v>
      </c>
      <c r="D1839" s="62" t="s">
        <v>1208</v>
      </c>
      <c r="E1839" s="76">
        <v>44175.0</v>
      </c>
      <c r="F1839" s="77">
        <v>0.041666666666666664</v>
      </c>
      <c r="G1839" s="62" t="b">
        <v>1</v>
      </c>
      <c r="H1839" s="78" t="b">
        <f>IF(VLOOKUP(C1839,Projetos!A:L,12,false)=TRUE,TRUE,FALSE)</f>
        <v>1</v>
      </c>
      <c r="I1839" s="68">
        <v>24.48261122234247</v>
      </c>
      <c r="J1839" s="68">
        <f t="shared" si="1"/>
        <v>24.48261122</v>
      </c>
      <c r="K1839" s="68" t="b">
        <v>1</v>
      </c>
    </row>
    <row r="1840" hidden="1">
      <c r="A1840" s="75">
        <v>1834.0</v>
      </c>
      <c r="B1840" s="62" t="s">
        <v>755</v>
      </c>
      <c r="C1840" s="62" t="s">
        <v>90</v>
      </c>
      <c r="D1840" s="62" t="s">
        <v>1209</v>
      </c>
      <c r="E1840" s="76">
        <v>44175.0</v>
      </c>
      <c r="F1840" s="77">
        <v>0.041666666666666664</v>
      </c>
      <c r="G1840" s="62" t="b">
        <v>1</v>
      </c>
      <c r="H1840" s="78" t="b">
        <f>IF(VLOOKUP(C1840,Projetos!A:L,12,false)=TRUE,TRUE,FALSE)</f>
        <v>1</v>
      </c>
      <c r="I1840" s="68">
        <v>24.48261122234247</v>
      </c>
      <c r="J1840" s="68">
        <f t="shared" si="1"/>
        <v>24.48261122</v>
      </c>
      <c r="K1840" s="68" t="b">
        <v>1</v>
      </c>
    </row>
    <row r="1841" hidden="1">
      <c r="A1841" s="75">
        <v>1835.0</v>
      </c>
      <c r="B1841" s="62" t="s">
        <v>755</v>
      </c>
      <c r="C1841" s="62" t="s">
        <v>90</v>
      </c>
      <c r="D1841" s="62" t="s">
        <v>1210</v>
      </c>
      <c r="E1841" s="76">
        <v>44175.0</v>
      </c>
      <c r="F1841" s="77">
        <v>0.041666666666666664</v>
      </c>
      <c r="G1841" s="62" t="b">
        <v>1</v>
      </c>
      <c r="H1841" s="78" t="b">
        <f>IF(VLOOKUP(C1841,Projetos!A:L,12,false)=TRUE,TRUE,FALSE)</f>
        <v>1</v>
      </c>
      <c r="I1841" s="68">
        <v>24.48261122234247</v>
      </c>
      <c r="J1841" s="68">
        <f t="shared" si="1"/>
        <v>24.48261122</v>
      </c>
      <c r="K1841" s="68" t="b">
        <v>1</v>
      </c>
    </row>
    <row r="1842" hidden="1">
      <c r="A1842" s="75">
        <v>1836.0</v>
      </c>
      <c r="B1842" s="62" t="s">
        <v>755</v>
      </c>
      <c r="C1842" s="62" t="s">
        <v>90</v>
      </c>
      <c r="D1842" s="62" t="s">
        <v>1211</v>
      </c>
      <c r="E1842" s="76">
        <v>44175.0</v>
      </c>
      <c r="F1842" s="77">
        <v>0.125</v>
      </c>
      <c r="G1842" s="62" t="b">
        <v>1</v>
      </c>
      <c r="H1842" s="78" t="b">
        <f>IF(VLOOKUP(C1842,Projetos!A:L,12,false)=TRUE,TRUE,FALSE)</f>
        <v>1</v>
      </c>
      <c r="I1842" s="68">
        <v>24.48261122234247</v>
      </c>
      <c r="J1842" s="68">
        <f t="shared" si="1"/>
        <v>73.44783367</v>
      </c>
      <c r="K1842" s="68" t="b">
        <v>1</v>
      </c>
    </row>
    <row r="1843" hidden="1">
      <c r="A1843" s="75">
        <v>1837.0</v>
      </c>
      <c r="B1843" s="62" t="s">
        <v>755</v>
      </c>
      <c r="C1843" s="62" t="s">
        <v>97</v>
      </c>
      <c r="D1843" s="62" t="s">
        <v>1212</v>
      </c>
      <c r="E1843" s="76">
        <v>44179.0</v>
      </c>
      <c r="F1843" s="77">
        <v>0.0625</v>
      </c>
      <c r="G1843" s="62" t="b">
        <v>0</v>
      </c>
      <c r="H1843" s="78" t="b">
        <f>IF(VLOOKUP(C1843,Projetos!A:L,12,false)=TRUE,TRUE,FALSE)</f>
        <v>1</v>
      </c>
      <c r="I1843" s="68">
        <v>24.48261122234247</v>
      </c>
      <c r="J1843" s="68">
        <f t="shared" si="1"/>
        <v>0</v>
      </c>
      <c r="K1843" s="68" t="b">
        <v>1</v>
      </c>
    </row>
    <row r="1844">
      <c r="A1844" s="75">
        <v>1838.0</v>
      </c>
      <c r="B1844" s="62" t="s">
        <v>755</v>
      </c>
      <c r="C1844" s="62" t="s">
        <v>104</v>
      </c>
      <c r="D1844" s="62" t="s">
        <v>1213</v>
      </c>
      <c r="E1844" s="76">
        <v>44179.0</v>
      </c>
      <c r="F1844" s="77">
        <v>0.041666666666666664</v>
      </c>
      <c r="G1844" s="62" t="b">
        <v>0</v>
      </c>
      <c r="H1844" s="78" t="b">
        <f>IF(VLOOKUP(C1844,Projetos!A:L,12,false)=TRUE,TRUE,FALSE)</f>
        <v>1</v>
      </c>
      <c r="I1844" s="68">
        <v>24.48261122234247</v>
      </c>
      <c r="J1844" s="68">
        <f t="shared" si="1"/>
        <v>0</v>
      </c>
      <c r="K1844" s="68" t="b">
        <v>1</v>
      </c>
    </row>
    <row r="1845" hidden="1">
      <c r="A1845" s="75">
        <v>1839.0</v>
      </c>
      <c r="B1845" s="62" t="s">
        <v>755</v>
      </c>
      <c r="C1845" s="62" t="s">
        <v>90</v>
      </c>
      <c r="D1845" s="62" t="s">
        <v>1214</v>
      </c>
      <c r="E1845" s="76">
        <v>44179.0</v>
      </c>
      <c r="F1845" s="77">
        <v>0.0625</v>
      </c>
      <c r="G1845" s="62" t="b">
        <v>1</v>
      </c>
      <c r="H1845" s="78" t="b">
        <f>IF(VLOOKUP(C1845,Projetos!A:L,12,false)=TRUE,TRUE,FALSE)</f>
        <v>1</v>
      </c>
      <c r="I1845" s="68">
        <v>24.48261122234247</v>
      </c>
      <c r="J1845" s="68">
        <f t="shared" si="1"/>
        <v>36.72391683</v>
      </c>
      <c r="K1845" s="68" t="b">
        <v>1</v>
      </c>
    </row>
    <row r="1846" hidden="1">
      <c r="A1846" s="75">
        <v>1840.0</v>
      </c>
      <c r="B1846" s="62" t="s">
        <v>755</v>
      </c>
      <c r="C1846" s="62" t="s">
        <v>109</v>
      </c>
      <c r="D1846" s="62" t="s">
        <v>1215</v>
      </c>
      <c r="E1846" s="76">
        <v>44180.0</v>
      </c>
      <c r="F1846" s="77">
        <v>0.020833333333333332</v>
      </c>
      <c r="G1846" s="62" t="b">
        <v>0</v>
      </c>
      <c r="H1846" s="78" t="b">
        <f>IF(VLOOKUP(C1846,Projetos!A:L,12,false)=TRUE,TRUE,FALSE)</f>
        <v>0</v>
      </c>
      <c r="I1846" s="68">
        <v>24.48261122234247</v>
      </c>
      <c r="J1846" s="68">
        <f t="shared" si="1"/>
        <v>0</v>
      </c>
      <c r="K1846" s="68" t="b">
        <v>0</v>
      </c>
    </row>
    <row r="1847" hidden="1">
      <c r="A1847" s="75">
        <v>1841.0</v>
      </c>
      <c r="B1847" s="62" t="s">
        <v>755</v>
      </c>
      <c r="C1847" s="62" t="s">
        <v>90</v>
      </c>
      <c r="D1847" s="62" t="s">
        <v>1216</v>
      </c>
      <c r="E1847" s="76">
        <v>44180.0</v>
      </c>
      <c r="F1847" s="77">
        <v>0.0625</v>
      </c>
      <c r="G1847" s="62" t="b">
        <v>1</v>
      </c>
      <c r="H1847" s="78" t="b">
        <f>IF(VLOOKUP(C1847,Projetos!A:L,12,false)=TRUE,TRUE,FALSE)</f>
        <v>1</v>
      </c>
      <c r="I1847" s="68">
        <v>24.48261122234247</v>
      </c>
      <c r="J1847" s="68">
        <f t="shared" si="1"/>
        <v>36.72391683</v>
      </c>
      <c r="K1847" s="68" t="b">
        <v>1</v>
      </c>
    </row>
    <row r="1848" hidden="1">
      <c r="A1848" s="75">
        <v>1842.0</v>
      </c>
      <c r="B1848" s="62" t="s">
        <v>755</v>
      </c>
      <c r="C1848" s="62" t="s">
        <v>90</v>
      </c>
      <c r="D1848" s="62" t="s">
        <v>1217</v>
      </c>
      <c r="E1848" s="76">
        <v>44180.0</v>
      </c>
      <c r="F1848" s="77">
        <v>0.020833333333333332</v>
      </c>
      <c r="G1848" s="62" t="b">
        <v>1</v>
      </c>
      <c r="H1848" s="78" t="b">
        <f>IF(VLOOKUP(C1848,Projetos!A:L,12,false)=TRUE,TRUE,FALSE)</f>
        <v>1</v>
      </c>
      <c r="I1848" s="68">
        <v>24.48261122234247</v>
      </c>
      <c r="J1848" s="68">
        <f t="shared" si="1"/>
        <v>12.24130561</v>
      </c>
      <c r="K1848" s="68" t="b">
        <v>1</v>
      </c>
    </row>
    <row r="1849" hidden="1">
      <c r="A1849" s="75">
        <v>1843.0</v>
      </c>
      <c r="B1849" s="62" t="s">
        <v>755</v>
      </c>
      <c r="C1849" s="62" t="s">
        <v>90</v>
      </c>
      <c r="D1849" s="62" t="s">
        <v>1218</v>
      </c>
      <c r="E1849" s="76">
        <v>44181.0</v>
      </c>
      <c r="F1849" s="77">
        <v>0.0625</v>
      </c>
      <c r="G1849" s="62" t="b">
        <v>1</v>
      </c>
      <c r="H1849" s="78" t="b">
        <f>IF(VLOOKUP(C1849,Projetos!A:L,12,false)=TRUE,TRUE,FALSE)</f>
        <v>1</v>
      </c>
      <c r="I1849" s="68">
        <v>24.48261122234247</v>
      </c>
      <c r="J1849" s="68">
        <f t="shared" si="1"/>
        <v>36.72391683</v>
      </c>
      <c r="K1849" s="68" t="b">
        <v>1</v>
      </c>
    </row>
    <row r="1850" hidden="1">
      <c r="A1850" s="75">
        <v>1844.0</v>
      </c>
      <c r="B1850" s="62" t="s">
        <v>755</v>
      </c>
      <c r="C1850" s="62" t="s">
        <v>90</v>
      </c>
      <c r="D1850" s="62" t="s">
        <v>1219</v>
      </c>
      <c r="E1850" s="76">
        <v>44181.0</v>
      </c>
      <c r="F1850" s="77">
        <v>0.0625</v>
      </c>
      <c r="G1850" s="62" t="b">
        <v>1</v>
      </c>
      <c r="H1850" s="78" t="b">
        <f>IF(VLOOKUP(C1850,Projetos!A:L,12,false)=TRUE,TRUE,FALSE)</f>
        <v>1</v>
      </c>
      <c r="I1850" s="68">
        <v>24.48261122234247</v>
      </c>
      <c r="J1850" s="68">
        <f t="shared" si="1"/>
        <v>36.72391683</v>
      </c>
      <c r="K1850" s="68" t="b">
        <v>1</v>
      </c>
    </row>
    <row r="1851" hidden="1">
      <c r="A1851" s="75">
        <v>1845.0</v>
      </c>
      <c r="B1851" s="62" t="s">
        <v>755</v>
      </c>
      <c r="C1851" s="62" t="s">
        <v>97</v>
      </c>
      <c r="D1851" s="62" t="s">
        <v>1220</v>
      </c>
      <c r="E1851" s="76">
        <v>44181.0</v>
      </c>
      <c r="F1851" s="77">
        <v>0.10416666666666667</v>
      </c>
      <c r="G1851" s="62" t="b">
        <v>1</v>
      </c>
      <c r="H1851" s="78" t="b">
        <f>IF(VLOOKUP(C1851,Projetos!A:L,12,false)=TRUE,TRUE,FALSE)</f>
        <v>1</v>
      </c>
      <c r="I1851" s="68">
        <v>24.48261122234247</v>
      </c>
      <c r="J1851" s="68">
        <f t="shared" si="1"/>
        <v>61.20652806</v>
      </c>
      <c r="K1851" s="68" t="b">
        <v>1</v>
      </c>
    </row>
    <row r="1852" hidden="1">
      <c r="A1852" s="75">
        <v>1846.0</v>
      </c>
      <c r="B1852" s="62" t="s">
        <v>755</v>
      </c>
      <c r="C1852" s="62" t="s">
        <v>90</v>
      </c>
      <c r="D1852" s="62" t="s">
        <v>1221</v>
      </c>
      <c r="E1852" s="76">
        <v>44181.0</v>
      </c>
      <c r="F1852" s="77">
        <v>0.020833333333333332</v>
      </c>
      <c r="G1852" s="62" t="b">
        <v>1</v>
      </c>
      <c r="H1852" s="78" t="b">
        <f>IF(VLOOKUP(C1852,Projetos!A:L,12,false)=TRUE,TRUE,FALSE)</f>
        <v>1</v>
      </c>
      <c r="I1852" s="68">
        <v>24.48261122234247</v>
      </c>
      <c r="J1852" s="68">
        <f t="shared" si="1"/>
        <v>12.24130561</v>
      </c>
      <c r="K1852" s="68" t="b">
        <v>1</v>
      </c>
    </row>
    <row r="1853" hidden="1">
      <c r="A1853" s="75">
        <v>1847.0</v>
      </c>
      <c r="B1853" s="62" t="s">
        <v>755</v>
      </c>
      <c r="C1853" s="62" t="s">
        <v>90</v>
      </c>
      <c r="D1853" s="62" t="s">
        <v>874</v>
      </c>
      <c r="E1853" s="76">
        <v>44181.0</v>
      </c>
      <c r="F1853" s="77">
        <v>0.041666666666666664</v>
      </c>
      <c r="G1853" s="62" t="b">
        <v>1</v>
      </c>
      <c r="H1853" s="78" t="b">
        <f>IF(VLOOKUP(C1853,Projetos!A:L,12,false)=TRUE,TRUE,FALSE)</f>
        <v>1</v>
      </c>
      <c r="I1853" s="68">
        <v>24.48261122234247</v>
      </c>
      <c r="J1853" s="68">
        <f t="shared" si="1"/>
        <v>24.48261122</v>
      </c>
      <c r="K1853" s="68" t="b">
        <v>1</v>
      </c>
    </row>
    <row r="1854" hidden="1">
      <c r="A1854" s="75">
        <v>1848.0</v>
      </c>
      <c r="B1854" s="62" t="s">
        <v>755</v>
      </c>
      <c r="C1854" s="62" t="s">
        <v>117</v>
      </c>
      <c r="D1854" s="62" t="s">
        <v>1222</v>
      </c>
      <c r="E1854" s="76">
        <v>44182.0</v>
      </c>
      <c r="F1854" s="77">
        <v>0.08333333333333333</v>
      </c>
      <c r="G1854" s="62" t="b">
        <v>0</v>
      </c>
      <c r="H1854" s="78" t="b">
        <f>IF(VLOOKUP(C1854,Projetos!A:L,12,false)=TRUE,TRUE,FALSE)</f>
        <v>0</v>
      </c>
      <c r="I1854" s="68">
        <v>24.48261122234247</v>
      </c>
      <c r="J1854" s="68">
        <f t="shared" si="1"/>
        <v>0</v>
      </c>
      <c r="K1854" s="68" t="b">
        <v>0</v>
      </c>
    </row>
    <row r="1855" hidden="1">
      <c r="A1855" s="75">
        <v>1849.0</v>
      </c>
      <c r="B1855" s="62" t="s">
        <v>755</v>
      </c>
      <c r="C1855" s="62" t="s">
        <v>116</v>
      </c>
      <c r="D1855" s="62" t="s">
        <v>1223</v>
      </c>
      <c r="E1855" s="76">
        <v>44182.0</v>
      </c>
      <c r="F1855" s="77">
        <v>0.0625</v>
      </c>
      <c r="G1855" s="62" t="b">
        <v>1</v>
      </c>
      <c r="H1855" s="78" t="b">
        <f>IF(VLOOKUP(C1855,Projetos!A:L,12,false)=TRUE,TRUE,FALSE)</f>
        <v>1</v>
      </c>
      <c r="I1855" s="68">
        <v>24.48261122234247</v>
      </c>
      <c r="J1855" s="68">
        <f t="shared" si="1"/>
        <v>36.72391683</v>
      </c>
      <c r="K1855" s="68" t="b">
        <v>1</v>
      </c>
    </row>
    <row r="1856">
      <c r="A1856" s="75">
        <v>1850.0</v>
      </c>
      <c r="B1856" s="62" t="s">
        <v>755</v>
      </c>
      <c r="C1856" s="62" t="s">
        <v>104</v>
      </c>
      <c r="D1856" s="62" t="s">
        <v>1044</v>
      </c>
      <c r="E1856" s="76">
        <v>44182.0</v>
      </c>
      <c r="F1856" s="77">
        <v>0.041666666666666664</v>
      </c>
      <c r="G1856" s="62" t="b">
        <v>1</v>
      </c>
      <c r="H1856" s="78" t="b">
        <f>IF(VLOOKUP(C1856,Projetos!A:L,12,false)=TRUE,TRUE,FALSE)</f>
        <v>1</v>
      </c>
      <c r="I1856" s="68">
        <v>24.48261122234247</v>
      </c>
      <c r="J1856" s="68">
        <f t="shared" si="1"/>
        <v>24.48261122</v>
      </c>
      <c r="K1856" s="68" t="b">
        <v>1</v>
      </c>
    </row>
    <row r="1857">
      <c r="A1857" s="75">
        <v>1851.0</v>
      </c>
      <c r="B1857" s="62" t="s">
        <v>755</v>
      </c>
      <c r="C1857" s="62" t="s">
        <v>104</v>
      </c>
      <c r="D1857" s="62" t="s">
        <v>1224</v>
      </c>
      <c r="E1857" s="76">
        <v>44182.0</v>
      </c>
      <c r="F1857" s="77">
        <v>0.041666666666666664</v>
      </c>
      <c r="G1857" s="62" t="b">
        <v>1</v>
      </c>
      <c r="H1857" s="78" t="b">
        <f>IF(VLOOKUP(C1857,Projetos!A:L,12,false)=TRUE,TRUE,FALSE)</f>
        <v>1</v>
      </c>
      <c r="I1857" s="68">
        <v>24.48261122234247</v>
      </c>
      <c r="J1857" s="68">
        <f t="shared" si="1"/>
        <v>24.48261122</v>
      </c>
      <c r="K1857" s="68" t="b">
        <v>1</v>
      </c>
    </row>
    <row r="1858">
      <c r="A1858" s="75">
        <v>1852.0</v>
      </c>
      <c r="B1858" s="62" t="s">
        <v>755</v>
      </c>
      <c r="C1858" s="62" t="s">
        <v>104</v>
      </c>
      <c r="D1858" s="62" t="s">
        <v>1225</v>
      </c>
      <c r="E1858" s="76">
        <v>44183.0</v>
      </c>
      <c r="F1858" s="77">
        <v>0.041666666666666664</v>
      </c>
      <c r="G1858" s="62" t="b">
        <v>1</v>
      </c>
      <c r="H1858" s="78" t="b">
        <f>IF(VLOOKUP(C1858,Projetos!A:L,12,false)=TRUE,TRUE,FALSE)</f>
        <v>1</v>
      </c>
      <c r="I1858" s="68">
        <v>24.48261122234247</v>
      </c>
      <c r="J1858" s="68">
        <f t="shared" si="1"/>
        <v>24.48261122</v>
      </c>
      <c r="K1858" s="68" t="b">
        <v>1</v>
      </c>
    </row>
    <row r="1859" hidden="1">
      <c r="A1859" s="75">
        <v>1853.0</v>
      </c>
      <c r="B1859" s="62" t="s">
        <v>755</v>
      </c>
      <c r="C1859" s="62" t="s">
        <v>109</v>
      </c>
      <c r="D1859" s="62" t="s">
        <v>1226</v>
      </c>
      <c r="E1859" s="76">
        <v>44183.0</v>
      </c>
      <c r="F1859" s="77">
        <v>0.020833333333333332</v>
      </c>
      <c r="G1859" s="62" t="b">
        <v>0</v>
      </c>
      <c r="H1859" s="78" t="b">
        <f>IF(VLOOKUP(C1859,Projetos!A:L,12,false)=TRUE,TRUE,FALSE)</f>
        <v>0</v>
      </c>
      <c r="I1859" s="68">
        <v>24.48261122234247</v>
      </c>
      <c r="J1859" s="68">
        <f t="shared" si="1"/>
        <v>0</v>
      </c>
      <c r="K1859" s="68" t="b">
        <v>0</v>
      </c>
    </row>
    <row r="1860">
      <c r="A1860" s="75">
        <v>1854.0</v>
      </c>
      <c r="B1860" s="62" t="s">
        <v>755</v>
      </c>
      <c r="C1860" s="62" t="s">
        <v>104</v>
      </c>
      <c r="D1860" s="62" t="s">
        <v>1227</v>
      </c>
      <c r="E1860" s="76">
        <v>44183.0</v>
      </c>
      <c r="F1860" s="77">
        <v>0.020833333333333332</v>
      </c>
      <c r="G1860" s="62" t="b">
        <v>1</v>
      </c>
      <c r="H1860" s="78" t="b">
        <f>IF(VLOOKUP(C1860,Projetos!A:L,12,false)=TRUE,TRUE,FALSE)</f>
        <v>1</v>
      </c>
      <c r="I1860" s="68">
        <v>24.48261122234247</v>
      </c>
      <c r="J1860" s="68">
        <f t="shared" si="1"/>
        <v>12.24130561</v>
      </c>
      <c r="K1860" s="68" t="b">
        <v>1</v>
      </c>
    </row>
    <row r="1861" hidden="1">
      <c r="A1861" s="75">
        <v>1855.0</v>
      </c>
      <c r="B1861" s="62" t="s">
        <v>755</v>
      </c>
      <c r="C1861" s="62" t="s">
        <v>90</v>
      </c>
      <c r="D1861" s="62" t="s">
        <v>1228</v>
      </c>
      <c r="E1861" s="76">
        <v>44183.0</v>
      </c>
      <c r="F1861" s="77">
        <v>0.041666666666666664</v>
      </c>
      <c r="G1861" s="62" t="b">
        <v>1</v>
      </c>
      <c r="H1861" s="78" t="b">
        <f>IF(VLOOKUP(C1861,Projetos!A:L,12,false)=TRUE,TRUE,FALSE)</f>
        <v>1</v>
      </c>
      <c r="I1861" s="68">
        <v>24.48261122234247</v>
      </c>
      <c r="J1861" s="68">
        <f t="shared" si="1"/>
        <v>24.48261122</v>
      </c>
      <c r="K1861" s="68" t="b">
        <v>1</v>
      </c>
    </row>
    <row r="1862" hidden="1">
      <c r="A1862" s="75">
        <v>1856.0</v>
      </c>
      <c r="B1862" s="62" t="s">
        <v>755</v>
      </c>
      <c r="C1862" s="62" t="s">
        <v>102</v>
      </c>
      <c r="D1862" s="62" t="s">
        <v>1229</v>
      </c>
      <c r="E1862" s="76">
        <v>44183.0</v>
      </c>
      <c r="F1862" s="77">
        <v>0.020833333333333332</v>
      </c>
      <c r="G1862" s="62" t="b">
        <v>0</v>
      </c>
      <c r="H1862" s="78" t="b">
        <f>IF(VLOOKUP(C1862,Projetos!A:L,12,false)=TRUE,TRUE,FALSE)</f>
        <v>0</v>
      </c>
      <c r="I1862" s="68">
        <v>24.48261122234247</v>
      </c>
      <c r="J1862" s="68">
        <f t="shared" si="1"/>
        <v>0</v>
      </c>
      <c r="K1862" s="68" t="b">
        <v>0</v>
      </c>
    </row>
    <row r="1863" hidden="1">
      <c r="A1863" s="75">
        <v>1857.0</v>
      </c>
      <c r="B1863" s="62" t="s">
        <v>755</v>
      </c>
      <c r="C1863" s="62" t="s">
        <v>90</v>
      </c>
      <c r="D1863" s="62" t="s">
        <v>874</v>
      </c>
      <c r="E1863" s="76">
        <v>44186.0</v>
      </c>
      <c r="F1863" s="77">
        <v>0.041666666666666664</v>
      </c>
      <c r="G1863" s="62" t="b">
        <v>1</v>
      </c>
      <c r="H1863" s="78" t="b">
        <f>IF(VLOOKUP(C1863,Projetos!A:L,12,false)=TRUE,TRUE,FALSE)</f>
        <v>1</v>
      </c>
      <c r="I1863" s="68">
        <v>24.48261122234247</v>
      </c>
      <c r="J1863" s="68">
        <f t="shared" si="1"/>
        <v>24.48261122</v>
      </c>
      <c r="K1863" s="68" t="b">
        <v>1</v>
      </c>
    </row>
    <row r="1864" hidden="1">
      <c r="A1864" s="75">
        <v>1858.0</v>
      </c>
      <c r="B1864" s="62" t="s">
        <v>755</v>
      </c>
      <c r="C1864" s="62" t="s">
        <v>90</v>
      </c>
      <c r="D1864" s="62" t="s">
        <v>1230</v>
      </c>
      <c r="E1864" s="76">
        <v>44186.0</v>
      </c>
      <c r="F1864" s="77">
        <v>0.020833333333333332</v>
      </c>
      <c r="G1864" s="62" t="b">
        <v>1</v>
      </c>
      <c r="H1864" s="78" t="b">
        <f>IF(VLOOKUP(C1864,Projetos!A:L,12,false)=TRUE,TRUE,FALSE)</f>
        <v>1</v>
      </c>
      <c r="I1864" s="68">
        <v>24.48261122234247</v>
      </c>
      <c r="J1864" s="68">
        <f t="shared" si="1"/>
        <v>12.24130561</v>
      </c>
      <c r="K1864" s="68" t="b">
        <v>1</v>
      </c>
    </row>
    <row r="1865" hidden="1">
      <c r="A1865" s="75">
        <v>1859.0</v>
      </c>
      <c r="B1865" s="62" t="s">
        <v>755</v>
      </c>
      <c r="C1865" s="62" t="s">
        <v>110</v>
      </c>
      <c r="D1865" s="62" t="s">
        <v>1231</v>
      </c>
      <c r="E1865" s="76">
        <v>44186.0</v>
      </c>
      <c r="F1865" s="77">
        <v>0.0625</v>
      </c>
      <c r="G1865" s="62" t="b">
        <v>0</v>
      </c>
      <c r="H1865" s="78" t="b">
        <f>IF(VLOOKUP(C1865,Projetos!A:L,12,false)=TRUE,TRUE,FALSE)</f>
        <v>1</v>
      </c>
      <c r="I1865" s="68">
        <v>24.48261122234247</v>
      </c>
      <c r="J1865" s="68">
        <f t="shared" si="1"/>
        <v>0</v>
      </c>
      <c r="K1865" s="68" t="b">
        <v>1</v>
      </c>
    </row>
    <row r="1866">
      <c r="A1866" s="75">
        <v>1860.0</v>
      </c>
      <c r="B1866" s="62" t="s">
        <v>755</v>
      </c>
      <c r="C1866" s="62" t="s">
        <v>104</v>
      </c>
      <c r="D1866" s="62" t="s">
        <v>1232</v>
      </c>
      <c r="E1866" s="76">
        <v>44186.0</v>
      </c>
      <c r="F1866" s="77">
        <v>0.041666666666666664</v>
      </c>
      <c r="G1866" s="62" t="b">
        <v>1</v>
      </c>
      <c r="H1866" s="78" t="b">
        <f>IF(VLOOKUP(C1866,Projetos!A:L,12,false)=TRUE,TRUE,FALSE)</f>
        <v>1</v>
      </c>
      <c r="I1866" s="68">
        <v>24.48261122234247</v>
      </c>
      <c r="J1866" s="68">
        <f t="shared" si="1"/>
        <v>24.48261122</v>
      </c>
      <c r="K1866" s="68" t="b">
        <v>1</v>
      </c>
    </row>
    <row r="1867" hidden="1">
      <c r="A1867" s="75">
        <v>1861.0</v>
      </c>
      <c r="B1867" s="62" t="s">
        <v>755</v>
      </c>
      <c r="C1867" s="62" t="s">
        <v>90</v>
      </c>
      <c r="D1867" s="62" t="s">
        <v>1233</v>
      </c>
      <c r="E1867" s="76">
        <v>44186.0</v>
      </c>
      <c r="F1867" s="77">
        <v>0.020833333333333332</v>
      </c>
      <c r="G1867" s="62" t="b">
        <v>1</v>
      </c>
      <c r="H1867" s="78" t="b">
        <f>IF(VLOOKUP(C1867,Projetos!A:L,12,false)=TRUE,TRUE,FALSE)</f>
        <v>1</v>
      </c>
      <c r="I1867" s="68">
        <v>24.48261122234247</v>
      </c>
      <c r="J1867" s="68">
        <f t="shared" si="1"/>
        <v>12.24130561</v>
      </c>
      <c r="K1867" s="68" t="b">
        <v>1</v>
      </c>
    </row>
    <row r="1868" hidden="1">
      <c r="A1868" s="75">
        <v>1862.0</v>
      </c>
      <c r="B1868" s="62" t="s">
        <v>755</v>
      </c>
      <c r="C1868" s="62" t="s">
        <v>90</v>
      </c>
      <c r="D1868" s="62" t="s">
        <v>1234</v>
      </c>
      <c r="E1868" s="76">
        <v>44187.0</v>
      </c>
      <c r="F1868" s="77">
        <v>0.041666666666666664</v>
      </c>
      <c r="G1868" s="62" t="b">
        <v>1</v>
      </c>
      <c r="H1868" s="78" t="b">
        <f>IF(VLOOKUP(C1868,Projetos!A:L,12,false)=TRUE,TRUE,FALSE)</f>
        <v>1</v>
      </c>
      <c r="I1868" s="68">
        <v>24.48261122234247</v>
      </c>
      <c r="J1868" s="68">
        <f t="shared" si="1"/>
        <v>24.48261122</v>
      </c>
      <c r="K1868" s="68" t="b">
        <v>1</v>
      </c>
    </row>
    <row r="1869" hidden="1">
      <c r="A1869" s="75">
        <v>1863.0</v>
      </c>
      <c r="B1869" s="62" t="s">
        <v>755</v>
      </c>
      <c r="C1869" s="62" t="s">
        <v>90</v>
      </c>
      <c r="D1869" s="62" t="s">
        <v>1235</v>
      </c>
      <c r="E1869" s="76">
        <v>44187.0</v>
      </c>
      <c r="F1869" s="77">
        <v>0.041666666666666664</v>
      </c>
      <c r="G1869" s="62" t="b">
        <v>1</v>
      </c>
      <c r="H1869" s="78" t="b">
        <f>IF(VLOOKUP(C1869,Projetos!A:L,12,false)=TRUE,TRUE,FALSE)</f>
        <v>1</v>
      </c>
      <c r="I1869" s="68">
        <v>24.48261122234247</v>
      </c>
      <c r="J1869" s="68">
        <f t="shared" si="1"/>
        <v>24.48261122</v>
      </c>
      <c r="K1869" s="68" t="b">
        <v>1</v>
      </c>
    </row>
    <row r="1870" hidden="1">
      <c r="A1870" s="75">
        <v>1864.0</v>
      </c>
      <c r="B1870" s="62" t="s">
        <v>755</v>
      </c>
      <c r="C1870" s="62" t="s">
        <v>90</v>
      </c>
      <c r="D1870" s="62" t="s">
        <v>1236</v>
      </c>
      <c r="E1870" s="76">
        <v>44187.0</v>
      </c>
      <c r="F1870" s="77">
        <v>0.041666666666666664</v>
      </c>
      <c r="G1870" s="62" t="b">
        <v>1</v>
      </c>
      <c r="H1870" s="78" t="b">
        <f>IF(VLOOKUP(C1870,Projetos!A:L,12,false)=TRUE,TRUE,FALSE)</f>
        <v>1</v>
      </c>
      <c r="I1870" s="68">
        <v>24.48261122234247</v>
      </c>
      <c r="J1870" s="68">
        <f t="shared" si="1"/>
        <v>24.48261122</v>
      </c>
      <c r="K1870" s="68" t="b">
        <v>1</v>
      </c>
    </row>
    <row r="1871" hidden="1">
      <c r="A1871" s="75">
        <v>1865.0</v>
      </c>
      <c r="B1871" s="62" t="s">
        <v>755</v>
      </c>
      <c r="C1871" s="62" t="s">
        <v>90</v>
      </c>
      <c r="D1871" s="62" t="s">
        <v>874</v>
      </c>
      <c r="E1871" s="76">
        <v>44187.0</v>
      </c>
      <c r="F1871" s="77">
        <v>0.041666666666666664</v>
      </c>
      <c r="G1871" s="62" t="b">
        <v>1</v>
      </c>
      <c r="H1871" s="78" t="b">
        <f>IF(VLOOKUP(C1871,Projetos!A:L,12,false)=TRUE,TRUE,FALSE)</f>
        <v>1</v>
      </c>
      <c r="I1871" s="68">
        <v>24.48261122234247</v>
      </c>
      <c r="J1871" s="68">
        <f t="shared" si="1"/>
        <v>24.48261122</v>
      </c>
      <c r="K1871" s="68" t="b">
        <v>1</v>
      </c>
    </row>
    <row r="1872" hidden="1">
      <c r="A1872" s="75">
        <v>1866.0</v>
      </c>
      <c r="B1872" s="62" t="s">
        <v>755</v>
      </c>
      <c r="C1872" s="62" t="s">
        <v>90</v>
      </c>
      <c r="D1872" s="62" t="s">
        <v>1214</v>
      </c>
      <c r="E1872" s="76">
        <v>44187.0</v>
      </c>
      <c r="F1872" s="77">
        <v>0.041666666666666664</v>
      </c>
      <c r="G1872" s="62" t="b">
        <v>1</v>
      </c>
      <c r="H1872" s="78" t="b">
        <f>IF(VLOOKUP(C1872,Projetos!A:L,12,false)=TRUE,TRUE,FALSE)</f>
        <v>1</v>
      </c>
      <c r="I1872" s="68">
        <v>24.48261122234247</v>
      </c>
      <c r="J1872" s="68">
        <f t="shared" si="1"/>
        <v>24.48261122</v>
      </c>
      <c r="K1872" s="68" t="b">
        <v>1</v>
      </c>
    </row>
    <row r="1873">
      <c r="A1873" s="75">
        <v>1867.0</v>
      </c>
      <c r="B1873" s="62" t="s">
        <v>755</v>
      </c>
      <c r="C1873" s="62" t="s">
        <v>104</v>
      </c>
      <c r="D1873" s="62" t="s">
        <v>1237</v>
      </c>
      <c r="E1873" s="76">
        <v>44187.0</v>
      </c>
      <c r="F1873" s="77">
        <v>0.020833333333333332</v>
      </c>
      <c r="G1873" s="62" t="b">
        <v>1</v>
      </c>
      <c r="H1873" s="78" t="b">
        <f>IF(VLOOKUP(C1873,Projetos!A:L,12,false)=TRUE,TRUE,FALSE)</f>
        <v>1</v>
      </c>
      <c r="I1873" s="68">
        <v>24.48261122234247</v>
      </c>
      <c r="J1873" s="68">
        <f t="shared" si="1"/>
        <v>12.24130561</v>
      </c>
      <c r="K1873" s="68" t="b">
        <v>1</v>
      </c>
    </row>
    <row r="1874" hidden="1">
      <c r="A1874" s="75">
        <v>1868.0</v>
      </c>
      <c r="B1874" s="62" t="s">
        <v>755</v>
      </c>
      <c r="C1874" s="62" t="s">
        <v>97</v>
      </c>
      <c r="D1874" s="62" t="s">
        <v>1238</v>
      </c>
      <c r="E1874" s="76">
        <v>44188.0</v>
      </c>
      <c r="F1874" s="77">
        <v>0.08333333333333333</v>
      </c>
      <c r="G1874" s="62" t="b">
        <v>1</v>
      </c>
      <c r="H1874" s="78" t="b">
        <f>IF(VLOOKUP(C1874,Projetos!A:L,12,false)=TRUE,TRUE,FALSE)</f>
        <v>1</v>
      </c>
      <c r="I1874" s="68">
        <v>24.48261122234247</v>
      </c>
      <c r="J1874" s="68">
        <f t="shared" si="1"/>
        <v>48.96522244</v>
      </c>
      <c r="K1874" s="68" t="b">
        <v>1</v>
      </c>
    </row>
    <row r="1875" hidden="1">
      <c r="A1875" s="75">
        <v>1869.0</v>
      </c>
      <c r="B1875" s="62" t="s">
        <v>755</v>
      </c>
      <c r="C1875" s="62" t="s">
        <v>90</v>
      </c>
      <c r="D1875" s="62" t="s">
        <v>1239</v>
      </c>
      <c r="E1875" s="76">
        <v>44188.0</v>
      </c>
      <c r="F1875" s="77">
        <v>0.020833333333333332</v>
      </c>
      <c r="G1875" s="62" t="b">
        <v>1</v>
      </c>
      <c r="H1875" s="78" t="b">
        <f>IF(VLOOKUP(C1875,Projetos!A:L,12,false)=TRUE,TRUE,FALSE)</f>
        <v>1</v>
      </c>
      <c r="I1875" s="68">
        <v>24.48261122234247</v>
      </c>
      <c r="J1875" s="68">
        <f t="shared" si="1"/>
        <v>12.24130561</v>
      </c>
      <c r="K1875" s="68" t="b">
        <v>1</v>
      </c>
    </row>
    <row r="1876" hidden="1">
      <c r="A1876" s="75">
        <v>1870.0</v>
      </c>
      <c r="B1876" s="62" t="s">
        <v>755</v>
      </c>
      <c r="C1876" s="62" t="s">
        <v>90</v>
      </c>
      <c r="D1876" s="62" t="s">
        <v>1240</v>
      </c>
      <c r="E1876" s="76">
        <v>44188.0</v>
      </c>
      <c r="F1876" s="77">
        <v>0.041666666666666664</v>
      </c>
      <c r="G1876" s="62" t="b">
        <v>1</v>
      </c>
      <c r="H1876" s="78" t="b">
        <f>IF(VLOOKUP(C1876,Projetos!A:L,12,false)=TRUE,TRUE,FALSE)</f>
        <v>1</v>
      </c>
      <c r="I1876" s="68">
        <v>24.48261122234247</v>
      </c>
      <c r="J1876" s="68">
        <f t="shared" si="1"/>
        <v>24.48261122</v>
      </c>
      <c r="K1876" s="68" t="b">
        <v>1</v>
      </c>
    </row>
    <row r="1877">
      <c r="A1877" s="75">
        <v>1871.0</v>
      </c>
      <c r="B1877" s="62" t="s">
        <v>755</v>
      </c>
      <c r="C1877" s="62" t="s">
        <v>104</v>
      </c>
      <c r="D1877" s="62" t="s">
        <v>1241</v>
      </c>
      <c r="E1877" s="76">
        <v>44188.0</v>
      </c>
      <c r="F1877" s="77">
        <v>0.041666666666666664</v>
      </c>
      <c r="G1877" s="62" t="b">
        <v>1</v>
      </c>
      <c r="H1877" s="78" t="b">
        <f>IF(VLOOKUP(C1877,Projetos!A:L,12,false)=TRUE,TRUE,FALSE)</f>
        <v>1</v>
      </c>
      <c r="I1877" s="68">
        <v>24.48261122234247</v>
      </c>
      <c r="J1877" s="68">
        <f t="shared" si="1"/>
        <v>24.48261122</v>
      </c>
      <c r="K1877" s="68" t="b">
        <v>1</v>
      </c>
    </row>
    <row r="1878" hidden="1">
      <c r="A1878" s="75">
        <v>1872.0</v>
      </c>
      <c r="B1878" s="62" t="s">
        <v>755</v>
      </c>
      <c r="C1878" s="62" t="s">
        <v>97</v>
      </c>
      <c r="D1878" s="62" t="s">
        <v>1242</v>
      </c>
      <c r="E1878" s="76">
        <v>44193.0</v>
      </c>
      <c r="F1878" s="77">
        <v>0.03125</v>
      </c>
      <c r="G1878" s="62" t="b">
        <v>1</v>
      </c>
      <c r="H1878" s="78" t="b">
        <f>IF(VLOOKUP(C1878,Projetos!A:L,12,false)=TRUE,TRUE,FALSE)</f>
        <v>1</v>
      </c>
      <c r="I1878" s="68">
        <v>24.48261122234247</v>
      </c>
      <c r="J1878" s="68">
        <f t="shared" si="1"/>
        <v>18.36195842</v>
      </c>
      <c r="K1878" s="68" t="b">
        <v>1</v>
      </c>
    </row>
    <row r="1879" hidden="1">
      <c r="A1879" s="75">
        <v>1873.0</v>
      </c>
      <c r="B1879" s="62" t="s">
        <v>755</v>
      </c>
      <c r="C1879" s="62" t="s">
        <v>102</v>
      </c>
      <c r="D1879" s="62" t="s">
        <v>1243</v>
      </c>
      <c r="E1879" s="76">
        <v>44193.0</v>
      </c>
      <c r="F1879" s="77">
        <v>0.020833333333333332</v>
      </c>
      <c r="G1879" s="62" t="b">
        <v>0</v>
      </c>
      <c r="H1879" s="78" t="b">
        <f>IF(VLOOKUP(C1879,Projetos!A:L,12,false)=TRUE,TRUE,FALSE)</f>
        <v>0</v>
      </c>
      <c r="I1879" s="68">
        <v>24.48261122234247</v>
      </c>
      <c r="J1879" s="68">
        <f t="shared" si="1"/>
        <v>0</v>
      </c>
      <c r="K1879" s="68" t="b">
        <v>0</v>
      </c>
    </row>
    <row r="1880" hidden="1">
      <c r="A1880" s="75">
        <v>1874.0</v>
      </c>
      <c r="B1880" s="62" t="s">
        <v>755</v>
      </c>
      <c r="C1880" s="62" t="s">
        <v>102</v>
      </c>
      <c r="D1880" s="62" t="s">
        <v>1244</v>
      </c>
      <c r="E1880" s="76">
        <v>44193.0</v>
      </c>
      <c r="F1880" s="77">
        <v>0.020833333333333332</v>
      </c>
      <c r="G1880" s="62" t="b">
        <v>0</v>
      </c>
      <c r="H1880" s="78" t="b">
        <f>IF(VLOOKUP(C1880,Projetos!A:L,12,false)=TRUE,TRUE,FALSE)</f>
        <v>0</v>
      </c>
      <c r="I1880" s="68">
        <v>24.48261122234247</v>
      </c>
      <c r="J1880" s="68">
        <f t="shared" si="1"/>
        <v>0</v>
      </c>
      <c r="K1880" s="68" t="b">
        <v>0</v>
      </c>
    </row>
    <row r="1881" hidden="1">
      <c r="A1881" s="75">
        <v>1875.0</v>
      </c>
      <c r="B1881" s="62" t="s">
        <v>755</v>
      </c>
      <c r="C1881" s="62" t="s">
        <v>90</v>
      </c>
      <c r="D1881" s="62" t="s">
        <v>1245</v>
      </c>
      <c r="E1881" s="76">
        <v>44193.0</v>
      </c>
      <c r="F1881" s="77">
        <v>0.020833333333333332</v>
      </c>
      <c r="G1881" s="62" t="b">
        <v>1</v>
      </c>
      <c r="H1881" s="78" t="b">
        <f>IF(VLOOKUP(C1881,Projetos!A:L,12,false)=TRUE,TRUE,FALSE)</f>
        <v>1</v>
      </c>
      <c r="I1881" s="68">
        <v>24.48261122234247</v>
      </c>
      <c r="J1881" s="68">
        <f t="shared" si="1"/>
        <v>12.24130561</v>
      </c>
      <c r="K1881" s="68" t="b">
        <v>1</v>
      </c>
    </row>
    <row r="1882" hidden="1">
      <c r="A1882" s="75">
        <v>1876.0</v>
      </c>
      <c r="B1882" s="62" t="s">
        <v>755</v>
      </c>
      <c r="C1882" s="62" t="s">
        <v>117</v>
      </c>
      <c r="D1882" s="62" t="s">
        <v>1246</v>
      </c>
      <c r="E1882" s="76">
        <v>44193.0</v>
      </c>
      <c r="F1882" s="77">
        <v>0.0625</v>
      </c>
      <c r="G1882" s="62" t="b">
        <v>0</v>
      </c>
      <c r="H1882" s="78" t="b">
        <f>IF(VLOOKUP(C1882,Projetos!A:L,12,false)=TRUE,TRUE,FALSE)</f>
        <v>0</v>
      </c>
      <c r="I1882" s="68">
        <v>24.48261122234247</v>
      </c>
      <c r="J1882" s="68">
        <f t="shared" si="1"/>
        <v>0</v>
      </c>
      <c r="K1882" s="68" t="b">
        <v>0</v>
      </c>
    </row>
    <row r="1883">
      <c r="A1883" s="75">
        <v>1877.0</v>
      </c>
      <c r="B1883" s="62" t="s">
        <v>755</v>
      </c>
      <c r="C1883" s="62" t="s">
        <v>104</v>
      </c>
      <c r="D1883" s="62" t="s">
        <v>1247</v>
      </c>
      <c r="E1883" s="76">
        <v>44193.0</v>
      </c>
      <c r="F1883" s="77">
        <v>0.020833333333333332</v>
      </c>
      <c r="G1883" s="62" t="b">
        <v>1</v>
      </c>
      <c r="H1883" s="78" t="b">
        <f>IF(VLOOKUP(C1883,Projetos!A:L,12,false)=TRUE,TRUE,FALSE)</f>
        <v>1</v>
      </c>
      <c r="I1883" s="68">
        <v>24.48261122234247</v>
      </c>
      <c r="J1883" s="68">
        <f t="shared" si="1"/>
        <v>12.24130561</v>
      </c>
      <c r="K1883" s="68" t="b">
        <v>1</v>
      </c>
    </row>
    <row r="1884">
      <c r="A1884" s="75">
        <v>1878.0</v>
      </c>
      <c r="B1884" s="62" t="s">
        <v>755</v>
      </c>
      <c r="C1884" s="62" t="s">
        <v>104</v>
      </c>
      <c r="D1884" s="62" t="s">
        <v>1248</v>
      </c>
      <c r="E1884" s="76">
        <v>44193.0</v>
      </c>
      <c r="F1884" s="77">
        <v>0.041666666666666664</v>
      </c>
      <c r="G1884" s="62" t="b">
        <v>1</v>
      </c>
      <c r="H1884" s="78" t="b">
        <f>IF(VLOOKUP(C1884,Projetos!A:L,12,false)=TRUE,TRUE,FALSE)</f>
        <v>1</v>
      </c>
      <c r="I1884" s="68">
        <v>24.48261122234247</v>
      </c>
      <c r="J1884" s="68">
        <f t="shared" si="1"/>
        <v>24.48261122</v>
      </c>
      <c r="K1884" s="68" t="b">
        <v>1</v>
      </c>
    </row>
    <row r="1885">
      <c r="A1885" s="75">
        <v>1879.0</v>
      </c>
      <c r="B1885" s="62" t="s">
        <v>755</v>
      </c>
      <c r="C1885" s="62" t="s">
        <v>104</v>
      </c>
      <c r="D1885" s="62" t="s">
        <v>1225</v>
      </c>
      <c r="E1885" s="76">
        <v>44194.0</v>
      </c>
      <c r="F1885" s="77">
        <v>0.041666666666666664</v>
      </c>
      <c r="G1885" s="62" t="b">
        <v>1</v>
      </c>
      <c r="H1885" s="78" t="b">
        <f>IF(VLOOKUP(C1885,Projetos!A:L,12,false)=TRUE,TRUE,FALSE)</f>
        <v>1</v>
      </c>
      <c r="I1885" s="68">
        <v>24.48261122234247</v>
      </c>
      <c r="J1885" s="68">
        <f t="shared" si="1"/>
        <v>24.48261122</v>
      </c>
      <c r="K1885" s="68" t="b">
        <v>1</v>
      </c>
    </row>
    <row r="1886" hidden="1">
      <c r="A1886" s="75">
        <v>1880.0</v>
      </c>
      <c r="B1886" s="62" t="s">
        <v>755</v>
      </c>
      <c r="C1886" s="62" t="s">
        <v>108</v>
      </c>
      <c r="D1886" s="62" t="s">
        <v>1249</v>
      </c>
      <c r="E1886" s="76">
        <v>44194.0</v>
      </c>
      <c r="F1886" s="77">
        <v>0.020833333333333332</v>
      </c>
      <c r="G1886" s="62" t="b">
        <v>1</v>
      </c>
      <c r="H1886" s="78" t="b">
        <f>IF(VLOOKUP(C1886,Projetos!A:L,12,false)=TRUE,TRUE,FALSE)</f>
        <v>1</v>
      </c>
      <c r="I1886" s="68">
        <v>24.48261122234247</v>
      </c>
      <c r="J1886" s="68">
        <f t="shared" si="1"/>
        <v>12.24130561</v>
      </c>
      <c r="K1886" s="68" t="b">
        <v>1</v>
      </c>
    </row>
    <row r="1887">
      <c r="A1887" s="75">
        <v>1881.0</v>
      </c>
      <c r="B1887" s="62" t="s">
        <v>755</v>
      </c>
      <c r="C1887" s="62" t="s">
        <v>104</v>
      </c>
      <c r="D1887" s="62" t="s">
        <v>1250</v>
      </c>
      <c r="E1887" s="76">
        <v>44194.0</v>
      </c>
      <c r="F1887" s="77">
        <v>0.16666666666666666</v>
      </c>
      <c r="G1887" s="62" t="b">
        <v>1</v>
      </c>
      <c r="H1887" s="78" t="b">
        <f>IF(VLOOKUP(C1887,Projetos!A:L,12,false)=TRUE,TRUE,FALSE)</f>
        <v>1</v>
      </c>
      <c r="I1887" s="68">
        <v>24.48261122234247</v>
      </c>
      <c r="J1887" s="68">
        <f t="shared" si="1"/>
        <v>97.93044489</v>
      </c>
      <c r="K1887" s="68" t="b">
        <v>1</v>
      </c>
    </row>
    <row r="1888" hidden="1">
      <c r="A1888" s="75">
        <v>1882.0</v>
      </c>
      <c r="B1888" s="62" t="s">
        <v>755</v>
      </c>
      <c r="C1888" s="62" t="s">
        <v>117</v>
      </c>
      <c r="D1888" s="62" t="s">
        <v>1251</v>
      </c>
      <c r="E1888" s="76">
        <v>44194.0</v>
      </c>
      <c r="F1888" s="77">
        <v>0.08333333333333333</v>
      </c>
      <c r="G1888" s="62" t="b">
        <v>0</v>
      </c>
      <c r="H1888" s="78" t="b">
        <f>IF(VLOOKUP(C1888,Projetos!A:L,12,false)=TRUE,TRUE,FALSE)</f>
        <v>0</v>
      </c>
      <c r="I1888" s="68">
        <v>24.48261122234247</v>
      </c>
      <c r="J1888" s="68">
        <f t="shared" si="1"/>
        <v>0</v>
      </c>
      <c r="K1888" s="68" t="b">
        <v>0</v>
      </c>
    </row>
    <row r="1889">
      <c r="A1889" s="75">
        <v>1883.0</v>
      </c>
      <c r="B1889" s="62" t="s">
        <v>755</v>
      </c>
      <c r="C1889" s="62" t="s">
        <v>104</v>
      </c>
      <c r="D1889" s="62" t="s">
        <v>1252</v>
      </c>
      <c r="E1889" s="76">
        <v>44195.0</v>
      </c>
      <c r="F1889" s="77">
        <v>0.0625</v>
      </c>
      <c r="G1889" s="62" t="b">
        <v>1</v>
      </c>
      <c r="H1889" s="78" t="b">
        <f>IF(VLOOKUP(C1889,Projetos!A:L,12,false)=TRUE,TRUE,FALSE)</f>
        <v>1</v>
      </c>
      <c r="I1889" s="68">
        <v>24.48261122234247</v>
      </c>
      <c r="J1889" s="68">
        <f t="shared" si="1"/>
        <v>36.72391683</v>
      </c>
      <c r="K1889" s="68" t="b">
        <v>1</v>
      </c>
    </row>
    <row r="1890" hidden="1">
      <c r="A1890" s="75">
        <v>1884.0</v>
      </c>
      <c r="B1890" s="62" t="s">
        <v>1253</v>
      </c>
      <c r="C1890" s="62" t="s">
        <v>108</v>
      </c>
      <c r="D1890" s="62" t="s">
        <v>1254</v>
      </c>
      <c r="E1890" s="76">
        <v>43864.0</v>
      </c>
      <c r="F1890" s="77">
        <v>0.16666666666666666</v>
      </c>
      <c r="G1890" s="62" t="b">
        <v>1</v>
      </c>
      <c r="H1890" s="78" t="b">
        <f>IF(VLOOKUP(C1890,Projetos!A:L,12,false)=TRUE,TRUE,FALSE)</f>
        <v>1</v>
      </c>
      <c r="I1890" s="68">
        <v>27.980014792814504</v>
      </c>
      <c r="J1890" s="68">
        <f t="shared" si="1"/>
        <v>111.9200592</v>
      </c>
      <c r="K1890" s="68" t="b">
        <v>1</v>
      </c>
    </row>
    <row r="1891" hidden="1">
      <c r="A1891" s="75">
        <v>1885.0</v>
      </c>
      <c r="B1891" s="62" t="s">
        <v>1253</v>
      </c>
      <c r="C1891" s="62" t="s">
        <v>89</v>
      </c>
      <c r="D1891" s="62" t="s">
        <v>1255</v>
      </c>
      <c r="E1891" s="76">
        <v>43865.0</v>
      </c>
      <c r="F1891" s="77">
        <v>0.1875</v>
      </c>
      <c r="G1891" s="62" t="b">
        <v>1</v>
      </c>
      <c r="H1891" s="78" t="b">
        <f>IF(VLOOKUP(C1891,Projetos!A:L,12,false)=TRUE,TRUE,FALSE)</f>
        <v>1</v>
      </c>
      <c r="I1891" s="68">
        <v>27.980014792814504</v>
      </c>
      <c r="J1891" s="68">
        <f t="shared" si="1"/>
        <v>125.9100666</v>
      </c>
      <c r="K1891" s="68" t="b">
        <v>1</v>
      </c>
    </row>
    <row r="1892" hidden="1">
      <c r="A1892" s="75">
        <v>1886.0</v>
      </c>
      <c r="B1892" s="62" t="s">
        <v>1253</v>
      </c>
      <c r="C1892" s="62" t="s">
        <v>89</v>
      </c>
      <c r="D1892" s="62" t="s">
        <v>1255</v>
      </c>
      <c r="E1892" s="76">
        <v>43868.0</v>
      </c>
      <c r="F1892" s="77">
        <v>0.10416666666666667</v>
      </c>
      <c r="G1892" s="62" t="b">
        <v>1</v>
      </c>
      <c r="H1892" s="78" t="b">
        <f>IF(VLOOKUP(C1892,Projetos!A:L,12,false)=TRUE,TRUE,FALSE)</f>
        <v>1</v>
      </c>
      <c r="I1892" s="68">
        <v>27.980014792814504</v>
      </c>
      <c r="J1892" s="68">
        <f t="shared" si="1"/>
        <v>69.95003698</v>
      </c>
      <c r="K1892" s="68" t="b">
        <v>1</v>
      </c>
    </row>
    <row r="1893" hidden="1">
      <c r="A1893" s="75">
        <v>1887.0</v>
      </c>
      <c r="B1893" s="62" t="s">
        <v>1253</v>
      </c>
      <c r="C1893" s="62" t="s">
        <v>89</v>
      </c>
      <c r="D1893" s="62" t="s">
        <v>1255</v>
      </c>
      <c r="E1893" s="76">
        <v>43871.0</v>
      </c>
      <c r="F1893" s="77">
        <v>0.10416666666666667</v>
      </c>
      <c r="G1893" s="62" t="b">
        <v>1</v>
      </c>
      <c r="H1893" s="78" t="b">
        <f>IF(VLOOKUP(C1893,Projetos!A:L,12,false)=TRUE,TRUE,FALSE)</f>
        <v>1</v>
      </c>
      <c r="I1893" s="68">
        <v>27.980014792814504</v>
      </c>
      <c r="J1893" s="68">
        <f t="shared" si="1"/>
        <v>69.95003698</v>
      </c>
      <c r="K1893" s="68" t="b">
        <v>1</v>
      </c>
    </row>
    <row r="1894" hidden="1">
      <c r="A1894" s="75">
        <v>1888.0</v>
      </c>
      <c r="B1894" s="62" t="s">
        <v>1253</v>
      </c>
      <c r="C1894" s="62" t="s">
        <v>103</v>
      </c>
      <c r="D1894" s="62" t="s">
        <v>1256</v>
      </c>
      <c r="E1894" s="76">
        <v>43871.0</v>
      </c>
      <c r="F1894" s="77">
        <v>0.10416666666666667</v>
      </c>
      <c r="G1894" s="62" t="b">
        <v>1</v>
      </c>
      <c r="H1894" s="78" t="b">
        <f>IF(VLOOKUP(C1894,Projetos!A:L,12,false)=TRUE,TRUE,FALSE)</f>
        <v>1</v>
      </c>
      <c r="I1894" s="68">
        <v>27.980014792814504</v>
      </c>
      <c r="J1894" s="68">
        <f t="shared" si="1"/>
        <v>69.95003698</v>
      </c>
      <c r="K1894" s="68" t="b">
        <v>1</v>
      </c>
    </row>
    <row r="1895" hidden="1">
      <c r="A1895" s="75">
        <v>1889.0</v>
      </c>
      <c r="B1895" s="62" t="s">
        <v>1253</v>
      </c>
      <c r="C1895" s="62" t="s">
        <v>89</v>
      </c>
      <c r="D1895" s="62" t="s">
        <v>1255</v>
      </c>
      <c r="E1895" s="76">
        <v>43872.0</v>
      </c>
      <c r="F1895" s="77">
        <v>0.14583333333333334</v>
      </c>
      <c r="G1895" s="62" t="b">
        <v>1</v>
      </c>
      <c r="H1895" s="78" t="b">
        <f>IF(VLOOKUP(C1895,Projetos!A:L,12,false)=TRUE,TRUE,FALSE)</f>
        <v>1</v>
      </c>
      <c r="I1895" s="68">
        <v>27.980014792814504</v>
      </c>
      <c r="J1895" s="68">
        <f t="shared" si="1"/>
        <v>97.93005177</v>
      </c>
      <c r="K1895" s="68" t="b">
        <v>1</v>
      </c>
    </row>
    <row r="1896">
      <c r="A1896" s="75">
        <v>1890.0</v>
      </c>
      <c r="B1896" s="62" t="s">
        <v>1253</v>
      </c>
      <c r="C1896" s="62" t="s">
        <v>104</v>
      </c>
      <c r="D1896" s="62" t="s">
        <v>1257</v>
      </c>
      <c r="E1896" s="76">
        <v>43875.0</v>
      </c>
      <c r="F1896" s="77">
        <v>0.14583333333333334</v>
      </c>
      <c r="G1896" s="62" t="b">
        <v>0</v>
      </c>
      <c r="H1896" s="78" t="b">
        <f>IF(VLOOKUP(C1896,Projetos!A:L,12,false)=TRUE,TRUE,FALSE)</f>
        <v>1</v>
      </c>
      <c r="I1896" s="68">
        <v>27.980014792814504</v>
      </c>
      <c r="J1896" s="68">
        <f t="shared" si="1"/>
        <v>0</v>
      </c>
      <c r="K1896" s="68" t="b">
        <v>1</v>
      </c>
    </row>
    <row r="1897" hidden="1">
      <c r="A1897" s="75">
        <v>1891.0</v>
      </c>
      <c r="B1897" s="62" t="s">
        <v>1253</v>
      </c>
      <c r="C1897" s="62" t="s">
        <v>88</v>
      </c>
      <c r="D1897" s="62" t="s">
        <v>1258</v>
      </c>
      <c r="E1897" s="76">
        <v>43878.0</v>
      </c>
      <c r="F1897" s="77">
        <v>0.20833333333333334</v>
      </c>
      <c r="G1897" s="62" t="b">
        <v>1</v>
      </c>
      <c r="H1897" s="78" t="b">
        <f>IF(VLOOKUP(C1897,Projetos!A:L,12,false)=TRUE,TRUE,FALSE)</f>
        <v>1</v>
      </c>
      <c r="I1897" s="68">
        <v>27.980014792814504</v>
      </c>
      <c r="J1897" s="68">
        <f t="shared" si="1"/>
        <v>139.900074</v>
      </c>
      <c r="K1897" s="68" t="b">
        <v>1</v>
      </c>
    </row>
    <row r="1898">
      <c r="A1898" s="75">
        <v>1892.0</v>
      </c>
      <c r="B1898" s="62" t="s">
        <v>1253</v>
      </c>
      <c r="C1898" s="62" t="s">
        <v>104</v>
      </c>
      <c r="D1898" s="62" t="s">
        <v>1257</v>
      </c>
      <c r="E1898" s="76">
        <v>43881.0</v>
      </c>
      <c r="F1898" s="77">
        <v>0.0625</v>
      </c>
      <c r="G1898" s="62" t="b">
        <v>0</v>
      </c>
      <c r="H1898" s="78" t="b">
        <f>IF(VLOOKUP(C1898,Projetos!A:L,12,false)=TRUE,TRUE,FALSE)</f>
        <v>1</v>
      </c>
      <c r="I1898" s="68">
        <v>27.980014792814504</v>
      </c>
      <c r="J1898" s="68">
        <f t="shared" si="1"/>
        <v>0</v>
      </c>
      <c r="K1898" s="68" t="b">
        <v>1</v>
      </c>
    </row>
    <row r="1899" hidden="1">
      <c r="A1899" s="75">
        <v>1893.0</v>
      </c>
      <c r="B1899" s="62" t="s">
        <v>1253</v>
      </c>
      <c r="C1899" s="62" t="s">
        <v>103</v>
      </c>
      <c r="D1899" s="62" t="s">
        <v>1256</v>
      </c>
      <c r="E1899" s="76">
        <v>43887.0</v>
      </c>
      <c r="F1899" s="77">
        <v>0.041666666666666664</v>
      </c>
      <c r="G1899" s="62" t="b">
        <v>1</v>
      </c>
      <c r="H1899" s="78" t="b">
        <f>IF(VLOOKUP(C1899,Projetos!A:L,12,false)=TRUE,TRUE,FALSE)</f>
        <v>1</v>
      </c>
      <c r="I1899" s="68">
        <v>27.980014792814504</v>
      </c>
      <c r="J1899" s="68">
        <f t="shared" si="1"/>
        <v>27.98001479</v>
      </c>
      <c r="K1899" s="68" t="b">
        <v>1</v>
      </c>
    </row>
    <row r="1900">
      <c r="A1900" s="75">
        <v>1894.0</v>
      </c>
      <c r="B1900" s="62" t="s">
        <v>1253</v>
      </c>
      <c r="C1900" s="62" t="s">
        <v>104</v>
      </c>
      <c r="D1900" s="62" t="s">
        <v>1257</v>
      </c>
      <c r="E1900" s="76">
        <v>43887.0</v>
      </c>
      <c r="F1900" s="77">
        <v>0.08333333333333333</v>
      </c>
      <c r="G1900" s="62" t="b">
        <v>0</v>
      </c>
      <c r="H1900" s="78" t="b">
        <f>IF(VLOOKUP(C1900,Projetos!A:L,12,false)=TRUE,TRUE,FALSE)</f>
        <v>1</v>
      </c>
      <c r="I1900" s="68">
        <v>27.980014792814504</v>
      </c>
      <c r="J1900" s="68">
        <f t="shared" si="1"/>
        <v>0</v>
      </c>
      <c r="K1900" s="68" t="b">
        <v>1</v>
      </c>
    </row>
    <row r="1901" hidden="1">
      <c r="A1901" s="75">
        <v>1895.0</v>
      </c>
      <c r="B1901" s="62" t="s">
        <v>1253</v>
      </c>
      <c r="C1901" s="62" t="s">
        <v>88</v>
      </c>
      <c r="D1901" s="62" t="s">
        <v>1258</v>
      </c>
      <c r="E1901" s="76">
        <v>43887.0</v>
      </c>
      <c r="F1901" s="77">
        <v>0.14583333333333334</v>
      </c>
      <c r="G1901" s="62" t="b">
        <v>1</v>
      </c>
      <c r="H1901" s="78" t="b">
        <f>IF(VLOOKUP(C1901,Projetos!A:L,12,false)=TRUE,TRUE,FALSE)</f>
        <v>1</v>
      </c>
      <c r="I1901" s="68">
        <v>27.980014792814504</v>
      </c>
      <c r="J1901" s="68">
        <f t="shared" si="1"/>
        <v>97.93005177</v>
      </c>
      <c r="K1901" s="68" t="b">
        <v>1</v>
      </c>
    </row>
    <row r="1902" hidden="1">
      <c r="A1902" s="75">
        <v>1896.0</v>
      </c>
      <c r="B1902" s="62" t="s">
        <v>1253</v>
      </c>
      <c r="C1902" s="62" t="s">
        <v>88</v>
      </c>
      <c r="D1902" s="62" t="s">
        <v>1258</v>
      </c>
      <c r="E1902" s="76">
        <v>43888.0</v>
      </c>
      <c r="F1902" s="77">
        <v>0.10416666666666667</v>
      </c>
      <c r="G1902" s="62" t="b">
        <v>1</v>
      </c>
      <c r="H1902" s="78" t="b">
        <f>IF(VLOOKUP(C1902,Projetos!A:L,12,false)=TRUE,TRUE,FALSE)</f>
        <v>1</v>
      </c>
      <c r="I1902" s="68">
        <v>27.980014792814504</v>
      </c>
      <c r="J1902" s="68">
        <f t="shared" si="1"/>
        <v>69.95003698</v>
      </c>
      <c r="K1902" s="68" t="b">
        <v>1</v>
      </c>
    </row>
    <row r="1903" hidden="1">
      <c r="A1903" s="75">
        <v>1897.0</v>
      </c>
      <c r="B1903" s="62" t="s">
        <v>1253</v>
      </c>
      <c r="C1903" s="62" t="s">
        <v>88</v>
      </c>
      <c r="D1903" s="62" t="s">
        <v>1258</v>
      </c>
      <c r="E1903" s="76">
        <v>43889.0</v>
      </c>
      <c r="F1903" s="77">
        <v>0.10416666666666667</v>
      </c>
      <c r="G1903" s="62" t="b">
        <v>1</v>
      </c>
      <c r="H1903" s="78" t="b">
        <f>IF(VLOOKUP(C1903,Projetos!A:L,12,false)=TRUE,TRUE,FALSE)</f>
        <v>1</v>
      </c>
      <c r="I1903" s="68">
        <v>27.980014792814504</v>
      </c>
      <c r="J1903" s="68">
        <f t="shared" si="1"/>
        <v>69.95003698</v>
      </c>
      <c r="K1903" s="68" t="b">
        <v>1</v>
      </c>
    </row>
    <row r="1904">
      <c r="A1904" s="75">
        <v>1898.0</v>
      </c>
      <c r="B1904" s="62" t="s">
        <v>1253</v>
      </c>
      <c r="C1904" s="62" t="s">
        <v>104</v>
      </c>
      <c r="D1904" s="62" t="s">
        <v>1257</v>
      </c>
      <c r="E1904" s="76">
        <v>43889.0</v>
      </c>
      <c r="F1904" s="77">
        <v>0.10416666666666667</v>
      </c>
      <c r="G1904" s="62" t="b">
        <v>0</v>
      </c>
      <c r="H1904" s="78" t="b">
        <f>IF(VLOOKUP(C1904,Projetos!A:L,12,false)=TRUE,TRUE,FALSE)</f>
        <v>1</v>
      </c>
      <c r="I1904" s="68">
        <v>27.980014792814504</v>
      </c>
      <c r="J1904" s="68">
        <f t="shared" si="1"/>
        <v>0</v>
      </c>
      <c r="K1904" s="68" t="b">
        <v>1</v>
      </c>
    </row>
    <row r="1905">
      <c r="A1905" s="75">
        <v>1899.0</v>
      </c>
      <c r="B1905" s="62" t="s">
        <v>1253</v>
      </c>
      <c r="C1905" s="62" t="s">
        <v>104</v>
      </c>
      <c r="D1905" s="62" t="s">
        <v>1259</v>
      </c>
      <c r="E1905" s="76">
        <v>43893.0</v>
      </c>
      <c r="F1905" s="77">
        <v>0.08333333333333333</v>
      </c>
      <c r="G1905" s="62" t="b">
        <v>1</v>
      </c>
      <c r="H1905" s="78" t="b">
        <f>IF(VLOOKUP(C1905,Projetos!A:L,12,false)=TRUE,TRUE,FALSE)</f>
        <v>1</v>
      </c>
      <c r="I1905" s="68">
        <v>29.312396449615196</v>
      </c>
      <c r="J1905" s="68">
        <f t="shared" si="1"/>
        <v>58.6247929</v>
      </c>
      <c r="K1905" s="68" t="b">
        <v>1</v>
      </c>
    </row>
    <row r="1906" hidden="1">
      <c r="A1906" s="75">
        <v>1900.0</v>
      </c>
      <c r="B1906" s="62" t="s">
        <v>1253</v>
      </c>
      <c r="C1906" s="62" t="s">
        <v>103</v>
      </c>
      <c r="D1906" s="62" t="s">
        <v>1260</v>
      </c>
      <c r="E1906" s="76">
        <v>43895.0</v>
      </c>
      <c r="F1906" s="77">
        <v>0.14583333333333334</v>
      </c>
      <c r="G1906" s="62" t="b">
        <v>0</v>
      </c>
      <c r="H1906" s="78" t="b">
        <f>IF(VLOOKUP(C1906,Projetos!A:L,12,false)=TRUE,TRUE,FALSE)</f>
        <v>1</v>
      </c>
      <c r="I1906" s="68">
        <v>29.312396449615196</v>
      </c>
      <c r="J1906" s="68">
        <f t="shared" si="1"/>
        <v>0</v>
      </c>
      <c r="K1906" s="68" t="b">
        <v>1</v>
      </c>
    </row>
    <row r="1907" hidden="1">
      <c r="A1907" s="75">
        <v>1901.0</v>
      </c>
      <c r="B1907" s="62" t="s">
        <v>1253</v>
      </c>
      <c r="C1907" s="62" t="s">
        <v>103</v>
      </c>
      <c r="D1907" s="62" t="s">
        <v>1261</v>
      </c>
      <c r="E1907" s="76">
        <v>43895.0</v>
      </c>
      <c r="F1907" s="77">
        <v>0.08333333333333333</v>
      </c>
      <c r="G1907" s="62" t="b">
        <v>1</v>
      </c>
      <c r="H1907" s="78" t="b">
        <f>IF(VLOOKUP(C1907,Projetos!A:L,12,false)=TRUE,TRUE,FALSE)</f>
        <v>1</v>
      </c>
      <c r="I1907" s="68">
        <v>29.312396449615196</v>
      </c>
      <c r="J1907" s="68">
        <f t="shared" si="1"/>
        <v>58.6247929</v>
      </c>
      <c r="K1907" s="68" t="b">
        <v>1</v>
      </c>
    </row>
    <row r="1908" hidden="1">
      <c r="A1908" s="75">
        <v>1902.0</v>
      </c>
      <c r="B1908" s="62" t="s">
        <v>1253</v>
      </c>
      <c r="C1908" s="62" t="s">
        <v>103</v>
      </c>
      <c r="D1908" s="62" t="s">
        <v>1262</v>
      </c>
      <c r="E1908" s="76">
        <v>43899.0</v>
      </c>
      <c r="F1908" s="77">
        <v>0.08333333333333333</v>
      </c>
      <c r="G1908" s="62" t="b">
        <v>0</v>
      </c>
      <c r="H1908" s="78" t="b">
        <f>IF(VLOOKUP(C1908,Projetos!A:L,12,false)=TRUE,TRUE,FALSE)</f>
        <v>1</v>
      </c>
      <c r="I1908" s="68">
        <v>29.312396449615196</v>
      </c>
      <c r="J1908" s="68">
        <f t="shared" si="1"/>
        <v>0</v>
      </c>
      <c r="K1908" s="68" t="b">
        <v>1</v>
      </c>
    </row>
    <row r="1909" hidden="1">
      <c r="A1909" s="75">
        <v>1903.0</v>
      </c>
      <c r="B1909" s="62" t="s">
        <v>1253</v>
      </c>
      <c r="C1909" s="62" t="s">
        <v>88</v>
      </c>
      <c r="D1909" s="62" t="s">
        <v>1263</v>
      </c>
      <c r="E1909" s="76">
        <v>43899.0</v>
      </c>
      <c r="F1909" s="77">
        <v>0.125</v>
      </c>
      <c r="G1909" s="62" t="b">
        <v>1</v>
      </c>
      <c r="H1909" s="78" t="b">
        <f>IF(VLOOKUP(C1909,Projetos!A:L,12,false)=TRUE,TRUE,FALSE)</f>
        <v>1</v>
      </c>
      <c r="I1909" s="68">
        <v>29.312396449615196</v>
      </c>
      <c r="J1909" s="68">
        <f t="shared" si="1"/>
        <v>87.93718935</v>
      </c>
      <c r="K1909" s="68" t="b">
        <v>1</v>
      </c>
    </row>
    <row r="1910">
      <c r="A1910" s="75">
        <v>1904.0</v>
      </c>
      <c r="B1910" s="62" t="s">
        <v>1253</v>
      </c>
      <c r="C1910" s="62" t="s">
        <v>104</v>
      </c>
      <c r="D1910" s="62" t="s">
        <v>1264</v>
      </c>
      <c r="E1910" s="76">
        <v>43899.0</v>
      </c>
      <c r="F1910" s="77">
        <v>0.041666666666666664</v>
      </c>
      <c r="G1910" s="62" t="b">
        <v>1</v>
      </c>
      <c r="H1910" s="78" t="b">
        <f>IF(VLOOKUP(C1910,Projetos!A:L,12,false)=TRUE,TRUE,FALSE)</f>
        <v>1</v>
      </c>
      <c r="I1910" s="68">
        <v>29.312396449615196</v>
      </c>
      <c r="J1910" s="68">
        <f t="shared" si="1"/>
        <v>29.31239645</v>
      </c>
      <c r="K1910" s="68" t="b">
        <v>1</v>
      </c>
    </row>
    <row r="1911" hidden="1">
      <c r="A1911" s="75">
        <v>1905.0</v>
      </c>
      <c r="B1911" s="62" t="s">
        <v>1253</v>
      </c>
      <c r="C1911" s="62" t="s">
        <v>103</v>
      </c>
      <c r="D1911" s="62" t="s">
        <v>1265</v>
      </c>
      <c r="E1911" s="76">
        <v>43900.0</v>
      </c>
      <c r="F1911" s="77">
        <v>0.041666666666666664</v>
      </c>
      <c r="G1911" s="62" t="b">
        <v>1</v>
      </c>
      <c r="H1911" s="78" t="b">
        <f>IF(VLOOKUP(C1911,Projetos!A:L,12,false)=TRUE,TRUE,FALSE)</f>
        <v>1</v>
      </c>
      <c r="I1911" s="68">
        <v>29.312396449615196</v>
      </c>
      <c r="J1911" s="68">
        <f t="shared" si="1"/>
        <v>29.31239645</v>
      </c>
      <c r="K1911" s="68" t="b">
        <v>1</v>
      </c>
    </row>
    <row r="1912">
      <c r="A1912" s="75">
        <v>1906.0</v>
      </c>
      <c r="B1912" s="62" t="s">
        <v>1253</v>
      </c>
      <c r="C1912" s="62" t="s">
        <v>104</v>
      </c>
      <c r="D1912" s="62" t="s">
        <v>1264</v>
      </c>
      <c r="E1912" s="76">
        <v>43907.0</v>
      </c>
      <c r="F1912" s="77">
        <v>0.125</v>
      </c>
      <c r="G1912" s="62" t="b">
        <v>1</v>
      </c>
      <c r="H1912" s="78" t="b">
        <f>IF(VLOOKUP(C1912,Projetos!A:L,12,false)=TRUE,TRUE,FALSE)</f>
        <v>1</v>
      </c>
      <c r="I1912" s="68">
        <v>29.312396449615196</v>
      </c>
      <c r="J1912" s="68">
        <f t="shared" si="1"/>
        <v>87.93718935</v>
      </c>
      <c r="K1912" s="68" t="b">
        <v>1</v>
      </c>
    </row>
    <row r="1913" hidden="1">
      <c r="A1913" s="75">
        <v>1907.0</v>
      </c>
      <c r="B1913" s="62" t="s">
        <v>1253</v>
      </c>
      <c r="C1913" s="62" t="s">
        <v>97</v>
      </c>
      <c r="D1913" s="62" t="s">
        <v>1266</v>
      </c>
      <c r="E1913" s="76">
        <v>43908.0</v>
      </c>
      <c r="F1913" s="77">
        <v>0.16666666666666666</v>
      </c>
      <c r="G1913" s="62" t="b">
        <v>1</v>
      </c>
      <c r="H1913" s="78" t="b">
        <f>IF(VLOOKUP(C1913,Projetos!A:L,12,false)=TRUE,TRUE,FALSE)</f>
        <v>1</v>
      </c>
      <c r="I1913" s="68">
        <v>29.312396449615196</v>
      </c>
      <c r="J1913" s="68">
        <f t="shared" si="1"/>
        <v>117.2495858</v>
      </c>
      <c r="K1913" s="68" t="b">
        <v>1</v>
      </c>
    </row>
    <row r="1914" hidden="1">
      <c r="A1914" s="75">
        <v>1908.0</v>
      </c>
      <c r="B1914" s="62" t="s">
        <v>1253</v>
      </c>
      <c r="C1914" s="62" t="s">
        <v>108</v>
      </c>
      <c r="D1914" s="62" t="s">
        <v>1267</v>
      </c>
      <c r="E1914" s="76">
        <v>43909.0</v>
      </c>
      <c r="F1914" s="77">
        <v>0.125</v>
      </c>
      <c r="G1914" s="62" t="b">
        <v>1</v>
      </c>
      <c r="H1914" s="78" t="b">
        <f>IF(VLOOKUP(C1914,Projetos!A:L,12,false)=TRUE,TRUE,FALSE)</f>
        <v>1</v>
      </c>
      <c r="I1914" s="68">
        <v>29.312396449615196</v>
      </c>
      <c r="J1914" s="68">
        <f t="shared" si="1"/>
        <v>87.93718935</v>
      </c>
      <c r="K1914" s="68" t="b">
        <v>1</v>
      </c>
    </row>
    <row r="1915" hidden="1">
      <c r="A1915" s="75">
        <v>1909.0</v>
      </c>
      <c r="B1915" s="62" t="s">
        <v>1253</v>
      </c>
      <c r="C1915" s="62" t="s">
        <v>108</v>
      </c>
      <c r="D1915" s="62" t="s">
        <v>1267</v>
      </c>
      <c r="E1915" s="76">
        <v>43917.0</v>
      </c>
      <c r="F1915" s="77">
        <v>0.0625</v>
      </c>
      <c r="G1915" s="62" t="b">
        <v>1</v>
      </c>
      <c r="H1915" s="78" t="b">
        <f>IF(VLOOKUP(C1915,Projetos!A:L,12,false)=TRUE,TRUE,FALSE)</f>
        <v>1</v>
      </c>
      <c r="I1915" s="68">
        <v>29.312396449615196</v>
      </c>
      <c r="J1915" s="68">
        <f t="shared" si="1"/>
        <v>43.96859467</v>
      </c>
      <c r="K1915" s="68" t="b">
        <v>1</v>
      </c>
    </row>
    <row r="1916" hidden="1">
      <c r="A1916" s="75">
        <v>1910.0</v>
      </c>
      <c r="B1916" s="62" t="s">
        <v>1253</v>
      </c>
      <c r="C1916" s="62" t="s">
        <v>108</v>
      </c>
      <c r="D1916" s="62" t="s">
        <v>1267</v>
      </c>
      <c r="E1916" s="76">
        <v>43921.0</v>
      </c>
      <c r="F1916" s="77">
        <v>0.1388888888888889</v>
      </c>
      <c r="G1916" s="62" t="b">
        <v>1</v>
      </c>
      <c r="H1916" s="78" t="b">
        <f>IF(VLOOKUP(C1916,Projetos!A:L,12,false)=TRUE,TRUE,FALSE)</f>
        <v>1</v>
      </c>
      <c r="I1916" s="68">
        <v>29.312396449615196</v>
      </c>
      <c r="J1916" s="68">
        <f t="shared" si="1"/>
        <v>97.70798817</v>
      </c>
      <c r="K1916" s="68" t="b">
        <v>1</v>
      </c>
    </row>
    <row r="1917" hidden="1">
      <c r="A1917" s="75">
        <v>1911.0</v>
      </c>
      <c r="B1917" s="62" t="s">
        <v>1253</v>
      </c>
      <c r="C1917" s="62" t="s">
        <v>108</v>
      </c>
      <c r="D1917" s="62" t="s">
        <v>1267</v>
      </c>
      <c r="E1917" s="76">
        <v>43922.0</v>
      </c>
      <c r="F1917" s="77">
        <v>0.10416666666666667</v>
      </c>
      <c r="G1917" s="62" t="b">
        <v>1</v>
      </c>
      <c r="H1917" s="78" t="b">
        <f>IF(VLOOKUP(C1917,Projetos!A:L,12,false)=TRUE,TRUE,FALSE)</f>
        <v>1</v>
      </c>
      <c r="I1917" s="68">
        <v>27.980014792814504</v>
      </c>
      <c r="J1917" s="68">
        <f t="shared" si="1"/>
        <v>69.95003698</v>
      </c>
      <c r="K1917" s="68" t="b">
        <v>1</v>
      </c>
    </row>
    <row r="1918" hidden="1">
      <c r="A1918" s="75">
        <v>1912.0</v>
      </c>
      <c r="B1918" s="62" t="s">
        <v>1253</v>
      </c>
      <c r="C1918" s="62" t="s">
        <v>108</v>
      </c>
      <c r="D1918" s="62" t="s">
        <v>1267</v>
      </c>
      <c r="E1918" s="76">
        <v>43924.0</v>
      </c>
      <c r="F1918" s="77">
        <v>0.0625</v>
      </c>
      <c r="G1918" s="62" t="b">
        <v>1</v>
      </c>
      <c r="H1918" s="78" t="b">
        <f>IF(VLOOKUP(C1918,Projetos!A:L,12,false)=TRUE,TRUE,FALSE)</f>
        <v>1</v>
      </c>
      <c r="I1918" s="68">
        <v>27.980014792814504</v>
      </c>
      <c r="J1918" s="68">
        <f t="shared" si="1"/>
        <v>41.97002219</v>
      </c>
      <c r="K1918" s="68" t="b">
        <v>1</v>
      </c>
    </row>
    <row r="1919" hidden="1">
      <c r="A1919" s="75">
        <v>1913.0</v>
      </c>
      <c r="B1919" s="62" t="s">
        <v>1253</v>
      </c>
      <c r="C1919" s="62" t="s">
        <v>108</v>
      </c>
      <c r="D1919" s="62" t="s">
        <v>1267</v>
      </c>
      <c r="E1919" s="76">
        <v>43927.0</v>
      </c>
      <c r="F1919" s="77">
        <v>0.041666666666666664</v>
      </c>
      <c r="G1919" s="62" t="b">
        <v>1</v>
      </c>
      <c r="H1919" s="78" t="b">
        <f>IF(VLOOKUP(C1919,Projetos!A:L,12,false)=TRUE,TRUE,FALSE)</f>
        <v>1</v>
      </c>
      <c r="I1919" s="68">
        <v>27.980014792814504</v>
      </c>
      <c r="J1919" s="68">
        <f t="shared" si="1"/>
        <v>27.98001479</v>
      </c>
      <c r="K1919" s="68" t="b">
        <v>1</v>
      </c>
    </row>
    <row r="1920" hidden="1">
      <c r="A1920" s="75">
        <v>1914.0</v>
      </c>
      <c r="B1920" s="62" t="s">
        <v>1253</v>
      </c>
      <c r="C1920" s="62" t="s">
        <v>84</v>
      </c>
      <c r="D1920" s="62" t="s">
        <v>1268</v>
      </c>
      <c r="E1920" s="76">
        <v>43927.0</v>
      </c>
      <c r="F1920" s="77">
        <v>0.08333333333333333</v>
      </c>
      <c r="G1920" s="62" t="b">
        <v>1</v>
      </c>
      <c r="H1920" s="78" t="b">
        <f>IF(VLOOKUP(C1920,Projetos!A:L,12,false)=TRUE,TRUE,FALSE)</f>
        <v>1</v>
      </c>
      <c r="I1920" s="68">
        <v>27.980014792814504</v>
      </c>
      <c r="J1920" s="68">
        <f t="shared" si="1"/>
        <v>55.96002959</v>
      </c>
      <c r="K1920" s="68" t="b">
        <v>1</v>
      </c>
    </row>
    <row r="1921" hidden="1">
      <c r="A1921" s="75">
        <v>1915.0</v>
      </c>
      <c r="B1921" s="62" t="s">
        <v>1253</v>
      </c>
      <c r="C1921" s="62" t="s">
        <v>84</v>
      </c>
      <c r="D1921" s="62" t="s">
        <v>1268</v>
      </c>
      <c r="E1921" s="76">
        <v>43928.0</v>
      </c>
      <c r="F1921" s="77">
        <v>0.041666666666666664</v>
      </c>
      <c r="G1921" s="62" t="b">
        <v>1</v>
      </c>
      <c r="H1921" s="78" t="b">
        <f>IF(VLOOKUP(C1921,Projetos!A:L,12,false)=TRUE,TRUE,FALSE)</f>
        <v>1</v>
      </c>
      <c r="I1921" s="68">
        <v>27.980014792814504</v>
      </c>
      <c r="J1921" s="68">
        <f t="shared" si="1"/>
        <v>27.98001479</v>
      </c>
      <c r="K1921" s="68" t="b">
        <v>1</v>
      </c>
    </row>
    <row r="1922" hidden="1">
      <c r="A1922" s="75">
        <v>1916.0</v>
      </c>
      <c r="B1922" s="62" t="s">
        <v>1253</v>
      </c>
      <c r="C1922" s="62" t="s">
        <v>84</v>
      </c>
      <c r="D1922" s="62" t="s">
        <v>1268</v>
      </c>
      <c r="E1922" s="76">
        <v>43929.0</v>
      </c>
      <c r="F1922" s="77">
        <v>0.08333333333333333</v>
      </c>
      <c r="G1922" s="62" t="b">
        <v>1</v>
      </c>
      <c r="H1922" s="78" t="b">
        <f>IF(VLOOKUP(C1922,Projetos!A:L,12,false)=TRUE,TRUE,FALSE)</f>
        <v>1</v>
      </c>
      <c r="I1922" s="68">
        <v>27.980014792814504</v>
      </c>
      <c r="J1922" s="68">
        <f t="shared" si="1"/>
        <v>55.96002959</v>
      </c>
      <c r="K1922" s="68" t="b">
        <v>1</v>
      </c>
    </row>
    <row r="1923" hidden="1">
      <c r="A1923" s="75">
        <v>1917.0</v>
      </c>
      <c r="B1923" s="62" t="s">
        <v>1253</v>
      </c>
      <c r="C1923" s="62" t="s">
        <v>84</v>
      </c>
      <c r="D1923" s="62" t="s">
        <v>1268</v>
      </c>
      <c r="E1923" s="76">
        <v>43930.0</v>
      </c>
      <c r="F1923" s="77">
        <v>0.020833333333333332</v>
      </c>
      <c r="G1923" s="62" t="b">
        <v>1</v>
      </c>
      <c r="H1923" s="78" t="b">
        <f>IF(VLOOKUP(C1923,Projetos!A:L,12,false)=TRUE,TRUE,FALSE)</f>
        <v>1</v>
      </c>
      <c r="I1923" s="68">
        <v>27.980014792814504</v>
      </c>
      <c r="J1923" s="68">
        <f t="shared" si="1"/>
        <v>13.9900074</v>
      </c>
      <c r="K1923" s="68" t="b">
        <v>1</v>
      </c>
    </row>
    <row r="1924" hidden="1">
      <c r="A1924" s="75">
        <v>1918.0</v>
      </c>
      <c r="B1924" s="62" t="s">
        <v>1253</v>
      </c>
      <c r="C1924" s="62" t="s">
        <v>103</v>
      </c>
      <c r="D1924" s="62" t="s">
        <v>1269</v>
      </c>
      <c r="E1924" s="76">
        <v>43934.0</v>
      </c>
      <c r="F1924" s="77">
        <v>0.0625</v>
      </c>
      <c r="G1924" s="62" t="b">
        <v>0</v>
      </c>
      <c r="H1924" s="78" t="b">
        <f>IF(VLOOKUP(C1924,Projetos!A:L,12,false)=TRUE,TRUE,FALSE)</f>
        <v>1</v>
      </c>
      <c r="I1924" s="68">
        <v>27.980014792814504</v>
      </c>
      <c r="J1924" s="68">
        <f t="shared" si="1"/>
        <v>0</v>
      </c>
      <c r="K1924" s="68" t="b">
        <v>1</v>
      </c>
    </row>
    <row r="1925" hidden="1">
      <c r="A1925" s="75">
        <v>1919.0</v>
      </c>
      <c r="B1925" s="62" t="s">
        <v>1253</v>
      </c>
      <c r="C1925" s="62" t="s">
        <v>103</v>
      </c>
      <c r="D1925" s="62" t="s">
        <v>1270</v>
      </c>
      <c r="E1925" s="76">
        <v>43844.0</v>
      </c>
      <c r="F1925" s="77">
        <v>0.0625</v>
      </c>
      <c r="G1925" s="62" t="b">
        <v>0</v>
      </c>
      <c r="H1925" s="78" t="b">
        <f>IF(VLOOKUP(C1925,Projetos!A:L,12,false)=TRUE,TRUE,FALSE)</f>
        <v>1</v>
      </c>
      <c r="I1925" s="68">
        <v>29.312396449615196</v>
      </c>
      <c r="J1925" s="68">
        <f t="shared" si="1"/>
        <v>0</v>
      </c>
      <c r="K1925" s="68" t="b">
        <v>1</v>
      </c>
    </row>
    <row r="1926" hidden="1">
      <c r="A1926" s="75">
        <v>1920.0</v>
      </c>
      <c r="B1926" s="62" t="s">
        <v>1253</v>
      </c>
      <c r="C1926" s="62" t="s">
        <v>103</v>
      </c>
      <c r="D1926" s="62" t="s">
        <v>1270</v>
      </c>
      <c r="E1926" s="76">
        <v>43845.0</v>
      </c>
      <c r="F1926" s="77">
        <v>0.08333333333333333</v>
      </c>
      <c r="G1926" s="62" t="b">
        <v>0</v>
      </c>
      <c r="H1926" s="78" t="b">
        <f>IF(VLOOKUP(C1926,Projetos!A:L,12,false)=TRUE,TRUE,FALSE)</f>
        <v>1</v>
      </c>
      <c r="I1926" s="68">
        <v>29.312396449615196</v>
      </c>
      <c r="J1926" s="68">
        <f t="shared" si="1"/>
        <v>0</v>
      </c>
      <c r="K1926" s="68" t="b">
        <v>1</v>
      </c>
    </row>
    <row r="1927" hidden="1">
      <c r="A1927" s="75">
        <v>1921.0</v>
      </c>
      <c r="B1927" s="62" t="s">
        <v>1253</v>
      </c>
      <c r="C1927" s="62" t="s">
        <v>84</v>
      </c>
      <c r="D1927" s="62" t="s">
        <v>1268</v>
      </c>
      <c r="E1927" s="76">
        <v>43937.0</v>
      </c>
      <c r="F1927" s="77">
        <v>0.0625</v>
      </c>
      <c r="G1927" s="62" t="b">
        <v>1</v>
      </c>
      <c r="H1927" s="78" t="b">
        <f>IF(VLOOKUP(C1927,Projetos!A:L,12,false)=TRUE,TRUE,FALSE)</f>
        <v>1</v>
      </c>
      <c r="I1927" s="68">
        <v>27.980014792814504</v>
      </c>
      <c r="J1927" s="68">
        <f t="shared" si="1"/>
        <v>41.97002219</v>
      </c>
      <c r="K1927" s="68" t="b">
        <v>1</v>
      </c>
    </row>
    <row r="1928" hidden="1">
      <c r="A1928" s="75">
        <v>1922.0</v>
      </c>
      <c r="B1928" s="62" t="s">
        <v>1253</v>
      </c>
      <c r="C1928" s="62" t="s">
        <v>84</v>
      </c>
      <c r="D1928" s="62" t="s">
        <v>1268</v>
      </c>
      <c r="E1928" s="76">
        <v>43938.0</v>
      </c>
      <c r="F1928" s="77">
        <v>0.08333333333333333</v>
      </c>
      <c r="G1928" s="62" t="b">
        <v>1</v>
      </c>
      <c r="H1928" s="78" t="b">
        <f>IF(VLOOKUP(C1928,Projetos!A:L,12,false)=TRUE,TRUE,FALSE)</f>
        <v>1</v>
      </c>
      <c r="I1928" s="68">
        <v>27.980014792814504</v>
      </c>
      <c r="J1928" s="68">
        <f t="shared" si="1"/>
        <v>55.96002959</v>
      </c>
      <c r="K1928" s="68" t="b">
        <v>1</v>
      </c>
    </row>
    <row r="1929" hidden="1">
      <c r="A1929" s="75">
        <v>1923.0</v>
      </c>
      <c r="B1929" s="62" t="s">
        <v>1253</v>
      </c>
      <c r="C1929" s="62" t="s">
        <v>84</v>
      </c>
      <c r="D1929" s="62" t="s">
        <v>1268</v>
      </c>
      <c r="E1929" s="76">
        <v>43941.0</v>
      </c>
      <c r="F1929" s="77">
        <v>0.125</v>
      </c>
      <c r="G1929" s="62" t="b">
        <v>1</v>
      </c>
      <c r="H1929" s="78" t="b">
        <f>IF(VLOOKUP(C1929,Projetos!A:L,12,false)=TRUE,TRUE,FALSE)</f>
        <v>1</v>
      </c>
      <c r="I1929" s="68">
        <v>27.980014792814504</v>
      </c>
      <c r="J1929" s="68">
        <f t="shared" si="1"/>
        <v>83.94004438</v>
      </c>
      <c r="K1929" s="68" t="b">
        <v>1</v>
      </c>
    </row>
    <row r="1930" hidden="1">
      <c r="A1930" s="75">
        <v>1924.0</v>
      </c>
      <c r="B1930" s="62" t="s">
        <v>1253</v>
      </c>
      <c r="C1930" s="62" t="s">
        <v>97</v>
      </c>
      <c r="D1930" s="62" t="s">
        <v>1271</v>
      </c>
      <c r="E1930" s="76">
        <v>43943.0</v>
      </c>
      <c r="F1930" s="77">
        <v>0.20833333333333334</v>
      </c>
      <c r="G1930" s="62" t="b">
        <v>1</v>
      </c>
      <c r="H1930" s="78" t="b">
        <f>IF(VLOOKUP(C1930,Projetos!A:L,12,false)=TRUE,TRUE,FALSE)</f>
        <v>1</v>
      </c>
      <c r="I1930" s="68">
        <v>27.980014792814504</v>
      </c>
      <c r="J1930" s="68">
        <f t="shared" si="1"/>
        <v>139.900074</v>
      </c>
      <c r="K1930" s="68" t="b">
        <v>1</v>
      </c>
    </row>
    <row r="1931">
      <c r="A1931" s="75">
        <v>1925.0</v>
      </c>
      <c r="B1931" s="62" t="s">
        <v>1253</v>
      </c>
      <c r="C1931" s="62" t="s">
        <v>104</v>
      </c>
      <c r="D1931" s="62" t="s">
        <v>1272</v>
      </c>
      <c r="E1931" s="76">
        <v>43943.0</v>
      </c>
      <c r="F1931" s="77">
        <v>0.041666666666666664</v>
      </c>
      <c r="G1931" s="62" t="b">
        <v>1</v>
      </c>
      <c r="H1931" s="78" t="b">
        <f>IF(VLOOKUP(C1931,Projetos!A:L,12,false)=TRUE,TRUE,FALSE)</f>
        <v>1</v>
      </c>
      <c r="I1931" s="68">
        <v>27.980014792814504</v>
      </c>
      <c r="J1931" s="68">
        <f t="shared" si="1"/>
        <v>27.98001479</v>
      </c>
      <c r="K1931" s="68" t="b">
        <v>1</v>
      </c>
    </row>
    <row r="1932">
      <c r="A1932" s="75">
        <v>1926.0</v>
      </c>
      <c r="B1932" s="62" t="s">
        <v>1253</v>
      </c>
      <c r="C1932" s="62" t="s">
        <v>104</v>
      </c>
      <c r="D1932" s="62" t="s">
        <v>1273</v>
      </c>
      <c r="E1932" s="76">
        <v>43944.0</v>
      </c>
      <c r="F1932" s="77">
        <v>0.08333333333333333</v>
      </c>
      <c r="G1932" s="62" t="b">
        <v>0</v>
      </c>
      <c r="H1932" s="78" t="b">
        <f>IF(VLOOKUP(C1932,Projetos!A:L,12,false)=TRUE,TRUE,FALSE)</f>
        <v>1</v>
      </c>
      <c r="I1932" s="68">
        <v>27.980014792814504</v>
      </c>
      <c r="J1932" s="68">
        <f t="shared" si="1"/>
        <v>0</v>
      </c>
      <c r="K1932" s="68" t="b">
        <v>1</v>
      </c>
    </row>
    <row r="1933" hidden="1">
      <c r="A1933" s="75">
        <v>1927.0</v>
      </c>
      <c r="B1933" s="62" t="s">
        <v>1253</v>
      </c>
      <c r="C1933" s="62" t="s">
        <v>97</v>
      </c>
      <c r="D1933" s="62" t="s">
        <v>1274</v>
      </c>
      <c r="E1933" s="76">
        <v>43945.0</v>
      </c>
      <c r="F1933" s="77">
        <v>0.10416666666666667</v>
      </c>
      <c r="G1933" s="62" t="b">
        <v>1</v>
      </c>
      <c r="H1933" s="78" t="b">
        <f>IF(VLOOKUP(C1933,Projetos!A:L,12,false)=TRUE,TRUE,FALSE)</f>
        <v>1</v>
      </c>
      <c r="I1933" s="68">
        <v>27.980014792814504</v>
      </c>
      <c r="J1933" s="68">
        <f t="shared" si="1"/>
        <v>69.95003698</v>
      </c>
      <c r="K1933" s="68" t="b">
        <v>1</v>
      </c>
    </row>
    <row r="1934" hidden="1">
      <c r="A1934" s="75">
        <v>1928.0</v>
      </c>
      <c r="B1934" s="62" t="s">
        <v>1253</v>
      </c>
      <c r="C1934" s="62" t="s">
        <v>97</v>
      </c>
      <c r="D1934" s="62" t="s">
        <v>1275</v>
      </c>
      <c r="E1934" s="76">
        <v>43948.0</v>
      </c>
      <c r="F1934" s="77">
        <v>0.10416666666666667</v>
      </c>
      <c r="G1934" s="62" t="b">
        <v>1</v>
      </c>
      <c r="H1934" s="78" t="b">
        <f>IF(VLOOKUP(C1934,Projetos!A:L,12,false)=TRUE,TRUE,FALSE)</f>
        <v>1</v>
      </c>
      <c r="I1934" s="68">
        <v>27.980014792814504</v>
      </c>
      <c r="J1934" s="68">
        <f t="shared" si="1"/>
        <v>69.95003698</v>
      </c>
      <c r="K1934" s="68" t="b">
        <v>1</v>
      </c>
    </row>
    <row r="1935" hidden="1">
      <c r="A1935" s="75">
        <v>1929.0</v>
      </c>
      <c r="B1935" s="62" t="s">
        <v>1253</v>
      </c>
      <c r="C1935" s="62" t="s">
        <v>103</v>
      </c>
      <c r="D1935" s="62" t="s">
        <v>1276</v>
      </c>
      <c r="E1935" s="76">
        <v>43948.0</v>
      </c>
      <c r="F1935" s="77">
        <v>0.0625</v>
      </c>
      <c r="G1935" s="62" t="b">
        <v>1</v>
      </c>
      <c r="H1935" s="78" t="b">
        <f>IF(VLOOKUP(C1935,Projetos!A:L,12,false)=TRUE,TRUE,FALSE)</f>
        <v>1</v>
      </c>
      <c r="I1935" s="68">
        <v>27.980014792814504</v>
      </c>
      <c r="J1935" s="68">
        <f t="shared" si="1"/>
        <v>41.97002219</v>
      </c>
      <c r="K1935" s="68" t="b">
        <v>1</v>
      </c>
    </row>
    <row r="1936" hidden="1">
      <c r="A1936" s="75">
        <v>1930.0</v>
      </c>
      <c r="B1936" s="62" t="s">
        <v>1253</v>
      </c>
      <c r="C1936" s="62" t="s">
        <v>103</v>
      </c>
      <c r="D1936" s="62" t="s">
        <v>1276</v>
      </c>
      <c r="E1936" s="76">
        <v>43949.0</v>
      </c>
      <c r="F1936" s="77">
        <v>0.0625</v>
      </c>
      <c r="G1936" s="62" t="b">
        <v>1</v>
      </c>
      <c r="H1936" s="78" t="b">
        <f>IF(VLOOKUP(C1936,Projetos!A:L,12,false)=TRUE,TRUE,FALSE)</f>
        <v>1</v>
      </c>
      <c r="I1936" s="68">
        <v>27.980014792814504</v>
      </c>
      <c r="J1936" s="68">
        <f t="shared" si="1"/>
        <v>41.97002219</v>
      </c>
      <c r="K1936" s="68" t="b">
        <v>1</v>
      </c>
    </row>
    <row r="1937">
      <c r="A1937" s="75">
        <v>1931.0</v>
      </c>
      <c r="B1937" s="62" t="s">
        <v>1253</v>
      </c>
      <c r="C1937" s="62" t="s">
        <v>104</v>
      </c>
      <c r="D1937" s="62" t="s">
        <v>1273</v>
      </c>
      <c r="E1937" s="76">
        <v>43949.0</v>
      </c>
      <c r="F1937" s="77">
        <v>0.041666666666666664</v>
      </c>
      <c r="G1937" s="62" t="b">
        <v>0</v>
      </c>
      <c r="H1937" s="78" t="b">
        <f>IF(VLOOKUP(C1937,Projetos!A:L,12,false)=TRUE,TRUE,FALSE)</f>
        <v>1</v>
      </c>
      <c r="I1937" s="68">
        <v>27.980014792814504</v>
      </c>
      <c r="J1937" s="68">
        <f t="shared" si="1"/>
        <v>0</v>
      </c>
      <c r="K1937" s="68" t="b">
        <v>1</v>
      </c>
    </row>
    <row r="1938">
      <c r="A1938" s="75">
        <v>1932.0</v>
      </c>
      <c r="B1938" s="62" t="s">
        <v>1253</v>
      </c>
      <c r="C1938" s="62" t="s">
        <v>104</v>
      </c>
      <c r="D1938" s="62" t="s">
        <v>1277</v>
      </c>
      <c r="E1938" s="76">
        <v>43950.0</v>
      </c>
      <c r="F1938" s="77">
        <v>0.125</v>
      </c>
      <c r="G1938" s="62" t="b">
        <v>1</v>
      </c>
      <c r="H1938" s="78" t="b">
        <f>IF(VLOOKUP(C1938,Projetos!A:L,12,false)=TRUE,TRUE,FALSE)</f>
        <v>1</v>
      </c>
      <c r="I1938" s="68">
        <v>27.980014792814504</v>
      </c>
      <c r="J1938" s="68">
        <f t="shared" si="1"/>
        <v>83.94004438</v>
      </c>
      <c r="K1938" s="68" t="b">
        <v>1</v>
      </c>
    </row>
    <row r="1939" hidden="1">
      <c r="A1939" s="75">
        <v>1933.0</v>
      </c>
      <c r="B1939" s="62" t="s">
        <v>1253</v>
      </c>
      <c r="C1939" s="62" t="s">
        <v>97</v>
      </c>
      <c r="D1939" s="62" t="s">
        <v>1278</v>
      </c>
      <c r="E1939" s="76">
        <v>43951.0</v>
      </c>
      <c r="F1939" s="77">
        <v>0.10416666666666667</v>
      </c>
      <c r="G1939" s="62" t="b">
        <v>1</v>
      </c>
      <c r="H1939" s="78" t="b">
        <f>IF(VLOOKUP(C1939,Projetos!A:L,12,false)=TRUE,TRUE,FALSE)</f>
        <v>1</v>
      </c>
      <c r="I1939" s="68">
        <v>27.980014792814504</v>
      </c>
      <c r="J1939" s="68">
        <f t="shared" si="1"/>
        <v>69.95003698</v>
      </c>
      <c r="K1939" s="68" t="b">
        <v>1</v>
      </c>
    </row>
    <row r="1940" hidden="1">
      <c r="A1940" s="75">
        <v>1934.0</v>
      </c>
      <c r="B1940" s="62" t="s">
        <v>1253</v>
      </c>
      <c r="C1940" s="62" t="s">
        <v>97</v>
      </c>
      <c r="D1940" s="62" t="s">
        <v>1268</v>
      </c>
      <c r="E1940" s="76">
        <v>43976.0</v>
      </c>
      <c r="F1940" s="77">
        <v>0.08333333333333333</v>
      </c>
      <c r="G1940" s="62" t="b">
        <v>1</v>
      </c>
      <c r="H1940" s="78" t="b">
        <f>IF(VLOOKUP(C1940,Projetos!A:L,12,false)=TRUE,TRUE,FALSE)</f>
        <v>1</v>
      </c>
      <c r="I1940" s="68">
        <v>29.312396449615196</v>
      </c>
      <c r="J1940" s="68">
        <f t="shared" si="1"/>
        <v>58.6247929</v>
      </c>
      <c r="K1940" s="68" t="b">
        <v>1</v>
      </c>
    </row>
    <row r="1941" hidden="1">
      <c r="A1941" s="75">
        <v>1935.0</v>
      </c>
      <c r="B1941" s="62" t="s">
        <v>1253</v>
      </c>
      <c r="C1941" s="62" t="s">
        <v>97</v>
      </c>
      <c r="D1941" s="62" t="s">
        <v>1268</v>
      </c>
      <c r="E1941" s="76">
        <v>43977.0</v>
      </c>
      <c r="F1941" s="77">
        <v>0.041666666666666664</v>
      </c>
      <c r="G1941" s="62" t="b">
        <v>1</v>
      </c>
      <c r="H1941" s="78" t="b">
        <f>IF(VLOOKUP(C1941,Projetos!A:L,12,false)=TRUE,TRUE,FALSE)</f>
        <v>1</v>
      </c>
      <c r="I1941" s="68">
        <v>29.312396449615196</v>
      </c>
      <c r="J1941" s="68">
        <f t="shared" si="1"/>
        <v>29.31239645</v>
      </c>
      <c r="K1941" s="68" t="b">
        <v>1</v>
      </c>
    </row>
    <row r="1942">
      <c r="A1942" s="75">
        <v>1936.0</v>
      </c>
      <c r="B1942" s="62" t="s">
        <v>1253</v>
      </c>
      <c r="C1942" s="62" t="s">
        <v>104</v>
      </c>
      <c r="D1942" s="62" t="s">
        <v>1279</v>
      </c>
      <c r="E1942" s="76">
        <v>44102.0</v>
      </c>
      <c r="F1942" s="77">
        <v>0.08333333333333333</v>
      </c>
      <c r="G1942" s="62" t="b">
        <v>1</v>
      </c>
      <c r="H1942" s="78" t="b">
        <f>IF(VLOOKUP(C1942,Projetos!A:L,12,false)=TRUE,TRUE,FALSE)</f>
        <v>1</v>
      </c>
      <c r="I1942" s="68">
        <v>30.80635014921946</v>
      </c>
      <c r="J1942" s="68">
        <f t="shared" si="1"/>
        <v>61.6127003</v>
      </c>
      <c r="K1942" s="68" t="b">
        <v>1</v>
      </c>
    </row>
    <row r="1943">
      <c r="A1943" s="75">
        <v>1937.0</v>
      </c>
      <c r="B1943" s="62" t="s">
        <v>1253</v>
      </c>
      <c r="C1943" s="62" t="s">
        <v>104</v>
      </c>
      <c r="D1943" s="62" t="s">
        <v>1279</v>
      </c>
      <c r="E1943" s="76">
        <v>44103.0</v>
      </c>
      <c r="F1943" s="77">
        <v>0.041666666666666664</v>
      </c>
      <c r="G1943" s="62" t="b">
        <v>1</v>
      </c>
      <c r="H1943" s="78" t="b">
        <f>IF(VLOOKUP(C1943,Projetos!A:L,12,false)=TRUE,TRUE,FALSE)</f>
        <v>1</v>
      </c>
      <c r="I1943" s="68">
        <v>30.80635014921946</v>
      </c>
      <c r="J1943" s="68">
        <f t="shared" si="1"/>
        <v>30.80635015</v>
      </c>
      <c r="K1943" s="68" t="b">
        <v>1</v>
      </c>
    </row>
    <row r="1944">
      <c r="A1944" s="75">
        <v>1938.0</v>
      </c>
      <c r="B1944" s="62" t="s">
        <v>1253</v>
      </c>
      <c r="C1944" s="62" t="s">
        <v>104</v>
      </c>
      <c r="D1944" s="62" t="s">
        <v>1280</v>
      </c>
      <c r="E1944" s="76">
        <v>43983.0</v>
      </c>
      <c r="F1944" s="77">
        <v>0.041666666666666664</v>
      </c>
      <c r="G1944" s="62" t="b">
        <v>0</v>
      </c>
      <c r="H1944" s="78" t="b">
        <f>IF(VLOOKUP(C1944,Projetos!A:L,12,false)=TRUE,TRUE,FALSE)</f>
        <v>1</v>
      </c>
      <c r="I1944" s="68">
        <v>27.980014792814504</v>
      </c>
      <c r="J1944" s="68">
        <f t="shared" si="1"/>
        <v>0</v>
      </c>
      <c r="K1944" s="68" t="b">
        <v>1</v>
      </c>
    </row>
    <row r="1945" hidden="1">
      <c r="A1945" s="75">
        <v>1939.0</v>
      </c>
      <c r="B1945" s="62" t="s">
        <v>1253</v>
      </c>
      <c r="C1945" s="62" t="s">
        <v>101</v>
      </c>
      <c r="D1945" s="62" t="s">
        <v>1281</v>
      </c>
      <c r="E1945" s="76">
        <v>43983.0</v>
      </c>
      <c r="F1945" s="77">
        <v>0.0625</v>
      </c>
      <c r="G1945" s="62" t="b">
        <v>1</v>
      </c>
      <c r="H1945" s="78" t="b">
        <f>IF(VLOOKUP(C1945,Projetos!A:L,12,false)=TRUE,TRUE,FALSE)</f>
        <v>1</v>
      </c>
      <c r="I1945" s="68">
        <v>27.980014792814504</v>
      </c>
      <c r="J1945" s="68">
        <f t="shared" si="1"/>
        <v>41.97002219</v>
      </c>
      <c r="K1945" s="68" t="b">
        <v>1</v>
      </c>
    </row>
    <row r="1946">
      <c r="A1946" s="75">
        <v>1940.0</v>
      </c>
      <c r="B1946" s="62" t="s">
        <v>1253</v>
      </c>
      <c r="C1946" s="62" t="s">
        <v>104</v>
      </c>
      <c r="D1946" s="62" t="s">
        <v>1280</v>
      </c>
      <c r="E1946" s="76">
        <v>43985.0</v>
      </c>
      <c r="F1946" s="77">
        <v>0.08333333333333333</v>
      </c>
      <c r="G1946" s="62" t="b">
        <v>0</v>
      </c>
      <c r="H1946" s="78" t="b">
        <f>IF(VLOOKUP(C1946,Projetos!A:L,12,false)=TRUE,TRUE,FALSE)</f>
        <v>1</v>
      </c>
      <c r="I1946" s="68">
        <v>27.980014792814504</v>
      </c>
      <c r="J1946" s="68">
        <f t="shared" si="1"/>
        <v>0</v>
      </c>
      <c r="K1946" s="68" t="b">
        <v>1</v>
      </c>
    </row>
    <row r="1947" hidden="1">
      <c r="A1947" s="75">
        <v>1941.0</v>
      </c>
      <c r="B1947" s="62" t="s">
        <v>1253</v>
      </c>
      <c r="C1947" s="62" t="s">
        <v>101</v>
      </c>
      <c r="D1947" s="62" t="s">
        <v>1281</v>
      </c>
      <c r="E1947" s="76">
        <v>43986.0</v>
      </c>
      <c r="F1947" s="77">
        <v>0.125</v>
      </c>
      <c r="G1947" s="62" t="b">
        <v>1</v>
      </c>
      <c r="H1947" s="78" t="b">
        <f>IF(VLOOKUP(C1947,Projetos!A:L,12,false)=TRUE,TRUE,FALSE)</f>
        <v>1</v>
      </c>
      <c r="I1947" s="68">
        <v>27.980014792814504</v>
      </c>
      <c r="J1947" s="68">
        <f t="shared" si="1"/>
        <v>83.94004438</v>
      </c>
      <c r="K1947" s="68" t="b">
        <v>1</v>
      </c>
    </row>
    <row r="1948" hidden="1">
      <c r="A1948" s="75">
        <v>1942.0</v>
      </c>
      <c r="B1948" s="62" t="s">
        <v>1253</v>
      </c>
      <c r="C1948" s="62" t="s">
        <v>101</v>
      </c>
      <c r="D1948" s="62" t="s">
        <v>1281</v>
      </c>
      <c r="E1948" s="76">
        <v>43987.0</v>
      </c>
      <c r="F1948" s="77">
        <v>0.125</v>
      </c>
      <c r="G1948" s="62" t="b">
        <v>1</v>
      </c>
      <c r="H1948" s="78" t="b">
        <f>IF(VLOOKUP(C1948,Projetos!A:L,12,false)=TRUE,TRUE,FALSE)</f>
        <v>1</v>
      </c>
      <c r="I1948" s="68">
        <v>27.980014792814504</v>
      </c>
      <c r="J1948" s="68">
        <f t="shared" si="1"/>
        <v>83.94004438</v>
      </c>
      <c r="K1948" s="68" t="b">
        <v>1</v>
      </c>
    </row>
    <row r="1949" hidden="1">
      <c r="A1949" s="75">
        <v>1943.0</v>
      </c>
      <c r="B1949" s="62" t="s">
        <v>1253</v>
      </c>
      <c r="C1949" s="62" t="s">
        <v>101</v>
      </c>
      <c r="D1949" s="62" t="s">
        <v>1281</v>
      </c>
      <c r="E1949" s="76">
        <v>43990.0</v>
      </c>
      <c r="F1949" s="77">
        <v>0.08333333333333333</v>
      </c>
      <c r="G1949" s="62" t="b">
        <v>1</v>
      </c>
      <c r="H1949" s="78" t="b">
        <f>IF(VLOOKUP(C1949,Projetos!A:L,12,false)=TRUE,TRUE,FALSE)</f>
        <v>1</v>
      </c>
      <c r="I1949" s="68">
        <v>27.980014792814504</v>
      </c>
      <c r="J1949" s="68">
        <f t="shared" si="1"/>
        <v>55.96002959</v>
      </c>
      <c r="K1949" s="68" t="b">
        <v>1</v>
      </c>
    </row>
    <row r="1950" hidden="1">
      <c r="A1950" s="75">
        <v>1944.0</v>
      </c>
      <c r="B1950" s="62" t="s">
        <v>1253</v>
      </c>
      <c r="C1950" s="62" t="s">
        <v>84</v>
      </c>
      <c r="D1950" s="62" t="s">
        <v>1282</v>
      </c>
      <c r="E1950" s="76">
        <v>43990.0</v>
      </c>
      <c r="F1950" s="77">
        <v>0.08333333333333333</v>
      </c>
      <c r="G1950" s="62" t="b">
        <v>1</v>
      </c>
      <c r="H1950" s="78" t="b">
        <f>IF(VLOOKUP(C1950,Projetos!A:L,12,false)=TRUE,TRUE,FALSE)</f>
        <v>1</v>
      </c>
      <c r="I1950" s="68">
        <v>27.980014792814504</v>
      </c>
      <c r="J1950" s="68">
        <f t="shared" si="1"/>
        <v>55.96002959</v>
      </c>
      <c r="K1950" s="68" t="b">
        <v>1</v>
      </c>
    </row>
    <row r="1951" hidden="1">
      <c r="A1951" s="75">
        <v>1945.0</v>
      </c>
      <c r="B1951" s="62" t="s">
        <v>1253</v>
      </c>
      <c r="C1951" s="62" t="s">
        <v>101</v>
      </c>
      <c r="D1951" s="62" t="s">
        <v>1281</v>
      </c>
      <c r="E1951" s="76">
        <v>43991.0</v>
      </c>
      <c r="F1951" s="77">
        <v>0.08333333333333333</v>
      </c>
      <c r="G1951" s="62" t="b">
        <v>1</v>
      </c>
      <c r="H1951" s="78" t="b">
        <f>IF(VLOOKUP(C1951,Projetos!A:L,12,false)=TRUE,TRUE,FALSE)</f>
        <v>1</v>
      </c>
      <c r="I1951" s="68">
        <v>27.980014792814504</v>
      </c>
      <c r="J1951" s="68">
        <f t="shared" si="1"/>
        <v>55.96002959</v>
      </c>
      <c r="K1951" s="68" t="b">
        <v>1</v>
      </c>
    </row>
    <row r="1952" hidden="1">
      <c r="A1952" s="75">
        <v>1946.0</v>
      </c>
      <c r="B1952" s="62" t="s">
        <v>1253</v>
      </c>
      <c r="C1952" s="62" t="s">
        <v>84</v>
      </c>
      <c r="D1952" s="62" t="s">
        <v>1283</v>
      </c>
      <c r="E1952" s="76">
        <v>43992.0</v>
      </c>
      <c r="F1952" s="77">
        <v>0.08333333333333333</v>
      </c>
      <c r="G1952" s="62" t="b">
        <v>1</v>
      </c>
      <c r="H1952" s="78" t="b">
        <f>IF(VLOOKUP(C1952,Projetos!A:L,12,false)=TRUE,TRUE,FALSE)</f>
        <v>1</v>
      </c>
      <c r="I1952" s="68">
        <v>27.980014792814504</v>
      </c>
      <c r="J1952" s="68">
        <f t="shared" si="1"/>
        <v>55.96002959</v>
      </c>
      <c r="K1952" s="68" t="b">
        <v>1</v>
      </c>
    </row>
    <row r="1953" hidden="1">
      <c r="A1953" s="75">
        <v>1947.0</v>
      </c>
      <c r="B1953" s="62" t="s">
        <v>1253</v>
      </c>
      <c r="C1953" s="62" t="s">
        <v>101</v>
      </c>
      <c r="D1953" s="62" t="s">
        <v>1281</v>
      </c>
      <c r="E1953" s="76">
        <v>43994.0</v>
      </c>
      <c r="F1953" s="77">
        <v>0.08333333333333333</v>
      </c>
      <c r="G1953" s="62" t="b">
        <v>1</v>
      </c>
      <c r="H1953" s="78" t="b">
        <f>IF(VLOOKUP(C1953,Projetos!A:L,12,false)=TRUE,TRUE,FALSE)</f>
        <v>1</v>
      </c>
      <c r="I1953" s="68">
        <v>27.980014792814504</v>
      </c>
      <c r="J1953" s="68">
        <f t="shared" si="1"/>
        <v>55.96002959</v>
      </c>
      <c r="K1953" s="68" t="b">
        <v>1</v>
      </c>
    </row>
    <row r="1954" hidden="1">
      <c r="A1954" s="75">
        <v>1948.0</v>
      </c>
      <c r="B1954" s="62" t="s">
        <v>1253</v>
      </c>
      <c r="C1954" s="62" t="s">
        <v>103</v>
      </c>
      <c r="D1954" s="62" t="s">
        <v>1284</v>
      </c>
      <c r="E1954" s="76">
        <v>43994.0</v>
      </c>
      <c r="F1954" s="77">
        <v>0.08333333333333333</v>
      </c>
      <c r="G1954" s="62" t="b">
        <v>0</v>
      </c>
      <c r="H1954" s="78" t="b">
        <f>IF(VLOOKUP(C1954,Projetos!A:L,12,false)=TRUE,TRUE,FALSE)</f>
        <v>1</v>
      </c>
      <c r="I1954" s="68">
        <v>27.980014792814504</v>
      </c>
      <c r="J1954" s="68">
        <f t="shared" si="1"/>
        <v>0</v>
      </c>
      <c r="K1954" s="68" t="b">
        <v>1</v>
      </c>
    </row>
    <row r="1955">
      <c r="A1955" s="75">
        <v>1949.0</v>
      </c>
      <c r="B1955" s="62" t="s">
        <v>1253</v>
      </c>
      <c r="C1955" s="62" t="s">
        <v>104</v>
      </c>
      <c r="D1955" s="62" t="s">
        <v>1280</v>
      </c>
      <c r="E1955" s="76">
        <v>43997.0</v>
      </c>
      <c r="F1955" s="77">
        <v>0.08333333333333333</v>
      </c>
      <c r="G1955" s="62" t="b">
        <v>0</v>
      </c>
      <c r="H1955" s="78" t="b">
        <f>IF(VLOOKUP(C1955,Projetos!A:L,12,false)=TRUE,TRUE,FALSE)</f>
        <v>1</v>
      </c>
      <c r="I1955" s="68">
        <v>27.980014792814504</v>
      </c>
      <c r="J1955" s="68">
        <f t="shared" si="1"/>
        <v>0</v>
      </c>
      <c r="K1955" s="68" t="b">
        <v>1</v>
      </c>
    </row>
    <row r="1956" hidden="1">
      <c r="A1956" s="75">
        <v>1950.0</v>
      </c>
      <c r="B1956" s="62" t="s">
        <v>1253</v>
      </c>
      <c r="C1956" s="62" t="s">
        <v>84</v>
      </c>
      <c r="D1956" s="62" t="s">
        <v>1285</v>
      </c>
      <c r="E1956" s="76">
        <v>43998.0</v>
      </c>
      <c r="F1956" s="77">
        <v>0.16666666666666666</v>
      </c>
      <c r="G1956" s="62" t="b">
        <v>1</v>
      </c>
      <c r="H1956" s="78" t="b">
        <f>IF(VLOOKUP(C1956,Projetos!A:L,12,false)=TRUE,TRUE,FALSE)</f>
        <v>1</v>
      </c>
      <c r="I1956" s="68">
        <v>27.980014792814504</v>
      </c>
      <c r="J1956" s="68">
        <f t="shared" si="1"/>
        <v>111.9200592</v>
      </c>
      <c r="K1956" s="68" t="b">
        <v>1</v>
      </c>
    </row>
    <row r="1957">
      <c r="A1957" s="75">
        <v>1951.0</v>
      </c>
      <c r="B1957" s="62" t="s">
        <v>1253</v>
      </c>
      <c r="C1957" s="62" t="s">
        <v>104</v>
      </c>
      <c r="D1957" s="62" t="s">
        <v>1286</v>
      </c>
      <c r="E1957" s="76">
        <v>43999.0</v>
      </c>
      <c r="F1957" s="77">
        <v>0.041666666666666664</v>
      </c>
      <c r="G1957" s="62" t="b">
        <v>0</v>
      </c>
      <c r="H1957" s="78" t="b">
        <f>IF(VLOOKUP(C1957,Projetos!A:L,12,false)=TRUE,TRUE,FALSE)</f>
        <v>1</v>
      </c>
      <c r="I1957" s="68">
        <v>27.980014792814504</v>
      </c>
      <c r="J1957" s="68">
        <f t="shared" si="1"/>
        <v>0</v>
      </c>
      <c r="K1957" s="68" t="b">
        <v>1</v>
      </c>
    </row>
    <row r="1958">
      <c r="A1958" s="75">
        <v>1952.0</v>
      </c>
      <c r="B1958" s="62" t="s">
        <v>1253</v>
      </c>
      <c r="C1958" s="62" t="s">
        <v>104</v>
      </c>
      <c r="D1958" s="62" t="s">
        <v>1286</v>
      </c>
      <c r="E1958" s="76">
        <v>43999.0</v>
      </c>
      <c r="F1958" s="77">
        <v>0.041666666666666664</v>
      </c>
      <c r="G1958" s="62" t="b">
        <v>0</v>
      </c>
      <c r="H1958" s="78" t="b">
        <f>IF(VLOOKUP(C1958,Projetos!A:L,12,false)=TRUE,TRUE,FALSE)</f>
        <v>1</v>
      </c>
      <c r="I1958" s="68">
        <v>27.980014792814504</v>
      </c>
      <c r="J1958" s="68">
        <f t="shared" si="1"/>
        <v>0</v>
      </c>
      <c r="K1958" s="68" t="b">
        <v>1</v>
      </c>
    </row>
    <row r="1959" hidden="1">
      <c r="A1959" s="75">
        <v>1953.0</v>
      </c>
      <c r="B1959" s="62" t="s">
        <v>1253</v>
      </c>
      <c r="C1959" s="62" t="s">
        <v>84</v>
      </c>
      <c r="D1959" s="62" t="s">
        <v>1285</v>
      </c>
      <c r="E1959" s="76">
        <v>44000.0</v>
      </c>
      <c r="F1959" s="77">
        <v>0.125</v>
      </c>
      <c r="G1959" s="62" t="b">
        <v>1</v>
      </c>
      <c r="H1959" s="78" t="b">
        <f>IF(VLOOKUP(C1959,Projetos!A:L,12,false)=TRUE,TRUE,FALSE)</f>
        <v>1</v>
      </c>
      <c r="I1959" s="68">
        <v>27.980014792814504</v>
      </c>
      <c r="J1959" s="68">
        <f t="shared" si="1"/>
        <v>83.94004438</v>
      </c>
      <c r="K1959" s="68" t="b">
        <v>1</v>
      </c>
    </row>
    <row r="1960" hidden="1">
      <c r="A1960" s="75">
        <v>1954.0</v>
      </c>
      <c r="B1960" s="62" t="s">
        <v>1253</v>
      </c>
      <c r="C1960" s="62" t="s">
        <v>103</v>
      </c>
      <c r="D1960" s="62" t="s">
        <v>1287</v>
      </c>
      <c r="E1960" s="76">
        <v>44004.0</v>
      </c>
      <c r="F1960" s="77">
        <v>0.125</v>
      </c>
      <c r="G1960" s="62" t="b">
        <v>0</v>
      </c>
      <c r="H1960" s="78" t="b">
        <f>IF(VLOOKUP(C1960,Projetos!A:L,12,false)=TRUE,TRUE,FALSE)</f>
        <v>1</v>
      </c>
      <c r="I1960" s="68">
        <v>27.980014792814504</v>
      </c>
      <c r="J1960" s="68">
        <f t="shared" si="1"/>
        <v>0</v>
      </c>
      <c r="K1960" s="68" t="b">
        <v>1</v>
      </c>
    </row>
    <row r="1961" hidden="1">
      <c r="A1961" s="75">
        <v>1955.0</v>
      </c>
      <c r="B1961" s="62" t="s">
        <v>1253</v>
      </c>
      <c r="C1961" s="62" t="s">
        <v>84</v>
      </c>
      <c r="D1961" s="62" t="s">
        <v>1285</v>
      </c>
      <c r="E1961" s="76">
        <v>44005.0</v>
      </c>
      <c r="F1961" s="77">
        <v>0.08333333333333333</v>
      </c>
      <c r="G1961" s="62" t="b">
        <v>1</v>
      </c>
      <c r="H1961" s="78" t="b">
        <f>IF(VLOOKUP(C1961,Projetos!A:L,12,false)=TRUE,TRUE,FALSE)</f>
        <v>1</v>
      </c>
      <c r="I1961" s="68">
        <v>27.980014792814504</v>
      </c>
      <c r="J1961" s="68">
        <f t="shared" si="1"/>
        <v>55.96002959</v>
      </c>
      <c r="K1961" s="68" t="b">
        <v>1</v>
      </c>
    </row>
    <row r="1962" hidden="1">
      <c r="A1962" s="75">
        <v>1956.0</v>
      </c>
      <c r="B1962" s="62" t="s">
        <v>1253</v>
      </c>
      <c r="C1962" s="62" t="s">
        <v>84</v>
      </c>
      <c r="D1962" s="62" t="s">
        <v>1285</v>
      </c>
      <c r="E1962" s="76">
        <v>44006.0</v>
      </c>
      <c r="F1962" s="77">
        <v>0.5416666666666666</v>
      </c>
      <c r="G1962" s="62" t="b">
        <v>1</v>
      </c>
      <c r="H1962" s="78" t="b">
        <f>IF(VLOOKUP(C1962,Projetos!A:L,12,false)=TRUE,TRUE,FALSE)</f>
        <v>1</v>
      </c>
      <c r="I1962" s="68">
        <v>27.980014792814504</v>
      </c>
      <c r="J1962" s="68">
        <f t="shared" si="1"/>
        <v>363.7401923</v>
      </c>
      <c r="K1962" s="68" t="b">
        <v>1</v>
      </c>
    </row>
    <row r="1963" hidden="1">
      <c r="A1963" s="75">
        <v>1957.0</v>
      </c>
      <c r="B1963" s="62" t="s">
        <v>1253</v>
      </c>
      <c r="C1963" s="62" t="s">
        <v>103</v>
      </c>
      <c r="D1963" s="62" t="s">
        <v>1287</v>
      </c>
      <c r="E1963" s="76">
        <v>44006.0</v>
      </c>
      <c r="F1963" s="77">
        <v>0.041666666666666664</v>
      </c>
      <c r="G1963" s="62" t="b">
        <v>0</v>
      </c>
      <c r="H1963" s="78" t="b">
        <f>IF(VLOOKUP(C1963,Projetos!A:L,12,false)=TRUE,TRUE,FALSE)</f>
        <v>1</v>
      </c>
      <c r="I1963" s="68">
        <v>27.980014792814504</v>
      </c>
      <c r="J1963" s="68">
        <f t="shared" si="1"/>
        <v>0</v>
      </c>
      <c r="K1963" s="68" t="b">
        <v>1</v>
      </c>
    </row>
    <row r="1964" hidden="1">
      <c r="A1964" s="75">
        <v>1958.0</v>
      </c>
      <c r="B1964" s="62" t="s">
        <v>1253</v>
      </c>
      <c r="C1964" s="62" t="s">
        <v>84</v>
      </c>
      <c r="D1964" s="62" t="s">
        <v>1285</v>
      </c>
      <c r="E1964" s="76">
        <v>44007.0</v>
      </c>
      <c r="F1964" s="77">
        <v>0.20833333333333334</v>
      </c>
      <c r="G1964" s="62" t="b">
        <v>1</v>
      </c>
      <c r="H1964" s="78" t="b">
        <f>IF(VLOOKUP(C1964,Projetos!A:L,12,false)=TRUE,TRUE,FALSE)</f>
        <v>1</v>
      </c>
      <c r="I1964" s="68">
        <v>27.980014792814504</v>
      </c>
      <c r="J1964" s="68">
        <f t="shared" si="1"/>
        <v>139.900074</v>
      </c>
      <c r="K1964" s="68" t="b">
        <v>1</v>
      </c>
    </row>
    <row r="1965" hidden="1">
      <c r="A1965" s="75">
        <v>1959.0</v>
      </c>
      <c r="B1965" s="62" t="s">
        <v>1253</v>
      </c>
      <c r="C1965" s="62" t="s">
        <v>84</v>
      </c>
      <c r="D1965" s="62" t="s">
        <v>1285</v>
      </c>
      <c r="E1965" s="76">
        <v>44008.0</v>
      </c>
      <c r="F1965" s="77">
        <v>0.125</v>
      </c>
      <c r="G1965" s="62" t="b">
        <v>1</v>
      </c>
      <c r="H1965" s="78" t="b">
        <f>IF(VLOOKUP(C1965,Projetos!A:L,12,false)=TRUE,TRUE,FALSE)</f>
        <v>1</v>
      </c>
      <c r="I1965" s="68">
        <v>27.980014792814504</v>
      </c>
      <c r="J1965" s="68">
        <f t="shared" si="1"/>
        <v>83.94004438</v>
      </c>
      <c r="K1965" s="68" t="b">
        <v>1</v>
      </c>
    </row>
    <row r="1966" hidden="1">
      <c r="A1966" s="75">
        <v>1960.0</v>
      </c>
      <c r="B1966" s="62" t="s">
        <v>1253</v>
      </c>
      <c r="C1966" s="62" t="s">
        <v>84</v>
      </c>
      <c r="D1966" s="62" t="s">
        <v>1285</v>
      </c>
      <c r="E1966" s="76">
        <v>44011.0</v>
      </c>
      <c r="F1966" s="77">
        <v>0.25</v>
      </c>
      <c r="G1966" s="62" t="b">
        <v>1</v>
      </c>
      <c r="H1966" s="78" t="b">
        <f>IF(VLOOKUP(C1966,Projetos!A:L,12,false)=TRUE,TRUE,FALSE)</f>
        <v>1</v>
      </c>
      <c r="I1966" s="68">
        <v>27.980014792814504</v>
      </c>
      <c r="J1966" s="68">
        <f t="shared" si="1"/>
        <v>167.8800888</v>
      </c>
      <c r="K1966" s="68" t="b">
        <v>1</v>
      </c>
    </row>
    <row r="1967" hidden="1">
      <c r="A1967" s="75">
        <v>1961.0</v>
      </c>
      <c r="B1967" s="62" t="s">
        <v>1253</v>
      </c>
      <c r="C1967" s="62" t="s">
        <v>84</v>
      </c>
      <c r="D1967" s="62" t="s">
        <v>1285</v>
      </c>
      <c r="E1967" s="76">
        <v>44012.0</v>
      </c>
      <c r="F1967" s="77">
        <v>0.1875</v>
      </c>
      <c r="G1967" s="62" t="b">
        <v>1</v>
      </c>
      <c r="H1967" s="78" t="b">
        <f>IF(VLOOKUP(C1967,Projetos!A:L,12,false)=TRUE,TRUE,FALSE)</f>
        <v>1</v>
      </c>
      <c r="I1967" s="68">
        <v>27.980014792814504</v>
      </c>
      <c r="J1967" s="68">
        <f t="shared" si="1"/>
        <v>125.9100666</v>
      </c>
      <c r="K1967" s="68" t="b">
        <v>1</v>
      </c>
    </row>
    <row r="1968">
      <c r="A1968" s="75">
        <v>1962.0</v>
      </c>
      <c r="B1968" s="62" t="s">
        <v>1253</v>
      </c>
      <c r="C1968" s="62" t="s">
        <v>104</v>
      </c>
      <c r="D1968" s="62" t="s">
        <v>1288</v>
      </c>
      <c r="E1968" s="76">
        <v>44013.0</v>
      </c>
      <c r="F1968" s="77">
        <v>0.041666666666666664</v>
      </c>
      <c r="G1968" s="62" t="b">
        <v>1</v>
      </c>
      <c r="H1968" s="78" t="b">
        <f>IF(VLOOKUP(C1968,Projetos!A:L,12,false)=TRUE,TRUE,FALSE)</f>
        <v>1</v>
      </c>
      <c r="I1968" s="68">
        <v>29.312396449615196</v>
      </c>
      <c r="J1968" s="68">
        <f t="shared" si="1"/>
        <v>29.31239645</v>
      </c>
      <c r="K1968" s="68" t="b">
        <v>1</v>
      </c>
    </row>
    <row r="1969" hidden="1">
      <c r="A1969" s="75">
        <v>1963.0</v>
      </c>
      <c r="B1969" s="62" t="s">
        <v>1253</v>
      </c>
      <c r="C1969" s="62" t="s">
        <v>84</v>
      </c>
      <c r="D1969" s="62" t="s">
        <v>1289</v>
      </c>
      <c r="E1969" s="76">
        <v>44013.0</v>
      </c>
      <c r="F1969" s="77">
        <v>0.16666666666666666</v>
      </c>
      <c r="G1969" s="62" t="b">
        <v>1</v>
      </c>
      <c r="H1969" s="78" t="b">
        <f>IF(VLOOKUP(C1969,Projetos!A:L,12,false)=TRUE,TRUE,FALSE)</f>
        <v>1</v>
      </c>
      <c r="I1969" s="68">
        <v>29.312396449615196</v>
      </c>
      <c r="J1969" s="68">
        <f t="shared" si="1"/>
        <v>117.2495858</v>
      </c>
      <c r="K1969" s="68" t="b">
        <v>1</v>
      </c>
    </row>
    <row r="1970" hidden="1">
      <c r="A1970" s="75">
        <v>1964.0</v>
      </c>
      <c r="B1970" s="62" t="s">
        <v>1253</v>
      </c>
      <c r="C1970" s="62" t="s">
        <v>84</v>
      </c>
      <c r="D1970" s="62" t="s">
        <v>1289</v>
      </c>
      <c r="E1970" s="76">
        <v>44014.0</v>
      </c>
      <c r="F1970" s="77">
        <v>0.20833333333333334</v>
      </c>
      <c r="G1970" s="62" t="b">
        <v>1</v>
      </c>
      <c r="H1970" s="78" t="b">
        <f>IF(VLOOKUP(C1970,Projetos!A:L,12,false)=TRUE,TRUE,FALSE)</f>
        <v>1</v>
      </c>
      <c r="I1970" s="68">
        <v>29.312396449615196</v>
      </c>
      <c r="J1970" s="68">
        <f t="shared" si="1"/>
        <v>146.5619822</v>
      </c>
      <c r="K1970" s="68" t="b">
        <v>1</v>
      </c>
    </row>
    <row r="1971" hidden="1">
      <c r="A1971" s="75">
        <v>1965.0</v>
      </c>
      <c r="B1971" s="62" t="s">
        <v>1253</v>
      </c>
      <c r="C1971" s="62" t="s">
        <v>90</v>
      </c>
      <c r="D1971" s="62" t="s">
        <v>1290</v>
      </c>
      <c r="E1971" s="76">
        <v>44015.0</v>
      </c>
      <c r="F1971" s="77">
        <v>0.2708333333333333</v>
      </c>
      <c r="G1971" s="62" t="b">
        <v>1</v>
      </c>
      <c r="H1971" s="78" t="b">
        <f>IF(VLOOKUP(C1971,Projetos!A:L,12,false)=TRUE,TRUE,FALSE)</f>
        <v>1</v>
      </c>
      <c r="I1971" s="68">
        <v>29.312396449615196</v>
      </c>
      <c r="J1971" s="68">
        <f t="shared" si="1"/>
        <v>190.5305769</v>
      </c>
      <c r="K1971" s="68" t="b">
        <v>1</v>
      </c>
    </row>
    <row r="1972" hidden="1">
      <c r="A1972" s="75">
        <v>1966.0</v>
      </c>
      <c r="B1972" s="62" t="s">
        <v>1253</v>
      </c>
      <c r="C1972" s="62" t="s">
        <v>90</v>
      </c>
      <c r="D1972" s="62" t="s">
        <v>1290</v>
      </c>
      <c r="E1972" s="76">
        <v>44018.0</v>
      </c>
      <c r="F1972" s="77">
        <v>0.3333333333333333</v>
      </c>
      <c r="G1972" s="62" t="b">
        <v>1</v>
      </c>
      <c r="H1972" s="78" t="b">
        <f>IF(VLOOKUP(C1972,Projetos!A:L,12,false)=TRUE,TRUE,FALSE)</f>
        <v>1</v>
      </c>
      <c r="I1972" s="68">
        <v>29.312396449615196</v>
      </c>
      <c r="J1972" s="68">
        <f t="shared" si="1"/>
        <v>234.4991716</v>
      </c>
      <c r="K1972" s="68" t="b">
        <v>1</v>
      </c>
    </row>
    <row r="1973" hidden="1">
      <c r="A1973" s="75">
        <v>1967.0</v>
      </c>
      <c r="B1973" s="62" t="s">
        <v>1253</v>
      </c>
      <c r="C1973" s="62" t="s">
        <v>84</v>
      </c>
      <c r="D1973" s="62" t="s">
        <v>1289</v>
      </c>
      <c r="E1973" s="76">
        <v>44019.0</v>
      </c>
      <c r="F1973" s="77">
        <v>0.125</v>
      </c>
      <c r="G1973" s="62" t="b">
        <v>1</v>
      </c>
      <c r="H1973" s="78" t="b">
        <f>IF(VLOOKUP(C1973,Projetos!A:L,12,false)=TRUE,TRUE,FALSE)</f>
        <v>1</v>
      </c>
      <c r="I1973" s="68">
        <v>29.312396449615196</v>
      </c>
      <c r="J1973" s="68">
        <f t="shared" si="1"/>
        <v>87.93718935</v>
      </c>
      <c r="K1973" s="68" t="b">
        <v>1</v>
      </c>
    </row>
    <row r="1974" hidden="1">
      <c r="A1974" s="75">
        <v>1968.0</v>
      </c>
      <c r="B1974" s="62" t="s">
        <v>1253</v>
      </c>
      <c r="C1974" s="62" t="s">
        <v>90</v>
      </c>
      <c r="D1974" s="62" t="s">
        <v>1290</v>
      </c>
      <c r="E1974" s="76">
        <v>44019.0</v>
      </c>
      <c r="F1974" s="77">
        <v>0.16666666666666666</v>
      </c>
      <c r="G1974" s="62" t="b">
        <v>1</v>
      </c>
      <c r="H1974" s="78" t="b">
        <f>IF(VLOOKUP(C1974,Projetos!A:L,12,false)=TRUE,TRUE,FALSE)</f>
        <v>1</v>
      </c>
      <c r="I1974" s="68">
        <v>29.312396449615196</v>
      </c>
      <c r="J1974" s="68">
        <f t="shared" si="1"/>
        <v>117.2495858</v>
      </c>
      <c r="K1974" s="68" t="b">
        <v>1</v>
      </c>
    </row>
    <row r="1975" hidden="1">
      <c r="A1975" s="75">
        <v>1969.0</v>
      </c>
      <c r="B1975" s="62" t="s">
        <v>1253</v>
      </c>
      <c r="C1975" s="62" t="s">
        <v>90</v>
      </c>
      <c r="D1975" s="62" t="s">
        <v>1290</v>
      </c>
      <c r="E1975" s="76">
        <v>44020.0</v>
      </c>
      <c r="F1975" s="77">
        <v>0.3125</v>
      </c>
      <c r="G1975" s="62" t="b">
        <v>1</v>
      </c>
      <c r="H1975" s="78" t="b">
        <f>IF(VLOOKUP(C1975,Projetos!A:L,12,false)=TRUE,TRUE,FALSE)</f>
        <v>1</v>
      </c>
      <c r="I1975" s="68">
        <v>29.312396449615196</v>
      </c>
      <c r="J1975" s="68">
        <f t="shared" si="1"/>
        <v>219.8429734</v>
      </c>
      <c r="K1975" s="68" t="b">
        <v>1</v>
      </c>
    </row>
    <row r="1976" hidden="1">
      <c r="A1976" s="75">
        <v>1970.0</v>
      </c>
      <c r="B1976" s="62" t="s">
        <v>1253</v>
      </c>
      <c r="C1976" s="62" t="s">
        <v>90</v>
      </c>
      <c r="D1976" s="62" t="s">
        <v>1290</v>
      </c>
      <c r="E1976" s="76">
        <v>44021.0</v>
      </c>
      <c r="F1976" s="77">
        <v>0.22916666666666666</v>
      </c>
      <c r="G1976" s="62" t="b">
        <v>1</v>
      </c>
      <c r="H1976" s="78" t="b">
        <f>IF(VLOOKUP(C1976,Projetos!A:L,12,false)=TRUE,TRUE,FALSE)</f>
        <v>1</v>
      </c>
      <c r="I1976" s="68">
        <v>29.312396449615196</v>
      </c>
      <c r="J1976" s="68">
        <f t="shared" si="1"/>
        <v>161.2181805</v>
      </c>
      <c r="K1976" s="68" t="b">
        <v>1</v>
      </c>
    </row>
    <row r="1977">
      <c r="A1977" s="75">
        <v>1971.0</v>
      </c>
      <c r="B1977" s="62" t="s">
        <v>1253</v>
      </c>
      <c r="C1977" s="62" t="s">
        <v>104</v>
      </c>
      <c r="D1977" s="62" t="s">
        <v>1288</v>
      </c>
      <c r="E1977" s="76">
        <v>44021.0</v>
      </c>
      <c r="F1977" s="77">
        <v>0.041666666666666664</v>
      </c>
      <c r="G1977" s="62" t="b">
        <v>1</v>
      </c>
      <c r="H1977" s="78" t="b">
        <f>IF(VLOOKUP(C1977,Projetos!A:L,12,false)=TRUE,TRUE,FALSE)</f>
        <v>1</v>
      </c>
      <c r="I1977" s="68">
        <v>29.312396449615196</v>
      </c>
      <c r="J1977" s="68">
        <f t="shared" si="1"/>
        <v>29.31239645</v>
      </c>
      <c r="K1977" s="68" t="b">
        <v>1</v>
      </c>
    </row>
    <row r="1978" hidden="1">
      <c r="A1978" s="75">
        <v>1972.0</v>
      </c>
      <c r="B1978" s="62" t="s">
        <v>1253</v>
      </c>
      <c r="C1978" s="62" t="s">
        <v>84</v>
      </c>
      <c r="D1978" s="62" t="s">
        <v>1289</v>
      </c>
      <c r="E1978" s="76">
        <v>44022.0</v>
      </c>
      <c r="F1978" s="77">
        <v>0.08333333333333333</v>
      </c>
      <c r="G1978" s="62" t="b">
        <v>1</v>
      </c>
      <c r="H1978" s="78" t="b">
        <f>IF(VLOOKUP(C1978,Projetos!A:L,12,false)=TRUE,TRUE,FALSE)</f>
        <v>1</v>
      </c>
      <c r="I1978" s="68">
        <v>29.312396449615196</v>
      </c>
      <c r="J1978" s="68">
        <f t="shared" si="1"/>
        <v>58.6247929</v>
      </c>
      <c r="K1978" s="68" t="b">
        <v>1</v>
      </c>
    </row>
    <row r="1979" hidden="1">
      <c r="A1979" s="75">
        <v>1973.0</v>
      </c>
      <c r="B1979" s="62" t="s">
        <v>1253</v>
      </c>
      <c r="C1979" s="62" t="s">
        <v>90</v>
      </c>
      <c r="D1979" s="62" t="s">
        <v>1290</v>
      </c>
      <c r="E1979" s="76">
        <v>44022.0</v>
      </c>
      <c r="F1979" s="77">
        <v>0.16666666666666666</v>
      </c>
      <c r="G1979" s="62" t="b">
        <v>1</v>
      </c>
      <c r="H1979" s="78" t="b">
        <f>IF(VLOOKUP(C1979,Projetos!A:L,12,false)=TRUE,TRUE,FALSE)</f>
        <v>1</v>
      </c>
      <c r="I1979" s="68">
        <v>29.312396449615196</v>
      </c>
      <c r="J1979" s="68">
        <f t="shared" si="1"/>
        <v>117.2495858</v>
      </c>
      <c r="K1979" s="68" t="b">
        <v>1</v>
      </c>
    </row>
    <row r="1980" hidden="1">
      <c r="A1980" s="75">
        <v>1974.0</v>
      </c>
      <c r="B1980" s="62" t="s">
        <v>1253</v>
      </c>
      <c r="C1980" s="62" t="s">
        <v>90</v>
      </c>
      <c r="D1980" s="62" t="s">
        <v>1290</v>
      </c>
      <c r="E1980" s="76">
        <v>44025.0</v>
      </c>
      <c r="F1980" s="77">
        <v>0.2916666666666667</v>
      </c>
      <c r="G1980" s="62" t="b">
        <v>1</v>
      </c>
      <c r="H1980" s="78" t="b">
        <f>IF(VLOOKUP(C1980,Projetos!A:L,12,false)=TRUE,TRUE,FALSE)</f>
        <v>1</v>
      </c>
      <c r="I1980" s="68">
        <v>29.312396449615196</v>
      </c>
      <c r="J1980" s="68">
        <f t="shared" si="1"/>
        <v>205.1867751</v>
      </c>
      <c r="K1980" s="68" t="b">
        <v>1</v>
      </c>
    </row>
    <row r="1981" hidden="1">
      <c r="A1981" s="75">
        <v>1975.0</v>
      </c>
      <c r="B1981" s="62" t="s">
        <v>1253</v>
      </c>
      <c r="C1981" s="62" t="s">
        <v>90</v>
      </c>
      <c r="D1981" s="62" t="s">
        <v>1290</v>
      </c>
      <c r="E1981" s="76">
        <v>44026.0</v>
      </c>
      <c r="F1981" s="77">
        <v>0.16666666666666666</v>
      </c>
      <c r="G1981" s="62" t="b">
        <v>1</v>
      </c>
      <c r="H1981" s="78" t="b">
        <f>IF(VLOOKUP(C1981,Projetos!A:L,12,false)=TRUE,TRUE,FALSE)</f>
        <v>1</v>
      </c>
      <c r="I1981" s="68">
        <v>29.312396449615196</v>
      </c>
      <c r="J1981" s="68">
        <f t="shared" si="1"/>
        <v>117.2495858</v>
      </c>
      <c r="K1981" s="68" t="b">
        <v>1</v>
      </c>
    </row>
    <row r="1982" hidden="1">
      <c r="A1982" s="75">
        <v>1976.0</v>
      </c>
      <c r="B1982" s="62" t="s">
        <v>1253</v>
      </c>
      <c r="C1982" s="62" t="s">
        <v>90</v>
      </c>
      <c r="D1982" s="62" t="s">
        <v>1290</v>
      </c>
      <c r="E1982" s="76">
        <v>44027.0</v>
      </c>
      <c r="F1982" s="77">
        <v>0.20833333333333334</v>
      </c>
      <c r="G1982" s="62" t="b">
        <v>1</v>
      </c>
      <c r="H1982" s="78" t="b">
        <f>IF(VLOOKUP(C1982,Projetos!A:L,12,false)=TRUE,TRUE,FALSE)</f>
        <v>1</v>
      </c>
      <c r="I1982" s="68">
        <v>29.312396449615196</v>
      </c>
      <c r="J1982" s="68">
        <f t="shared" si="1"/>
        <v>146.5619822</v>
      </c>
      <c r="K1982" s="68" t="b">
        <v>1</v>
      </c>
    </row>
    <row r="1983" hidden="1">
      <c r="A1983" s="75">
        <v>1977.0</v>
      </c>
      <c r="B1983" s="62" t="s">
        <v>1253</v>
      </c>
      <c r="C1983" s="62" t="s">
        <v>90</v>
      </c>
      <c r="D1983" s="62" t="s">
        <v>1290</v>
      </c>
      <c r="E1983" s="76">
        <v>44028.0</v>
      </c>
      <c r="F1983" s="77">
        <v>0.041666666666666664</v>
      </c>
      <c r="G1983" s="62" t="b">
        <v>1</v>
      </c>
      <c r="H1983" s="78" t="b">
        <f>IF(VLOOKUP(C1983,Projetos!A:L,12,false)=TRUE,TRUE,FALSE)</f>
        <v>1</v>
      </c>
      <c r="I1983" s="68">
        <v>29.312396449615196</v>
      </c>
      <c r="J1983" s="68">
        <f t="shared" si="1"/>
        <v>29.31239645</v>
      </c>
      <c r="K1983" s="68" t="b">
        <v>1</v>
      </c>
    </row>
    <row r="1984" hidden="1">
      <c r="A1984" s="75">
        <v>1978.0</v>
      </c>
      <c r="B1984" s="62" t="s">
        <v>1253</v>
      </c>
      <c r="C1984" s="62" t="s">
        <v>84</v>
      </c>
      <c r="D1984" s="62" t="s">
        <v>1289</v>
      </c>
      <c r="E1984" s="76">
        <v>44029.0</v>
      </c>
      <c r="F1984" s="77">
        <v>0.16666666666666666</v>
      </c>
      <c r="G1984" s="62" t="b">
        <v>1</v>
      </c>
      <c r="H1984" s="78" t="b">
        <f>IF(VLOOKUP(C1984,Projetos!A:L,12,false)=TRUE,TRUE,FALSE)</f>
        <v>1</v>
      </c>
      <c r="I1984" s="68">
        <v>29.312396449615196</v>
      </c>
      <c r="J1984" s="68">
        <f t="shared" si="1"/>
        <v>117.2495858</v>
      </c>
      <c r="K1984" s="68" t="b">
        <v>1</v>
      </c>
    </row>
    <row r="1985" hidden="1">
      <c r="A1985" s="75">
        <v>1979.0</v>
      </c>
      <c r="B1985" s="62" t="s">
        <v>1253</v>
      </c>
      <c r="C1985" s="62" t="s">
        <v>90</v>
      </c>
      <c r="D1985" s="62" t="s">
        <v>1291</v>
      </c>
      <c r="E1985" s="76">
        <v>44029.0</v>
      </c>
      <c r="F1985" s="77">
        <v>0.14583333333333334</v>
      </c>
      <c r="G1985" s="62" t="b">
        <v>1</v>
      </c>
      <c r="H1985" s="78" t="b">
        <f>IF(VLOOKUP(C1985,Projetos!A:L,12,false)=TRUE,TRUE,FALSE)</f>
        <v>1</v>
      </c>
      <c r="I1985" s="68">
        <v>29.312396449615196</v>
      </c>
      <c r="J1985" s="68">
        <f t="shared" si="1"/>
        <v>102.5933876</v>
      </c>
      <c r="K1985" s="68" t="b">
        <v>1</v>
      </c>
    </row>
    <row r="1986" hidden="1">
      <c r="A1986" s="75">
        <v>1980.0</v>
      </c>
      <c r="B1986" s="62" t="s">
        <v>1253</v>
      </c>
      <c r="C1986" s="62" t="s">
        <v>90</v>
      </c>
      <c r="D1986" s="62" t="s">
        <v>1291</v>
      </c>
      <c r="E1986" s="76">
        <v>44032.0</v>
      </c>
      <c r="F1986" s="77">
        <v>0.16666666666666666</v>
      </c>
      <c r="G1986" s="62" t="b">
        <v>1</v>
      </c>
      <c r="H1986" s="78" t="b">
        <f>IF(VLOOKUP(C1986,Projetos!A:L,12,false)=TRUE,TRUE,FALSE)</f>
        <v>1</v>
      </c>
      <c r="I1986" s="68">
        <v>29.312396449615196</v>
      </c>
      <c r="J1986" s="68">
        <f t="shared" si="1"/>
        <v>117.2495858</v>
      </c>
      <c r="K1986" s="68" t="b">
        <v>1</v>
      </c>
    </row>
    <row r="1987" hidden="1">
      <c r="A1987" s="75">
        <v>1981.0</v>
      </c>
      <c r="B1987" s="62" t="s">
        <v>1253</v>
      </c>
      <c r="C1987" s="62" t="s">
        <v>84</v>
      </c>
      <c r="D1987" s="62" t="s">
        <v>1289</v>
      </c>
      <c r="E1987" s="76">
        <v>44032.0</v>
      </c>
      <c r="F1987" s="77">
        <v>0.125</v>
      </c>
      <c r="G1987" s="62" t="b">
        <v>1</v>
      </c>
      <c r="H1987" s="78" t="b">
        <f>IF(VLOOKUP(C1987,Projetos!A:L,12,false)=TRUE,TRUE,FALSE)</f>
        <v>1</v>
      </c>
      <c r="I1987" s="68">
        <v>29.312396449615196</v>
      </c>
      <c r="J1987" s="68">
        <f t="shared" si="1"/>
        <v>87.93718935</v>
      </c>
      <c r="K1987" s="68" t="b">
        <v>1</v>
      </c>
    </row>
    <row r="1988" hidden="1">
      <c r="A1988" s="75">
        <v>1982.0</v>
      </c>
      <c r="B1988" s="62" t="s">
        <v>1253</v>
      </c>
      <c r="C1988" s="62" t="s">
        <v>84</v>
      </c>
      <c r="D1988" s="62" t="s">
        <v>1289</v>
      </c>
      <c r="E1988" s="76">
        <v>44033.0</v>
      </c>
      <c r="F1988" s="77">
        <v>0.125</v>
      </c>
      <c r="G1988" s="62" t="b">
        <v>1</v>
      </c>
      <c r="H1988" s="78" t="b">
        <f>IF(VLOOKUP(C1988,Projetos!A:L,12,false)=TRUE,TRUE,FALSE)</f>
        <v>1</v>
      </c>
      <c r="I1988" s="68">
        <v>29.312396449615196</v>
      </c>
      <c r="J1988" s="68">
        <f t="shared" si="1"/>
        <v>87.93718935</v>
      </c>
      <c r="K1988" s="68" t="b">
        <v>1</v>
      </c>
    </row>
    <row r="1989" hidden="1">
      <c r="A1989" s="75">
        <v>1983.0</v>
      </c>
      <c r="B1989" s="62" t="s">
        <v>1253</v>
      </c>
      <c r="C1989" s="62" t="s">
        <v>111</v>
      </c>
      <c r="D1989" s="62" t="s">
        <v>1292</v>
      </c>
      <c r="E1989" s="76">
        <v>44034.0</v>
      </c>
      <c r="F1989" s="77">
        <v>0.0625</v>
      </c>
      <c r="G1989" s="62" t="b">
        <v>0</v>
      </c>
      <c r="H1989" s="78" t="b">
        <f>IF(VLOOKUP(C1989,Projetos!A:L,12,false)=TRUE,TRUE,FALSE)</f>
        <v>0</v>
      </c>
      <c r="I1989" s="68">
        <v>29.312396449615196</v>
      </c>
      <c r="J1989" s="68">
        <f t="shared" si="1"/>
        <v>0</v>
      </c>
      <c r="K1989" s="68" t="b">
        <v>0</v>
      </c>
    </row>
    <row r="1990" hidden="1">
      <c r="A1990" s="75">
        <v>1984.0</v>
      </c>
      <c r="B1990" s="62" t="s">
        <v>1253</v>
      </c>
      <c r="C1990" s="62" t="s">
        <v>90</v>
      </c>
      <c r="D1990" s="62" t="s">
        <v>1290</v>
      </c>
      <c r="E1990" s="76">
        <v>44034.0</v>
      </c>
      <c r="F1990" s="77">
        <v>0.125</v>
      </c>
      <c r="G1990" s="62" t="b">
        <v>1</v>
      </c>
      <c r="H1990" s="78" t="b">
        <f>IF(VLOOKUP(C1990,Projetos!A:L,12,false)=TRUE,TRUE,FALSE)</f>
        <v>1</v>
      </c>
      <c r="I1990" s="68">
        <v>29.312396449615196</v>
      </c>
      <c r="J1990" s="68">
        <f t="shared" si="1"/>
        <v>87.93718935</v>
      </c>
      <c r="K1990" s="68" t="b">
        <v>1</v>
      </c>
    </row>
    <row r="1991" hidden="1">
      <c r="A1991" s="75">
        <v>1985.0</v>
      </c>
      <c r="B1991" s="62" t="s">
        <v>1253</v>
      </c>
      <c r="C1991" s="62" t="s">
        <v>90</v>
      </c>
      <c r="D1991" s="62" t="s">
        <v>1291</v>
      </c>
      <c r="E1991" s="76">
        <v>44034.0</v>
      </c>
      <c r="F1991" s="77">
        <v>0.08333333333333333</v>
      </c>
      <c r="G1991" s="62" t="b">
        <v>1</v>
      </c>
      <c r="H1991" s="78" t="b">
        <f>IF(VLOOKUP(C1991,Projetos!A:L,12,false)=TRUE,TRUE,FALSE)</f>
        <v>1</v>
      </c>
      <c r="I1991" s="68">
        <v>29.312396449615196</v>
      </c>
      <c r="J1991" s="68">
        <f t="shared" si="1"/>
        <v>58.6247929</v>
      </c>
      <c r="K1991" s="68" t="b">
        <v>1</v>
      </c>
    </row>
    <row r="1992" hidden="1">
      <c r="A1992" s="75">
        <v>1986.0</v>
      </c>
      <c r="B1992" s="62" t="s">
        <v>1253</v>
      </c>
      <c r="C1992" s="62" t="s">
        <v>97</v>
      </c>
      <c r="D1992" s="62" t="s">
        <v>1293</v>
      </c>
      <c r="E1992" s="76">
        <v>44035.0</v>
      </c>
      <c r="F1992" s="77">
        <v>0.125</v>
      </c>
      <c r="G1992" s="62" t="b">
        <v>1</v>
      </c>
      <c r="H1992" s="78" t="b">
        <f>IF(VLOOKUP(C1992,Projetos!A:L,12,false)=TRUE,TRUE,FALSE)</f>
        <v>1</v>
      </c>
      <c r="I1992" s="68">
        <v>29.312396449615196</v>
      </c>
      <c r="J1992" s="68">
        <f t="shared" si="1"/>
        <v>87.93718935</v>
      </c>
      <c r="K1992" s="68" t="b">
        <v>1</v>
      </c>
    </row>
    <row r="1993" hidden="1">
      <c r="A1993" s="75">
        <v>1987.0</v>
      </c>
      <c r="B1993" s="62" t="s">
        <v>1253</v>
      </c>
      <c r="C1993" s="62" t="s">
        <v>112</v>
      </c>
      <c r="D1993" s="62" t="s">
        <v>1292</v>
      </c>
      <c r="E1993" s="76">
        <v>44035.0</v>
      </c>
      <c r="F1993" s="77">
        <v>0.041666666666666664</v>
      </c>
      <c r="G1993" s="62" t="b">
        <v>1</v>
      </c>
      <c r="H1993" s="78" t="b">
        <f>IF(VLOOKUP(C1993,Projetos!A:L,12,false)=TRUE,TRUE,FALSE)</f>
        <v>1</v>
      </c>
      <c r="I1993" s="68">
        <v>29.312396449615196</v>
      </c>
      <c r="J1993" s="68">
        <f t="shared" si="1"/>
        <v>29.31239645</v>
      </c>
      <c r="K1993" s="68" t="b">
        <v>1</v>
      </c>
    </row>
    <row r="1994" hidden="1">
      <c r="A1994" s="75">
        <v>1988.0</v>
      </c>
      <c r="B1994" s="62" t="s">
        <v>1253</v>
      </c>
      <c r="C1994" s="62" t="s">
        <v>111</v>
      </c>
      <c r="D1994" s="62" t="s">
        <v>1292</v>
      </c>
      <c r="E1994" s="76">
        <v>44036.0</v>
      </c>
      <c r="F1994" s="77">
        <v>0.125</v>
      </c>
      <c r="G1994" s="62" t="b">
        <v>0</v>
      </c>
      <c r="H1994" s="78" t="b">
        <f>IF(VLOOKUP(C1994,Projetos!A:L,12,false)=TRUE,TRUE,FALSE)</f>
        <v>0</v>
      </c>
      <c r="I1994" s="68">
        <v>29.312396449615196</v>
      </c>
      <c r="J1994" s="68">
        <f t="shared" si="1"/>
        <v>0</v>
      </c>
      <c r="K1994" s="68" t="b">
        <v>0</v>
      </c>
    </row>
    <row r="1995" hidden="1">
      <c r="A1995" s="75">
        <v>1989.0</v>
      </c>
      <c r="B1995" s="62" t="s">
        <v>1253</v>
      </c>
      <c r="C1995" s="62" t="s">
        <v>97</v>
      </c>
      <c r="D1995" s="62" t="s">
        <v>1293</v>
      </c>
      <c r="E1995" s="76">
        <v>44036.0</v>
      </c>
      <c r="F1995" s="77">
        <v>0.08333333333333333</v>
      </c>
      <c r="G1995" s="62" t="b">
        <v>1</v>
      </c>
      <c r="H1995" s="78" t="b">
        <f>IF(VLOOKUP(C1995,Projetos!A:L,12,false)=TRUE,TRUE,FALSE)</f>
        <v>1</v>
      </c>
      <c r="I1995" s="68">
        <v>29.312396449615196</v>
      </c>
      <c r="J1995" s="68">
        <f t="shared" si="1"/>
        <v>58.6247929</v>
      </c>
      <c r="K1995" s="68" t="b">
        <v>1</v>
      </c>
    </row>
    <row r="1996" hidden="1">
      <c r="A1996" s="75">
        <v>1990.0</v>
      </c>
      <c r="B1996" s="62" t="s">
        <v>1253</v>
      </c>
      <c r="C1996" s="62" t="s">
        <v>84</v>
      </c>
      <c r="D1996" s="62" t="s">
        <v>1289</v>
      </c>
      <c r="E1996" s="76">
        <v>44039.0</v>
      </c>
      <c r="F1996" s="77">
        <v>0.16666666666666666</v>
      </c>
      <c r="G1996" s="62" t="b">
        <v>1</v>
      </c>
      <c r="H1996" s="78" t="b">
        <f>IF(VLOOKUP(C1996,Projetos!A:L,12,false)=TRUE,TRUE,FALSE)</f>
        <v>1</v>
      </c>
      <c r="I1996" s="68">
        <v>29.312396449615196</v>
      </c>
      <c r="J1996" s="68">
        <f t="shared" si="1"/>
        <v>117.2495858</v>
      </c>
      <c r="K1996" s="68" t="b">
        <v>1</v>
      </c>
    </row>
    <row r="1997" hidden="1">
      <c r="A1997" s="75">
        <v>1991.0</v>
      </c>
      <c r="B1997" s="62" t="s">
        <v>1253</v>
      </c>
      <c r="C1997" s="62" t="s">
        <v>84</v>
      </c>
      <c r="D1997" s="62" t="s">
        <v>1289</v>
      </c>
      <c r="E1997" s="76">
        <v>44040.0</v>
      </c>
      <c r="F1997" s="77">
        <v>0.125</v>
      </c>
      <c r="G1997" s="62" t="b">
        <v>1</v>
      </c>
      <c r="H1997" s="78" t="b">
        <f>IF(VLOOKUP(C1997,Projetos!A:L,12,false)=TRUE,TRUE,FALSE)</f>
        <v>1</v>
      </c>
      <c r="I1997" s="68">
        <v>29.312396449615196</v>
      </c>
      <c r="J1997" s="68">
        <f t="shared" si="1"/>
        <v>87.93718935</v>
      </c>
      <c r="K1997" s="68" t="b">
        <v>1</v>
      </c>
    </row>
    <row r="1998" hidden="1">
      <c r="A1998" s="75">
        <v>1992.0</v>
      </c>
      <c r="B1998" s="62" t="s">
        <v>1253</v>
      </c>
      <c r="C1998" s="62" t="s">
        <v>111</v>
      </c>
      <c r="D1998" s="62" t="s">
        <v>1292</v>
      </c>
      <c r="E1998" s="76">
        <v>44041.0</v>
      </c>
      <c r="F1998" s="77">
        <v>0.125</v>
      </c>
      <c r="G1998" s="62" t="b">
        <v>0</v>
      </c>
      <c r="H1998" s="78" t="b">
        <f>IF(VLOOKUP(C1998,Projetos!A:L,12,false)=TRUE,TRUE,FALSE)</f>
        <v>0</v>
      </c>
      <c r="I1998" s="68">
        <v>29.312396449615196</v>
      </c>
      <c r="J1998" s="68">
        <f t="shared" si="1"/>
        <v>0</v>
      </c>
      <c r="K1998" s="68" t="b">
        <v>0</v>
      </c>
    </row>
    <row r="1999" hidden="1">
      <c r="A1999" s="75">
        <v>1993.0</v>
      </c>
      <c r="B1999" s="62" t="s">
        <v>1253</v>
      </c>
      <c r="C1999" s="62" t="s">
        <v>90</v>
      </c>
      <c r="D1999" s="62" t="s">
        <v>1290</v>
      </c>
      <c r="E1999" s="76">
        <v>44041.0</v>
      </c>
      <c r="F1999" s="77">
        <v>0.041666666666666664</v>
      </c>
      <c r="G1999" s="62" t="b">
        <v>1</v>
      </c>
      <c r="H1999" s="78" t="b">
        <f>IF(VLOOKUP(C1999,Projetos!A:L,12,false)=TRUE,TRUE,FALSE)</f>
        <v>1</v>
      </c>
      <c r="I1999" s="68">
        <v>29.312396449615196</v>
      </c>
      <c r="J1999" s="68">
        <f t="shared" si="1"/>
        <v>29.31239645</v>
      </c>
      <c r="K1999" s="68" t="b">
        <v>1</v>
      </c>
    </row>
    <row r="2000" hidden="1">
      <c r="A2000" s="75">
        <v>1994.0</v>
      </c>
      <c r="B2000" s="62" t="s">
        <v>1253</v>
      </c>
      <c r="C2000" s="62" t="s">
        <v>90</v>
      </c>
      <c r="D2000" s="62" t="s">
        <v>1291</v>
      </c>
      <c r="E2000" s="76">
        <v>44041.0</v>
      </c>
      <c r="F2000" s="77">
        <v>0.125</v>
      </c>
      <c r="G2000" s="62" t="b">
        <v>1</v>
      </c>
      <c r="H2000" s="78" t="b">
        <f>IF(VLOOKUP(C2000,Projetos!A:L,12,false)=TRUE,TRUE,FALSE)</f>
        <v>1</v>
      </c>
      <c r="I2000" s="68">
        <v>29.312396449615196</v>
      </c>
      <c r="J2000" s="68">
        <f t="shared" si="1"/>
        <v>87.93718935</v>
      </c>
      <c r="K2000" s="68" t="b">
        <v>1</v>
      </c>
    </row>
    <row r="2001" hidden="1">
      <c r="A2001" s="75">
        <v>1995.0</v>
      </c>
      <c r="B2001" s="62" t="s">
        <v>1253</v>
      </c>
      <c r="C2001" s="62" t="s">
        <v>111</v>
      </c>
      <c r="D2001" s="62" t="s">
        <v>1292</v>
      </c>
      <c r="E2001" s="76">
        <v>44042.0</v>
      </c>
      <c r="F2001" s="77">
        <v>0.125</v>
      </c>
      <c r="G2001" s="62" t="b">
        <v>0</v>
      </c>
      <c r="H2001" s="78" t="b">
        <f>IF(VLOOKUP(C2001,Projetos!A:L,12,false)=TRUE,TRUE,FALSE)</f>
        <v>0</v>
      </c>
      <c r="I2001" s="68">
        <v>29.312396449615196</v>
      </c>
      <c r="J2001" s="68">
        <f t="shared" si="1"/>
        <v>0</v>
      </c>
      <c r="K2001" s="68" t="b">
        <v>0</v>
      </c>
    </row>
    <row r="2002" hidden="1">
      <c r="A2002" s="75">
        <v>1996.0</v>
      </c>
      <c r="B2002" s="62" t="s">
        <v>1253</v>
      </c>
      <c r="C2002" s="62" t="s">
        <v>84</v>
      </c>
      <c r="D2002" s="62" t="s">
        <v>1289</v>
      </c>
      <c r="E2002" s="76">
        <v>44042.0</v>
      </c>
      <c r="F2002" s="77">
        <v>0.08333333333333333</v>
      </c>
      <c r="G2002" s="62" t="b">
        <v>1</v>
      </c>
      <c r="H2002" s="78" t="b">
        <f>IF(VLOOKUP(C2002,Projetos!A:L,12,false)=TRUE,TRUE,FALSE)</f>
        <v>1</v>
      </c>
      <c r="I2002" s="68">
        <v>29.312396449615196</v>
      </c>
      <c r="J2002" s="68">
        <f t="shared" si="1"/>
        <v>58.6247929</v>
      </c>
      <c r="K2002" s="68" t="b">
        <v>1</v>
      </c>
    </row>
    <row r="2003" hidden="1">
      <c r="A2003" s="75">
        <v>1997.0</v>
      </c>
      <c r="B2003" s="62" t="s">
        <v>1253</v>
      </c>
      <c r="C2003" s="62" t="s">
        <v>84</v>
      </c>
      <c r="D2003" s="62" t="s">
        <v>1289</v>
      </c>
      <c r="E2003" s="76">
        <v>44043.0</v>
      </c>
      <c r="F2003" s="77">
        <v>0.08333333333333333</v>
      </c>
      <c r="G2003" s="62" t="b">
        <v>1</v>
      </c>
      <c r="H2003" s="78" t="b">
        <f>IF(VLOOKUP(C2003,Projetos!A:L,12,false)=TRUE,TRUE,FALSE)</f>
        <v>1</v>
      </c>
      <c r="I2003" s="68">
        <v>29.312396449615196</v>
      </c>
      <c r="J2003" s="68">
        <f t="shared" si="1"/>
        <v>58.6247929</v>
      </c>
      <c r="K2003" s="68" t="b">
        <v>1</v>
      </c>
    </row>
    <row r="2004" hidden="1">
      <c r="A2004" s="75">
        <v>1998.0</v>
      </c>
      <c r="B2004" s="62" t="s">
        <v>1253</v>
      </c>
      <c r="C2004" s="62" t="s">
        <v>84</v>
      </c>
      <c r="D2004" s="62" t="s">
        <v>1289</v>
      </c>
      <c r="E2004" s="76">
        <v>44046.0</v>
      </c>
      <c r="F2004" s="77">
        <v>0.125</v>
      </c>
      <c r="G2004" s="62" t="b">
        <v>1</v>
      </c>
      <c r="H2004" s="78" t="b">
        <f>IF(VLOOKUP(C2004,Projetos!A:L,12,false)=TRUE,TRUE,FALSE)</f>
        <v>1</v>
      </c>
      <c r="I2004" s="68">
        <v>29.312396449615196</v>
      </c>
      <c r="J2004" s="68">
        <f t="shared" si="1"/>
        <v>87.93718935</v>
      </c>
      <c r="K2004" s="68" t="b">
        <v>1</v>
      </c>
    </row>
    <row r="2005" hidden="1">
      <c r="A2005" s="75">
        <v>1999.0</v>
      </c>
      <c r="B2005" s="62" t="s">
        <v>1253</v>
      </c>
      <c r="C2005" s="62" t="s">
        <v>84</v>
      </c>
      <c r="D2005" s="62" t="s">
        <v>1289</v>
      </c>
      <c r="E2005" s="76">
        <v>44047.0</v>
      </c>
      <c r="F2005" s="77">
        <v>0.1875</v>
      </c>
      <c r="G2005" s="62" t="b">
        <v>1</v>
      </c>
      <c r="H2005" s="78" t="b">
        <f>IF(VLOOKUP(C2005,Projetos!A:L,12,false)=TRUE,TRUE,FALSE)</f>
        <v>1</v>
      </c>
      <c r="I2005" s="68">
        <v>29.312396449615196</v>
      </c>
      <c r="J2005" s="68">
        <f t="shared" si="1"/>
        <v>131.905784</v>
      </c>
      <c r="K2005" s="68" t="b">
        <v>1</v>
      </c>
    </row>
    <row r="2006" hidden="1">
      <c r="A2006" s="75">
        <v>2000.0</v>
      </c>
      <c r="B2006" s="62" t="s">
        <v>1253</v>
      </c>
      <c r="C2006" s="62" t="s">
        <v>84</v>
      </c>
      <c r="D2006" s="62" t="s">
        <v>1289</v>
      </c>
      <c r="E2006" s="76">
        <v>44048.0</v>
      </c>
      <c r="F2006" s="77">
        <v>0.14583333333333334</v>
      </c>
      <c r="G2006" s="62" t="b">
        <v>1</v>
      </c>
      <c r="H2006" s="78" t="b">
        <f>IF(VLOOKUP(C2006,Projetos!A:L,12,false)=TRUE,TRUE,FALSE)</f>
        <v>1</v>
      </c>
      <c r="I2006" s="68">
        <v>29.312396449615196</v>
      </c>
      <c r="J2006" s="68">
        <f t="shared" si="1"/>
        <v>102.5933876</v>
      </c>
      <c r="K2006" s="68" t="b">
        <v>1</v>
      </c>
    </row>
    <row r="2007" hidden="1">
      <c r="A2007" s="75">
        <v>2001.0</v>
      </c>
      <c r="B2007" s="62" t="s">
        <v>1253</v>
      </c>
      <c r="C2007" s="62" t="s">
        <v>101</v>
      </c>
      <c r="D2007" s="62" t="s">
        <v>1294</v>
      </c>
      <c r="E2007" s="76">
        <v>44048.0</v>
      </c>
      <c r="F2007" s="77">
        <v>0.10416666666666667</v>
      </c>
      <c r="G2007" s="62" t="b">
        <v>1</v>
      </c>
      <c r="H2007" s="78" t="b">
        <f>IF(VLOOKUP(C2007,Projetos!A:L,12,false)=TRUE,TRUE,FALSE)</f>
        <v>1</v>
      </c>
      <c r="I2007" s="68">
        <v>29.312396449615196</v>
      </c>
      <c r="J2007" s="68">
        <f t="shared" si="1"/>
        <v>73.28099112</v>
      </c>
      <c r="K2007" s="68" t="b">
        <v>1</v>
      </c>
    </row>
    <row r="2008" hidden="1">
      <c r="A2008" s="75">
        <v>2002.0</v>
      </c>
      <c r="B2008" s="62" t="s">
        <v>1253</v>
      </c>
      <c r="C2008" s="62" t="s">
        <v>84</v>
      </c>
      <c r="D2008" s="62" t="s">
        <v>1289</v>
      </c>
      <c r="E2008" s="76">
        <v>44049.0</v>
      </c>
      <c r="F2008" s="77">
        <v>0.16666666666666666</v>
      </c>
      <c r="G2008" s="62" t="b">
        <v>1</v>
      </c>
      <c r="H2008" s="78" t="b">
        <f>IF(VLOOKUP(C2008,Projetos!A:L,12,false)=TRUE,TRUE,FALSE)</f>
        <v>1</v>
      </c>
      <c r="I2008" s="68">
        <v>29.312396449615196</v>
      </c>
      <c r="J2008" s="68">
        <f t="shared" si="1"/>
        <v>117.2495858</v>
      </c>
      <c r="K2008" s="68" t="b">
        <v>1</v>
      </c>
    </row>
    <row r="2009" hidden="1">
      <c r="A2009" s="75">
        <v>2003.0</v>
      </c>
      <c r="B2009" s="62" t="s">
        <v>1253</v>
      </c>
      <c r="C2009" s="62" t="s">
        <v>84</v>
      </c>
      <c r="D2009" s="62" t="s">
        <v>1289</v>
      </c>
      <c r="E2009" s="76">
        <v>44049.0</v>
      </c>
      <c r="F2009" s="77">
        <v>0.125</v>
      </c>
      <c r="G2009" s="62" t="b">
        <v>1</v>
      </c>
      <c r="H2009" s="78" t="b">
        <f>IF(VLOOKUP(C2009,Projetos!A:L,12,false)=TRUE,TRUE,FALSE)</f>
        <v>1</v>
      </c>
      <c r="I2009" s="68">
        <v>29.312396449615196</v>
      </c>
      <c r="J2009" s="68">
        <f t="shared" si="1"/>
        <v>87.93718935</v>
      </c>
      <c r="K2009" s="68" t="b">
        <v>1</v>
      </c>
    </row>
    <row r="2010" hidden="1">
      <c r="A2010" s="75">
        <v>2004.0</v>
      </c>
      <c r="B2010" s="62" t="s">
        <v>1253</v>
      </c>
      <c r="C2010" s="62" t="s">
        <v>84</v>
      </c>
      <c r="D2010" s="62" t="s">
        <v>1289</v>
      </c>
      <c r="E2010" s="76">
        <v>44050.0</v>
      </c>
      <c r="F2010" s="77">
        <v>0.08333333333333333</v>
      </c>
      <c r="G2010" s="62" t="b">
        <v>1</v>
      </c>
      <c r="H2010" s="78" t="b">
        <f>IF(VLOOKUP(C2010,Projetos!A:L,12,false)=TRUE,TRUE,FALSE)</f>
        <v>1</v>
      </c>
      <c r="I2010" s="68">
        <v>29.312396449615196</v>
      </c>
      <c r="J2010" s="68">
        <f t="shared" si="1"/>
        <v>58.6247929</v>
      </c>
      <c r="K2010" s="68" t="b">
        <v>1</v>
      </c>
    </row>
    <row r="2011" hidden="1">
      <c r="A2011" s="75">
        <v>2005.0</v>
      </c>
      <c r="B2011" s="62" t="s">
        <v>1253</v>
      </c>
      <c r="C2011" s="62" t="s">
        <v>84</v>
      </c>
      <c r="D2011" s="62" t="s">
        <v>1289</v>
      </c>
      <c r="E2011" s="76">
        <v>44053.0</v>
      </c>
      <c r="F2011" s="77">
        <v>0.16666666666666666</v>
      </c>
      <c r="G2011" s="62" t="b">
        <v>1</v>
      </c>
      <c r="H2011" s="78" t="b">
        <f>IF(VLOOKUP(C2011,Projetos!A:L,12,false)=TRUE,TRUE,FALSE)</f>
        <v>1</v>
      </c>
      <c r="I2011" s="68">
        <v>29.312396449615196</v>
      </c>
      <c r="J2011" s="68">
        <f t="shared" si="1"/>
        <v>117.2495858</v>
      </c>
      <c r="K2011" s="68" t="b">
        <v>1</v>
      </c>
    </row>
    <row r="2012" hidden="1">
      <c r="A2012" s="75">
        <v>2006.0</v>
      </c>
      <c r="B2012" s="62" t="s">
        <v>1253</v>
      </c>
      <c r="C2012" s="62" t="s">
        <v>84</v>
      </c>
      <c r="D2012" s="62" t="s">
        <v>1289</v>
      </c>
      <c r="E2012" s="76">
        <v>44053.0</v>
      </c>
      <c r="F2012" s="77">
        <v>0.16666666666666666</v>
      </c>
      <c r="G2012" s="62" t="b">
        <v>1</v>
      </c>
      <c r="H2012" s="78" t="b">
        <f>IF(VLOOKUP(C2012,Projetos!A:L,12,false)=TRUE,TRUE,FALSE)</f>
        <v>1</v>
      </c>
      <c r="I2012" s="68">
        <v>29.312396449615196</v>
      </c>
      <c r="J2012" s="68">
        <f t="shared" si="1"/>
        <v>117.2495858</v>
      </c>
      <c r="K2012" s="68" t="b">
        <v>1</v>
      </c>
    </row>
    <row r="2013" hidden="1">
      <c r="A2013" s="75">
        <v>2007.0</v>
      </c>
      <c r="B2013" s="62" t="s">
        <v>1253</v>
      </c>
      <c r="C2013" s="62" t="s">
        <v>111</v>
      </c>
      <c r="D2013" s="62" t="s">
        <v>1295</v>
      </c>
      <c r="E2013" s="76">
        <v>44054.0</v>
      </c>
      <c r="F2013" s="77">
        <v>0.08333333333333333</v>
      </c>
      <c r="G2013" s="62" t="b">
        <v>0</v>
      </c>
      <c r="H2013" s="78" t="b">
        <f>IF(VLOOKUP(C2013,Projetos!A:L,12,false)=TRUE,TRUE,FALSE)</f>
        <v>0</v>
      </c>
      <c r="I2013" s="68">
        <v>29.312396449615196</v>
      </c>
      <c r="J2013" s="68">
        <f t="shared" si="1"/>
        <v>0</v>
      </c>
      <c r="K2013" s="68" t="b">
        <v>0</v>
      </c>
    </row>
    <row r="2014" hidden="1">
      <c r="A2014" s="75">
        <v>2008.0</v>
      </c>
      <c r="B2014" s="62" t="s">
        <v>1253</v>
      </c>
      <c r="C2014" s="62" t="s">
        <v>84</v>
      </c>
      <c r="D2014" s="62" t="s">
        <v>1289</v>
      </c>
      <c r="E2014" s="76">
        <v>44054.0</v>
      </c>
      <c r="F2014" s="77">
        <v>0.125</v>
      </c>
      <c r="G2014" s="62" t="b">
        <v>1</v>
      </c>
      <c r="H2014" s="78" t="b">
        <f>IF(VLOOKUP(C2014,Projetos!A:L,12,false)=TRUE,TRUE,FALSE)</f>
        <v>1</v>
      </c>
      <c r="I2014" s="68">
        <v>29.312396449615196</v>
      </c>
      <c r="J2014" s="68">
        <f t="shared" si="1"/>
        <v>87.93718935</v>
      </c>
      <c r="K2014" s="68" t="b">
        <v>1</v>
      </c>
    </row>
    <row r="2015" hidden="1">
      <c r="A2015" s="75">
        <v>2009.0</v>
      </c>
      <c r="B2015" s="62" t="s">
        <v>1253</v>
      </c>
      <c r="C2015" s="62" t="s">
        <v>111</v>
      </c>
      <c r="D2015" s="62" t="s">
        <v>1295</v>
      </c>
      <c r="E2015" s="76">
        <v>44054.0</v>
      </c>
      <c r="F2015" s="77">
        <v>0.08333333333333333</v>
      </c>
      <c r="G2015" s="62" t="b">
        <v>0</v>
      </c>
      <c r="H2015" s="78" t="b">
        <f>IF(VLOOKUP(C2015,Projetos!A:L,12,false)=TRUE,TRUE,FALSE)</f>
        <v>0</v>
      </c>
      <c r="I2015" s="68">
        <v>29.312396449615196</v>
      </c>
      <c r="J2015" s="68">
        <f t="shared" si="1"/>
        <v>0</v>
      </c>
      <c r="K2015" s="68" t="b">
        <v>0</v>
      </c>
    </row>
    <row r="2016" hidden="1">
      <c r="A2016" s="75">
        <v>2010.0</v>
      </c>
      <c r="B2016" s="62" t="s">
        <v>1253</v>
      </c>
      <c r="C2016" s="62" t="s">
        <v>84</v>
      </c>
      <c r="D2016" s="62" t="s">
        <v>1289</v>
      </c>
      <c r="E2016" s="76">
        <v>44055.0</v>
      </c>
      <c r="F2016" s="77">
        <v>0.125</v>
      </c>
      <c r="G2016" s="62" t="b">
        <v>1</v>
      </c>
      <c r="H2016" s="78" t="b">
        <f>IF(VLOOKUP(C2016,Projetos!A:L,12,false)=TRUE,TRUE,FALSE)</f>
        <v>1</v>
      </c>
      <c r="I2016" s="68">
        <v>29.312396449615196</v>
      </c>
      <c r="J2016" s="68">
        <f t="shared" si="1"/>
        <v>87.93718935</v>
      </c>
      <c r="K2016" s="68" t="b">
        <v>1</v>
      </c>
    </row>
    <row r="2017" hidden="1">
      <c r="A2017" s="75">
        <v>2011.0</v>
      </c>
      <c r="B2017" s="62" t="s">
        <v>1253</v>
      </c>
      <c r="C2017" s="62" t="s">
        <v>103</v>
      </c>
      <c r="D2017" s="62" t="s">
        <v>1260</v>
      </c>
      <c r="E2017" s="76">
        <v>44055.0</v>
      </c>
      <c r="F2017" s="77">
        <v>0.16666666666666666</v>
      </c>
      <c r="G2017" s="62" t="b">
        <v>0</v>
      </c>
      <c r="H2017" s="78" t="b">
        <f>IF(VLOOKUP(C2017,Projetos!A:L,12,false)=TRUE,TRUE,FALSE)</f>
        <v>1</v>
      </c>
      <c r="I2017" s="68">
        <v>29.312396449615196</v>
      </c>
      <c r="J2017" s="68">
        <f t="shared" si="1"/>
        <v>0</v>
      </c>
      <c r="K2017" s="68" t="b">
        <v>1</v>
      </c>
    </row>
    <row r="2018" hidden="1">
      <c r="A2018" s="75">
        <v>2012.0</v>
      </c>
      <c r="B2018" s="62" t="s">
        <v>1253</v>
      </c>
      <c r="C2018" s="62" t="s">
        <v>103</v>
      </c>
      <c r="D2018" s="62" t="s">
        <v>1260</v>
      </c>
      <c r="E2018" s="76">
        <v>44056.0</v>
      </c>
      <c r="F2018" s="77">
        <v>0.16666666666666666</v>
      </c>
      <c r="G2018" s="62" t="b">
        <v>0</v>
      </c>
      <c r="H2018" s="78" t="b">
        <f>IF(VLOOKUP(C2018,Projetos!A:L,12,false)=TRUE,TRUE,FALSE)</f>
        <v>1</v>
      </c>
      <c r="I2018" s="68">
        <v>29.312396449615196</v>
      </c>
      <c r="J2018" s="68">
        <f t="shared" si="1"/>
        <v>0</v>
      </c>
      <c r="K2018" s="68" t="b">
        <v>1</v>
      </c>
    </row>
    <row r="2019" hidden="1">
      <c r="A2019" s="75">
        <v>2013.0</v>
      </c>
      <c r="B2019" s="62" t="s">
        <v>1253</v>
      </c>
      <c r="C2019" s="62" t="s">
        <v>84</v>
      </c>
      <c r="D2019" s="62" t="s">
        <v>1289</v>
      </c>
      <c r="E2019" s="76">
        <v>44056.0</v>
      </c>
      <c r="F2019" s="77">
        <v>0.08333333333333333</v>
      </c>
      <c r="G2019" s="62" t="b">
        <v>1</v>
      </c>
      <c r="H2019" s="78" t="b">
        <f>IF(VLOOKUP(C2019,Projetos!A:L,12,false)=TRUE,TRUE,FALSE)</f>
        <v>1</v>
      </c>
      <c r="I2019" s="68">
        <v>29.312396449615196</v>
      </c>
      <c r="J2019" s="68">
        <f t="shared" si="1"/>
        <v>58.6247929</v>
      </c>
      <c r="K2019" s="68" t="b">
        <v>1</v>
      </c>
    </row>
    <row r="2020" hidden="1">
      <c r="A2020" s="75">
        <v>2014.0</v>
      </c>
      <c r="B2020" s="62" t="s">
        <v>1253</v>
      </c>
      <c r="C2020" s="62" t="s">
        <v>84</v>
      </c>
      <c r="D2020" s="62" t="s">
        <v>1289</v>
      </c>
      <c r="E2020" s="76">
        <v>44057.0</v>
      </c>
      <c r="F2020" s="77">
        <v>0.125</v>
      </c>
      <c r="G2020" s="62" t="b">
        <v>1</v>
      </c>
      <c r="H2020" s="78" t="b">
        <f>IF(VLOOKUP(C2020,Projetos!A:L,12,false)=TRUE,TRUE,FALSE)</f>
        <v>1</v>
      </c>
      <c r="I2020" s="68">
        <v>29.312396449615196</v>
      </c>
      <c r="J2020" s="68">
        <f t="shared" si="1"/>
        <v>87.93718935</v>
      </c>
      <c r="K2020" s="68" t="b">
        <v>1</v>
      </c>
    </row>
    <row r="2021" hidden="1">
      <c r="A2021" s="75">
        <v>2015.0</v>
      </c>
      <c r="B2021" s="62" t="s">
        <v>1253</v>
      </c>
      <c r="C2021" s="62" t="s">
        <v>103</v>
      </c>
      <c r="D2021" s="62" t="s">
        <v>1260</v>
      </c>
      <c r="E2021" s="76">
        <v>44057.0</v>
      </c>
      <c r="F2021" s="77">
        <v>0.08333333333333333</v>
      </c>
      <c r="G2021" s="62" t="b">
        <v>0</v>
      </c>
      <c r="H2021" s="78" t="b">
        <f>IF(VLOOKUP(C2021,Projetos!A:L,12,false)=TRUE,TRUE,FALSE)</f>
        <v>1</v>
      </c>
      <c r="I2021" s="68">
        <v>29.312396449615196</v>
      </c>
      <c r="J2021" s="68">
        <f t="shared" si="1"/>
        <v>0</v>
      </c>
      <c r="K2021" s="68" t="b">
        <v>1</v>
      </c>
    </row>
    <row r="2022" hidden="1">
      <c r="A2022" s="75">
        <v>2016.0</v>
      </c>
      <c r="B2022" s="62" t="s">
        <v>1253</v>
      </c>
      <c r="C2022" s="62" t="s">
        <v>111</v>
      </c>
      <c r="D2022" s="62" t="s">
        <v>1295</v>
      </c>
      <c r="E2022" s="76">
        <v>44057.0</v>
      </c>
      <c r="F2022" s="77">
        <v>0.0625</v>
      </c>
      <c r="G2022" s="62" t="b">
        <v>0</v>
      </c>
      <c r="H2022" s="78" t="b">
        <f>IF(VLOOKUP(C2022,Projetos!A:L,12,false)=TRUE,TRUE,FALSE)</f>
        <v>0</v>
      </c>
      <c r="I2022" s="68">
        <v>29.312396449615196</v>
      </c>
      <c r="J2022" s="68">
        <f t="shared" si="1"/>
        <v>0</v>
      </c>
      <c r="K2022" s="68" t="b">
        <v>0</v>
      </c>
    </row>
    <row r="2023" hidden="1">
      <c r="A2023" s="75">
        <v>2017.0</v>
      </c>
      <c r="B2023" s="62" t="s">
        <v>1253</v>
      </c>
      <c r="C2023" s="62" t="s">
        <v>84</v>
      </c>
      <c r="D2023" s="62" t="s">
        <v>1289</v>
      </c>
      <c r="E2023" s="76">
        <v>44060.0</v>
      </c>
      <c r="F2023" s="77">
        <v>0.08333333333333333</v>
      </c>
      <c r="G2023" s="62" t="b">
        <v>1</v>
      </c>
      <c r="H2023" s="78" t="b">
        <f>IF(VLOOKUP(C2023,Projetos!A:L,12,false)=TRUE,TRUE,FALSE)</f>
        <v>1</v>
      </c>
      <c r="I2023" s="68">
        <v>29.312396449615196</v>
      </c>
      <c r="J2023" s="68">
        <f t="shared" si="1"/>
        <v>58.6247929</v>
      </c>
      <c r="K2023" s="68" t="b">
        <v>1</v>
      </c>
    </row>
    <row r="2024" hidden="1">
      <c r="A2024" s="75">
        <v>2018.0</v>
      </c>
      <c r="B2024" s="62" t="s">
        <v>1253</v>
      </c>
      <c r="C2024" s="62" t="s">
        <v>112</v>
      </c>
      <c r="D2024" s="62" t="s">
        <v>1289</v>
      </c>
      <c r="E2024" s="76">
        <v>44061.0</v>
      </c>
      <c r="F2024" s="77">
        <v>0.0625</v>
      </c>
      <c r="G2024" s="62" t="b">
        <v>1</v>
      </c>
      <c r="H2024" s="78" t="b">
        <f>IF(VLOOKUP(C2024,Projetos!A:L,12,false)=TRUE,TRUE,FALSE)</f>
        <v>1</v>
      </c>
      <c r="I2024" s="68">
        <v>29.312396449615196</v>
      </c>
      <c r="J2024" s="68">
        <f t="shared" si="1"/>
        <v>43.96859467</v>
      </c>
      <c r="K2024" s="68" t="b">
        <v>1</v>
      </c>
    </row>
    <row r="2025" hidden="1">
      <c r="A2025" s="75">
        <v>2019.0</v>
      </c>
      <c r="B2025" s="62" t="s">
        <v>1253</v>
      </c>
      <c r="C2025" s="62" t="s">
        <v>112</v>
      </c>
      <c r="D2025" s="62" t="s">
        <v>1289</v>
      </c>
      <c r="E2025" s="76">
        <v>44061.0</v>
      </c>
      <c r="F2025" s="77">
        <v>0.0625</v>
      </c>
      <c r="G2025" s="62" t="b">
        <v>1</v>
      </c>
      <c r="H2025" s="78" t="b">
        <f>IF(VLOOKUP(C2025,Projetos!A:L,12,false)=TRUE,TRUE,FALSE)</f>
        <v>1</v>
      </c>
      <c r="I2025" s="68">
        <v>29.312396449615196</v>
      </c>
      <c r="J2025" s="68">
        <f t="shared" si="1"/>
        <v>43.96859467</v>
      </c>
      <c r="K2025" s="68" t="b">
        <v>1</v>
      </c>
    </row>
    <row r="2026" hidden="1">
      <c r="A2026" s="75">
        <v>2020.0</v>
      </c>
      <c r="B2026" s="62" t="s">
        <v>1253</v>
      </c>
      <c r="C2026" s="62" t="s">
        <v>84</v>
      </c>
      <c r="D2026" s="62" t="s">
        <v>1289</v>
      </c>
      <c r="E2026" s="76">
        <v>44061.0</v>
      </c>
      <c r="F2026" s="77">
        <v>0.125</v>
      </c>
      <c r="G2026" s="62" t="b">
        <v>1</v>
      </c>
      <c r="H2026" s="78" t="b">
        <f>IF(VLOOKUP(C2026,Projetos!A:L,12,false)=TRUE,TRUE,FALSE)</f>
        <v>1</v>
      </c>
      <c r="I2026" s="68">
        <v>29.312396449615196</v>
      </c>
      <c r="J2026" s="68">
        <f t="shared" si="1"/>
        <v>87.93718935</v>
      </c>
      <c r="K2026" s="68" t="b">
        <v>1</v>
      </c>
    </row>
    <row r="2027" hidden="1">
      <c r="A2027" s="75">
        <v>2021.0</v>
      </c>
      <c r="B2027" s="62" t="s">
        <v>1253</v>
      </c>
      <c r="C2027" s="62" t="s">
        <v>84</v>
      </c>
      <c r="D2027" s="62" t="s">
        <v>1296</v>
      </c>
      <c r="E2027" s="76">
        <v>44062.0</v>
      </c>
      <c r="F2027" s="77">
        <v>0.08333333333333333</v>
      </c>
      <c r="G2027" s="62" t="b">
        <v>1</v>
      </c>
      <c r="H2027" s="78" t="b">
        <f>IF(VLOOKUP(C2027,Projetos!A:L,12,false)=TRUE,TRUE,FALSE)</f>
        <v>1</v>
      </c>
      <c r="I2027" s="68">
        <v>29.312396449615196</v>
      </c>
      <c r="J2027" s="68">
        <f t="shared" si="1"/>
        <v>58.6247929</v>
      </c>
      <c r="K2027" s="68" t="b">
        <v>1</v>
      </c>
    </row>
    <row r="2028" hidden="1">
      <c r="A2028" s="75">
        <v>2022.0</v>
      </c>
      <c r="B2028" s="62" t="s">
        <v>1253</v>
      </c>
      <c r="C2028" s="62" t="s">
        <v>90</v>
      </c>
      <c r="D2028" s="62" t="s">
        <v>1289</v>
      </c>
      <c r="E2028" s="76">
        <v>44063.0</v>
      </c>
      <c r="F2028" s="77">
        <v>0.125</v>
      </c>
      <c r="G2028" s="62" t="b">
        <v>1</v>
      </c>
      <c r="H2028" s="78" t="b">
        <f>IF(VLOOKUP(C2028,Projetos!A:L,12,false)=TRUE,TRUE,FALSE)</f>
        <v>1</v>
      </c>
      <c r="I2028" s="68">
        <v>29.312396449615196</v>
      </c>
      <c r="J2028" s="68">
        <f t="shared" si="1"/>
        <v>87.93718935</v>
      </c>
      <c r="K2028" s="68" t="b">
        <v>1</v>
      </c>
    </row>
    <row r="2029" hidden="1">
      <c r="A2029" s="75">
        <v>2023.0</v>
      </c>
      <c r="B2029" s="62" t="s">
        <v>1253</v>
      </c>
      <c r="C2029" s="62" t="s">
        <v>84</v>
      </c>
      <c r="D2029" s="62" t="s">
        <v>1289</v>
      </c>
      <c r="E2029" s="76">
        <v>44064.0</v>
      </c>
      <c r="F2029" s="77">
        <v>0.16666666666666666</v>
      </c>
      <c r="G2029" s="62" t="b">
        <v>1</v>
      </c>
      <c r="H2029" s="78" t="b">
        <f>IF(VLOOKUP(C2029,Projetos!A:L,12,false)=TRUE,TRUE,FALSE)</f>
        <v>1</v>
      </c>
      <c r="I2029" s="68">
        <v>29.312396449615196</v>
      </c>
      <c r="J2029" s="68">
        <f t="shared" si="1"/>
        <v>117.2495858</v>
      </c>
      <c r="K2029" s="68" t="b">
        <v>1</v>
      </c>
    </row>
    <row r="2030" hidden="1">
      <c r="A2030" s="75">
        <v>2024.0</v>
      </c>
      <c r="B2030" s="62" t="s">
        <v>1253</v>
      </c>
      <c r="C2030" s="62" t="s">
        <v>84</v>
      </c>
      <c r="D2030" s="62" t="s">
        <v>1289</v>
      </c>
      <c r="E2030" s="76">
        <v>44067.0</v>
      </c>
      <c r="F2030" s="77">
        <v>0.125</v>
      </c>
      <c r="G2030" s="62" t="b">
        <v>1</v>
      </c>
      <c r="H2030" s="78" t="b">
        <f>IF(VLOOKUP(C2030,Projetos!A:L,12,false)=TRUE,TRUE,FALSE)</f>
        <v>1</v>
      </c>
      <c r="I2030" s="68">
        <v>29.312396449615196</v>
      </c>
      <c r="J2030" s="68">
        <f t="shared" si="1"/>
        <v>87.93718935</v>
      </c>
      <c r="K2030" s="68" t="b">
        <v>1</v>
      </c>
    </row>
    <row r="2031" hidden="1">
      <c r="A2031" s="75">
        <v>2025.0</v>
      </c>
      <c r="B2031" s="62" t="s">
        <v>1253</v>
      </c>
      <c r="C2031" s="62" t="s">
        <v>111</v>
      </c>
      <c r="D2031" s="62" t="s">
        <v>1295</v>
      </c>
      <c r="E2031" s="76">
        <v>44067.0</v>
      </c>
      <c r="F2031" s="77">
        <v>0.041666666666666664</v>
      </c>
      <c r="G2031" s="62" t="b">
        <v>0</v>
      </c>
      <c r="H2031" s="78" t="b">
        <f>IF(VLOOKUP(C2031,Projetos!A:L,12,false)=TRUE,TRUE,FALSE)</f>
        <v>0</v>
      </c>
      <c r="I2031" s="68">
        <v>29.312396449615196</v>
      </c>
      <c r="J2031" s="68">
        <f t="shared" si="1"/>
        <v>0</v>
      </c>
      <c r="K2031" s="68" t="b">
        <v>0</v>
      </c>
    </row>
    <row r="2032" hidden="1">
      <c r="A2032" s="75">
        <v>2026.0</v>
      </c>
      <c r="B2032" s="62" t="s">
        <v>1253</v>
      </c>
      <c r="C2032" s="62" t="s">
        <v>84</v>
      </c>
      <c r="D2032" s="62" t="s">
        <v>1289</v>
      </c>
      <c r="E2032" s="76">
        <v>44068.0</v>
      </c>
      <c r="F2032" s="77">
        <v>0.125</v>
      </c>
      <c r="G2032" s="62" t="b">
        <v>1</v>
      </c>
      <c r="H2032" s="78" t="b">
        <f>IF(VLOOKUP(C2032,Projetos!A:L,12,false)=TRUE,TRUE,FALSE)</f>
        <v>1</v>
      </c>
      <c r="I2032" s="68">
        <v>29.312396449615196</v>
      </c>
      <c r="J2032" s="68">
        <f t="shared" si="1"/>
        <v>87.93718935</v>
      </c>
      <c r="K2032" s="68" t="b">
        <v>1</v>
      </c>
    </row>
    <row r="2033" hidden="1">
      <c r="A2033" s="75">
        <v>2027.0</v>
      </c>
      <c r="B2033" s="62" t="s">
        <v>1253</v>
      </c>
      <c r="C2033" s="62" t="s">
        <v>111</v>
      </c>
      <c r="D2033" s="62" t="s">
        <v>1295</v>
      </c>
      <c r="E2033" s="76">
        <v>44068.0</v>
      </c>
      <c r="F2033" s="77">
        <v>0.041666666666666664</v>
      </c>
      <c r="G2033" s="62" t="b">
        <v>0</v>
      </c>
      <c r="H2033" s="78" t="b">
        <f>IF(VLOOKUP(C2033,Projetos!A:L,12,false)=TRUE,TRUE,FALSE)</f>
        <v>0</v>
      </c>
      <c r="I2033" s="68">
        <v>29.312396449615196</v>
      </c>
      <c r="J2033" s="68">
        <f t="shared" si="1"/>
        <v>0</v>
      </c>
      <c r="K2033" s="68" t="b">
        <v>0</v>
      </c>
    </row>
    <row r="2034" hidden="1">
      <c r="A2034" s="75">
        <v>2028.0</v>
      </c>
      <c r="B2034" s="62" t="s">
        <v>1253</v>
      </c>
      <c r="C2034" s="62" t="s">
        <v>84</v>
      </c>
      <c r="D2034" s="62" t="s">
        <v>1289</v>
      </c>
      <c r="E2034" s="76">
        <v>44069.0</v>
      </c>
      <c r="F2034" s="77">
        <v>0.125</v>
      </c>
      <c r="G2034" s="62" t="b">
        <v>1</v>
      </c>
      <c r="H2034" s="78" t="b">
        <f>IF(VLOOKUP(C2034,Projetos!A:L,12,false)=TRUE,TRUE,FALSE)</f>
        <v>1</v>
      </c>
      <c r="I2034" s="68">
        <v>29.312396449615196</v>
      </c>
      <c r="J2034" s="68">
        <f t="shared" si="1"/>
        <v>87.93718935</v>
      </c>
      <c r="K2034" s="68" t="b">
        <v>1</v>
      </c>
    </row>
    <row r="2035" hidden="1">
      <c r="A2035" s="75">
        <v>2029.0</v>
      </c>
      <c r="B2035" s="62" t="s">
        <v>1253</v>
      </c>
      <c r="C2035" s="62" t="s">
        <v>103</v>
      </c>
      <c r="D2035" s="62" t="s">
        <v>1260</v>
      </c>
      <c r="E2035" s="76">
        <v>44070.0</v>
      </c>
      <c r="F2035" s="77">
        <v>0.041666666666666664</v>
      </c>
      <c r="G2035" s="62" t="b">
        <v>0</v>
      </c>
      <c r="H2035" s="78" t="b">
        <f>IF(VLOOKUP(C2035,Projetos!A:L,12,false)=TRUE,TRUE,FALSE)</f>
        <v>1</v>
      </c>
      <c r="I2035" s="68">
        <v>29.312396449615196</v>
      </c>
      <c r="J2035" s="68">
        <f t="shared" si="1"/>
        <v>0</v>
      </c>
      <c r="K2035" s="68" t="b">
        <v>1</v>
      </c>
    </row>
    <row r="2036" hidden="1">
      <c r="A2036" s="75">
        <v>2030.0</v>
      </c>
      <c r="B2036" s="62" t="s">
        <v>1253</v>
      </c>
      <c r="C2036" s="62" t="s">
        <v>100</v>
      </c>
      <c r="D2036" s="62" t="s">
        <v>1297</v>
      </c>
      <c r="E2036" s="76">
        <v>44075.0</v>
      </c>
      <c r="F2036" s="77">
        <v>0.16666666666666666</v>
      </c>
      <c r="G2036" s="62" t="b">
        <v>1</v>
      </c>
      <c r="H2036" s="78" t="b">
        <f>IF(VLOOKUP(C2036,Projetos!A:L,12,false)=TRUE,TRUE,FALSE)</f>
        <v>1</v>
      </c>
      <c r="I2036" s="68">
        <v>30.80635014921946</v>
      </c>
      <c r="J2036" s="68">
        <f t="shared" si="1"/>
        <v>123.2254006</v>
      </c>
      <c r="K2036" s="68" t="b">
        <v>1</v>
      </c>
    </row>
    <row r="2037" hidden="1">
      <c r="A2037" s="75">
        <v>2031.0</v>
      </c>
      <c r="B2037" s="62" t="s">
        <v>1253</v>
      </c>
      <c r="C2037" s="62" t="s">
        <v>103</v>
      </c>
      <c r="D2037" s="62" t="s">
        <v>201</v>
      </c>
      <c r="E2037" s="76">
        <v>44076.0</v>
      </c>
      <c r="F2037" s="77">
        <v>0.16666666666666666</v>
      </c>
      <c r="G2037" s="62" t="b">
        <v>0</v>
      </c>
      <c r="H2037" s="78" t="b">
        <f>IF(VLOOKUP(C2037,Projetos!A:L,12,false)=TRUE,TRUE,FALSE)</f>
        <v>1</v>
      </c>
      <c r="I2037" s="68">
        <v>30.80635014921946</v>
      </c>
      <c r="J2037" s="68">
        <f t="shared" si="1"/>
        <v>0</v>
      </c>
      <c r="K2037" s="68" t="b">
        <v>1</v>
      </c>
    </row>
    <row r="2038" hidden="1">
      <c r="A2038" s="75">
        <v>2032.0</v>
      </c>
      <c r="B2038" s="62" t="s">
        <v>1253</v>
      </c>
      <c r="C2038" s="62" t="s">
        <v>103</v>
      </c>
      <c r="D2038" s="62" t="s">
        <v>201</v>
      </c>
      <c r="E2038" s="76">
        <v>44077.0</v>
      </c>
      <c r="F2038" s="77">
        <v>0.20833333333333334</v>
      </c>
      <c r="G2038" s="62" t="b">
        <v>0</v>
      </c>
      <c r="H2038" s="78" t="b">
        <f>IF(VLOOKUP(C2038,Projetos!A:L,12,false)=TRUE,TRUE,FALSE)</f>
        <v>1</v>
      </c>
      <c r="I2038" s="68">
        <v>30.80635014921946</v>
      </c>
      <c r="J2038" s="68">
        <f t="shared" si="1"/>
        <v>0</v>
      </c>
      <c r="K2038" s="68" t="b">
        <v>1</v>
      </c>
    </row>
    <row r="2039" hidden="1">
      <c r="A2039" s="75">
        <v>2033.0</v>
      </c>
      <c r="B2039" s="62" t="s">
        <v>1253</v>
      </c>
      <c r="C2039" s="62" t="s">
        <v>103</v>
      </c>
      <c r="D2039" s="62" t="s">
        <v>201</v>
      </c>
      <c r="E2039" s="76">
        <v>44078.0</v>
      </c>
      <c r="F2039" s="77">
        <v>0.125</v>
      </c>
      <c r="G2039" s="62" t="b">
        <v>0</v>
      </c>
      <c r="H2039" s="78" t="b">
        <f>IF(VLOOKUP(C2039,Projetos!A:L,12,false)=TRUE,TRUE,FALSE)</f>
        <v>1</v>
      </c>
      <c r="I2039" s="68">
        <v>30.80635014921946</v>
      </c>
      <c r="J2039" s="68">
        <f t="shared" si="1"/>
        <v>0</v>
      </c>
      <c r="K2039" s="68" t="b">
        <v>1</v>
      </c>
    </row>
    <row r="2040" hidden="1">
      <c r="A2040" s="75">
        <v>2034.0</v>
      </c>
      <c r="B2040" s="62" t="s">
        <v>1253</v>
      </c>
      <c r="C2040" s="62" t="s">
        <v>100</v>
      </c>
      <c r="D2040" s="62" t="s">
        <v>1297</v>
      </c>
      <c r="E2040" s="76">
        <v>44084.0</v>
      </c>
      <c r="F2040" s="77">
        <v>0.20833333333333334</v>
      </c>
      <c r="G2040" s="62" t="b">
        <v>1</v>
      </c>
      <c r="H2040" s="78" t="b">
        <f>IF(VLOOKUP(C2040,Projetos!A:L,12,false)=TRUE,TRUE,FALSE)</f>
        <v>1</v>
      </c>
      <c r="I2040" s="68">
        <v>30.80635014921946</v>
      </c>
      <c r="J2040" s="68">
        <f t="shared" si="1"/>
        <v>154.0317507</v>
      </c>
      <c r="K2040" s="68" t="b">
        <v>1</v>
      </c>
    </row>
    <row r="2041" hidden="1">
      <c r="A2041" s="75">
        <v>2035.0</v>
      </c>
      <c r="B2041" s="62" t="s">
        <v>1253</v>
      </c>
      <c r="C2041" s="62" t="s">
        <v>109</v>
      </c>
      <c r="D2041" s="62" t="s">
        <v>1298</v>
      </c>
      <c r="E2041" s="76">
        <v>44088.0</v>
      </c>
      <c r="F2041" s="77">
        <v>0.20833333333333334</v>
      </c>
      <c r="G2041" s="62" t="b">
        <v>0</v>
      </c>
      <c r="H2041" s="78" t="b">
        <f>IF(VLOOKUP(C2041,Projetos!A:L,12,false)=TRUE,TRUE,FALSE)</f>
        <v>0</v>
      </c>
      <c r="I2041" s="68">
        <v>30.80635014921946</v>
      </c>
      <c r="J2041" s="68">
        <f t="shared" si="1"/>
        <v>0</v>
      </c>
      <c r="K2041" s="68" t="b">
        <v>0</v>
      </c>
    </row>
    <row r="2042" hidden="1">
      <c r="A2042" s="75">
        <v>2036.0</v>
      </c>
      <c r="B2042" s="62" t="s">
        <v>1253</v>
      </c>
      <c r="C2042" s="62" t="s">
        <v>109</v>
      </c>
      <c r="D2042" s="62" t="s">
        <v>1298</v>
      </c>
      <c r="E2042" s="76">
        <v>44089.0</v>
      </c>
      <c r="F2042" s="77">
        <v>0.125</v>
      </c>
      <c r="G2042" s="62" t="b">
        <v>0</v>
      </c>
      <c r="H2042" s="78" t="b">
        <f>IF(VLOOKUP(C2042,Projetos!A:L,12,false)=TRUE,TRUE,FALSE)</f>
        <v>0</v>
      </c>
      <c r="I2042" s="68">
        <v>30.80635014921946</v>
      </c>
      <c r="J2042" s="68">
        <f t="shared" si="1"/>
        <v>0</v>
      </c>
      <c r="K2042" s="68" t="b">
        <v>0</v>
      </c>
    </row>
    <row r="2043" hidden="1">
      <c r="A2043" s="75">
        <v>2037.0</v>
      </c>
      <c r="B2043" s="62" t="s">
        <v>1253</v>
      </c>
      <c r="C2043" s="62" t="s">
        <v>109</v>
      </c>
      <c r="D2043" s="62" t="s">
        <v>1298</v>
      </c>
      <c r="E2043" s="76">
        <v>44090.0</v>
      </c>
      <c r="F2043" s="77">
        <v>0.20833333333333334</v>
      </c>
      <c r="G2043" s="62" t="b">
        <v>0</v>
      </c>
      <c r="H2043" s="78" t="b">
        <f>IF(VLOOKUP(C2043,Projetos!A:L,12,false)=TRUE,TRUE,FALSE)</f>
        <v>0</v>
      </c>
      <c r="I2043" s="68">
        <v>30.80635014921946</v>
      </c>
      <c r="J2043" s="68">
        <f t="shared" si="1"/>
        <v>0</v>
      </c>
      <c r="K2043" s="68" t="b">
        <v>0</v>
      </c>
    </row>
    <row r="2044" hidden="1">
      <c r="A2044" s="75">
        <v>2038.0</v>
      </c>
      <c r="B2044" s="62" t="s">
        <v>1253</v>
      </c>
      <c r="C2044" s="62" t="s">
        <v>109</v>
      </c>
      <c r="D2044" s="62" t="s">
        <v>1298</v>
      </c>
      <c r="E2044" s="76">
        <v>44091.0</v>
      </c>
      <c r="F2044" s="77">
        <v>0.125</v>
      </c>
      <c r="G2044" s="62" t="b">
        <v>0</v>
      </c>
      <c r="H2044" s="78" t="b">
        <f>IF(VLOOKUP(C2044,Projetos!A:L,12,false)=TRUE,TRUE,FALSE)</f>
        <v>0</v>
      </c>
      <c r="I2044" s="68">
        <v>30.80635014921946</v>
      </c>
      <c r="J2044" s="68">
        <f t="shared" si="1"/>
        <v>0</v>
      </c>
      <c r="K2044" s="68" t="b">
        <v>0</v>
      </c>
    </row>
    <row r="2045" hidden="1">
      <c r="A2045" s="75">
        <v>2039.0</v>
      </c>
      <c r="B2045" s="62" t="s">
        <v>1253</v>
      </c>
      <c r="C2045" s="62" t="s">
        <v>84</v>
      </c>
      <c r="D2045" s="62" t="s">
        <v>1289</v>
      </c>
      <c r="E2045" s="76">
        <v>44091.0</v>
      </c>
      <c r="F2045" s="77">
        <v>0.16666666666666666</v>
      </c>
      <c r="G2045" s="62" t="b">
        <v>1</v>
      </c>
      <c r="H2045" s="78" t="b">
        <f>IF(VLOOKUP(C2045,Projetos!A:L,12,false)=TRUE,TRUE,FALSE)</f>
        <v>1</v>
      </c>
      <c r="I2045" s="68">
        <v>30.80635014921946</v>
      </c>
      <c r="J2045" s="68">
        <f t="shared" si="1"/>
        <v>123.2254006</v>
      </c>
      <c r="K2045" s="68" t="b">
        <v>1</v>
      </c>
    </row>
    <row r="2046" hidden="1">
      <c r="A2046" s="75">
        <v>2040.0</v>
      </c>
      <c r="B2046" s="62" t="s">
        <v>1253</v>
      </c>
      <c r="C2046" s="62" t="s">
        <v>109</v>
      </c>
      <c r="D2046" s="62" t="s">
        <v>1298</v>
      </c>
      <c r="E2046" s="76">
        <v>44092.0</v>
      </c>
      <c r="F2046" s="77">
        <v>0.16666666666666666</v>
      </c>
      <c r="G2046" s="62" t="b">
        <v>0</v>
      </c>
      <c r="H2046" s="78" t="b">
        <f>IF(VLOOKUP(C2046,Projetos!A:L,12,false)=TRUE,TRUE,FALSE)</f>
        <v>0</v>
      </c>
      <c r="I2046" s="68">
        <v>30.80635014921946</v>
      </c>
      <c r="J2046" s="68">
        <f t="shared" si="1"/>
        <v>0</v>
      </c>
      <c r="K2046" s="68" t="b">
        <v>0</v>
      </c>
    </row>
    <row r="2047" hidden="1">
      <c r="A2047" s="75">
        <v>2041.0</v>
      </c>
      <c r="B2047" s="62" t="s">
        <v>1253</v>
      </c>
      <c r="C2047" s="62" t="s">
        <v>85</v>
      </c>
      <c r="D2047" s="62" t="s">
        <v>1299</v>
      </c>
      <c r="E2047" s="76">
        <v>44093.0</v>
      </c>
      <c r="F2047" s="77">
        <v>0.4527777777777778</v>
      </c>
      <c r="G2047" s="62" t="b">
        <v>1</v>
      </c>
      <c r="H2047" s="78" t="b">
        <f>IF(VLOOKUP(C2047,Projetos!A:L,12,false)=TRUE,TRUE,FALSE)</f>
        <v>1</v>
      </c>
      <c r="I2047" s="68">
        <v>30.80635014921946</v>
      </c>
      <c r="J2047" s="68">
        <f t="shared" si="1"/>
        <v>334.7623383</v>
      </c>
      <c r="K2047" s="68" t="b">
        <v>1</v>
      </c>
    </row>
    <row r="2048" hidden="1">
      <c r="A2048" s="75">
        <v>2042.0</v>
      </c>
      <c r="B2048" s="62" t="s">
        <v>1253</v>
      </c>
      <c r="C2048" s="62" t="s">
        <v>85</v>
      </c>
      <c r="D2048" s="62" t="s">
        <v>1299</v>
      </c>
      <c r="E2048" s="76">
        <v>44094.0</v>
      </c>
      <c r="F2048" s="77">
        <v>0.4236111111111111</v>
      </c>
      <c r="G2048" s="62" t="b">
        <v>1</v>
      </c>
      <c r="H2048" s="78" t="b">
        <f>IF(VLOOKUP(C2048,Projetos!A:L,12,false)=TRUE,TRUE,FALSE)</f>
        <v>1</v>
      </c>
      <c r="I2048" s="68">
        <v>30.80635014921946</v>
      </c>
      <c r="J2048" s="68">
        <f t="shared" si="1"/>
        <v>313.1978932</v>
      </c>
      <c r="K2048" s="68" t="b">
        <v>1</v>
      </c>
    </row>
    <row r="2049" hidden="1">
      <c r="A2049" s="75">
        <v>2043.0</v>
      </c>
      <c r="B2049" s="62" t="s">
        <v>1253</v>
      </c>
      <c r="C2049" s="62" t="s">
        <v>85</v>
      </c>
      <c r="D2049" s="62" t="s">
        <v>1299</v>
      </c>
      <c r="E2049" s="76">
        <v>44095.0</v>
      </c>
      <c r="F2049" s="77">
        <v>0.35347222222222224</v>
      </c>
      <c r="G2049" s="62" t="b">
        <v>1</v>
      </c>
      <c r="H2049" s="78" t="b">
        <f>IF(VLOOKUP(C2049,Projetos!A:L,12,false)=TRUE,TRUE,FALSE)</f>
        <v>1</v>
      </c>
      <c r="I2049" s="68">
        <v>30.80635014921946</v>
      </c>
      <c r="J2049" s="68">
        <f t="shared" si="1"/>
        <v>261.3405371</v>
      </c>
      <c r="K2049" s="68" t="b">
        <v>1</v>
      </c>
    </row>
    <row r="2050" hidden="1">
      <c r="A2050" s="75">
        <v>2044.0</v>
      </c>
      <c r="B2050" s="62" t="s">
        <v>1253</v>
      </c>
      <c r="C2050" s="62" t="s">
        <v>100</v>
      </c>
      <c r="D2050" s="62" t="s">
        <v>1300</v>
      </c>
      <c r="E2050" s="76">
        <v>44096.0</v>
      </c>
      <c r="F2050" s="77">
        <v>0.125</v>
      </c>
      <c r="G2050" s="62" t="b">
        <v>1</v>
      </c>
      <c r="H2050" s="78" t="b">
        <f>IF(VLOOKUP(C2050,Projetos!A:L,12,false)=TRUE,TRUE,FALSE)</f>
        <v>1</v>
      </c>
      <c r="I2050" s="68">
        <v>30.80635014921946</v>
      </c>
      <c r="J2050" s="68">
        <f t="shared" si="1"/>
        <v>92.41905045</v>
      </c>
      <c r="K2050" s="68" t="b">
        <v>1</v>
      </c>
    </row>
    <row r="2051" hidden="1">
      <c r="A2051" s="75">
        <v>2045.0</v>
      </c>
      <c r="B2051" s="62" t="s">
        <v>1253</v>
      </c>
      <c r="C2051" s="62" t="s">
        <v>103</v>
      </c>
      <c r="D2051" s="62" t="s">
        <v>1301</v>
      </c>
      <c r="E2051" s="76">
        <v>44097.0</v>
      </c>
      <c r="F2051" s="77">
        <v>0.125</v>
      </c>
      <c r="G2051" s="62" t="b">
        <v>0</v>
      </c>
      <c r="H2051" s="78" t="b">
        <f>IF(VLOOKUP(C2051,Projetos!A:L,12,false)=TRUE,TRUE,FALSE)</f>
        <v>1</v>
      </c>
      <c r="I2051" s="68">
        <v>30.80635014921946</v>
      </c>
      <c r="J2051" s="68">
        <f t="shared" si="1"/>
        <v>0</v>
      </c>
      <c r="K2051" s="68" t="b">
        <v>1</v>
      </c>
    </row>
    <row r="2052" hidden="1">
      <c r="A2052" s="75">
        <v>2046.0</v>
      </c>
      <c r="B2052" s="62" t="s">
        <v>1253</v>
      </c>
      <c r="C2052" s="62" t="s">
        <v>97</v>
      </c>
      <c r="D2052" s="62" t="s">
        <v>1301</v>
      </c>
      <c r="E2052" s="76">
        <v>44098.0</v>
      </c>
      <c r="F2052" s="77">
        <v>0.125</v>
      </c>
      <c r="G2052" s="62" t="b">
        <v>0</v>
      </c>
      <c r="H2052" s="78" t="b">
        <f>IF(VLOOKUP(C2052,Projetos!A:L,12,false)=TRUE,TRUE,FALSE)</f>
        <v>1</v>
      </c>
      <c r="I2052" s="68">
        <v>30.80635014921946</v>
      </c>
      <c r="J2052" s="68">
        <f t="shared" si="1"/>
        <v>0</v>
      </c>
      <c r="K2052" s="68" t="b">
        <v>1</v>
      </c>
    </row>
    <row r="2053" hidden="1">
      <c r="A2053" s="75">
        <v>2047.0</v>
      </c>
      <c r="B2053" s="62" t="s">
        <v>1253</v>
      </c>
      <c r="C2053" s="62" t="s">
        <v>100</v>
      </c>
      <c r="D2053" s="62" t="s">
        <v>1301</v>
      </c>
      <c r="E2053" s="76">
        <v>44099.0</v>
      </c>
      <c r="F2053" s="77">
        <v>0.16666666666666666</v>
      </c>
      <c r="G2053" s="62" t="b">
        <v>0</v>
      </c>
      <c r="H2053" s="78" t="b">
        <f>IF(VLOOKUP(C2053,Projetos!A:L,12,false)=TRUE,TRUE,FALSE)</f>
        <v>1</v>
      </c>
      <c r="I2053" s="68">
        <v>30.80635014921946</v>
      </c>
      <c r="J2053" s="68">
        <f t="shared" si="1"/>
        <v>0</v>
      </c>
      <c r="K2053" s="68" t="b">
        <v>1</v>
      </c>
    </row>
    <row r="2054" hidden="1">
      <c r="A2054" s="75">
        <v>2048.0</v>
      </c>
      <c r="B2054" s="62" t="s">
        <v>1253</v>
      </c>
      <c r="C2054" s="62" t="s">
        <v>100</v>
      </c>
      <c r="D2054" s="62" t="s">
        <v>1301</v>
      </c>
      <c r="E2054" s="76">
        <v>44102.0</v>
      </c>
      <c r="F2054" s="77">
        <v>0.16666666666666666</v>
      </c>
      <c r="G2054" s="62" t="b">
        <v>0</v>
      </c>
      <c r="H2054" s="78" t="b">
        <f>IF(VLOOKUP(C2054,Projetos!A:L,12,false)=TRUE,TRUE,FALSE)</f>
        <v>1</v>
      </c>
      <c r="I2054" s="68">
        <v>30.80635014921946</v>
      </c>
      <c r="J2054" s="68">
        <f t="shared" si="1"/>
        <v>0</v>
      </c>
      <c r="K2054" s="68" t="b">
        <v>1</v>
      </c>
    </row>
    <row r="2055" hidden="1">
      <c r="A2055" s="75">
        <v>2049.0</v>
      </c>
      <c r="B2055" s="62" t="s">
        <v>1253</v>
      </c>
      <c r="C2055" s="62" t="s">
        <v>97</v>
      </c>
      <c r="D2055" s="62" t="s">
        <v>1293</v>
      </c>
      <c r="E2055" s="76">
        <v>44117.0</v>
      </c>
      <c r="F2055" s="77">
        <v>0.2916666666666667</v>
      </c>
      <c r="G2055" s="62" t="b">
        <v>1</v>
      </c>
      <c r="H2055" s="78" t="b">
        <f>IF(VLOOKUP(C2055,Projetos!A:L,12,false)=TRUE,TRUE,FALSE)</f>
        <v>1</v>
      </c>
      <c r="I2055" s="68">
        <v>32.2733192039442</v>
      </c>
      <c r="J2055" s="68">
        <f t="shared" si="1"/>
        <v>225.9132344</v>
      </c>
      <c r="K2055" s="68" t="b">
        <v>1</v>
      </c>
    </row>
    <row r="2056" hidden="1">
      <c r="A2056" s="75">
        <v>2050.0</v>
      </c>
      <c r="B2056" s="62" t="s">
        <v>1253</v>
      </c>
      <c r="C2056" s="62" t="s">
        <v>97</v>
      </c>
      <c r="D2056" s="62" t="s">
        <v>1293</v>
      </c>
      <c r="E2056" s="76">
        <v>44118.0</v>
      </c>
      <c r="F2056" s="77">
        <v>0.16666666666666666</v>
      </c>
      <c r="G2056" s="62" t="b">
        <v>1</v>
      </c>
      <c r="H2056" s="78" t="b">
        <f>IF(VLOOKUP(C2056,Projetos!A:L,12,false)=TRUE,TRUE,FALSE)</f>
        <v>1</v>
      </c>
      <c r="I2056" s="68">
        <v>32.2733192039442</v>
      </c>
      <c r="J2056" s="68">
        <f t="shared" si="1"/>
        <v>129.0932768</v>
      </c>
      <c r="K2056" s="68" t="b">
        <v>1</v>
      </c>
    </row>
    <row r="2057" hidden="1">
      <c r="A2057" s="75">
        <v>2051.0</v>
      </c>
      <c r="B2057" s="62" t="s">
        <v>1253</v>
      </c>
      <c r="C2057" s="62" t="s">
        <v>103</v>
      </c>
      <c r="D2057" s="62" t="s">
        <v>1301</v>
      </c>
      <c r="E2057" s="76">
        <v>44119.0</v>
      </c>
      <c r="F2057" s="77">
        <v>0.2916666666666667</v>
      </c>
      <c r="G2057" s="62" t="b">
        <v>0</v>
      </c>
      <c r="H2057" s="78" t="b">
        <f>IF(VLOOKUP(C2057,Projetos!A:L,12,false)=TRUE,TRUE,FALSE)</f>
        <v>1</v>
      </c>
      <c r="I2057" s="68">
        <v>32.2733192039442</v>
      </c>
      <c r="J2057" s="68">
        <f t="shared" si="1"/>
        <v>0</v>
      </c>
      <c r="K2057" s="68" t="b">
        <v>1</v>
      </c>
    </row>
    <row r="2058" hidden="1">
      <c r="A2058" s="75">
        <v>2052.0</v>
      </c>
      <c r="B2058" s="62" t="s">
        <v>1253</v>
      </c>
      <c r="C2058" s="62" t="s">
        <v>97</v>
      </c>
      <c r="D2058" s="62" t="s">
        <v>1301</v>
      </c>
      <c r="E2058" s="76">
        <v>44120.0</v>
      </c>
      <c r="F2058" s="77">
        <v>0.20833333333333334</v>
      </c>
      <c r="G2058" s="62" t="b">
        <v>0</v>
      </c>
      <c r="H2058" s="78" t="b">
        <f>IF(VLOOKUP(C2058,Projetos!A:L,12,false)=TRUE,TRUE,FALSE)</f>
        <v>1</v>
      </c>
      <c r="I2058" s="68">
        <v>32.2733192039442</v>
      </c>
      <c r="J2058" s="68">
        <f t="shared" si="1"/>
        <v>0</v>
      </c>
      <c r="K2058" s="68" t="b">
        <v>1</v>
      </c>
    </row>
    <row r="2059" hidden="1">
      <c r="A2059" s="75">
        <v>2053.0</v>
      </c>
      <c r="B2059" s="62" t="s">
        <v>1253</v>
      </c>
      <c r="C2059" s="62" t="s">
        <v>110</v>
      </c>
      <c r="D2059" s="62" t="s">
        <v>1301</v>
      </c>
      <c r="E2059" s="76">
        <v>44123.0</v>
      </c>
      <c r="F2059" s="77">
        <v>0.20833333333333334</v>
      </c>
      <c r="G2059" s="62" t="b">
        <v>0</v>
      </c>
      <c r="H2059" s="78" t="b">
        <f>IF(VLOOKUP(C2059,Projetos!A:L,12,false)=TRUE,TRUE,FALSE)</f>
        <v>1</v>
      </c>
      <c r="I2059" s="68">
        <v>32.2733192039442</v>
      </c>
      <c r="J2059" s="68">
        <f t="shared" si="1"/>
        <v>0</v>
      </c>
      <c r="K2059" s="68" t="b">
        <v>1</v>
      </c>
    </row>
    <row r="2060" hidden="1">
      <c r="A2060" s="75">
        <v>2054.0</v>
      </c>
      <c r="B2060" s="62" t="s">
        <v>1253</v>
      </c>
      <c r="C2060" s="62" t="s">
        <v>90</v>
      </c>
      <c r="D2060" s="62" t="s">
        <v>1302</v>
      </c>
      <c r="E2060" s="76">
        <v>44124.0</v>
      </c>
      <c r="F2060" s="77">
        <v>0.16666666666666666</v>
      </c>
      <c r="G2060" s="62" t="b">
        <v>1</v>
      </c>
      <c r="H2060" s="78" t="b">
        <f>IF(VLOOKUP(C2060,Projetos!A:L,12,false)=TRUE,TRUE,FALSE)</f>
        <v>1</v>
      </c>
      <c r="I2060" s="68">
        <v>32.2733192039442</v>
      </c>
      <c r="J2060" s="68">
        <f t="shared" si="1"/>
        <v>129.0932768</v>
      </c>
      <c r="K2060" s="68" t="b">
        <v>1</v>
      </c>
    </row>
    <row r="2061" hidden="1">
      <c r="A2061" s="75">
        <v>2055.0</v>
      </c>
      <c r="B2061" s="62" t="s">
        <v>1253</v>
      </c>
      <c r="C2061" s="62" t="s">
        <v>90</v>
      </c>
      <c r="D2061" s="62" t="s">
        <v>1302</v>
      </c>
      <c r="E2061" s="76">
        <v>44125.0</v>
      </c>
      <c r="F2061" s="77">
        <v>0.2916666666666667</v>
      </c>
      <c r="G2061" s="62" t="b">
        <v>1</v>
      </c>
      <c r="H2061" s="78" t="b">
        <f>IF(VLOOKUP(C2061,Projetos!A:L,12,false)=TRUE,TRUE,FALSE)</f>
        <v>1</v>
      </c>
      <c r="I2061" s="68">
        <v>32.2733192039442</v>
      </c>
      <c r="J2061" s="68">
        <f t="shared" si="1"/>
        <v>225.9132344</v>
      </c>
      <c r="K2061" s="68" t="b">
        <v>1</v>
      </c>
    </row>
    <row r="2062" hidden="1">
      <c r="A2062" s="75">
        <v>2056.0</v>
      </c>
      <c r="B2062" s="62" t="s">
        <v>1253</v>
      </c>
      <c r="C2062" s="62" t="s">
        <v>90</v>
      </c>
      <c r="D2062" s="62" t="s">
        <v>1302</v>
      </c>
      <c r="E2062" s="76">
        <v>44126.0</v>
      </c>
      <c r="F2062" s="77">
        <v>0.16666666666666666</v>
      </c>
      <c r="G2062" s="62" t="b">
        <v>1</v>
      </c>
      <c r="H2062" s="78" t="b">
        <f>IF(VLOOKUP(C2062,Projetos!A:L,12,false)=TRUE,TRUE,FALSE)</f>
        <v>1</v>
      </c>
      <c r="I2062" s="68">
        <v>32.2733192039442</v>
      </c>
      <c r="J2062" s="68">
        <f t="shared" si="1"/>
        <v>129.0932768</v>
      </c>
      <c r="K2062" s="68" t="b">
        <v>1</v>
      </c>
    </row>
    <row r="2063" hidden="1">
      <c r="A2063" s="75">
        <v>2057.0</v>
      </c>
      <c r="B2063" s="62" t="s">
        <v>1253</v>
      </c>
      <c r="C2063" s="62" t="s">
        <v>90</v>
      </c>
      <c r="D2063" s="62" t="s">
        <v>1302</v>
      </c>
      <c r="E2063" s="76">
        <v>44127.0</v>
      </c>
      <c r="F2063" s="77">
        <v>0.25</v>
      </c>
      <c r="G2063" s="62" t="b">
        <v>1</v>
      </c>
      <c r="H2063" s="78" t="b">
        <f>IF(VLOOKUP(C2063,Projetos!A:L,12,false)=TRUE,TRUE,FALSE)</f>
        <v>1</v>
      </c>
      <c r="I2063" s="68">
        <v>32.2733192039442</v>
      </c>
      <c r="J2063" s="68">
        <f t="shared" si="1"/>
        <v>193.6399152</v>
      </c>
      <c r="K2063" s="68" t="b">
        <v>1</v>
      </c>
    </row>
    <row r="2064" hidden="1">
      <c r="A2064" s="75">
        <v>2058.0</v>
      </c>
      <c r="B2064" s="62" t="s">
        <v>1253</v>
      </c>
      <c r="C2064" s="62" t="s">
        <v>97</v>
      </c>
      <c r="D2064" s="62" t="s">
        <v>1301</v>
      </c>
      <c r="E2064" s="76">
        <v>44127.0</v>
      </c>
      <c r="F2064" s="77">
        <v>0.08333333333333333</v>
      </c>
      <c r="G2064" s="62" t="b">
        <v>0</v>
      </c>
      <c r="H2064" s="78" t="b">
        <f>IF(VLOOKUP(C2064,Projetos!A:L,12,false)=TRUE,TRUE,FALSE)</f>
        <v>1</v>
      </c>
      <c r="I2064" s="68">
        <v>32.2733192039442</v>
      </c>
      <c r="J2064" s="68">
        <f t="shared" si="1"/>
        <v>0</v>
      </c>
      <c r="K2064" s="68" t="b">
        <v>1</v>
      </c>
    </row>
    <row r="2065" hidden="1">
      <c r="A2065" s="75">
        <v>2059.0</v>
      </c>
      <c r="B2065" s="62" t="s">
        <v>1253</v>
      </c>
      <c r="C2065" s="62" t="s">
        <v>103</v>
      </c>
      <c r="D2065" s="62" t="s">
        <v>1301</v>
      </c>
      <c r="E2065" s="76">
        <v>44130.0</v>
      </c>
      <c r="F2065" s="77">
        <v>0.125</v>
      </c>
      <c r="G2065" s="62" t="b">
        <v>0</v>
      </c>
      <c r="H2065" s="78" t="b">
        <f>IF(VLOOKUP(C2065,Projetos!A:L,12,false)=TRUE,TRUE,FALSE)</f>
        <v>1</v>
      </c>
      <c r="I2065" s="68">
        <v>32.2733192039442</v>
      </c>
      <c r="J2065" s="68">
        <f t="shared" si="1"/>
        <v>0</v>
      </c>
      <c r="K2065" s="68" t="b">
        <v>1</v>
      </c>
    </row>
    <row r="2066" hidden="1">
      <c r="A2066" s="75">
        <v>2060.0</v>
      </c>
      <c r="B2066" s="62" t="s">
        <v>1253</v>
      </c>
      <c r="C2066" s="62" t="s">
        <v>97</v>
      </c>
      <c r="D2066" s="62" t="s">
        <v>1301</v>
      </c>
      <c r="E2066" s="76">
        <v>44131.0</v>
      </c>
      <c r="F2066" s="77">
        <v>0.16666666666666666</v>
      </c>
      <c r="G2066" s="62" t="b">
        <v>0</v>
      </c>
      <c r="H2066" s="78" t="b">
        <f>IF(VLOOKUP(C2066,Projetos!A:L,12,false)=TRUE,TRUE,FALSE)</f>
        <v>1</v>
      </c>
      <c r="I2066" s="68">
        <v>32.2733192039442</v>
      </c>
      <c r="J2066" s="68">
        <f t="shared" si="1"/>
        <v>0</v>
      </c>
      <c r="K2066" s="68" t="b">
        <v>1</v>
      </c>
    </row>
    <row r="2067" hidden="1">
      <c r="A2067" s="75">
        <v>2061.0</v>
      </c>
      <c r="B2067" s="62" t="s">
        <v>1253</v>
      </c>
      <c r="C2067" s="62" t="s">
        <v>100</v>
      </c>
      <c r="D2067" s="62" t="s">
        <v>1301</v>
      </c>
      <c r="E2067" s="76">
        <v>44132.0</v>
      </c>
      <c r="F2067" s="77">
        <v>0.20833333333333334</v>
      </c>
      <c r="G2067" s="62" t="b">
        <v>0</v>
      </c>
      <c r="H2067" s="78" t="b">
        <f>IF(VLOOKUP(C2067,Projetos!A:L,12,false)=TRUE,TRUE,FALSE)</f>
        <v>1</v>
      </c>
      <c r="I2067" s="68">
        <v>32.2733192039442</v>
      </c>
      <c r="J2067" s="68">
        <f t="shared" si="1"/>
        <v>0</v>
      </c>
      <c r="K2067" s="68" t="b">
        <v>1</v>
      </c>
    </row>
    <row r="2068" hidden="1">
      <c r="A2068" s="75">
        <v>2062.0</v>
      </c>
      <c r="B2068" s="62" t="s">
        <v>1253</v>
      </c>
      <c r="C2068" s="62" t="s">
        <v>100</v>
      </c>
      <c r="D2068" s="62" t="s">
        <v>1301</v>
      </c>
      <c r="E2068" s="76">
        <v>44133.0</v>
      </c>
      <c r="F2068" s="77">
        <v>0.20833333333333334</v>
      </c>
      <c r="G2068" s="62" t="b">
        <v>0</v>
      </c>
      <c r="H2068" s="78" t="b">
        <f>IF(VLOOKUP(C2068,Projetos!A:L,12,false)=TRUE,TRUE,FALSE)</f>
        <v>1</v>
      </c>
      <c r="I2068" s="68">
        <v>32.2733192039442</v>
      </c>
      <c r="J2068" s="68">
        <f t="shared" si="1"/>
        <v>0</v>
      </c>
      <c r="K2068" s="68" t="b">
        <v>1</v>
      </c>
    </row>
    <row r="2069" hidden="1">
      <c r="A2069" s="75">
        <v>2063.0</v>
      </c>
      <c r="B2069" s="62" t="s">
        <v>1253</v>
      </c>
      <c r="C2069" s="62" t="s">
        <v>97</v>
      </c>
      <c r="D2069" s="62" t="s">
        <v>1301</v>
      </c>
      <c r="E2069" s="76">
        <v>44134.0</v>
      </c>
      <c r="F2069" s="77">
        <v>0.20833333333333334</v>
      </c>
      <c r="G2069" s="62" t="b">
        <v>0</v>
      </c>
      <c r="H2069" s="78" t="b">
        <f>IF(VLOOKUP(C2069,Projetos!A:L,12,false)=TRUE,TRUE,FALSE)</f>
        <v>1</v>
      </c>
      <c r="I2069" s="68">
        <v>32.2733192039442</v>
      </c>
      <c r="J2069" s="68">
        <f t="shared" si="1"/>
        <v>0</v>
      </c>
      <c r="K2069" s="68" t="b">
        <v>1</v>
      </c>
    </row>
    <row r="2070" hidden="1">
      <c r="A2070" s="75">
        <v>2064.0</v>
      </c>
      <c r="B2070" s="62" t="s">
        <v>1253</v>
      </c>
      <c r="C2070" s="62" t="s">
        <v>100</v>
      </c>
      <c r="D2070" s="62" t="s">
        <v>1302</v>
      </c>
      <c r="E2070" s="76">
        <v>44138.0</v>
      </c>
      <c r="F2070" s="77">
        <v>0.16666666666666666</v>
      </c>
      <c r="G2070" s="62" t="b">
        <v>1</v>
      </c>
      <c r="H2070" s="78" t="b">
        <f>IF(VLOOKUP(C2070,Projetos!A:L,12,false)=TRUE,TRUE,FALSE)</f>
        <v>1</v>
      </c>
      <c r="I2070" s="68">
        <v>31.311547741620746</v>
      </c>
      <c r="J2070" s="68">
        <f t="shared" si="1"/>
        <v>125.246191</v>
      </c>
      <c r="K2070" s="68" t="b">
        <v>1</v>
      </c>
    </row>
    <row r="2071" hidden="1">
      <c r="A2071" s="75">
        <v>2065.0</v>
      </c>
      <c r="B2071" s="62" t="s">
        <v>1253</v>
      </c>
      <c r="C2071" s="62" t="s">
        <v>100</v>
      </c>
      <c r="D2071" s="62" t="s">
        <v>1302</v>
      </c>
      <c r="E2071" s="76">
        <v>44139.0</v>
      </c>
      <c r="F2071" s="77">
        <v>0.10416666666666667</v>
      </c>
      <c r="G2071" s="62" t="b">
        <v>1</v>
      </c>
      <c r="H2071" s="78" t="b">
        <f>IF(VLOOKUP(C2071,Projetos!A:L,12,false)=TRUE,TRUE,FALSE)</f>
        <v>1</v>
      </c>
      <c r="I2071" s="68">
        <v>31.311547741620746</v>
      </c>
      <c r="J2071" s="68">
        <f t="shared" si="1"/>
        <v>78.27886935</v>
      </c>
      <c r="K2071" s="68" t="b">
        <v>1</v>
      </c>
    </row>
    <row r="2072" hidden="1">
      <c r="A2072" s="75">
        <v>2066.0</v>
      </c>
      <c r="B2072" s="62" t="s">
        <v>1253</v>
      </c>
      <c r="C2072" s="62" t="s">
        <v>89</v>
      </c>
      <c r="D2072" s="62" t="s">
        <v>1303</v>
      </c>
      <c r="E2072" s="76">
        <v>44145.0</v>
      </c>
      <c r="F2072" s="77">
        <v>0.20833333333333334</v>
      </c>
      <c r="G2072" s="62" t="b">
        <v>1</v>
      </c>
      <c r="H2072" s="78" t="b">
        <f>IF(VLOOKUP(C2072,Projetos!A:L,12,false)=TRUE,TRUE,FALSE)</f>
        <v>1</v>
      </c>
      <c r="I2072" s="68">
        <v>31.311547741620746</v>
      </c>
      <c r="J2072" s="68">
        <f t="shared" si="1"/>
        <v>156.5577387</v>
      </c>
      <c r="K2072" s="68" t="b">
        <v>1</v>
      </c>
    </row>
    <row r="2073" hidden="1">
      <c r="A2073" s="75">
        <v>2067.0</v>
      </c>
      <c r="B2073" s="62" t="s">
        <v>1253</v>
      </c>
      <c r="C2073" s="62" t="s">
        <v>89</v>
      </c>
      <c r="D2073" s="62" t="s">
        <v>1303</v>
      </c>
      <c r="E2073" s="76">
        <v>44146.0</v>
      </c>
      <c r="F2073" s="77">
        <v>0.125</v>
      </c>
      <c r="G2073" s="62" t="b">
        <v>1</v>
      </c>
      <c r="H2073" s="78" t="b">
        <f>IF(VLOOKUP(C2073,Projetos!A:L,12,false)=TRUE,TRUE,FALSE)</f>
        <v>1</v>
      </c>
      <c r="I2073" s="68">
        <v>31.311547741620746</v>
      </c>
      <c r="J2073" s="68">
        <f t="shared" si="1"/>
        <v>93.93464322</v>
      </c>
      <c r="K2073" s="68" t="b">
        <v>1</v>
      </c>
    </row>
    <row r="2074" hidden="1">
      <c r="A2074" s="75">
        <v>2068.0</v>
      </c>
      <c r="B2074" s="62" t="s">
        <v>1253</v>
      </c>
      <c r="C2074" s="62" t="s">
        <v>97</v>
      </c>
      <c r="D2074" s="62" t="s">
        <v>1301</v>
      </c>
      <c r="E2074" s="76">
        <v>44147.0</v>
      </c>
      <c r="F2074" s="77">
        <v>0.125</v>
      </c>
      <c r="G2074" s="62" t="b">
        <v>0</v>
      </c>
      <c r="H2074" s="78" t="b">
        <f>IF(VLOOKUP(C2074,Projetos!A:L,12,false)=TRUE,TRUE,FALSE)</f>
        <v>1</v>
      </c>
      <c r="I2074" s="68">
        <v>31.311547741620746</v>
      </c>
      <c r="J2074" s="68">
        <f t="shared" si="1"/>
        <v>0</v>
      </c>
      <c r="K2074" s="68" t="b">
        <v>1</v>
      </c>
    </row>
    <row r="2075" hidden="1">
      <c r="A2075" s="75">
        <v>2069.0</v>
      </c>
      <c r="B2075" s="62" t="s">
        <v>1253</v>
      </c>
      <c r="C2075" s="62" t="s">
        <v>97</v>
      </c>
      <c r="D2075" s="62" t="s">
        <v>1301</v>
      </c>
      <c r="E2075" s="76">
        <v>44148.0</v>
      </c>
      <c r="F2075" s="77">
        <v>0.125</v>
      </c>
      <c r="G2075" s="62" t="b">
        <v>0</v>
      </c>
      <c r="H2075" s="78" t="b">
        <f>IF(VLOOKUP(C2075,Projetos!A:L,12,false)=TRUE,TRUE,FALSE)</f>
        <v>1</v>
      </c>
      <c r="I2075" s="68">
        <v>31.311547741620746</v>
      </c>
      <c r="J2075" s="68">
        <f t="shared" si="1"/>
        <v>0</v>
      </c>
      <c r="K2075" s="68" t="b">
        <v>1</v>
      </c>
    </row>
    <row r="2076" hidden="1">
      <c r="A2076" s="75">
        <v>2070.0</v>
      </c>
      <c r="B2076" s="62" t="s">
        <v>1253</v>
      </c>
      <c r="C2076" s="62" t="s">
        <v>89</v>
      </c>
      <c r="D2076" s="62" t="s">
        <v>1303</v>
      </c>
      <c r="E2076" s="76">
        <v>44148.0</v>
      </c>
      <c r="F2076" s="77">
        <v>0.20833333333333334</v>
      </c>
      <c r="G2076" s="62" t="b">
        <v>1</v>
      </c>
      <c r="H2076" s="78" t="b">
        <f>IF(VLOOKUP(C2076,Projetos!A:L,12,false)=TRUE,TRUE,FALSE)</f>
        <v>1</v>
      </c>
      <c r="I2076" s="68">
        <v>31.311547741620746</v>
      </c>
      <c r="J2076" s="68">
        <f t="shared" si="1"/>
        <v>156.5577387</v>
      </c>
      <c r="K2076" s="68" t="b">
        <v>1</v>
      </c>
    </row>
    <row r="2077" hidden="1">
      <c r="A2077" s="75">
        <v>2071.0</v>
      </c>
      <c r="B2077" s="62" t="s">
        <v>1253</v>
      </c>
      <c r="C2077" s="62" t="s">
        <v>100</v>
      </c>
      <c r="D2077" s="62" t="s">
        <v>1301</v>
      </c>
      <c r="E2077" s="76">
        <v>44151.0</v>
      </c>
      <c r="F2077" s="77">
        <v>0.16666666666666666</v>
      </c>
      <c r="G2077" s="62" t="b">
        <v>0</v>
      </c>
      <c r="H2077" s="78" t="b">
        <f>IF(VLOOKUP(C2077,Projetos!A:L,12,false)=TRUE,TRUE,FALSE)</f>
        <v>1</v>
      </c>
      <c r="I2077" s="68">
        <v>31.311547741620746</v>
      </c>
      <c r="J2077" s="68">
        <f t="shared" si="1"/>
        <v>0</v>
      </c>
      <c r="K2077" s="68" t="b">
        <v>1</v>
      </c>
    </row>
    <row r="2078" hidden="1">
      <c r="A2078" s="75">
        <v>2072.0</v>
      </c>
      <c r="B2078" s="62" t="s">
        <v>1253</v>
      </c>
      <c r="C2078" s="62" t="s">
        <v>89</v>
      </c>
      <c r="D2078" s="62" t="s">
        <v>1303</v>
      </c>
      <c r="E2078" s="76">
        <v>44151.0</v>
      </c>
      <c r="F2078" s="77">
        <v>0.125</v>
      </c>
      <c r="G2078" s="62" t="b">
        <v>1</v>
      </c>
      <c r="H2078" s="78" t="b">
        <f>IF(VLOOKUP(C2078,Projetos!A:L,12,false)=TRUE,TRUE,FALSE)</f>
        <v>1</v>
      </c>
      <c r="I2078" s="68">
        <v>31.311547741620746</v>
      </c>
      <c r="J2078" s="68">
        <f t="shared" si="1"/>
        <v>93.93464322</v>
      </c>
      <c r="K2078" s="68" t="b">
        <v>1</v>
      </c>
    </row>
    <row r="2079" hidden="1">
      <c r="A2079" s="75">
        <v>2073.0</v>
      </c>
      <c r="B2079" s="62" t="s">
        <v>1253</v>
      </c>
      <c r="C2079" s="62" t="s">
        <v>89</v>
      </c>
      <c r="D2079" s="62" t="s">
        <v>1303</v>
      </c>
      <c r="E2079" s="76">
        <v>44153.0</v>
      </c>
      <c r="F2079" s="77">
        <v>0.16666666666666666</v>
      </c>
      <c r="G2079" s="62" t="b">
        <v>1</v>
      </c>
      <c r="H2079" s="78" t="b">
        <f>IF(VLOOKUP(C2079,Projetos!A:L,12,false)=TRUE,TRUE,FALSE)</f>
        <v>1</v>
      </c>
      <c r="I2079" s="68">
        <v>31.311547741620746</v>
      </c>
      <c r="J2079" s="68">
        <f t="shared" si="1"/>
        <v>125.246191</v>
      </c>
      <c r="K2079" s="68" t="b">
        <v>1</v>
      </c>
    </row>
    <row r="2080" hidden="1">
      <c r="A2080" s="75">
        <v>2074.0</v>
      </c>
      <c r="B2080" s="62" t="s">
        <v>1253</v>
      </c>
      <c r="C2080" s="62" t="s">
        <v>103</v>
      </c>
      <c r="D2080" s="62" t="s">
        <v>1301</v>
      </c>
      <c r="E2080" s="76">
        <v>44153.0</v>
      </c>
      <c r="F2080" s="77">
        <v>0.125</v>
      </c>
      <c r="G2080" s="62" t="b">
        <v>0</v>
      </c>
      <c r="H2080" s="78" t="b">
        <f>IF(VLOOKUP(C2080,Projetos!A:L,12,false)=TRUE,TRUE,FALSE)</f>
        <v>1</v>
      </c>
      <c r="I2080" s="68">
        <v>31.311547741620746</v>
      </c>
      <c r="J2080" s="68">
        <f t="shared" si="1"/>
        <v>0</v>
      </c>
      <c r="K2080" s="68" t="b">
        <v>1</v>
      </c>
    </row>
    <row r="2081" hidden="1">
      <c r="A2081" s="75">
        <v>2075.0</v>
      </c>
      <c r="B2081" s="62" t="s">
        <v>1253</v>
      </c>
      <c r="C2081" s="62" t="s">
        <v>103</v>
      </c>
      <c r="D2081" s="62" t="s">
        <v>1301</v>
      </c>
      <c r="E2081" s="76">
        <v>44154.0</v>
      </c>
      <c r="F2081" s="77">
        <v>0.0625</v>
      </c>
      <c r="G2081" s="62" t="b">
        <v>0</v>
      </c>
      <c r="H2081" s="78" t="b">
        <f>IF(VLOOKUP(C2081,Projetos!A:L,12,false)=TRUE,TRUE,FALSE)</f>
        <v>1</v>
      </c>
      <c r="I2081" s="68">
        <v>31.311547741620746</v>
      </c>
      <c r="J2081" s="68">
        <f t="shared" si="1"/>
        <v>0</v>
      </c>
      <c r="K2081" s="68" t="b">
        <v>1</v>
      </c>
    </row>
    <row r="2082">
      <c r="A2082" s="75">
        <v>2076.0</v>
      </c>
      <c r="B2082" s="62" t="s">
        <v>1253</v>
      </c>
      <c r="C2082" s="62" t="s">
        <v>104</v>
      </c>
      <c r="D2082" s="62" t="s">
        <v>1304</v>
      </c>
      <c r="E2082" s="76">
        <v>44154.0</v>
      </c>
      <c r="F2082" s="77">
        <v>0.08333333333333333</v>
      </c>
      <c r="G2082" s="62" t="b">
        <v>0</v>
      </c>
      <c r="H2082" s="78" t="b">
        <f>IF(VLOOKUP(C2082,Projetos!A:L,12,false)=TRUE,TRUE,FALSE)</f>
        <v>1</v>
      </c>
      <c r="I2082" s="68">
        <v>31.311547741620746</v>
      </c>
      <c r="J2082" s="68">
        <f t="shared" si="1"/>
        <v>0</v>
      </c>
      <c r="K2082" s="68" t="b">
        <v>1</v>
      </c>
    </row>
    <row r="2083" hidden="1">
      <c r="A2083" s="75">
        <v>2077.0</v>
      </c>
      <c r="B2083" s="62" t="s">
        <v>1253</v>
      </c>
      <c r="C2083" s="62" t="s">
        <v>109</v>
      </c>
      <c r="D2083" s="62" t="s">
        <v>1301</v>
      </c>
      <c r="E2083" s="76">
        <v>44154.0</v>
      </c>
      <c r="F2083" s="77">
        <v>0.041666666666666664</v>
      </c>
      <c r="G2083" s="62" t="b">
        <v>0</v>
      </c>
      <c r="H2083" s="78" t="b">
        <f>IF(VLOOKUP(C2083,Projetos!A:L,12,false)=TRUE,TRUE,FALSE)</f>
        <v>0</v>
      </c>
      <c r="I2083" s="68">
        <v>31.311547741620746</v>
      </c>
      <c r="J2083" s="68">
        <f t="shared" si="1"/>
        <v>0</v>
      </c>
      <c r="K2083" s="68" t="b">
        <v>0</v>
      </c>
    </row>
    <row r="2084" hidden="1">
      <c r="A2084" s="75">
        <v>2078.0</v>
      </c>
      <c r="B2084" s="62" t="s">
        <v>1253</v>
      </c>
      <c r="C2084" s="62" t="s">
        <v>89</v>
      </c>
      <c r="D2084" s="62" t="s">
        <v>1303</v>
      </c>
      <c r="E2084" s="76">
        <v>44155.0</v>
      </c>
      <c r="F2084" s="77">
        <v>0.125</v>
      </c>
      <c r="G2084" s="62" t="b">
        <v>1</v>
      </c>
      <c r="H2084" s="78" t="b">
        <f>IF(VLOOKUP(C2084,Projetos!A:L,12,false)=TRUE,TRUE,FALSE)</f>
        <v>1</v>
      </c>
      <c r="I2084" s="68">
        <v>31.311547741620746</v>
      </c>
      <c r="J2084" s="68">
        <f t="shared" si="1"/>
        <v>93.93464322</v>
      </c>
      <c r="K2084" s="68" t="b">
        <v>1</v>
      </c>
    </row>
    <row r="2085" hidden="1">
      <c r="A2085" s="75">
        <v>2079.0</v>
      </c>
      <c r="B2085" s="62" t="s">
        <v>1253</v>
      </c>
      <c r="C2085" s="62" t="s">
        <v>109</v>
      </c>
      <c r="D2085" s="62" t="s">
        <v>1301</v>
      </c>
      <c r="E2085" s="76">
        <v>44155.0</v>
      </c>
      <c r="F2085" s="77">
        <v>0.125</v>
      </c>
      <c r="G2085" s="62" t="b">
        <v>0</v>
      </c>
      <c r="H2085" s="78" t="b">
        <f>IF(VLOOKUP(C2085,Projetos!A:L,12,false)=TRUE,TRUE,FALSE)</f>
        <v>0</v>
      </c>
      <c r="I2085" s="68">
        <v>31.311547741620746</v>
      </c>
      <c r="J2085" s="68">
        <f t="shared" si="1"/>
        <v>0</v>
      </c>
      <c r="K2085" s="68" t="b">
        <v>0</v>
      </c>
    </row>
    <row r="2086" hidden="1">
      <c r="A2086" s="75">
        <v>2080.0</v>
      </c>
      <c r="B2086" s="62" t="s">
        <v>1253</v>
      </c>
      <c r="C2086" s="62" t="s">
        <v>103</v>
      </c>
      <c r="D2086" s="62" t="s">
        <v>1301</v>
      </c>
      <c r="E2086" s="76">
        <v>44158.0</v>
      </c>
      <c r="F2086" s="77">
        <v>0.08333333333333333</v>
      </c>
      <c r="G2086" s="62" t="b">
        <v>0</v>
      </c>
      <c r="H2086" s="78" t="b">
        <f>IF(VLOOKUP(C2086,Projetos!A:L,12,false)=TRUE,TRUE,FALSE)</f>
        <v>1</v>
      </c>
      <c r="I2086" s="68">
        <v>31.311547741620746</v>
      </c>
      <c r="J2086" s="68">
        <f t="shared" si="1"/>
        <v>0</v>
      </c>
      <c r="K2086" s="68" t="b">
        <v>1</v>
      </c>
    </row>
    <row r="2087" hidden="1">
      <c r="A2087" s="75">
        <v>2081.0</v>
      </c>
      <c r="B2087" s="62" t="s">
        <v>1253</v>
      </c>
      <c r="C2087" s="62" t="s">
        <v>109</v>
      </c>
      <c r="D2087" s="62" t="s">
        <v>1301</v>
      </c>
      <c r="E2087" s="76">
        <v>44158.0</v>
      </c>
      <c r="F2087" s="77">
        <v>0.125</v>
      </c>
      <c r="G2087" s="62" t="b">
        <v>0</v>
      </c>
      <c r="H2087" s="78" t="b">
        <f>IF(VLOOKUP(C2087,Projetos!A:L,12,false)=TRUE,TRUE,FALSE)</f>
        <v>0</v>
      </c>
      <c r="I2087" s="68">
        <v>31.311547741620746</v>
      </c>
      <c r="J2087" s="68">
        <f t="shared" si="1"/>
        <v>0</v>
      </c>
      <c r="K2087" s="68" t="b">
        <v>0</v>
      </c>
    </row>
    <row r="2088" hidden="1">
      <c r="A2088" s="75">
        <v>2082.0</v>
      </c>
      <c r="B2088" s="62" t="s">
        <v>1253</v>
      </c>
      <c r="C2088" s="62" t="s">
        <v>111</v>
      </c>
      <c r="D2088" s="62" t="s">
        <v>1295</v>
      </c>
      <c r="E2088" s="76">
        <v>44159.0</v>
      </c>
      <c r="F2088" s="77">
        <v>0.08333333333333333</v>
      </c>
      <c r="G2088" s="62" t="b">
        <v>0</v>
      </c>
      <c r="H2088" s="78" t="b">
        <f>IF(VLOOKUP(C2088,Projetos!A:L,12,false)=TRUE,TRUE,FALSE)</f>
        <v>0</v>
      </c>
      <c r="I2088" s="68">
        <v>31.311547741620746</v>
      </c>
      <c r="J2088" s="68">
        <f t="shared" si="1"/>
        <v>0</v>
      </c>
      <c r="K2088" s="68" t="b">
        <v>0</v>
      </c>
    </row>
    <row r="2089" hidden="1">
      <c r="A2089" s="75">
        <v>2083.0</v>
      </c>
      <c r="B2089" s="62" t="s">
        <v>1253</v>
      </c>
      <c r="C2089" s="62" t="s">
        <v>111</v>
      </c>
      <c r="D2089" s="62" t="s">
        <v>1295</v>
      </c>
      <c r="E2089" s="76">
        <v>44160.0</v>
      </c>
      <c r="F2089" s="77">
        <v>0.16666666666666666</v>
      </c>
      <c r="G2089" s="62" t="b">
        <v>0</v>
      </c>
      <c r="H2089" s="78" t="b">
        <f>IF(VLOOKUP(C2089,Projetos!A:L,12,false)=TRUE,TRUE,FALSE)</f>
        <v>0</v>
      </c>
      <c r="I2089" s="68">
        <v>31.311547741620746</v>
      </c>
      <c r="J2089" s="68">
        <f t="shared" si="1"/>
        <v>0</v>
      </c>
      <c r="K2089" s="68" t="b">
        <v>0</v>
      </c>
    </row>
    <row r="2090" hidden="1">
      <c r="A2090" s="75">
        <v>2084.0</v>
      </c>
      <c r="B2090" s="62" t="s">
        <v>1253</v>
      </c>
      <c r="C2090" s="62" t="s">
        <v>109</v>
      </c>
      <c r="D2090" s="62" t="s">
        <v>1301</v>
      </c>
      <c r="E2090" s="76">
        <v>44161.0</v>
      </c>
      <c r="F2090" s="77">
        <v>0.08333333333333333</v>
      </c>
      <c r="G2090" s="62" t="b">
        <v>0</v>
      </c>
      <c r="H2090" s="78" t="b">
        <f>IF(VLOOKUP(C2090,Projetos!A:L,12,false)=TRUE,TRUE,FALSE)</f>
        <v>0</v>
      </c>
      <c r="I2090" s="68">
        <v>31.311547741620746</v>
      </c>
      <c r="J2090" s="68">
        <f t="shared" si="1"/>
        <v>0</v>
      </c>
      <c r="K2090" s="68" t="b">
        <v>0</v>
      </c>
    </row>
    <row r="2091" hidden="1">
      <c r="A2091" s="75">
        <v>2085.0</v>
      </c>
      <c r="B2091" s="62" t="s">
        <v>1253</v>
      </c>
      <c r="C2091" s="62" t="s">
        <v>109</v>
      </c>
      <c r="D2091" s="62" t="s">
        <v>1301</v>
      </c>
      <c r="E2091" s="76">
        <v>44162.0</v>
      </c>
      <c r="F2091" s="77">
        <v>0.041666666666666664</v>
      </c>
      <c r="G2091" s="62" t="b">
        <v>0</v>
      </c>
      <c r="H2091" s="78" t="b">
        <f>IF(VLOOKUP(C2091,Projetos!A:L,12,false)=TRUE,TRUE,FALSE)</f>
        <v>0</v>
      </c>
      <c r="I2091" s="68">
        <v>31.311547741620746</v>
      </c>
      <c r="J2091" s="68">
        <f t="shared" si="1"/>
        <v>0</v>
      </c>
      <c r="K2091" s="68" t="b">
        <v>0</v>
      </c>
    </row>
    <row r="2092" hidden="1">
      <c r="A2092" s="75">
        <v>2086.0</v>
      </c>
      <c r="B2092" s="62" t="s">
        <v>1253</v>
      </c>
      <c r="C2092" s="62" t="s">
        <v>110</v>
      </c>
      <c r="D2092" s="62" t="s">
        <v>1305</v>
      </c>
      <c r="E2092" s="76">
        <v>44165.0</v>
      </c>
      <c r="F2092" s="77">
        <v>0.08333333333333333</v>
      </c>
      <c r="G2092" s="62" t="b">
        <v>1</v>
      </c>
      <c r="H2092" s="78" t="b">
        <f>IF(VLOOKUP(C2092,Projetos!A:L,12,false)=TRUE,TRUE,FALSE)</f>
        <v>1</v>
      </c>
      <c r="I2092" s="68">
        <v>31.311547741620746</v>
      </c>
      <c r="J2092" s="68">
        <f t="shared" si="1"/>
        <v>62.62309548</v>
      </c>
      <c r="K2092" s="68" t="b">
        <v>1</v>
      </c>
    </row>
    <row r="2093" hidden="1">
      <c r="A2093" s="75">
        <v>2087.0</v>
      </c>
      <c r="B2093" s="62" t="s">
        <v>1253</v>
      </c>
      <c r="C2093" s="62" t="s">
        <v>109</v>
      </c>
      <c r="D2093" s="62" t="s">
        <v>1301</v>
      </c>
      <c r="E2093" s="76">
        <v>44166.0</v>
      </c>
      <c r="F2093" s="77">
        <v>0.125</v>
      </c>
      <c r="G2093" s="62" t="b">
        <v>0</v>
      </c>
      <c r="H2093" s="78" t="b">
        <f>IF(VLOOKUP(C2093,Projetos!A:L,12,false)=TRUE,TRUE,FALSE)</f>
        <v>0</v>
      </c>
      <c r="I2093" s="68">
        <v>32.80257382455507</v>
      </c>
      <c r="J2093" s="68">
        <f t="shared" si="1"/>
        <v>0</v>
      </c>
      <c r="K2093" s="68" t="b">
        <v>0</v>
      </c>
    </row>
    <row r="2094" hidden="1">
      <c r="A2094" s="75">
        <v>2088.0</v>
      </c>
      <c r="B2094" s="62" t="s">
        <v>1253</v>
      </c>
      <c r="C2094" s="62" t="s">
        <v>109</v>
      </c>
      <c r="D2094" s="62" t="s">
        <v>1301</v>
      </c>
      <c r="E2094" s="76">
        <v>44167.0</v>
      </c>
      <c r="F2094" s="77">
        <v>0.10416666666666667</v>
      </c>
      <c r="G2094" s="62" t="b">
        <v>0</v>
      </c>
      <c r="H2094" s="78" t="b">
        <f>IF(VLOOKUP(C2094,Projetos!A:L,12,false)=TRUE,TRUE,FALSE)</f>
        <v>0</v>
      </c>
      <c r="I2094" s="68">
        <v>32.80257382455507</v>
      </c>
      <c r="J2094" s="68">
        <f t="shared" si="1"/>
        <v>0</v>
      </c>
      <c r="K2094" s="68" t="b">
        <v>0</v>
      </c>
    </row>
    <row r="2095" hidden="1">
      <c r="A2095" s="75">
        <v>2089.0</v>
      </c>
      <c r="B2095" s="62" t="s">
        <v>1253</v>
      </c>
      <c r="C2095" s="62" t="s">
        <v>89</v>
      </c>
      <c r="D2095" s="62" t="s">
        <v>1303</v>
      </c>
      <c r="E2095" s="76">
        <v>44168.0</v>
      </c>
      <c r="F2095" s="77">
        <v>0.125</v>
      </c>
      <c r="G2095" s="62" t="b">
        <v>1</v>
      </c>
      <c r="H2095" s="78" t="b">
        <f>IF(VLOOKUP(C2095,Projetos!A:L,12,false)=TRUE,TRUE,FALSE)</f>
        <v>1</v>
      </c>
      <c r="I2095" s="68">
        <v>32.80257382455507</v>
      </c>
      <c r="J2095" s="68">
        <f t="shared" si="1"/>
        <v>98.40772147</v>
      </c>
      <c r="K2095" s="68" t="b">
        <v>1</v>
      </c>
    </row>
    <row r="2096" hidden="1">
      <c r="A2096" s="75">
        <v>2090.0</v>
      </c>
      <c r="B2096" s="62" t="s">
        <v>1253</v>
      </c>
      <c r="C2096" s="62" t="s">
        <v>109</v>
      </c>
      <c r="D2096" s="62" t="s">
        <v>1301</v>
      </c>
      <c r="E2096" s="76">
        <v>44168.0</v>
      </c>
      <c r="F2096" s="77">
        <v>0.08333333333333333</v>
      </c>
      <c r="G2096" s="62" t="b">
        <v>0</v>
      </c>
      <c r="H2096" s="78" t="b">
        <f>IF(VLOOKUP(C2096,Projetos!A:L,12,false)=TRUE,TRUE,FALSE)</f>
        <v>0</v>
      </c>
      <c r="I2096" s="68">
        <v>32.80257382455507</v>
      </c>
      <c r="J2096" s="68">
        <f t="shared" si="1"/>
        <v>0</v>
      </c>
      <c r="K2096" s="68" t="b">
        <v>0</v>
      </c>
    </row>
    <row r="2097" hidden="1">
      <c r="A2097" s="75">
        <v>2091.0</v>
      </c>
      <c r="B2097" s="62" t="s">
        <v>1253</v>
      </c>
      <c r="C2097" s="62" t="s">
        <v>109</v>
      </c>
      <c r="D2097" s="62" t="s">
        <v>1301</v>
      </c>
      <c r="E2097" s="76">
        <v>44169.0</v>
      </c>
      <c r="F2097" s="77">
        <v>0.125</v>
      </c>
      <c r="G2097" s="62" t="b">
        <v>0</v>
      </c>
      <c r="H2097" s="78" t="b">
        <f>IF(VLOOKUP(C2097,Projetos!A:L,12,false)=TRUE,TRUE,FALSE)</f>
        <v>0</v>
      </c>
      <c r="I2097" s="68">
        <v>32.80257382455507</v>
      </c>
      <c r="J2097" s="68">
        <f t="shared" si="1"/>
        <v>0</v>
      </c>
      <c r="K2097" s="68" t="b">
        <v>0</v>
      </c>
    </row>
    <row r="2098" hidden="1">
      <c r="A2098" s="75">
        <v>2092.0</v>
      </c>
      <c r="B2098" s="62" t="s">
        <v>1253</v>
      </c>
      <c r="C2098" s="62" t="s">
        <v>89</v>
      </c>
      <c r="D2098" s="62" t="s">
        <v>1303</v>
      </c>
      <c r="E2098" s="76">
        <v>44172.0</v>
      </c>
      <c r="F2098" s="77">
        <v>0.16666666666666666</v>
      </c>
      <c r="G2098" s="62" t="b">
        <v>1</v>
      </c>
      <c r="H2098" s="78" t="b">
        <f>IF(VLOOKUP(C2098,Projetos!A:L,12,false)=TRUE,TRUE,FALSE)</f>
        <v>1</v>
      </c>
      <c r="I2098" s="68">
        <v>32.80257382455507</v>
      </c>
      <c r="J2098" s="68">
        <f t="shared" si="1"/>
        <v>131.2102953</v>
      </c>
      <c r="K2098" s="68" t="b">
        <v>1</v>
      </c>
    </row>
    <row r="2099">
      <c r="A2099" s="75">
        <v>2093.0</v>
      </c>
      <c r="B2099" s="62" t="s">
        <v>1253</v>
      </c>
      <c r="C2099" s="62" t="s">
        <v>104</v>
      </c>
      <c r="D2099" s="62" t="s">
        <v>1304</v>
      </c>
      <c r="E2099" s="76">
        <v>44173.0</v>
      </c>
      <c r="F2099" s="77">
        <v>0.16666666666666666</v>
      </c>
      <c r="G2099" s="62" t="b">
        <v>0</v>
      </c>
      <c r="H2099" s="78" t="b">
        <f>IF(VLOOKUP(C2099,Projetos!A:L,12,false)=TRUE,TRUE,FALSE)</f>
        <v>1</v>
      </c>
      <c r="I2099" s="68">
        <v>32.80257382455507</v>
      </c>
      <c r="J2099" s="68">
        <f t="shared" si="1"/>
        <v>0</v>
      </c>
      <c r="K2099" s="68" t="b">
        <v>1</v>
      </c>
    </row>
    <row r="2100" hidden="1">
      <c r="A2100" s="75">
        <v>2094.0</v>
      </c>
      <c r="B2100" s="62" t="s">
        <v>1253</v>
      </c>
      <c r="C2100" s="62" t="s">
        <v>89</v>
      </c>
      <c r="D2100" s="62" t="s">
        <v>1303</v>
      </c>
      <c r="E2100" s="76">
        <v>44173.0</v>
      </c>
      <c r="F2100" s="77">
        <v>0.08333333333333333</v>
      </c>
      <c r="G2100" s="62" t="b">
        <v>1</v>
      </c>
      <c r="H2100" s="78" t="b">
        <f>IF(VLOOKUP(C2100,Projetos!A:L,12,false)=TRUE,TRUE,FALSE)</f>
        <v>1</v>
      </c>
      <c r="I2100" s="68">
        <v>32.80257382455507</v>
      </c>
      <c r="J2100" s="68">
        <f t="shared" si="1"/>
        <v>65.60514765</v>
      </c>
      <c r="K2100" s="68" t="b">
        <v>1</v>
      </c>
    </row>
    <row r="2101" hidden="1">
      <c r="A2101" s="75">
        <v>2095.0</v>
      </c>
      <c r="B2101" s="62" t="s">
        <v>1253</v>
      </c>
      <c r="C2101" s="62" t="s">
        <v>89</v>
      </c>
      <c r="D2101" s="62" t="s">
        <v>1303</v>
      </c>
      <c r="E2101" s="76">
        <v>44174.0</v>
      </c>
      <c r="F2101" s="77">
        <v>0.125</v>
      </c>
      <c r="G2101" s="62" t="b">
        <v>1</v>
      </c>
      <c r="H2101" s="78" t="b">
        <f>IF(VLOOKUP(C2101,Projetos!A:L,12,false)=TRUE,TRUE,FALSE)</f>
        <v>1</v>
      </c>
      <c r="I2101" s="68">
        <v>32.80257382455507</v>
      </c>
      <c r="J2101" s="68">
        <f t="shared" si="1"/>
        <v>98.40772147</v>
      </c>
      <c r="K2101" s="68" t="b">
        <v>1</v>
      </c>
    </row>
    <row r="2102" hidden="1">
      <c r="A2102" s="75">
        <v>2096.0</v>
      </c>
      <c r="B2102" s="62" t="s">
        <v>1253</v>
      </c>
      <c r="C2102" s="62" t="s">
        <v>109</v>
      </c>
      <c r="D2102" s="62" t="s">
        <v>1301</v>
      </c>
      <c r="E2102" s="76">
        <v>44179.0</v>
      </c>
      <c r="F2102" s="77">
        <v>0.25</v>
      </c>
      <c r="G2102" s="62" t="b">
        <v>0</v>
      </c>
      <c r="H2102" s="78" t="b">
        <f>IF(VLOOKUP(C2102,Projetos!A:L,12,false)=TRUE,TRUE,FALSE)</f>
        <v>0</v>
      </c>
      <c r="I2102" s="68">
        <v>32.80257382455507</v>
      </c>
      <c r="J2102" s="68">
        <f t="shared" si="1"/>
        <v>0</v>
      </c>
      <c r="K2102" s="68" t="b">
        <v>0</v>
      </c>
    </row>
    <row r="2103">
      <c r="A2103" s="75">
        <v>2097.0</v>
      </c>
      <c r="B2103" s="62" t="s">
        <v>1253</v>
      </c>
      <c r="C2103" s="62" t="s">
        <v>104</v>
      </c>
      <c r="D2103" s="62" t="s">
        <v>1304</v>
      </c>
      <c r="E2103" s="76">
        <v>44179.0</v>
      </c>
      <c r="F2103" s="77">
        <v>0.041666666666666664</v>
      </c>
      <c r="G2103" s="62" t="b">
        <v>0</v>
      </c>
      <c r="H2103" s="78" t="b">
        <f>IF(VLOOKUP(C2103,Projetos!A:L,12,false)=TRUE,TRUE,FALSE)</f>
        <v>1</v>
      </c>
      <c r="I2103" s="68">
        <v>32.80257382455507</v>
      </c>
      <c r="J2103" s="68">
        <f t="shared" si="1"/>
        <v>0</v>
      </c>
      <c r="K2103" s="68" t="b">
        <v>1</v>
      </c>
    </row>
    <row r="2104" hidden="1">
      <c r="A2104" s="75">
        <v>2098.0</v>
      </c>
      <c r="B2104" s="62" t="s">
        <v>1253</v>
      </c>
      <c r="C2104" s="62" t="s">
        <v>109</v>
      </c>
      <c r="D2104" s="62" t="s">
        <v>1301</v>
      </c>
      <c r="E2104" s="76">
        <v>44180.0</v>
      </c>
      <c r="F2104" s="77">
        <v>0.14583333333333334</v>
      </c>
      <c r="G2104" s="62" t="b">
        <v>0</v>
      </c>
      <c r="H2104" s="78" t="b">
        <f>IF(VLOOKUP(C2104,Projetos!A:L,12,false)=TRUE,TRUE,FALSE)</f>
        <v>0</v>
      </c>
      <c r="I2104" s="68">
        <v>32.80257382455507</v>
      </c>
      <c r="J2104" s="68">
        <f t="shared" si="1"/>
        <v>0</v>
      </c>
      <c r="K2104" s="68" t="b">
        <v>0</v>
      </c>
    </row>
    <row r="2105" hidden="1">
      <c r="A2105" s="75">
        <v>2099.0</v>
      </c>
      <c r="B2105" s="62" t="s">
        <v>1253</v>
      </c>
      <c r="C2105" s="62" t="s">
        <v>109</v>
      </c>
      <c r="D2105" s="62" t="s">
        <v>1301</v>
      </c>
      <c r="E2105" s="76">
        <v>44181.0</v>
      </c>
      <c r="F2105" s="77">
        <v>0.125</v>
      </c>
      <c r="G2105" s="62" t="b">
        <v>0</v>
      </c>
      <c r="H2105" s="78" t="b">
        <f>IF(VLOOKUP(C2105,Projetos!A:L,12,false)=TRUE,TRUE,FALSE)</f>
        <v>0</v>
      </c>
      <c r="I2105" s="68">
        <v>32.80257382455507</v>
      </c>
      <c r="J2105" s="68">
        <f t="shared" si="1"/>
        <v>0</v>
      </c>
      <c r="K2105" s="68" t="b">
        <v>0</v>
      </c>
    </row>
    <row r="2106">
      <c r="A2106" s="75">
        <v>2100.0</v>
      </c>
      <c r="B2106" s="62" t="s">
        <v>1253</v>
      </c>
      <c r="C2106" s="62" t="s">
        <v>104</v>
      </c>
      <c r="D2106" s="62" t="s">
        <v>1304</v>
      </c>
      <c r="E2106" s="76">
        <v>44181.0</v>
      </c>
      <c r="F2106" s="77">
        <v>0.041666666666666664</v>
      </c>
      <c r="G2106" s="62" t="b">
        <v>0</v>
      </c>
      <c r="H2106" s="78" t="b">
        <f>IF(VLOOKUP(C2106,Projetos!A:L,12,false)=TRUE,TRUE,FALSE)</f>
        <v>1</v>
      </c>
      <c r="I2106" s="68">
        <v>32.80257382455507</v>
      </c>
      <c r="J2106" s="68">
        <f t="shared" si="1"/>
        <v>0</v>
      </c>
      <c r="K2106" s="68" t="b">
        <v>1</v>
      </c>
    </row>
    <row r="2107">
      <c r="A2107" s="75">
        <v>2101.0</v>
      </c>
      <c r="B2107" s="62" t="s">
        <v>1253</v>
      </c>
      <c r="C2107" s="62" t="s">
        <v>104</v>
      </c>
      <c r="D2107" s="62" t="s">
        <v>1304</v>
      </c>
      <c r="E2107" s="76">
        <v>44182.0</v>
      </c>
      <c r="F2107" s="77">
        <v>0.041666666666666664</v>
      </c>
      <c r="G2107" s="62" t="b">
        <v>0</v>
      </c>
      <c r="H2107" s="78" t="b">
        <f>IF(VLOOKUP(C2107,Projetos!A:L,12,false)=TRUE,TRUE,FALSE)</f>
        <v>1</v>
      </c>
      <c r="I2107" s="68">
        <v>32.80257382455507</v>
      </c>
      <c r="J2107" s="68">
        <f t="shared" si="1"/>
        <v>0</v>
      </c>
      <c r="K2107" s="68" t="b">
        <v>1</v>
      </c>
    </row>
    <row r="2108" hidden="1">
      <c r="A2108" s="75">
        <v>2102.0</v>
      </c>
      <c r="B2108" s="62" t="s">
        <v>1253</v>
      </c>
      <c r="C2108" s="62" t="s">
        <v>109</v>
      </c>
      <c r="D2108" s="62" t="s">
        <v>1301</v>
      </c>
      <c r="E2108" s="76">
        <v>44182.0</v>
      </c>
      <c r="F2108" s="77">
        <v>0.25</v>
      </c>
      <c r="G2108" s="62" t="b">
        <v>0</v>
      </c>
      <c r="H2108" s="78" t="b">
        <f>IF(VLOOKUP(C2108,Projetos!A:L,12,false)=TRUE,TRUE,FALSE)</f>
        <v>0</v>
      </c>
      <c r="I2108" s="68">
        <v>32.80257382455507</v>
      </c>
      <c r="J2108" s="68">
        <f t="shared" si="1"/>
        <v>0</v>
      </c>
      <c r="K2108" s="68" t="b">
        <v>0</v>
      </c>
    </row>
    <row r="2109" hidden="1">
      <c r="A2109" s="75">
        <v>2103.0</v>
      </c>
      <c r="B2109" s="62" t="s">
        <v>1253</v>
      </c>
      <c r="C2109" s="62" t="s">
        <v>109</v>
      </c>
      <c r="D2109" s="62" t="s">
        <v>1301</v>
      </c>
      <c r="E2109" s="76">
        <v>44183.0</v>
      </c>
      <c r="F2109" s="77">
        <v>0.25</v>
      </c>
      <c r="G2109" s="62" t="b">
        <v>0</v>
      </c>
      <c r="H2109" s="78" t="b">
        <f>IF(VLOOKUP(C2109,Projetos!A:L,12,false)=TRUE,TRUE,FALSE)</f>
        <v>0</v>
      </c>
      <c r="I2109" s="68">
        <v>32.80257382455507</v>
      </c>
      <c r="J2109" s="68">
        <f t="shared" si="1"/>
        <v>0</v>
      </c>
      <c r="K2109" s="68" t="b">
        <v>0</v>
      </c>
    </row>
    <row r="2110" hidden="1">
      <c r="A2110" s="75">
        <v>2104.0</v>
      </c>
      <c r="B2110" s="62" t="s">
        <v>1253</v>
      </c>
      <c r="C2110" s="62" t="s">
        <v>109</v>
      </c>
      <c r="D2110" s="62" t="s">
        <v>1301</v>
      </c>
      <c r="E2110" s="76">
        <v>44186.0</v>
      </c>
      <c r="F2110" s="77">
        <v>0.20833333333333334</v>
      </c>
      <c r="G2110" s="62" t="b">
        <v>0</v>
      </c>
      <c r="H2110" s="78" t="b">
        <f>IF(VLOOKUP(C2110,Projetos!A:L,12,false)=TRUE,TRUE,FALSE)</f>
        <v>0</v>
      </c>
      <c r="I2110" s="68">
        <v>32.80257382455507</v>
      </c>
      <c r="J2110" s="68">
        <f t="shared" si="1"/>
        <v>0</v>
      </c>
      <c r="K2110" s="68" t="b">
        <v>0</v>
      </c>
    </row>
    <row r="2111">
      <c r="A2111" s="75">
        <v>2105.0</v>
      </c>
      <c r="B2111" s="62" t="s">
        <v>1253</v>
      </c>
      <c r="C2111" s="62" t="s">
        <v>104</v>
      </c>
      <c r="D2111" s="62" t="s">
        <v>1304</v>
      </c>
      <c r="E2111" s="76">
        <v>44187.0</v>
      </c>
      <c r="F2111" s="77">
        <v>0.041666666666666664</v>
      </c>
      <c r="G2111" s="62" t="b">
        <v>0</v>
      </c>
      <c r="H2111" s="78" t="b">
        <f>IF(VLOOKUP(C2111,Projetos!A:L,12,false)=TRUE,TRUE,FALSE)</f>
        <v>1</v>
      </c>
      <c r="I2111" s="68">
        <v>32.80257382455507</v>
      </c>
      <c r="J2111" s="68">
        <f t="shared" si="1"/>
        <v>0</v>
      </c>
      <c r="K2111" s="68" t="b">
        <v>1</v>
      </c>
    </row>
    <row r="2112" hidden="1">
      <c r="A2112" s="75">
        <v>2106.0</v>
      </c>
      <c r="B2112" s="62" t="s">
        <v>1253</v>
      </c>
      <c r="C2112" s="62" t="s">
        <v>84</v>
      </c>
      <c r="D2112" s="62" t="s">
        <v>1289</v>
      </c>
      <c r="E2112" s="76">
        <v>44188.0</v>
      </c>
      <c r="F2112" s="77">
        <v>0.125</v>
      </c>
      <c r="G2112" s="62" t="b">
        <v>1</v>
      </c>
      <c r="H2112" s="78" t="b">
        <f>IF(VLOOKUP(C2112,Projetos!A:L,12,false)=TRUE,TRUE,FALSE)</f>
        <v>1</v>
      </c>
      <c r="I2112" s="68">
        <v>32.80257382455507</v>
      </c>
      <c r="J2112" s="68">
        <f t="shared" si="1"/>
        <v>98.40772147</v>
      </c>
      <c r="K2112" s="68" t="b">
        <v>1</v>
      </c>
    </row>
    <row r="2113" hidden="1">
      <c r="A2113" s="75">
        <v>2107.0</v>
      </c>
      <c r="B2113" s="62" t="s">
        <v>1253</v>
      </c>
      <c r="C2113" s="62" t="s">
        <v>109</v>
      </c>
      <c r="D2113" s="62" t="s">
        <v>1301</v>
      </c>
      <c r="E2113" s="76">
        <v>44188.0</v>
      </c>
      <c r="F2113" s="77">
        <v>0.16666666666666666</v>
      </c>
      <c r="G2113" s="62" t="b">
        <v>0</v>
      </c>
      <c r="H2113" s="78" t="b">
        <f>IF(VLOOKUP(C2113,Projetos!A:L,12,false)=TRUE,TRUE,FALSE)</f>
        <v>0</v>
      </c>
      <c r="I2113" s="68">
        <v>32.80257382455507</v>
      </c>
      <c r="J2113" s="68">
        <f t="shared" si="1"/>
        <v>0</v>
      </c>
      <c r="K2113" s="68" t="b">
        <v>0</v>
      </c>
    </row>
    <row r="2114" hidden="1">
      <c r="A2114" s="75">
        <v>2108.0</v>
      </c>
      <c r="B2114" s="62" t="s">
        <v>1253</v>
      </c>
      <c r="C2114" s="62" t="s">
        <v>84</v>
      </c>
      <c r="D2114" s="62" t="s">
        <v>1289</v>
      </c>
      <c r="E2114" s="76">
        <v>44193.0</v>
      </c>
      <c r="F2114" s="77">
        <v>0.16666666666666666</v>
      </c>
      <c r="G2114" s="62" t="b">
        <v>1</v>
      </c>
      <c r="H2114" s="78" t="b">
        <f>IF(VLOOKUP(C2114,Projetos!A:L,12,false)=TRUE,TRUE,FALSE)</f>
        <v>1</v>
      </c>
      <c r="I2114" s="68">
        <v>32.80257382455507</v>
      </c>
      <c r="J2114" s="68">
        <f t="shared" si="1"/>
        <v>131.2102953</v>
      </c>
      <c r="K2114" s="68" t="b">
        <v>1</v>
      </c>
    </row>
    <row r="2115" hidden="1">
      <c r="A2115" s="75">
        <v>2109.0</v>
      </c>
      <c r="B2115" s="62" t="s">
        <v>1253</v>
      </c>
      <c r="C2115" s="62" t="s">
        <v>84</v>
      </c>
      <c r="D2115" s="62" t="s">
        <v>1289</v>
      </c>
      <c r="E2115" s="76">
        <v>44195.0</v>
      </c>
      <c r="F2115" s="77">
        <v>0.16666666666666666</v>
      </c>
      <c r="G2115" s="62" t="b">
        <v>1</v>
      </c>
      <c r="H2115" s="78" t="b">
        <f>IF(VLOOKUP(C2115,Projetos!A:L,12,false)=TRUE,TRUE,FALSE)</f>
        <v>1</v>
      </c>
      <c r="I2115" s="68">
        <v>32.80257382455507</v>
      </c>
      <c r="J2115" s="68">
        <f t="shared" si="1"/>
        <v>131.2102953</v>
      </c>
      <c r="K2115" s="68" t="b">
        <v>1</v>
      </c>
    </row>
    <row r="2116" hidden="1">
      <c r="A2116" s="75">
        <v>2110.0</v>
      </c>
      <c r="B2116" s="62" t="s">
        <v>1306</v>
      </c>
      <c r="C2116" s="62" t="s">
        <v>138</v>
      </c>
      <c r="D2116" s="62" t="s">
        <v>1307</v>
      </c>
      <c r="E2116" s="76">
        <v>43845.0</v>
      </c>
      <c r="F2116" s="77">
        <v>0.10416666666666667</v>
      </c>
      <c r="G2116" s="62" t="b">
        <v>1</v>
      </c>
      <c r="H2116" s="78" t="b">
        <f>IF(VLOOKUP(C2116,Projetos!A:L,12,false)=TRUE,TRUE,FALSE)</f>
        <v>1</v>
      </c>
      <c r="I2116" s="68">
        <v>37.66052106481481</v>
      </c>
      <c r="J2116" s="68">
        <f t="shared" si="1"/>
        <v>94.15130266</v>
      </c>
      <c r="K2116" s="68" t="b">
        <v>1</v>
      </c>
    </row>
    <row r="2117" hidden="1">
      <c r="A2117" s="75">
        <v>2111.0</v>
      </c>
      <c r="B2117" s="62" t="s">
        <v>1306</v>
      </c>
      <c r="C2117" s="62" t="s">
        <v>138</v>
      </c>
      <c r="D2117" s="62" t="s">
        <v>1307</v>
      </c>
      <c r="E2117" s="76">
        <v>43846.0</v>
      </c>
      <c r="F2117" s="77">
        <v>0.125</v>
      </c>
      <c r="G2117" s="62" t="b">
        <v>1</v>
      </c>
      <c r="H2117" s="78" t="b">
        <f>IF(VLOOKUP(C2117,Projetos!A:L,12,false)=TRUE,TRUE,FALSE)</f>
        <v>1</v>
      </c>
      <c r="I2117" s="68">
        <v>37.66052106481481</v>
      </c>
      <c r="J2117" s="68">
        <f t="shared" si="1"/>
        <v>112.9815632</v>
      </c>
      <c r="K2117" s="68" t="b">
        <v>1</v>
      </c>
    </row>
    <row r="2118" hidden="1">
      <c r="A2118" s="75">
        <v>2112.0</v>
      </c>
      <c r="B2118" s="62" t="s">
        <v>1306</v>
      </c>
      <c r="C2118" s="62" t="s">
        <v>138</v>
      </c>
      <c r="D2118" s="62" t="s">
        <v>1308</v>
      </c>
      <c r="E2118" s="76">
        <v>43846.0</v>
      </c>
      <c r="F2118" s="77">
        <v>0.0625</v>
      </c>
      <c r="G2118" s="62" t="b">
        <v>1</v>
      </c>
      <c r="H2118" s="78" t="b">
        <f>IF(VLOOKUP(C2118,Projetos!A:L,12,false)=TRUE,TRUE,FALSE)</f>
        <v>1</v>
      </c>
      <c r="I2118" s="68">
        <v>37.66052106481481</v>
      </c>
      <c r="J2118" s="68">
        <f t="shared" si="1"/>
        <v>56.4907816</v>
      </c>
      <c r="K2118" s="68" t="b">
        <v>1</v>
      </c>
    </row>
    <row r="2119" hidden="1">
      <c r="A2119" s="75">
        <v>2113.0</v>
      </c>
      <c r="B2119" s="62" t="s">
        <v>1306</v>
      </c>
      <c r="C2119" s="62" t="s">
        <v>138</v>
      </c>
      <c r="D2119" s="62" t="s">
        <v>1309</v>
      </c>
      <c r="E2119" s="76">
        <v>43850.0</v>
      </c>
      <c r="F2119" s="77">
        <v>0.1875</v>
      </c>
      <c r="G2119" s="62" t="b">
        <v>1</v>
      </c>
      <c r="H2119" s="78" t="b">
        <f>IF(VLOOKUP(C2119,Projetos!A:L,12,false)=TRUE,TRUE,FALSE)</f>
        <v>1</v>
      </c>
      <c r="I2119" s="68">
        <v>37.66052106481481</v>
      </c>
      <c r="J2119" s="68">
        <f t="shared" si="1"/>
        <v>169.4723448</v>
      </c>
      <c r="K2119" s="68" t="b">
        <v>1</v>
      </c>
    </row>
    <row r="2120" hidden="1">
      <c r="A2120" s="75">
        <v>2114.0</v>
      </c>
      <c r="B2120" s="62" t="s">
        <v>1306</v>
      </c>
      <c r="C2120" s="62" t="s">
        <v>138</v>
      </c>
      <c r="D2120" s="62" t="s">
        <v>1309</v>
      </c>
      <c r="E2120" s="76">
        <v>43859.0</v>
      </c>
      <c r="F2120" s="77">
        <v>0.17708333333333334</v>
      </c>
      <c r="G2120" s="62" t="b">
        <v>1</v>
      </c>
      <c r="H2120" s="78" t="b">
        <f>IF(VLOOKUP(C2120,Projetos!A:L,12,false)=TRUE,TRUE,FALSE)</f>
        <v>1</v>
      </c>
      <c r="I2120" s="68">
        <v>37.66052106481481</v>
      </c>
      <c r="J2120" s="68">
        <f t="shared" si="1"/>
        <v>160.0572145</v>
      </c>
      <c r="K2120" s="68" t="b">
        <v>1</v>
      </c>
    </row>
    <row r="2121" hidden="1">
      <c r="A2121" s="75">
        <v>2115.0</v>
      </c>
      <c r="B2121" s="62" t="s">
        <v>1306</v>
      </c>
      <c r="C2121" s="62" t="s">
        <v>138</v>
      </c>
      <c r="D2121" s="62" t="s">
        <v>1308</v>
      </c>
      <c r="E2121" s="76">
        <v>43861.0</v>
      </c>
      <c r="F2121" s="77">
        <v>0.07291666666666667</v>
      </c>
      <c r="G2121" s="62" t="b">
        <v>1</v>
      </c>
      <c r="H2121" s="78" t="b">
        <f>IF(VLOOKUP(C2121,Projetos!A:L,12,false)=TRUE,TRUE,FALSE)</f>
        <v>1</v>
      </c>
      <c r="I2121" s="68">
        <v>37.66052106481481</v>
      </c>
      <c r="J2121" s="68">
        <f t="shared" si="1"/>
        <v>65.90591186</v>
      </c>
      <c r="K2121" s="68" t="b">
        <v>1</v>
      </c>
    </row>
    <row r="2122" hidden="1">
      <c r="A2122" s="75">
        <v>2116.0</v>
      </c>
      <c r="B2122" s="62" t="s">
        <v>1306</v>
      </c>
      <c r="C2122" s="62" t="s">
        <v>83</v>
      </c>
      <c r="D2122" s="62" t="s">
        <v>1310</v>
      </c>
      <c r="E2122" s="76">
        <v>43853.0</v>
      </c>
      <c r="F2122" s="77">
        <v>0.0625</v>
      </c>
      <c r="G2122" s="62" t="b">
        <v>0</v>
      </c>
      <c r="H2122" s="78" t="b">
        <f>IF(VLOOKUP(C2122,Projetos!A:L,12,false)=TRUE,TRUE,FALSE)</f>
        <v>0</v>
      </c>
      <c r="I2122" s="68">
        <v>37.66052106481481</v>
      </c>
      <c r="J2122" s="68">
        <f t="shared" si="1"/>
        <v>0</v>
      </c>
      <c r="K2122" s="68" t="b">
        <v>0</v>
      </c>
    </row>
    <row r="2123" hidden="1">
      <c r="A2123" s="75">
        <v>2117.0</v>
      </c>
      <c r="B2123" s="62" t="s">
        <v>1306</v>
      </c>
      <c r="C2123" s="62" t="s">
        <v>88</v>
      </c>
      <c r="D2123" s="62" t="s">
        <v>1311</v>
      </c>
      <c r="E2123" s="76">
        <v>43844.0</v>
      </c>
      <c r="F2123" s="77">
        <v>0.10416666666666667</v>
      </c>
      <c r="G2123" s="62" t="b">
        <v>1</v>
      </c>
      <c r="H2123" s="78" t="b">
        <f>IF(VLOOKUP(C2123,Projetos!A:L,12,false)=TRUE,TRUE,FALSE)</f>
        <v>1</v>
      </c>
      <c r="I2123" s="68">
        <v>37.66052106481481</v>
      </c>
      <c r="J2123" s="68">
        <f t="shared" si="1"/>
        <v>94.15130266</v>
      </c>
      <c r="K2123" s="68" t="b">
        <v>1</v>
      </c>
    </row>
    <row r="2124" hidden="1">
      <c r="A2124" s="75">
        <v>2118.0</v>
      </c>
      <c r="B2124" s="62" t="s">
        <v>1306</v>
      </c>
      <c r="C2124" s="62" t="s">
        <v>98</v>
      </c>
      <c r="D2124" s="62" t="s">
        <v>1312</v>
      </c>
      <c r="E2124" s="76">
        <v>43844.0</v>
      </c>
      <c r="F2124" s="77">
        <v>0.125</v>
      </c>
      <c r="G2124" s="62" t="b">
        <v>1</v>
      </c>
      <c r="H2124" s="78" t="b">
        <f>IF(VLOOKUP(C2124,Projetos!A:L,12,false)=TRUE,TRUE,FALSE)</f>
        <v>1</v>
      </c>
      <c r="I2124" s="68">
        <v>37.66052106481481</v>
      </c>
      <c r="J2124" s="68">
        <f t="shared" si="1"/>
        <v>112.9815632</v>
      </c>
      <c r="K2124" s="68" t="b">
        <v>1</v>
      </c>
    </row>
    <row r="2125" hidden="1">
      <c r="A2125" s="75">
        <v>2119.0</v>
      </c>
      <c r="B2125" s="62" t="s">
        <v>1306</v>
      </c>
      <c r="C2125" s="62" t="s">
        <v>98</v>
      </c>
      <c r="D2125" s="62" t="s">
        <v>1313</v>
      </c>
      <c r="E2125" s="76">
        <v>43858.0</v>
      </c>
      <c r="F2125" s="77">
        <v>0.041666666666666664</v>
      </c>
      <c r="G2125" s="62" t="b">
        <v>1</v>
      </c>
      <c r="H2125" s="78" t="b">
        <f>IF(VLOOKUP(C2125,Projetos!A:L,12,false)=TRUE,TRUE,FALSE)</f>
        <v>1</v>
      </c>
      <c r="I2125" s="68">
        <v>37.66052106481481</v>
      </c>
      <c r="J2125" s="68">
        <f t="shared" si="1"/>
        <v>37.66052106</v>
      </c>
      <c r="K2125" s="68" t="b">
        <v>1</v>
      </c>
    </row>
    <row r="2126" hidden="1">
      <c r="A2126" s="75">
        <v>2120.0</v>
      </c>
      <c r="B2126" s="62" t="s">
        <v>1306</v>
      </c>
      <c r="C2126" s="62" t="s">
        <v>98</v>
      </c>
      <c r="D2126" s="62" t="s">
        <v>1314</v>
      </c>
      <c r="E2126" s="76">
        <v>43861.0</v>
      </c>
      <c r="F2126" s="77">
        <v>0.041666666666666664</v>
      </c>
      <c r="G2126" s="62" t="b">
        <v>1</v>
      </c>
      <c r="H2126" s="78" t="b">
        <f>IF(VLOOKUP(C2126,Projetos!A:L,12,false)=TRUE,TRUE,FALSE)</f>
        <v>1</v>
      </c>
      <c r="I2126" s="68">
        <v>37.66052106481481</v>
      </c>
      <c r="J2126" s="68">
        <f t="shared" si="1"/>
        <v>37.66052106</v>
      </c>
      <c r="K2126" s="68" t="b">
        <v>1</v>
      </c>
    </row>
    <row r="2127" hidden="1">
      <c r="A2127" s="75">
        <v>2121.0</v>
      </c>
      <c r="B2127" s="62" t="s">
        <v>1306</v>
      </c>
      <c r="C2127" s="62" t="s">
        <v>100</v>
      </c>
      <c r="D2127" s="62" t="s">
        <v>214</v>
      </c>
      <c r="E2127" s="76">
        <v>43839.0</v>
      </c>
      <c r="F2127" s="77">
        <v>0.375</v>
      </c>
      <c r="G2127" s="62" t="b">
        <v>1</v>
      </c>
      <c r="H2127" s="78" t="b">
        <f>IF(VLOOKUP(C2127,Projetos!A:L,12,false)=TRUE,TRUE,FALSE)</f>
        <v>1</v>
      </c>
      <c r="I2127" s="68">
        <v>37.66052106481481</v>
      </c>
      <c r="J2127" s="68">
        <f t="shared" si="1"/>
        <v>338.9446896</v>
      </c>
      <c r="K2127" s="68" t="b">
        <v>1</v>
      </c>
    </row>
    <row r="2128" hidden="1">
      <c r="A2128" s="75">
        <v>2122.0</v>
      </c>
      <c r="B2128" s="62" t="s">
        <v>1306</v>
      </c>
      <c r="C2128" s="62" t="s">
        <v>100</v>
      </c>
      <c r="D2128" s="62" t="s">
        <v>1315</v>
      </c>
      <c r="E2128" s="76">
        <v>43840.0</v>
      </c>
      <c r="F2128" s="77">
        <v>0.0625</v>
      </c>
      <c r="G2128" s="62" t="b">
        <v>1</v>
      </c>
      <c r="H2128" s="78" t="b">
        <f>IF(VLOOKUP(C2128,Projetos!A:L,12,false)=TRUE,TRUE,FALSE)</f>
        <v>1</v>
      </c>
      <c r="I2128" s="68">
        <v>37.66052106481481</v>
      </c>
      <c r="J2128" s="68">
        <f t="shared" si="1"/>
        <v>56.4907816</v>
      </c>
      <c r="K2128" s="68" t="b">
        <v>1</v>
      </c>
    </row>
    <row r="2129" hidden="1">
      <c r="A2129" s="75">
        <v>2123.0</v>
      </c>
      <c r="B2129" s="62" t="s">
        <v>1306</v>
      </c>
      <c r="C2129" s="62" t="s">
        <v>100</v>
      </c>
      <c r="D2129" s="62" t="s">
        <v>1316</v>
      </c>
      <c r="E2129" s="76">
        <v>43843.0</v>
      </c>
      <c r="F2129" s="77">
        <v>0.10416666666666667</v>
      </c>
      <c r="G2129" s="62" t="b">
        <v>1</v>
      </c>
      <c r="H2129" s="78" t="b">
        <f>IF(VLOOKUP(C2129,Projetos!A:L,12,false)=TRUE,TRUE,FALSE)</f>
        <v>1</v>
      </c>
      <c r="I2129" s="68">
        <v>37.66052106481481</v>
      </c>
      <c r="J2129" s="68">
        <f t="shared" si="1"/>
        <v>94.15130266</v>
      </c>
      <c r="K2129" s="68" t="b">
        <v>1</v>
      </c>
    </row>
    <row r="2130" hidden="1">
      <c r="A2130" s="75">
        <v>2124.0</v>
      </c>
      <c r="B2130" s="62" t="s">
        <v>1306</v>
      </c>
      <c r="C2130" s="62" t="s">
        <v>100</v>
      </c>
      <c r="D2130" s="62" t="s">
        <v>1317</v>
      </c>
      <c r="E2130" s="76">
        <v>43857.0</v>
      </c>
      <c r="F2130" s="77">
        <v>0.125</v>
      </c>
      <c r="G2130" s="62" t="b">
        <v>1</v>
      </c>
      <c r="H2130" s="78" t="b">
        <f>IF(VLOOKUP(C2130,Projetos!A:L,12,false)=TRUE,TRUE,FALSE)</f>
        <v>1</v>
      </c>
      <c r="I2130" s="68">
        <v>37.66052106481481</v>
      </c>
      <c r="J2130" s="68">
        <f t="shared" si="1"/>
        <v>112.9815632</v>
      </c>
      <c r="K2130" s="68" t="b">
        <v>1</v>
      </c>
    </row>
    <row r="2131" hidden="1">
      <c r="A2131" s="75">
        <v>2125.0</v>
      </c>
      <c r="B2131" s="62" t="s">
        <v>1306</v>
      </c>
      <c r="C2131" s="62" t="s">
        <v>100</v>
      </c>
      <c r="D2131" s="62" t="s">
        <v>1311</v>
      </c>
      <c r="E2131" s="76">
        <v>43860.0</v>
      </c>
      <c r="F2131" s="77">
        <v>0.07291666666666667</v>
      </c>
      <c r="G2131" s="62" t="b">
        <v>1</v>
      </c>
      <c r="H2131" s="78" t="b">
        <f>IF(VLOOKUP(C2131,Projetos!A:L,12,false)=TRUE,TRUE,FALSE)</f>
        <v>1</v>
      </c>
      <c r="I2131" s="68">
        <v>37.66052106481481</v>
      </c>
      <c r="J2131" s="68">
        <f t="shared" si="1"/>
        <v>65.90591186</v>
      </c>
      <c r="K2131" s="68" t="b">
        <v>1</v>
      </c>
    </row>
    <row r="2132" hidden="1">
      <c r="A2132" s="75">
        <v>2126.0</v>
      </c>
      <c r="B2132" s="62" t="s">
        <v>1306</v>
      </c>
      <c r="C2132" s="62" t="s">
        <v>100</v>
      </c>
      <c r="D2132" s="62" t="s">
        <v>1318</v>
      </c>
      <c r="E2132" s="76">
        <v>43860.0</v>
      </c>
      <c r="F2132" s="77">
        <v>0.125</v>
      </c>
      <c r="G2132" s="62" t="b">
        <v>1</v>
      </c>
      <c r="H2132" s="78" t="b">
        <f>IF(VLOOKUP(C2132,Projetos!A:L,12,false)=TRUE,TRUE,FALSE)</f>
        <v>1</v>
      </c>
      <c r="I2132" s="68">
        <v>37.66052106481481</v>
      </c>
      <c r="J2132" s="68">
        <f t="shared" si="1"/>
        <v>112.9815632</v>
      </c>
      <c r="K2132" s="68" t="b">
        <v>1</v>
      </c>
    </row>
    <row r="2133" hidden="1">
      <c r="A2133" s="75">
        <v>2127.0</v>
      </c>
      <c r="B2133" s="62" t="s">
        <v>1306</v>
      </c>
      <c r="C2133" s="62" t="s">
        <v>101</v>
      </c>
      <c r="D2133" s="62" t="s">
        <v>1319</v>
      </c>
      <c r="E2133" s="76">
        <v>43838.0</v>
      </c>
      <c r="F2133" s="77">
        <v>0.08333333333333333</v>
      </c>
      <c r="G2133" s="62" t="b">
        <v>1</v>
      </c>
      <c r="H2133" s="78" t="b">
        <f>IF(VLOOKUP(C2133,Projetos!A:L,12,false)=TRUE,TRUE,FALSE)</f>
        <v>1</v>
      </c>
      <c r="I2133" s="68">
        <v>37.66052106481481</v>
      </c>
      <c r="J2133" s="68">
        <f t="shared" si="1"/>
        <v>75.32104213</v>
      </c>
      <c r="K2133" s="68" t="b">
        <v>1</v>
      </c>
    </row>
    <row r="2134" hidden="1">
      <c r="A2134" s="75">
        <v>2128.0</v>
      </c>
      <c r="B2134" s="62" t="s">
        <v>1306</v>
      </c>
      <c r="C2134" s="62" t="s">
        <v>101</v>
      </c>
      <c r="D2134" s="62" t="s">
        <v>1307</v>
      </c>
      <c r="E2134" s="76">
        <v>43843.0</v>
      </c>
      <c r="F2134" s="77">
        <v>0.07291666666666667</v>
      </c>
      <c r="G2134" s="62" t="b">
        <v>1</v>
      </c>
      <c r="H2134" s="78" t="b">
        <f>IF(VLOOKUP(C2134,Projetos!A:L,12,false)=TRUE,TRUE,FALSE)</f>
        <v>1</v>
      </c>
      <c r="I2134" s="68">
        <v>37.66052106481481</v>
      </c>
      <c r="J2134" s="68">
        <f t="shared" si="1"/>
        <v>65.90591186</v>
      </c>
      <c r="K2134" s="68" t="b">
        <v>1</v>
      </c>
    </row>
    <row r="2135" hidden="1">
      <c r="A2135" s="75">
        <v>2129.0</v>
      </c>
      <c r="B2135" s="62" t="s">
        <v>1306</v>
      </c>
      <c r="C2135" s="62" t="s">
        <v>101</v>
      </c>
      <c r="D2135" s="62" t="s">
        <v>1307</v>
      </c>
      <c r="E2135" s="76">
        <v>43846.0</v>
      </c>
      <c r="F2135" s="77">
        <v>0.16666666666666666</v>
      </c>
      <c r="G2135" s="62" t="b">
        <v>1</v>
      </c>
      <c r="H2135" s="78" t="b">
        <f>IF(VLOOKUP(C2135,Projetos!A:L,12,false)=TRUE,TRUE,FALSE)</f>
        <v>1</v>
      </c>
      <c r="I2135" s="68">
        <v>37.66052106481481</v>
      </c>
      <c r="J2135" s="68">
        <f t="shared" si="1"/>
        <v>150.6420843</v>
      </c>
      <c r="K2135" s="68" t="b">
        <v>1</v>
      </c>
    </row>
    <row r="2136" hidden="1">
      <c r="A2136" s="75">
        <v>2130.0</v>
      </c>
      <c r="B2136" s="62" t="s">
        <v>1306</v>
      </c>
      <c r="C2136" s="62" t="s">
        <v>103</v>
      </c>
      <c r="D2136" s="62" t="s">
        <v>1320</v>
      </c>
      <c r="E2136" s="76">
        <v>43854.0</v>
      </c>
      <c r="F2136" s="77">
        <v>0.0625</v>
      </c>
      <c r="G2136" s="62" t="b">
        <v>1</v>
      </c>
      <c r="H2136" s="78" t="b">
        <f>IF(VLOOKUP(C2136,Projetos!A:L,12,false)=TRUE,TRUE,FALSE)</f>
        <v>1</v>
      </c>
      <c r="I2136" s="68">
        <v>37.66052106481481</v>
      </c>
      <c r="J2136" s="68">
        <f t="shared" si="1"/>
        <v>56.4907816</v>
      </c>
      <c r="K2136" s="68" t="b">
        <v>1</v>
      </c>
    </row>
    <row r="2137">
      <c r="A2137" s="75">
        <v>2131.0</v>
      </c>
      <c r="B2137" s="62" t="s">
        <v>1306</v>
      </c>
      <c r="C2137" s="62" t="s">
        <v>104</v>
      </c>
      <c r="D2137" s="62" t="s">
        <v>1308</v>
      </c>
      <c r="E2137" s="76">
        <v>43836.0</v>
      </c>
      <c r="F2137" s="77">
        <v>0.125</v>
      </c>
      <c r="G2137" s="62" t="b">
        <v>1</v>
      </c>
      <c r="H2137" s="78" t="b">
        <f>IF(VLOOKUP(C2137,Projetos!A:L,12,false)=TRUE,TRUE,FALSE)</f>
        <v>1</v>
      </c>
      <c r="I2137" s="68">
        <v>37.66052106481481</v>
      </c>
      <c r="J2137" s="68">
        <f t="shared" si="1"/>
        <v>112.9815632</v>
      </c>
      <c r="K2137" s="68" t="b">
        <v>1</v>
      </c>
    </row>
    <row r="2138">
      <c r="A2138" s="75">
        <v>2132.0</v>
      </c>
      <c r="B2138" s="62" t="s">
        <v>1306</v>
      </c>
      <c r="C2138" s="62" t="s">
        <v>104</v>
      </c>
      <c r="D2138" s="62" t="s">
        <v>1321</v>
      </c>
      <c r="E2138" s="76">
        <v>43836.0</v>
      </c>
      <c r="F2138" s="77">
        <v>0.041666666666666664</v>
      </c>
      <c r="G2138" s="62" t="b">
        <v>1</v>
      </c>
      <c r="H2138" s="78" t="b">
        <f>IF(VLOOKUP(C2138,Projetos!A:L,12,false)=TRUE,TRUE,FALSE)</f>
        <v>1</v>
      </c>
      <c r="I2138" s="68">
        <v>37.66052106481481</v>
      </c>
      <c r="J2138" s="68">
        <f t="shared" si="1"/>
        <v>37.66052106</v>
      </c>
      <c r="K2138" s="68" t="b">
        <v>1</v>
      </c>
    </row>
    <row r="2139">
      <c r="A2139" s="75">
        <v>2133.0</v>
      </c>
      <c r="B2139" s="62" t="s">
        <v>1306</v>
      </c>
      <c r="C2139" s="62" t="s">
        <v>104</v>
      </c>
      <c r="D2139" s="62" t="s">
        <v>1322</v>
      </c>
      <c r="E2139" s="76">
        <v>43837.0</v>
      </c>
      <c r="F2139" s="77">
        <v>0.125</v>
      </c>
      <c r="G2139" s="62" t="b">
        <v>0</v>
      </c>
      <c r="H2139" s="78" t="b">
        <f>IF(VLOOKUP(C2139,Projetos!A:L,12,false)=TRUE,TRUE,FALSE)</f>
        <v>1</v>
      </c>
      <c r="I2139" s="68">
        <v>37.66052106481481</v>
      </c>
      <c r="J2139" s="68">
        <f t="shared" si="1"/>
        <v>0</v>
      </c>
      <c r="K2139" s="68" t="b">
        <v>1</v>
      </c>
    </row>
    <row r="2140">
      <c r="A2140" s="75">
        <v>2134.0</v>
      </c>
      <c r="B2140" s="62" t="s">
        <v>1306</v>
      </c>
      <c r="C2140" s="62" t="s">
        <v>104</v>
      </c>
      <c r="D2140" s="62" t="s">
        <v>1323</v>
      </c>
      <c r="E2140" s="76">
        <v>43838.0</v>
      </c>
      <c r="F2140" s="77">
        <v>0.041666666666666664</v>
      </c>
      <c r="G2140" s="62" t="b">
        <v>1</v>
      </c>
      <c r="H2140" s="78" t="b">
        <f>IF(VLOOKUP(C2140,Projetos!A:L,12,false)=TRUE,TRUE,FALSE)</f>
        <v>1</v>
      </c>
      <c r="I2140" s="68">
        <v>37.66052106481481</v>
      </c>
      <c r="J2140" s="68">
        <f t="shared" si="1"/>
        <v>37.66052106</v>
      </c>
      <c r="K2140" s="68" t="b">
        <v>1</v>
      </c>
    </row>
    <row r="2141">
      <c r="A2141" s="75">
        <v>2135.0</v>
      </c>
      <c r="B2141" s="62" t="s">
        <v>1306</v>
      </c>
      <c r="C2141" s="62" t="s">
        <v>104</v>
      </c>
      <c r="D2141" s="62" t="s">
        <v>1324</v>
      </c>
      <c r="E2141" s="76">
        <v>43840.0</v>
      </c>
      <c r="F2141" s="77">
        <v>0.14583333333333334</v>
      </c>
      <c r="G2141" s="62" t="b">
        <v>1</v>
      </c>
      <c r="H2141" s="78" t="b">
        <f>IF(VLOOKUP(C2141,Projetos!A:L,12,false)=TRUE,TRUE,FALSE)</f>
        <v>1</v>
      </c>
      <c r="I2141" s="68">
        <v>37.66052106481481</v>
      </c>
      <c r="J2141" s="68">
        <f t="shared" si="1"/>
        <v>131.8118237</v>
      </c>
      <c r="K2141" s="68" t="b">
        <v>1</v>
      </c>
    </row>
    <row r="2142" hidden="1">
      <c r="A2142" s="75">
        <v>2136.0</v>
      </c>
      <c r="B2142" s="62" t="s">
        <v>1306</v>
      </c>
      <c r="C2142" s="62" t="s">
        <v>105</v>
      </c>
      <c r="D2142" s="62" t="s">
        <v>1325</v>
      </c>
      <c r="E2142" s="76">
        <v>43857.0</v>
      </c>
      <c r="F2142" s="77">
        <v>0.08333333333333333</v>
      </c>
      <c r="G2142" s="62" t="b">
        <v>1</v>
      </c>
      <c r="H2142" s="78" t="b">
        <f>IF(VLOOKUP(C2142,Projetos!A:L,12,false)=TRUE,TRUE,FALSE)</f>
        <v>1</v>
      </c>
      <c r="I2142" s="68">
        <v>37.66052106481481</v>
      </c>
      <c r="J2142" s="68">
        <f t="shared" si="1"/>
        <v>75.32104213</v>
      </c>
      <c r="K2142" s="68" t="b">
        <v>1</v>
      </c>
    </row>
    <row r="2143" hidden="1">
      <c r="A2143" s="75">
        <v>2137.0</v>
      </c>
      <c r="B2143" s="62" t="s">
        <v>1306</v>
      </c>
      <c r="C2143" s="62" t="s">
        <v>108</v>
      </c>
      <c r="D2143" s="62" t="s">
        <v>1311</v>
      </c>
      <c r="E2143" s="76">
        <v>43837.0</v>
      </c>
      <c r="F2143" s="77">
        <v>0.08333333333333333</v>
      </c>
      <c r="G2143" s="62" t="b">
        <v>1</v>
      </c>
      <c r="H2143" s="78" t="b">
        <f>IF(VLOOKUP(C2143,Projetos!A:L,12,false)=TRUE,TRUE,FALSE)</f>
        <v>1</v>
      </c>
      <c r="I2143" s="68">
        <v>37.66052106481481</v>
      </c>
      <c r="J2143" s="68">
        <f t="shared" si="1"/>
        <v>75.32104213</v>
      </c>
      <c r="K2143" s="68" t="b">
        <v>1</v>
      </c>
    </row>
    <row r="2144" hidden="1">
      <c r="A2144" s="75">
        <v>2138.0</v>
      </c>
      <c r="B2144" s="62" t="s">
        <v>1306</v>
      </c>
      <c r="C2144" s="62" t="s">
        <v>108</v>
      </c>
      <c r="D2144" s="62" t="s">
        <v>1326</v>
      </c>
      <c r="E2144" s="76">
        <v>43837.0</v>
      </c>
      <c r="F2144" s="77">
        <v>0.0625</v>
      </c>
      <c r="G2144" s="62" t="b">
        <v>1</v>
      </c>
      <c r="H2144" s="78" t="b">
        <f>IF(VLOOKUP(C2144,Projetos!A:L,12,false)=TRUE,TRUE,FALSE)</f>
        <v>1</v>
      </c>
      <c r="I2144" s="68">
        <v>37.66052106481481</v>
      </c>
      <c r="J2144" s="68">
        <f t="shared" si="1"/>
        <v>56.4907816</v>
      </c>
      <c r="K2144" s="68" t="b">
        <v>1</v>
      </c>
    </row>
    <row r="2145" hidden="1">
      <c r="A2145" s="75">
        <v>2139.0</v>
      </c>
      <c r="B2145" s="62" t="s">
        <v>1306</v>
      </c>
      <c r="C2145" s="62" t="s">
        <v>108</v>
      </c>
      <c r="D2145" s="62" t="s">
        <v>1327</v>
      </c>
      <c r="E2145" s="76">
        <v>43838.0</v>
      </c>
      <c r="F2145" s="77">
        <v>0.08333333333333333</v>
      </c>
      <c r="G2145" s="62" t="b">
        <v>1</v>
      </c>
      <c r="H2145" s="78" t="b">
        <f>IF(VLOOKUP(C2145,Projetos!A:L,12,false)=TRUE,TRUE,FALSE)</f>
        <v>1</v>
      </c>
      <c r="I2145" s="68">
        <v>37.66052106481481</v>
      </c>
      <c r="J2145" s="68">
        <f t="shared" si="1"/>
        <v>75.32104213</v>
      </c>
      <c r="K2145" s="68" t="b">
        <v>1</v>
      </c>
    </row>
    <row r="2146" hidden="1">
      <c r="A2146" s="75">
        <v>2140.0</v>
      </c>
      <c r="B2146" s="62" t="s">
        <v>1306</v>
      </c>
      <c r="C2146" s="62" t="s">
        <v>108</v>
      </c>
      <c r="D2146" s="62" t="s">
        <v>1328</v>
      </c>
      <c r="E2146" s="76">
        <v>43838.0</v>
      </c>
      <c r="F2146" s="77">
        <v>0.041666666666666664</v>
      </c>
      <c r="G2146" s="62" t="b">
        <v>1</v>
      </c>
      <c r="H2146" s="78" t="b">
        <f>IF(VLOOKUP(C2146,Projetos!A:L,12,false)=TRUE,TRUE,FALSE)</f>
        <v>1</v>
      </c>
      <c r="I2146" s="68">
        <v>37.66052106481481</v>
      </c>
      <c r="J2146" s="68">
        <f t="shared" si="1"/>
        <v>37.66052106</v>
      </c>
      <c r="K2146" s="68" t="b">
        <v>1</v>
      </c>
    </row>
    <row r="2147" hidden="1">
      <c r="A2147" s="75">
        <v>2141.0</v>
      </c>
      <c r="B2147" s="62" t="s">
        <v>1306</v>
      </c>
      <c r="C2147" s="62" t="s">
        <v>108</v>
      </c>
      <c r="D2147" s="62" t="s">
        <v>1329</v>
      </c>
      <c r="E2147" s="76">
        <v>43840.0</v>
      </c>
      <c r="F2147" s="77">
        <v>0.07291666666666667</v>
      </c>
      <c r="G2147" s="62" t="b">
        <v>1</v>
      </c>
      <c r="H2147" s="78" t="b">
        <f>IF(VLOOKUP(C2147,Projetos!A:L,12,false)=TRUE,TRUE,FALSE)</f>
        <v>1</v>
      </c>
      <c r="I2147" s="68">
        <v>37.66052106481481</v>
      </c>
      <c r="J2147" s="68">
        <f t="shared" si="1"/>
        <v>65.90591186</v>
      </c>
      <c r="K2147" s="68" t="b">
        <v>1</v>
      </c>
    </row>
    <row r="2148" hidden="1">
      <c r="A2148" s="75">
        <v>2142.0</v>
      </c>
      <c r="B2148" s="62" t="s">
        <v>1306</v>
      </c>
      <c r="C2148" s="62" t="s">
        <v>108</v>
      </c>
      <c r="D2148" s="62" t="s">
        <v>1313</v>
      </c>
      <c r="E2148" s="76">
        <v>43845.0</v>
      </c>
      <c r="F2148" s="77">
        <v>0.0625</v>
      </c>
      <c r="G2148" s="62" t="b">
        <v>1</v>
      </c>
      <c r="H2148" s="78" t="b">
        <f>IF(VLOOKUP(C2148,Projetos!A:L,12,false)=TRUE,TRUE,FALSE)</f>
        <v>1</v>
      </c>
      <c r="I2148" s="68">
        <v>37.66052106481481</v>
      </c>
      <c r="J2148" s="68">
        <f t="shared" si="1"/>
        <v>56.4907816</v>
      </c>
      <c r="K2148" s="68" t="b">
        <v>1</v>
      </c>
    </row>
    <row r="2149" hidden="1">
      <c r="A2149" s="75">
        <v>2143.0</v>
      </c>
      <c r="B2149" s="62" t="s">
        <v>1306</v>
      </c>
      <c r="C2149" s="62" t="s">
        <v>108</v>
      </c>
      <c r="D2149" s="62" t="s">
        <v>1309</v>
      </c>
      <c r="E2149" s="76">
        <v>43845.0</v>
      </c>
      <c r="F2149" s="77">
        <v>0.1875</v>
      </c>
      <c r="G2149" s="62" t="b">
        <v>1</v>
      </c>
      <c r="H2149" s="78" t="b">
        <f>IF(VLOOKUP(C2149,Projetos!A:L,12,false)=TRUE,TRUE,FALSE)</f>
        <v>1</v>
      </c>
      <c r="I2149" s="68">
        <v>37.66052106481481</v>
      </c>
      <c r="J2149" s="68">
        <f t="shared" si="1"/>
        <v>169.4723448</v>
      </c>
      <c r="K2149" s="68" t="b">
        <v>1</v>
      </c>
    </row>
    <row r="2150" hidden="1">
      <c r="A2150" s="75">
        <v>2144.0</v>
      </c>
      <c r="B2150" s="62" t="s">
        <v>1306</v>
      </c>
      <c r="C2150" s="62" t="s">
        <v>108</v>
      </c>
      <c r="D2150" s="62" t="s">
        <v>1330</v>
      </c>
      <c r="E2150" s="76">
        <v>43847.0</v>
      </c>
      <c r="F2150" s="77">
        <v>0.052083333333333336</v>
      </c>
      <c r="G2150" s="62" t="b">
        <v>1</v>
      </c>
      <c r="H2150" s="78" t="b">
        <f>IF(VLOOKUP(C2150,Projetos!A:L,12,false)=TRUE,TRUE,FALSE)</f>
        <v>1</v>
      </c>
      <c r="I2150" s="68">
        <v>37.66052106481481</v>
      </c>
      <c r="J2150" s="68">
        <f t="shared" si="1"/>
        <v>47.07565133</v>
      </c>
      <c r="K2150" s="68" t="b">
        <v>1</v>
      </c>
    </row>
    <row r="2151" hidden="1">
      <c r="A2151" s="75">
        <v>2145.0</v>
      </c>
      <c r="B2151" s="62" t="s">
        <v>1306</v>
      </c>
      <c r="C2151" s="62" t="s">
        <v>108</v>
      </c>
      <c r="D2151" s="62" t="s">
        <v>1331</v>
      </c>
      <c r="E2151" s="76">
        <v>43850.0</v>
      </c>
      <c r="F2151" s="77">
        <v>0.125</v>
      </c>
      <c r="G2151" s="62" t="b">
        <v>1</v>
      </c>
      <c r="H2151" s="78" t="b">
        <f>IF(VLOOKUP(C2151,Projetos!A:L,12,false)=TRUE,TRUE,FALSE)</f>
        <v>1</v>
      </c>
      <c r="I2151" s="68">
        <v>37.66052106481481</v>
      </c>
      <c r="J2151" s="68">
        <f t="shared" si="1"/>
        <v>112.9815632</v>
      </c>
      <c r="K2151" s="68" t="b">
        <v>1</v>
      </c>
    </row>
    <row r="2152" hidden="1">
      <c r="A2152" s="75">
        <v>2146.0</v>
      </c>
      <c r="B2152" s="62" t="s">
        <v>1306</v>
      </c>
      <c r="C2152" s="62" t="s">
        <v>108</v>
      </c>
      <c r="D2152" s="62" t="s">
        <v>1309</v>
      </c>
      <c r="E2152" s="76">
        <v>43851.0</v>
      </c>
      <c r="F2152" s="77">
        <v>0.17708333333333334</v>
      </c>
      <c r="G2152" s="62" t="b">
        <v>1</v>
      </c>
      <c r="H2152" s="78" t="b">
        <f>IF(VLOOKUP(C2152,Projetos!A:L,12,false)=TRUE,TRUE,FALSE)</f>
        <v>1</v>
      </c>
      <c r="I2152" s="68">
        <v>37.66052106481481</v>
      </c>
      <c r="J2152" s="68">
        <f t="shared" si="1"/>
        <v>160.0572145</v>
      </c>
      <c r="K2152" s="68" t="b">
        <v>1</v>
      </c>
    </row>
    <row r="2153" hidden="1">
      <c r="A2153" s="75">
        <v>2147.0</v>
      </c>
      <c r="B2153" s="62" t="s">
        <v>1306</v>
      </c>
      <c r="C2153" s="62" t="s">
        <v>108</v>
      </c>
      <c r="D2153" s="62" t="s">
        <v>1309</v>
      </c>
      <c r="E2153" s="76">
        <v>43851.0</v>
      </c>
      <c r="F2153" s="77">
        <v>0.1875</v>
      </c>
      <c r="G2153" s="62" t="b">
        <v>1</v>
      </c>
      <c r="H2153" s="78" t="b">
        <f>IF(VLOOKUP(C2153,Projetos!A:L,12,false)=TRUE,TRUE,FALSE)</f>
        <v>1</v>
      </c>
      <c r="I2153" s="68">
        <v>37.66052106481481</v>
      </c>
      <c r="J2153" s="68">
        <f t="shared" si="1"/>
        <v>169.4723448</v>
      </c>
      <c r="K2153" s="68" t="b">
        <v>1</v>
      </c>
    </row>
    <row r="2154" hidden="1">
      <c r="A2154" s="75">
        <v>2148.0</v>
      </c>
      <c r="B2154" s="62" t="s">
        <v>1306</v>
      </c>
      <c r="C2154" s="62" t="s">
        <v>108</v>
      </c>
      <c r="D2154" s="62" t="s">
        <v>1309</v>
      </c>
      <c r="E2154" s="76">
        <v>43852.0</v>
      </c>
      <c r="F2154" s="77">
        <v>0.17708333333333334</v>
      </c>
      <c r="G2154" s="62" t="b">
        <v>1</v>
      </c>
      <c r="H2154" s="78" t="b">
        <f>IF(VLOOKUP(C2154,Projetos!A:L,12,false)=TRUE,TRUE,FALSE)</f>
        <v>1</v>
      </c>
      <c r="I2154" s="68">
        <v>37.66052106481481</v>
      </c>
      <c r="J2154" s="68">
        <f t="shared" si="1"/>
        <v>160.0572145</v>
      </c>
      <c r="K2154" s="68" t="b">
        <v>1</v>
      </c>
    </row>
    <row r="2155" hidden="1">
      <c r="A2155" s="75">
        <v>2149.0</v>
      </c>
      <c r="B2155" s="62" t="s">
        <v>1306</v>
      </c>
      <c r="C2155" s="62" t="s">
        <v>108</v>
      </c>
      <c r="D2155" s="62" t="s">
        <v>1309</v>
      </c>
      <c r="E2155" s="76">
        <v>43852.0</v>
      </c>
      <c r="F2155" s="77">
        <v>0.1875</v>
      </c>
      <c r="G2155" s="62" t="b">
        <v>1</v>
      </c>
      <c r="H2155" s="78" t="b">
        <f>IF(VLOOKUP(C2155,Projetos!A:L,12,false)=TRUE,TRUE,FALSE)</f>
        <v>1</v>
      </c>
      <c r="I2155" s="68">
        <v>37.66052106481481</v>
      </c>
      <c r="J2155" s="68">
        <f t="shared" si="1"/>
        <v>169.4723448</v>
      </c>
      <c r="K2155" s="68" t="b">
        <v>1</v>
      </c>
    </row>
    <row r="2156" hidden="1">
      <c r="A2156" s="75">
        <v>2150.0</v>
      </c>
      <c r="B2156" s="62" t="s">
        <v>1306</v>
      </c>
      <c r="C2156" s="62" t="s">
        <v>108</v>
      </c>
      <c r="D2156" s="62" t="s">
        <v>1309</v>
      </c>
      <c r="E2156" s="76">
        <v>43853.0</v>
      </c>
      <c r="F2156" s="77">
        <v>0.19791666666666666</v>
      </c>
      <c r="G2156" s="62" t="b">
        <v>1</v>
      </c>
      <c r="H2156" s="78" t="b">
        <f>IF(VLOOKUP(C2156,Projetos!A:L,12,false)=TRUE,TRUE,FALSE)</f>
        <v>1</v>
      </c>
      <c r="I2156" s="68">
        <v>37.66052106481481</v>
      </c>
      <c r="J2156" s="68">
        <f t="shared" si="1"/>
        <v>178.8874751</v>
      </c>
      <c r="K2156" s="68" t="b">
        <v>1</v>
      </c>
    </row>
    <row r="2157" hidden="1">
      <c r="A2157" s="75">
        <v>2151.0</v>
      </c>
      <c r="B2157" s="62" t="s">
        <v>1306</v>
      </c>
      <c r="C2157" s="62" t="s">
        <v>108</v>
      </c>
      <c r="D2157" s="62" t="s">
        <v>1332</v>
      </c>
      <c r="E2157" s="76">
        <v>43853.0</v>
      </c>
      <c r="F2157" s="77">
        <v>0.10416666666666667</v>
      </c>
      <c r="G2157" s="62" t="b">
        <v>1</v>
      </c>
      <c r="H2157" s="78" t="b">
        <f>IF(VLOOKUP(C2157,Projetos!A:L,12,false)=TRUE,TRUE,FALSE)</f>
        <v>1</v>
      </c>
      <c r="I2157" s="68">
        <v>37.66052106481481</v>
      </c>
      <c r="J2157" s="68">
        <f t="shared" si="1"/>
        <v>94.15130266</v>
      </c>
      <c r="K2157" s="68" t="b">
        <v>1</v>
      </c>
    </row>
    <row r="2158" hidden="1">
      <c r="A2158" s="75">
        <v>2152.0</v>
      </c>
      <c r="B2158" s="62" t="s">
        <v>1306</v>
      </c>
      <c r="C2158" s="62" t="s">
        <v>108</v>
      </c>
      <c r="D2158" s="62" t="s">
        <v>1309</v>
      </c>
      <c r="E2158" s="76">
        <v>43854.0</v>
      </c>
      <c r="F2158" s="77">
        <v>0.17708333333333334</v>
      </c>
      <c r="G2158" s="62" t="b">
        <v>1</v>
      </c>
      <c r="H2158" s="78" t="b">
        <f>IF(VLOOKUP(C2158,Projetos!A:L,12,false)=TRUE,TRUE,FALSE)</f>
        <v>1</v>
      </c>
      <c r="I2158" s="68">
        <v>37.66052106481481</v>
      </c>
      <c r="J2158" s="68">
        <f t="shared" si="1"/>
        <v>160.0572145</v>
      </c>
      <c r="K2158" s="68" t="b">
        <v>1</v>
      </c>
    </row>
    <row r="2159" hidden="1">
      <c r="A2159" s="75">
        <v>2153.0</v>
      </c>
      <c r="B2159" s="62" t="s">
        <v>1306</v>
      </c>
      <c r="C2159" s="62" t="s">
        <v>108</v>
      </c>
      <c r="D2159" s="62" t="s">
        <v>1333</v>
      </c>
      <c r="E2159" s="76">
        <v>43854.0</v>
      </c>
      <c r="F2159" s="77">
        <v>0.125</v>
      </c>
      <c r="G2159" s="62" t="b">
        <v>1</v>
      </c>
      <c r="H2159" s="78" t="b">
        <f>IF(VLOOKUP(C2159,Projetos!A:L,12,false)=TRUE,TRUE,FALSE)</f>
        <v>1</v>
      </c>
      <c r="I2159" s="68">
        <v>37.66052106481481</v>
      </c>
      <c r="J2159" s="68">
        <f t="shared" si="1"/>
        <v>112.9815632</v>
      </c>
      <c r="K2159" s="68" t="b">
        <v>1</v>
      </c>
    </row>
    <row r="2160" hidden="1">
      <c r="A2160" s="75">
        <v>2154.0</v>
      </c>
      <c r="B2160" s="62" t="s">
        <v>1306</v>
      </c>
      <c r="C2160" s="62" t="s">
        <v>108</v>
      </c>
      <c r="D2160" s="62" t="s">
        <v>1332</v>
      </c>
      <c r="E2160" s="76">
        <v>43857.0</v>
      </c>
      <c r="F2160" s="77">
        <v>0.08333333333333333</v>
      </c>
      <c r="G2160" s="62" t="b">
        <v>1</v>
      </c>
      <c r="H2160" s="78" t="b">
        <f>IF(VLOOKUP(C2160,Projetos!A:L,12,false)=TRUE,TRUE,FALSE)</f>
        <v>1</v>
      </c>
      <c r="I2160" s="68">
        <v>37.66052106481481</v>
      </c>
      <c r="J2160" s="68">
        <f t="shared" si="1"/>
        <v>75.32104213</v>
      </c>
      <c r="K2160" s="68" t="b">
        <v>1</v>
      </c>
    </row>
    <row r="2161" hidden="1">
      <c r="A2161" s="75">
        <v>2155.0</v>
      </c>
      <c r="B2161" s="62" t="s">
        <v>1306</v>
      </c>
      <c r="C2161" s="62" t="s">
        <v>108</v>
      </c>
      <c r="D2161" s="62" t="s">
        <v>1332</v>
      </c>
      <c r="E2161" s="76">
        <v>43858.0</v>
      </c>
      <c r="F2161" s="77">
        <v>0.07291666666666667</v>
      </c>
      <c r="G2161" s="62" t="b">
        <v>1</v>
      </c>
      <c r="H2161" s="78" t="b">
        <f>IF(VLOOKUP(C2161,Projetos!A:L,12,false)=TRUE,TRUE,FALSE)</f>
        <v>1</v>
      </c>
      <c r="I2161" s="68">
        <v>37.66052106481481</v>
      </c>
      <c r="J2161" s="68">
        <f t="shared" si="1"/>
        <v>65.90591186</v>
      </c>
      <c r="K2161" s="68" t="b">
        <v>1</v>
      </c>
    </row>
    <row r="2162" hidden="1">
      <c r="A2162" s="75">
        <v>2156.0</v>
      </c>
      <c r="B2162" s="62" t="s">
        <v>1306</v>
      </c>
      <c r="C2162" s="62" t="s">
        <v>108</v>
      </c>
      <c r="D2162" s="62" t="s">
        <v>1334</v>
      </c>
      <c r="E2162" s="76">
        <v>43858.0</v>
      </c>
      <c r="F2162" s="77">
        <v>0.041666666666666664</v>
      </c>
      <c r="G2162" s="62" t="b">
        <v>1</v>
      </c>
      <c r="H2162" s="78" t="b">
        <f>IF(VLOOKUP(C2162,Projetos!A:L,12,false)=TRUE,TRUE,FALSE)</f>
        <v>1</v>
      </c>
      <c r="I2162" s="68">
        <v>37.66052106481481</v>
      </c>
      <c r="J2162" s="68">
        <f t="shared" si="1"/>
        <v>37.66052106</v>
      </c>
      <c r="K2162" s="68" t="b">
        <v>1</v>
      </c>
    </row>
    <row r="2163" hidden="1">
      <c r="A2163" s="75">
        <v>2157.0</v>
      </c>
      <c r="B2163" s="62" t="s">
        <v>1306</v>
      </c>
      <c r="C2163" s="62" t="s">
        <v>108</v>
      </c>
      <c r="D2163" s="62" t="s">
        <v>1332</v>
      </c>
      <c r="E2163" s="76">
        <v>43858.0</v>
      </c>
      <c r="F2163" s="77">
        <v>0.20833333333333334</v>
      </c>
      <c r="G2163" s="62" t="b">
        <v>1</v>
      </c>
      <c r="H2163" s="78" t="b">
        <f>IF(VLOOKUP(C2163,Projetos!A:L,12,false)=TRUE,TRUE,FALSE)</f>
        <v>1</v>
      </c>
      <c r="I2163" s="68">
        <v>37.66052106481481</v>
      </c>
      <c r="J2163" s="68">
        <f t="shared" si="1"/>
        <v>188.3026053</v>
      </c>
      <c r="K2163" s="68" t="b">
        <v>1</v>
      </c>
    </row>
    <row r="2164" hidden="1">
      <c r="A2164" s="75">
        <v>2158.0</v>
      </c>
      <c r="B2164" s="62" t="s">
        <v>1306</v>
      </c>
      <c r="C2164" s="62" t="s">
        <v>108</v>
      </c>
      <c r="D2164" s="62" t="s">
        <v>1335</v>
      </c>
      <c r="E2164" s="76">
        <v>43859.0</v>
      </c>
      <c r="F2164" s="77">
        <v>0.1875</v>
      </c>
      <c r="G2164" s="62" t="b">
        <v>1</v>
      </c>
      <c r="H2164" s="78" t="b">
        <f>IF(VLOOKUP(C2164,Projetos!A:L,12,false)=TRUE,TRUE,FALSE)</f>
        <v>1</v>
      </c>
      <c r="I2164" s="68">
        <v>37.66052106481481</v>
      </c>
      <c r="J2164" s="68">
        <f t="shared" si="1"/>
        <v>169.4723448</v>
      </c>
      <c r="K2164" s="68" t="b">
        <v>1</v>
      </c>
    </row>
    <row r="2165" hidden="1">
      <c r="A2165" s="75">
        <v>2159.0</v>
      </c>
      <c r="B2165" s="62" t="s">
        <v>1306</v>
      </c>
      <c r="C2165" s="62" t="s">
        <v>108</v>
      </c>
      <c r="D2165" s="62" t="s">
        <v>1336</v>
      </c>
      <c r="E2165" s="76">
        <v>43860.0</v>
      </c>
      <c r="F2165" s="77">
        <v>0.0625</v>
      </c>
      <c r="G2165" s="62" t="b">
        <v>1</v>
      </c>
      <c r="H2165" s="78" t="b">
        <f>IF(VLOOKUP(C2165,Projetos!A:L,12,false)=TRUE,TRUE,FALSE)</f>
        <v>1</v>
      </c>
      <c r="I2165" s="68">
        <v>37.66052106481481</v>
      </c>
      <c r="J2165" s="68">
        <f t="shared" si="1"/>
        <v>56.4907816</v>
      </c>
      <c r="K2165" s="68" t="b">
        <v>1</v>
      </c>
    </row>
    <row r="2166" hidden="1">
      <c r="A2166" s="75">
        <v>2160.0</v>
      </c>
      <c r="B2166" s="62" t="s">
        <v>1306</v>
      </c>
      <c r="C2166" s="62" t="s">
        <v>108</v>
      </c>
      <c r="D2166" s="62" t="s">
        <v>1337</v>
      </c>
      <c r="E2166" s="76">
        <v>43860.0</v>
      </c>
      <c r="F2166" s="77">
        <v>0.10416666666666667</v>
      </c>
      <c r="G2166" s="62" t="b">
        <v>1</v>
      </c>
      <c r="H2166" s="78" t="b">
        <f>IF(VLOOKUP(C2166,Projetos!A:L,12,false)=TRUE,TRUE,FALSE)</f>
        <v>1</v>
      </c>
      <c r="I2166" s="68">
        <v>37.66052106481481</v>
      </c>
      <c r="J2166" s="68">
        <f t="shared" si="1"/>
        <v>94.15130266</v>
      </c>
      <c r="K2166" s="68" t="b">
        <v>1</v>
      </c>
    </row>
    <row r="2167" hidden="1">
      <c r="A2167" s="75">
        <v>2161.0</v>
      </c>
      <c r="B2167" s="62" t="s">
        <v>1306</v>
      </c>
      <c r="C2167" s="62" t="s">
        <v>108</v>
      </c>
      <c r="D2167" s="62" t="s">
        <v>1309</v>
      </c>
      <c r="E2167" s="76">
        <v>43861.0</v>
      </c>
      <c r="F2167" s="77">
        <v>0.0625</v>
      </c>
      <c r="G2167" s="62" t="b">
        <v>1</v>
      </c>
      <c r="H2167" s="78" t="b">
        <f>IF(VLOOKUP(C2167,Projetos!A:L,12,false)=TRUE,TRUE,FALSE)</f>
        <v>1</v>
      </c>
      <c r="I2167" s="68">
        <v>37.66052106481481</v>
      </c>
      <c r="J2167" s="68">
        <f t="shared" si="1"/>
        <v>56.4907816</v>
      </c>
      <c r="K2167" s="68" t="b">
        <v>1</v>
      </c>
    </row>
    <row r="2168" hidden="1">
      <c r="A2168" s="75">
        <v>2162.0</v>
      </c>
      <c r="B2168" s="62" t="s">
        <v>1306</v>
      </c>
      <c r="C2168" s="62" t="s">
        <v>110</v>
      </c>
      <c r="D2168" s="62" t="s">
        <v>1309</v>
      </c>
      <c r="E2168" s="76">
        <v>43847.0</v>
      </c>
      <c r="F2168" s="77">
        <v>0.125</v>
      </c>
      <c r="G2168" s="62" t="b">
        <v>1</v>
      </c>
      <c r="H2168" s="78" t="b">
        <f>IF(VLOOKUP(C2168,Projetos!A:L,12,false)=TRUE,TRUE,FALSE)</f>
        <v>1</v>
      </c>
      <c r="I2168" s="68">
        <v>37.66052106481481</v>
      </c>
      <c r="J2168" s="68">
        <f t="shared" si="1"/>
        <v>112.9815632</v>
      </c>
      <c r="K2168" s="68" t="b">
        <v>1</v>
      </c>
    </row>
    <row r="2169" hidden="1">
      <c r="A2169" s="75">
        <v>2163.0</v>
      </c>
      <c r="B2169" s="62" t="s">
        <v>1306</v>
      </c>
      <c r="C2169" s="62" t="s">
        <v>110</v>
      </c>
      <c r="D2169" s="62" t="s">
        <v>1309</v>
      </c>
      <c r="E2169" s="76">
        <v>43847.0</v>
      </c>
      <c r="F2169" s="77">
        <v>0.1875</v>
      </c>
      <c r="G2169" s="62" t="b">
        <v>1</v>
      </c>
      <c r="H2169" s="78" t="b">
        <f>IF(VLOOKUP(C2169,Projetos!A:L,12,false)=TRUE,TRUE,FALSE)</f>
        <v>1</v>
      </c>
      <c r="I2169" s="68">
        <v>37.66052106481481</v>
      </c>
      <c r="J2169" s="68">
        <f t="shared" si="1"/>
        <v>169.4723448</v>
      </c>
      <c r="K2169" s="68" t="b">
        <v>1</v>
      </c>
    </row>
    <row r="2170" hidden="1">
      <c r="A2170" s="75">
        <v>2164.0</v>
      </c>
      <c r="B2170" s="62" t="s">
        <v>1306</v>
      </c>
      <c r="C2170" s="62" t="s">
        <v>110</v>
      </c>
      <c r="D2170" s="62" t="s">
        <v>1333</v>
      </c>
      <c r="E2170" s="76">
        <v>43850.0</v>
      </c>
      <c r="F2170" s="77">
        <v>0.052083333333333336</v>
      </c>
      <c r="G2170" s="62" t="b">
        <v>1</v>
      </c>
      <c r="H2170" s="78" t="b">
        <f>IF(VLOOKUP(C2170,Projetos!A:L,12,false)=TRUE,TRUE,FALSE)</f>
        <v>1</v>
      </c>
      <c r="I2170" s="68">
        <v>37.66052106481481</v>
      </c>
      <c r="J2170" s="68">
        <f t="shared" si="1"/>
        <v>47.07565133</v>
      </c>
      <c r="K2170" s="68" t="b">
        <v>1</v>
      </c>
    </row>
    <row r="2171" hidden="1">
      <c r="A2171" s="75">
        <v>2165.0</v>
      </c>
      <c r="B2171" s="62" t="s">
        <v>1306</v>
      </c>
      <c r="C2171" s="62" t="s">
        <v>110</v>
      </c>
      <c r="D2171" s="62" t="s">
        <v>1308</v>
      </c>
      <c r="E2171" s="76">
        <v>43857.0</v>
      </c>
      <c r="F2171" s="77">
        <v>0.07291666666666667</v>
      </c>
      <c r="G2171" s="62" t="b">
        <v>1</v>
      </c>
      <c r="H2171" s="78" t="b">
        <f>IF(VLOOKUP(C2171,Projetos!A:L,12,false)=TRUE,TRUE,FALSE)</f>
        <v>1</v>
      </c>
      <c r="I2171" s="68">
        <v>37.66052106481481</v>
      </c>
      <c r="J2171" s="68">
        <f t="shared" si="1"/>
        <v>65.90591186</v>
      </c>
      <c r="K2171" s="68" t="b">
        <v>1</v>
      </c>
    </row>
    <row r="2172" hidden="1">
      <c r="A2172" s="75">
        <v>2166.0</v>
      </c>
      <c r="B2172" s="62" t="s">
        <v>1306</v>
      </c>
      <c r="C2172" s="62" t="s">
        <v>110</v>
      </c>
      <c r="D2172" s="62" t="s">
        <v>1309</v>
      </c>
      <c r="E2172" s="76">
        <v>43861.0</v>
      </c>
      <c r="F2172" s="77">
        <v>0.1875</v>
      </c>
      <c r="G2172" s="62" t="b">
        <v>1</v>
      </c>
      <c r="H2172" s="78" t="b">
        <f>IF(VLOOKUP(C2172,Projetos!A:L,12,false)=TRUE,TRUE,FALSE)</f>
        <v>1</v>
      </c>
      <c r="I2172" s="68">
        <v>37.66052106481481</v>
      </c>
      <c r="J2172" s="68">
        <f t="shared" si="1"/>
        <v>169.4723448</v>
      </c>
      <c r="K2172" s="68" t="b">
        <v>1</v>
      </c>
    </row>
    <row r="2173" hidden="1">
      <c r="A2173" s="75">
        <v>2167.0</v>
      </c>
      <c r="B2173" s="62" t="s">
        <v>1306</v>
      </c>
      <c r="C2173" s="62" t="s">
        <v>115</v>
      </c>
      <c r="D2173" s="62" t="s">
        <v>1315</v>
      </c>
      <c r="E2173" s="76">
        <v>43840.0</v>
      </c>
      <c r="F2173" s="77">
        <v>0.08333333333333333</v>
      </c>
      <c r="G2173" s="62" t="b">
        <v>1</v>
      </c>
      <c r="H2173" s="78" t="b">
        <f>IF(VLOOKUP(C2173,Projetos!A:L,12,false)=TRUE,TRUE,FALSE)</f>
        <v>1</v>
      </c>
      <c r="I2173" s="68">
        <v>37.66052106481481</v>
      </c>
      <c r="J2173" s="68">
        <f t="shared" si="1"/>
        <v>75.32104213</v>
      </c>
      <c r="K2173" s="68" t="b">
        <v>1</v>
      </c>
    </row>
    <row r="2174" hidden="1">
      <c r="A2174" s="75">
        <v>2168.0</v>
      </c>
      <c r="B2174" s="62" t="s">
        <v>1306</v>
      </c>
      <c r="C2174" s="62" t="s">
        <v>115</v>
      </c>
      <c r="D2174" s="62" t="s">
        <v>1316</v>
      </c>
      <c r="E2174" s="76">
        <v>43843.0</v>
      </c>
      <c r="F2174" s="77">
        <v>0.125</v>
      </c>
      <c r="G2174" s="62" t="b">
        <v>1</v>
      </c>
      <c r="H2174" s="78" t="b">
        <f>IF(VLOOKUP(C2174,Projetos!A:L,12,false)=TRUE,TRUE,FALSE)</f>
        <v>1</v>
      </c>
      <c r="I2174" s="68">
        <v>37.66052106481481</v>
      </c>
      <c r="J2174" s="68">
        <f t="shared" si="1"/>
        <v>112.9815632</v>
      </c>
      <c r="K2174" s="68" t="b">
        <v>1</v>
      </c>
    </row>
    <row r="2175" hidden="1">
      <c r="A2175" s="75">
        <v>2169.0</v>
      </c>
      <c r="B2175" s="62" t="s">
        <v>1306</v>
      </c>
      <c r="C2175" s="62" t="s">
        <v>115</v>
      </c>
      <c r="D2175" s="62" t="s">
        <v>1338</v>
      </c>
      <c r="E2175" s="76">
        <v>43844.0</v>
      </c>
      <c r="F2175" s="77">
        <v>0.0625</v>
      </c>
      <c r="G2175" s="62" t="b">
        <v>1</v>
      </c>
      <c r="H2175" s="78" t="b">
        <f>IF(VLOOKUP(C2175,Projetos!A:L,12,false)=TRUE,TRUE,FALSE)</f>
        <v>1</v>
      </c>
      <c r="I2175" s="68">
        <v>37.66052106481481</v>
      </c>
      <c r="J2175" s="68">
        <f t="shared" si="1"/>
        <v>56.4907816</v>
      </c>
      <c r="K2175" s="68" t="b">
        <v>1</v>
      </c>
    </row>
    <row r="2176" hidden="1">
      <c r="A2176" s="75">
        <v>2170.0</v>
      </c>
      <c r="B2176" s="62" t="s">
        <v>1306</v>
      </c>
      <c r="C2176" s="62" t="s">
        <v>138</v>
      </c>
      <c r="D2176" s="62" t="s">
        <v>1339</v>
      </c>
      <c r="E2176" s="76">
        <v>43867.0</v>
      </c>
      <c r="F2176" s="77">
        <v>0.08333333333333333</v>
      </c>
      <c r="G2176" s="62" t="b">
        <v>1</v>
      </c>
      <c r="H2176" s="78" t="b">
        <f>IF(VLOOKUP(C2176,Projetos!A:L,12,false)=TRUE,TRUE,FALSE)</f>
        <v>1</v>
      </c>
      <c r="I2176" s="68">
        <v>35.94867919823232</v>
      </c>
      <c r="J2176" s="68">
        <f t="shared" si="1"/>
        <v>71.8973584</v>
      </c>
      <c r="K2176" s="68" t="b">
        <v>1</v>
      </c>
    </row>
    <row r="2177" hidden="1">
      <c r="A2177" s="75">
        <v>2171.0</v>
      </c>
      <c r="B2177" s="62" t="s">
        <v>1306</v>
      </c>
      <c r="C2177" s="62" t="s">
        <v>138</v>
      </c>
      <c r="D2177" s="62" t="s">
        <v>1340</v>
      </c>
      <c r="E2177" s="76">
        <v>43871.0</v>
      </c>
      <c r="F2177" s="77">
        <v>0.16666666666666666</v>
      </c>
      <c r="G2177" s="62" t="b">
        <v>1</v>
      </c>
      <c r="H2177" s="78" t="b">
        <f>IF(VLOOKUP(C2177,Projetos!A:L,12,false)=TRUE,TRUE,FALSE)</f>
        <v>1</v>
      </c>
      <c r="I2177" s="68">
        <v>35.94867919823232</v>
      </c>
      <c r="J2177" s="68">
        <f t="shared" si="1"/>
        <v>143.7947168</v>
      </c>
      <c r="K2177" s="68" t="b">
        <v>1</v>
      </c>
    </row>
    <row r="2178" hidden="1">
      <c r="A2178" s="75">
        <v>2172.0</v>
      </c>
      <c r="B2178" s="62" t="s">
        <v>1306</v>
      </c>
      <c r="C2178" s="62" t="s">
        <v>138</v>
      </c>
      <c r="D2178" s="62" t="s">
        <v>1339</v>
      </c>
      <c r="E2178" s="76">
        <v>43872.0</v>
      </c>
      <c r="F2178" s="77">
        <v>0.125</v>
      </c>
      <c r="G2178" s="62" t="b">
        <v>1</v>
      </c>
      <c r="H2178" s="78" t="b">
        <f>IF(VLOOKUP(C2178,Projetos!A:L,12,false)=TRUE,TRUE,FALSE)</f>
        <v>1</v>
      </c>
      <c r="I2178" s="68">
        <v>35.94867919823232</v>
      </c>
      <c r="J2178" s="68">
        <f t="shared" si="1"/>
        <v>107.8460376</v>
      </c>
      <c r="K2178" s="68" t="b">
        <v>1</v>
      </c>
    </row>
    <row r="2179" hidden="1">
      <c r="A2179" s="75">
        <v>2173.0</v>
      </c>
      <c r="B2179" s="62" t="s">
        <v>1306</v>
      </c>
      <c r="C2179" s="62" t="s">
        <v>138</v>
      </c>
      <c r="D2179" s="62" t="s">
        <v>1340</v>
      </c>
      <c r="E2179" s="76">
        <v>43873.0</v>
      </c>
      <c r="F2179" s="77">
        <v>0.125</v>
      </c>
      <c r="G2179" s="62" t="b">
        <v>1</v>
      </c>
      <c r="H2179" s="78" t="b">
        <f>IF(VLOOKUP(C2179,Projetos!A:L,12,false)=TRUE,TRUE,FALSE)</f>
        <v>1</v>
      </c>
      <c r="I2179" s="68">
        <v>35.94867919823232</v>
      </c>
      <c r="J2179" s="68">
        <f t="shared" si="1"/>
        <v>107.8460376</v>
      </c>
      <c r="K2179" s="68" t="b">
        <v>1</v>
      </c>
    </row>
    <row r="2180" hidden="1">
      <c r="A2180" s="75">
        <v>2174.0</v>
      </c>
      <c r="B2180" s="62" t="s">
        <v>1306</v>
      </c>
      <c r="C2180" s="62" t="s">
        <v>138</v>
      </c>
      <c r="D2180" s="62" t="s">
        <v>1340</v>
      </c>
      <c r="E2180" s="76">
        <v>43873.0</v>
      </c>
      <c r="F2180" s="77">
        <v>0.14583333333333334</v>
      </c>
      <c r="G2180" s="62" t="b">
        <v>1</v>
      </c>
      <c r="H2180" s="78" t="b">
        <f>IF(VLOOKUP(C2180,Projetos!A:L,12,false)=TRUE,TRUE,FALSE)</f>
        <v>1</v>
      </c>
      <c r="I2180" s="68">
        <v>35.94867919823232</v>
      </c>
      <c r="J2180" s="68">
        <f t="shared" si="1"/>
        <v>125.8203772</v>
      </c>
      <c r="K2180" s="68" t="b">
        <v>1</v>
      </c>
    </row>
    <row r="2181" hidden="1">
      <c r="A2181" s="75">
        <v>2175.0</v>
      </c>
      <c r="B2181" s="62" t="s">
        <v>1306</v>
      </c>
      <c r="C2181" s="62" t="s">
        <v>138</v>
      </c>
      <c r="D2181" s="62" t="s">
        <v>1341</v>
      </c>
      <c r="E2181" s="76">
        <v>43874.0</v>
      </c>
      <c r="F2181" s="77">
        <v>0.1875</v>
      </c>
      <c r="G2181" s="62" t="b">
        <v>1</v>
      </c>
      <c r="H2181" s="78" t="b">
        <f>IF(VLOOKUP(C2181,Projetos!A:L,12,false)=TRUE,TRUE,FALSE)</f>
        <v>1</v>
      </c>
      <c r="I2181" s="68">
        <v>35.94867919823232</v>
      </c>
      <c r="J2181" s="68">
        <f t="shared" si="1"/>
        <v>161.7690564</v>
      </c>
      <c r="K2181" s="68" t="b">
        <v>1</v>
      </c>
    </row>
    <row r="2182" hidden="1">
      <c r="A2182" s="75">
        <v>2176.0</v>
      </c>
      <c r="B2182" s="62" t="s">
        <v>1306</v>
      </c>
      <c r="C2182" s="62" t="s">
        <v>138</v>
      </c>
      <c r="D2182" s="62" t="s">
        <v>1308</v>
      </c>
      <c r="E2182" s="76">
        <v>43875.0</v>
      </c>
      <c r="F2182" s="77">
        <v>0.14583333333333334</v>
      </c>
      <c r="G2182" s="62" t="b">
        <v>1</v>
      </c>
      <c r="H2182" s="78" t="b">
        <f>IF(VLOOKUP(C2182,Projetos!A:L,12,false)=TRUE,TRUE,FALSE)</f>
        <v>1</v>
      </c>
      <c r="I2182" s="68">
        <v>35.94867919823232</v>
      </c>
      <c r="J2182" s="68">
        <f t="shared" si="1"/>
        <v>125.8203772</v>
      </c>
      <c r="K2182" s="68" t="b">
        <v>1</v>
      </c>
    </row>
    <row r="2183" hidden="1">
      <c r="A2183" s="75">
        <v>2177.0</v>
      </c>
      <c r="B2183" s="62" t="s">
        <v>1306</v>
      </c>
      <c r="C2183" s="62" t="s">
        <v>138</v>
      </c>
      <c r="D2183" s="62" t="s">
        <v>1308</v>
      </c>
      <c r="E2183" s="76">
        <v>43880.0</v>
      </c>
      <c r="F2183" s="77">
        <v>0.08333333333333333</v>
      </c>
      <c r="G2183" s="62" t="b">
        <v>1</v>
      </c>
      <c r="H2183" s="78" t="b">
        <f>IF(VLOOKUP(C2183,Projetos!A:L,12,false)=TRUE,TRUE,FALSE)</f>
        <v>1</v>
      </c>
      <c r="I2183" s="68">
        <v>35.94867919823232</v>
      </c>
      <c r="J2183" s="68">
        <f t="shared" si="1"/>
        <v>71.8973584</v>
      </c>
      <c r="K2183" s="68" t="b">
        <v>1</v>
      </c>
    </row>
    <row r="2184" hidden="1">
      <c r="A2184" s="75">
        <v>2178.0</v>
      </c>
      <c r="B2184" s="62" t="s">
        <v>1306</v>
      </c>
      <c r="C2184" s="62" t="s">
        <v>83</v>
      </c>
      <c r="D2184" s="62" t="s">
        <v>780</v>
      </c>
      <c r="E2184" s="76">
        <v>43865.0</v>
      </c>
      <c r="F2184" s="77">
        <v>0.0625</v>
      </c>
      <c r="G2184" s="62" t="b">
        <v>0</v>
      </c>
      <c r="H2184" s="78" t="b">
        <f>IF(VLOOKUP(C2184,Projetos!A:L,12,false)=TRUE,TRUE,FALSE)</f>
        <v>0</v>
      </c>
      <c r="I2184" s="68">
        <v>35.94867919823232</v>
      </c>
      <c r="J2184" s="68">
        <f t="shared" si="1"/>
        <v>0</v>
      </c>
      <c r="K2184" s="68" t="b">
        <v>0</v>
      </c>
    </row>
    <row r="2185" hidden="1">
      <c r="A2185" s="75">
        <v>2179.0</v>
      </c>
      <c r="B2185" s="62" t="s">
        <v>1306</v>
      </c>
      <c r="C2185" s="62" t="s">
        <v>83</v>
      </c>
      <c r="D2185" s="62" t="s">
        <v>1342</v>
      </c>
      <c r="E2185" s="76">
        <v>43874.0</v>
      </c>
      <c r="F2185" s="77">
        <v>0.11458333333333333</v>
      </c>
      <c r="G2185" s="62" t="b">
        <v>0</v>
      </c>
      <c r="H2185" s="78" t="b">
        <f>IF(VLOOKUP(C2185,Projetos!A:L,12,false)=TRUE,TRUE,FALSE)</f>
        <v>0</v>
      </c>
      <c r="I2185" s="68">
        <v>35.94867919823232</v>
      </c>
      <c r="J2185" s="68">
        <f t="shared" si="1"/>
        <v>0</v>
      </c>
      <c r="K2185" s="68" t="b">
        <v>0</v>
      </c>
    </row>
    <row r="2186" hidden="1">
      <c r="A2186" s="75">
        <v>2180.0</v>
      </c>
      <c r="B2186" s="62" t="s">
        <v>1306</v>
      </c>
      <c r="C2186" s="62" t="s">
        <v>88</v>
      </c>
      <c r="D2186" s="62" t="s">
        <v>1343</v>
      </c>
      <c r="E2186" s="76">
        <v>43875.0</v>
      </c>
      <c r="F2186" s="77">
        <v>0.03125</v>
      </c>
      <c r="G2186" s="62" t="b">
        <v>1</v>
      </c>
      <c r="H2186" s="78" t="b">
        <f>IF(VLOOKUP(C2186,Projetos!A:L,12,false)=TRUE,TRUE,FALSE)</f>
        <v>1</v>
      </c>
      <c r="I2186" s="68">
        <v>35.94867919823232</v>
      </c>
      <c r="J2186" s="68">
        <f t="shared" si="1"/>
        <v>26.9615094</v>
      </c>
      <c r="K2186" s="68" t="b">
        <v>1</v>
      </c>
    </row>
    <row r="2187" hidden="1">
      <c r="A2187" s="75">
        <v>2181.0</v>
      </c>
      <c r="B2187" s="62" t="s">
        <v>1306</v>
      </c>
      <c r="C2187" s="62" t="s">
        <v>88</v>
      </c>
      <c r="D2187" s="62" t="s">
        <v>1308</v>
      </c>
      <c r="E2187" s="76">
        <v>43880.0</v>
      </c>
      <c r="F2187" s="77">
        <v>0.041666666666666664</v>
      </c>
      <c r="G2187" s="62" t="b">
        <v>1</v>
      </c>
      <c r="H2187" s="78" t="b">
        <f>IF(VLOOKUP(C2187,Projetos!A:L,12,false)=TRUE,TRUE,FALSE)</f>
        <v>1</v>
      </c>
      <c r="I2187" s="68">
        <v>35.94867919823232</v>
      </c>
      <c r="J2187" s="68">
        <f t="shared" si="1"/>
        <v>35.9486792</v>
      </c>
      <c r="K2187" s="68" t="b">
        <v>1</v>
      </c>
    </row>
    <row r="2188" hidden="1">
      <c r="A2188" s="75">
        <v>2182.0</v>
      </c>
      <c r="B2188" s="62" t="s">
        <v>1306</v>
      </c>
      <c r="C2188" s="62" t="s">
        <v>98</v>
      </c>
      <c r="D2188" s="62" t="s">
        <v>1344</v>
      </c>
      <c r="E2188" s="76">
        <v>43866.0</v>
      </c>
      <c r="F2188" s="77">
        <v>0.0625</v>
      </c>
      <c r="G2188" s="62" t="b">
        <v>1</v>
      </c>
      <c r="H2188" s="78" t="b">
        <f>IF(VLOOKUP(C2188,Projetos!A:L,12,false)=TRUE,TRUE,FALSE)</f>
        <v>1</v>
      </c>
      <c r="I2188" s="68">
        <v>35.94867919823232</v>
      </c>
      <c r="J2188" s="68">
        <f t="shared" si="1"/>
        <v>53.9230188</v>
      </c>
      <c r="K2188" s="68" t="b">
        <v>1</v>
      </c>
    </row>
    <row r="2189" hidden="1">
      <c r="A2189" s="75">
        <v>2183.0</v>
      </c>
      <c r="B2189" s="62" t="s">
        <v>1306</v>
      </c>
      <c r="C2189" s="62" t="s">
        <v>100</v>
      </c>
      <c r="D2189" s="62" t="s">
        <v>1345</v>
      </c>
      <c r="E2189" s="76">
        <v>43864.0</v>
      </c>
      <c r="F2189" s="77">
        <v>0.17708333333333334</v>
      </c>
      <c r="G2189" s="62" t="b">
        <v>1</v>
      </c>
      <c r="H2189" s="78" t="b">
        <f>IF(VLOOKUP(C2189,Projetos!A:L,12,false)=TRUE,TRUE,FALSE)</f>
        <v>1</v>
      </c>
      <c r="I2189" s="68">
        <v>35.94867919823232</v>
      </c>
      <c r="J2189" s="68">
        <f t="shared" si="1"/>
        <v>152.7818866</v>
      </c>
      <c r="K2189" s="68" t="b">
        <v>1</v>
      </c>
    </row>
    <row r="2190" hidden="1">
      <c r="A2190" s="75">
        <v>2184.0</v>
      </c>
      <c r="B2190" s="62" t="s">
        <v>1306</v>
      </c>
      <c r="C2190" s="62" t="s">
        <v>100</v>
      </c>
      <c r="D2190" s="62" t="s">
        <v>1339</v>
      </c>
      <c r="E2190" s="76">
        <v>43865.0</v>
      </c>
      <c r="F2190" s="77">
        <v>0.10416666666666667</v>
      </c>
      <c r="G2190" s="62" t="b">
        <v>1</v>
      </c>
      <c r="H2190" s="78" t="b">
        <f>IF(VLOOKUP(C2190,Projetos!A:L,12,false)=TRUE,TRUE,FALSE)</f>
        <v>1</v>
      </c>
      <c r="I2190" s="68">
        <v>35.94867919823232</v>
      </c>
      <c r="J2190" s="68">
        <f t="shared" si="1"/>
        <v>89.871698</v>
      </c>
      <c r="K2190" s="68" t="b">
        <v>1</v>
      </c>
    </row>
    <row r="2191" hidden="1">
      <c r="A2191" s="75">
        <v>2185.0</v>
      </c>
      <c r="B2191" s="62" t="s">
        <v>1306</v>
      </c>
      <c r="C2191" s="62" t="s">
        <v>100</v>
      </c>
      <c r="D2191" s="62" t="s">
        <v>1345</v>
      </c>
      <c r="E2191" s="76">
        <v>43867.0</v>
      </c>
      <c r="F2191" s="77">
        <v>0.17708333333333334</v>
      </c>
      <c r="G2191" s="62" t="b">
        <v>1</v>
      </c>
      <c r="H2191" s="78" t="b">
        <f>IF(VLOOKUP(C2191,Projetos!A:L,12,false)=TRUE,TRUE,FALSE)</f>
        <v>1</v>
      </c>
      <c r="I2191" s="68">
        <v>35.94867919823232</v>
      </c>
      <c r="J2191" s="68">
        <f t="shared" si="1"/>
        <v>152.7818866</v>
      </c>
      <c r="K2191" s="68" t="b">
        <v>1</v>
      </c>
    </row>
    <row r="2192" hidden="1">
      <c r="A2192" s="75">
        <v>2186.0</v>
      </c>
      <c r="B2192" s="62" t="s">
        <v>1306</v>
      </c>
      <c r="C2192" s="62" t="s">
        <v>100</v>
      </c>
      <c r="D2192" s="62" t="s">
        <v>1308</v>
      </c>
      <c r="E2192" s="76">
        <v>43873.0</v>
      </c>
      <c r="F2192" s="77">
        <v>0.07291666666666667</v>
      </c>
      <c r="G2192" s="62" t="b">
        <v>1</v>
      </c>
      <c r="H2192" s="78" t="b">
        <f>IF(VLOOKUP(C2192,Projetos!A:L,12,false)=TRUE,TRUE,FALSE)</f>
        <v>1</v>
      </c>
      <c r="I2192" s="68">
        <v>35.94867919823232</v>
      </c>
      <c r="J2192" s="68">
        <f t="shared" si="1"/>
        <v>62.9101886</v>
      </c>
      <c r="K2192" s="68" t="b">
        <v>1</v>
      </c>
    </row>
    <row r="2193" hidden="1">
      <c r="A2193" s="75">
        <v>2187.0</v>
      </c>
      <c r="B2193" s="62" t="s">
        <v>1306</v>
      </c>
      <c r="C2193" s="62" t="s">
        <v>100</v>
      </c>
      <c r="D2193" s="62" t="s">
        <v>1345</v>
      </c>
      <c r="E2193" s="76">
        <v>43882.0</v>
      </c>
      <c r="F2193" s="77">
        <v>0.19791666666666666</v>
      </c>
      <c r="G2193" s="62" t="b">
        <v>1</v>
      </c>
      <c r="H2193" s="78" t="b">
        <f>IF(VLOOKUP(C2193,Projetos!A:L,12,false)=TRUE,TRUE,FALSE)</f>
        <v>1</v>
      </c>
      <c r="I2193" s="68">
        <v>35.94867919823232</v>
      </c>
      <c r="J2193" s="68">
        <f t="shared" si="1"/>
        <v>170.7562262</v>
      </c>
      <c r="K2193" s="68" t="b">
        <v>1</v>
      </c>
    </row>
    <row r="2194" hidden="1">
      <c r="A2194" s="75">
        <v>2188.0</v>
      </c>
      <c r="B2194" s="62" t="s">
        <v>1306</v>
      </c>
      <c r="C2194" s="62" t="s">
        <v>100</v>
      </c>
      <c r="D2194" s="62" t="s">
        <v>1346</v>
      </c>
      <c r="E2194" s="76">
        <v>43882.0</v>
      </c>
      <c r="F2194" s="77">
        <v>0.08333333333333333</v>
      </c>
      <c r="G2194" s="62" t="b">
        <v>1</v>
      </c>
      <c r="H2194" s="78" t="b">
        <f>IF(VLOOKUP(C2194,Projetos!A:L,12,false)=TRUE,TRUE,FALSE)</f>
        <v>1</v>
      </c>
      <c r="I2194" s="68">
        <v>35.94867919823232</v>
      </c>
      <c r="J2194" s="68">
        <f t="shared" si="1"/>
        <v>71.8973584</v>
      </c>
      <c r="K2194" s="68" t="b">
        <v>1</v>
      </c>
    </row>
    <row r="2195" hidden="1">
      <c r="A2195" s="75">
        <v>2189.0</v>
      </c>
      <c r="B2195" s="62" t="s">
        <v>1306</v>
      </c>
      <c r="C2195" s="62" t="s">
        <v>100</v>
      </c>
      <c r="D2195" s="62" t="s">
        <v>1347</v>
      </c>
      <c r="E2195" s="76">
        <v>43887.0</v>
      </c>
      <c r="F2195" s="77">
        <v>0.25</v>
      </c>
      <c r="G2195" s="62" t="b">
        <v>1</v>
      </c>
      <c r="H2195" s="78" t="b">
        <f>IF(VLOOKUP(C2195,Projetos!A:L,12,false)=TRUE,TRUE,FALSE)</f>
        <v>1</v>
      </c>
      <c r="I2195" s="68">
        <v>35.94867919823232</v>
      </c>
      <c r="J2195" s="68">
        <f t="shared" si="1"/>
        <v>215.6920752</v>
      </c>
      <c r="K2195" s="68" t="b">
        <v>1</v>
      </c>
    </row>
    <row r="2196" hidden="1">
      <c r="A2196" s="75">
        <v>2190.0</v>
      </c>
      <c r="B2196" s="62" t="s">
        <v>1306</v>
      </c>
      <c r="C2196" s="62" t="s">
        <v>100</v>
      </c>
      <c r="D2196" s="62" t="s">
        <v>1348</v>
      </c>
      <c r="E2196" s="76">
        <v>43888.0</v>
      </c>
      <c r="F2196" s="77">
        <v>0.4166666666666667</v>
      </c>
      <c r="G2196" s="62" t="b">
        <v>1</v>
      </c>
      <c r="H2196" s="78" t="b">
        <f>IF(VLOOKUP(C2196,Projetos!A:L,12,false)=TRUE,TRUE,FALSE)</f>
        <v>1</v>
      </c>
      <c r="I2196" s="68">
        <v>35.94867919823232</v>
      </c>
      <c r="J2196" s="68">
        <f t="shared" si="1"/>
        <v>359.486792</v>
      </c>
      <c r="K2196" s="68" t="b">
        <v>1</v>
      </c>
    </row>
    <row r="2197" hidden="1">
      <c r="A2197" s="75">
        <v>2191.0</v>
      </c>
      <c r="B2197" s="62" t="s">
        <v>1306</v>
      </c>
      <c r="C2197" s="62" t="s">
        <v>100</v>
      </c>
      <c r="D2197" s="62" t="s">
        <v>1348</v>
      </c>
      <c r="E2197" s="76">
        <v>43889.0</v>
      </c>
      <c r="F2197" s="77">
        <v>0.4166666666666667</v>
      </c>
      <c r="G2197" s="62" t="b">
        <v>1</v>
      </c>
      <c r="H2197" s="78" t="b">
        <f>IF(VLOOKUP(C2197,Projetos!A:L,12,false)=TRUE,TRUE,FALSE)</f>
        <v>1</v>
      </c>
      <c r="I2197" s="68">
        <v>35.94867919823232</v>
      </c>
      <c r="J2197" s="68">
        <f t="shared" si="1"/>
        <v>359.486792</v>
      </c>
      <c r="K2197" s="68" t="b">
        <v>1</v>
      </c>
    </row>
    <row r="2198" hidden="1">
      <c r="A2198" s="75">
        <v>2192.0</v>
      </c>
      <c r="B2198" s="62" t="s">
        <v>1306</v>
      </c>
      <c r="C2198" s="62" t="s">
        <v>103</v>
      </c>
      <c r="D2198" s="62" t="s">
        <v>1349</v>
      </c>
      <c r="E2198" s="76">
        <v>43864.0</v>
      </c>
      <c r="F2198" s="77">
        <v>0.041666666666666664</v>
      </c>
      <c r="G2198" s="62" t="b">
        <v>1</v>
      </c>
      <c r="H2198" s="78" t="b">
        <f>IF(VLOOKUP(C2198,Projetos!A:L,12,false)=TRUE,TRUE,FALSE)</f>
        <v>1</v>
      </c>
      <c r="I2198" s="68">
        <v>35.94867919823232</v>
      </c>
      <c r="J2198" s="68">
        <f t="shared" si="1"/>
        <v>35.9486792</v>
      </c>
      <c r="K2198" s="68" t="b">
        <v>1</v>
      </c>
    </row>
    <row r="2199" hidden="1">
      <c r="A2199" s="75">
        <v>2193.0</v>
      </c>
      <c r="B2199" s="62" t="s">
        <v>1306</v>
      </c>
      <c r="C2199" s="62" t="s">
        <v>108</v>
      </c>
      <c r="D2199" s="62" t="s">
        <v>1350</v>
      </c>
      <c r="E2199" s="76">
        <v>43865.0</v>
      </c>
      <c r="F2199" s="77">
        <v>0.03125</v>
      </c>
      <c r="G2199" s="62" t="b">
        <v>1</v>
      </c>
      <c r="H2199" s="78" t="b">
        <f>IF(VLOOKUP(C2199,Projetos!A:L,12,false)=TRUE,TRUE,FALSE)</f>
        <v>1</v>
      </c>
      <c r="I2199" s="68">
        <v>35.94867919823232</v>
      </c>
      <c r="J2199" s="68">
        <f t="shared" si="1"/>
        <v>26.9615094</v>
      </c>
      <c r="K2199" s="68" t="b">
        <v>1</v>
      </c>
    </row>
    <row r="2200" hidden="1">
      <c r="A2200" s="75">
        <v>2194.0</v>
      </c>
      <c r="B2200" s="62" t="s">
        <v>1306</v>
      </c>
      <c r="C2200" s="62" t="s">
        <v>108</v>
      </c>
      <c r="D2200" s="62" t="s">
        <v>1350</v>
      </c>
      <c r="E2200" s="76">
        <v>43865.0</v>
      </c>
      <c r="F2200" s="77">
        <v>0.10416666666666667</v>
      </c>
      <c r="G2200" s="62" t="b">
        <v>1</v>
      </c>
      <c r="H2200" s="78" t="b">
        <f>IF(VLOOKUP(C2200,Projetos!A:L,12,false)=TRUE,TRUE,FALSE)</f>
        <v>1</v>
      </c>
      <c r="I2200" s="68">
        <v>35.94867919823232</v>
      </c>
      <c r="J2200" s="68">
        <f t="shared" si="1"/>
        <v>89.871698</v>
      </c>
      <c r="K2200" s="68" t="b">
        <v>1</v>
      </c>
    </row>
    <row r="2201" hidden="1">
      <c r="A2201" s="75">
        <v>2195.0</v>
      </c>
      <c r="B2201" s="62" t="s">
        <v>1306</v>
      </c>
      <c r="C2201" s="62" t="s">
        <v>108</v>
      </c>
      <c r="D2201" s="62" t="s">
        <v>1350</v>
      </c>
      <c r="E2201" s="76">
        <v>43866.0</v>
      </c>
      <c r="F2201" s="77">
        <v>0.125</v>
      </c>
      <c r="G2201" s="62" t="b">
        <v>1</v>
      </c>
      <c r="H2201" s="78" t="b">
        <f>IF(VLOOKUP(C2201,Projetos!A:L,12,false)=TRUE,TRUE,FALSE)</f>
        <v>1</v>
      </c>
      <c r="I2201" s="68">
        <v>35.94867919823232</v>
      </c>
      <c r="J2201" s="68">
        <f t="shared" si="1"/>
        <v>107.8460376</v>
      </c>
      <c r="K2201" s="68" t="b">
        <v>1</v>
      </c>
    </row>
    <row r="2202" hidden="1">
      <c r="A2202" s="75">
        <v>2196.0</v>
      </c>
      <c r="B2202" s="62" t="s">
        <v>1306</v>
      </c>
      <c r="C2202" s="62" t="s">
        <v>108</v>
      </c>
      <c r="D2202" s="62" t="s">
        <v>1351</v>
      </c>
      <c r="E2202" s="76">
        <v>43866.0</v>
      </c>
      <c r="F2202" s="77">
        <v>0.16666666666666666</v>
      </c>
      <c r="G2202" s="62" t="b">
        <v>1</v>
      </c>
      <c r="H2202" s="78" t="b">
        <f>IF(VLOOKUP(C2202,Projetos!A:L,12,false)=TRUE,TRUE,FALSE)</f>
        <v>1</v>
      </c>
      <c r="I2202" s="68">
        <v>35.94867919823232</v>
      </c>
      <c r="J2202" s="68">
        <f t="shared" si="1"/>
        <v>143.7947168</v>
      </c>
      <c r="K2202" s="68" t="b">
        <v>1</v>
      </c>
    </row>
    <row r="2203" hidden="1">
      <c r="A2203" s="75">
        <v>2197.0</v>
      </c>
      <c r="B2203" s="62" t="s">
        <v>1306</v>
      </c>
      <c r="C2203" s="62" t="s">
        <v>108</v>
      </c>
      <c r="D2203" s="62" t="s">
        <v>1350</v>
      </c>
      <c r="E2203" s="76">
        <v>43867.0</v>
      </c>
      <c r="F2203" s="77">
        <v>0.10416666666666667</v>
      </c>
      <c r="G2203" s="62" t="b">
        <v>1</v>
      </c>
      <c r="H2203" s="78" t="b">
        <f>IF(VLOOKUP(C2203,Projetos!A:L,12,false)=TRUE,TRUE,FALSE)</f>
        <v>1</v>
      </c>
      <c r="I2203" s="68">
        <v>35.94867919823232</v>
      </c>
      <c r="J2203" s="68">
        <f t="shared" si="1"/>
        <v>89.871698</v>
      </c>
      <c r="K2203" s="68" t="b">
        <v>1</v>
      </c>
    </row>
    <row r="2204" hidden="1">
      <c r="A2204" s="75">
        <v>2198.0</v>
      </c>
      <c r="B2204" s="62" t="s">
        <v>1306</v>
      </c>
      <c r="C2204" s="62" t="s">
        <v>108</v>
      </c>
      <c r="D2204" s="62" t="s">
        <v>1352</v>
      </c>
      <c r="E2204" s="76">
        <v>43871.0</v>
      </c>
      <c r="F2204" s="77">
        <v>0.03125</v>
      </c>
      <c r="G2204" s="62" t="b">
        <v>1</v>
      </c>
      <c r="H2204" s="78" t="b">
        <f>IF(VLOOKUP(C2204,Projetos!A:L,12,false)=TRUE,TRUE,FALSE)</f>
        <v>1</v>
      </c>
      <c r="I2204" s="68">
        <v>35.94867919823232</v>
      </c>
      <c r="J2204" s="68">
        <f t="shared" si="1"/>
        <v>26.9615094</v>
      </c>
      <c r="K2204" s="68" t="b">
        <v>1</v>
      </c>
    </row>
    <row r="2205" hidden="1">
      <c r="A2205" s="75">
        <v>2199.0</v>
      </c>
      <c r="B2205" s="62" t="s">
        <v>1306</v>
      </c>
      <c r="C2205" s="62" t="s">
        <v>108</v>
      </c>
      <c r="D2205" s="62" t="s">
        <v>1353</v>
      </c>
      <c r="E2205" s="76">
        <v>43871.0</v>
      </c>
      <c r="F2205" s="77">
        <v>0.0625</v>
      </c>
      <c r="G2205" s="62" t="b">
        <v>1</v>
      </c>
      <c r="H2205" s="78" t="b">
        <f>IF(VLOOKUP(C2205,Projetos!A:L,12,false)=TRUE,TRUE,FALSE)</f>
        <v>1</v>
      </c>
      <c r="I2205" s="68">
        <v>35.94867919823232</v>
      </c>
      <c r="J2205" s="68">
        <f t="shared" si="1"/>
        <v>53.9230188</v>
      </c>
      <c r="K2205" s="68" t="b">
        <v>1</v>
      </c>
    </row>
    <row r="2206" hidden="1">
      <c r="A2206" s="75">
        <v>2200.0</v>
      </c>
      <c r="B2206" s="62" t="s">
        <v>1306</v>
      </c>
      <c r="C2206" s="62" t="s">
        <v>108</v>
      </c>
      <c r="D2206" s="62" t="s">
        <v>1350</v>
      </c>
      <c r="E2206" s="76">
        <v>43872.0</v>
      </c>
      <c r="F2206" s="77">
        <v>0.07291666666666667</v>
      </c>
      <c r="G2206" s="62" t="b">
        <v>1</v>
      </c>
      <c r="H2206" s="78" t="b">
        <f>IF(VLOOKUP(C2206,Projetos!A:L,12,false)=TRUE,TRUE,FALSE)</f>
        <v>1</v>
      </c>
      <c r="I2206" s="68">
        <v>35.94867919823232</v>
      </c>
      <c r="J2206" s="68">
        <f t="shared" si="1"/>
        <v>62.9101886</v>
      </c>
      <c r="K2206" s="68" t="b">
        <v>1</v>
      </c>
    </row>
    <row r="2207" hidden="1">
      <c r="A2207" s="75">
        <v>2201.0</v>
      </c>
      <c r="B2207" s="62" t="s">
        <v>1306</v>
      </c>
      <c r="C2207" s="62" t="s">
        <v>108</v>
      </c>
      <c r="D2207" s="62" t="s">
        <v>1350</v>
      </c>
      <c r="E2207" s="76">
        <v>43872.0</v>
      </c>
      <c r="F2207" s="77">
        <v>0.14583333333333334</v>
      </c>
      <c r="G2207" s="62" t="b">
        <v>1</v>
      </c>
      <c r="H2207" s="78" t="b">
        <f>IF(VLOOKUP(C2207,Projetos!A:L,12,false)=TRUE,TRUE,FALSE)</f>
        <v>1</v>
      </c>
      <c r="I2207" s="68">
        <v>35.94867919823232</v>
      </c>
      <c r="J2207" s="68">
        <f t="shared" si="1"/>
        <v>125.8203772</v>
      </c>
      <c r="K2207" s="68" t="b">
        <v>1</v>
      </c>
    </row>
    <row r="2208" hidden="1">
      <c r="A2208" s="75">
        <v>2202.0</v>
      </c>
      <c r="B2208" s="62" t="s">
        <v>1306</v>
      </c>
      <c r="C2208" s="62" t="s">
        <v>108</v>
      </c>
      <c r="D2208" s="62" t="s">
        <v>1354</v>
      </c>
      <c r="E2208" s="76">
        <v>43874.0</v>
      </c>
      <c r="F2208" s="77">
        <v>0.0625</v>
      </c>
      <c r="G2208" s="62" t="b">
        <v>1</v>
      </c>
      <c r="H2208" s="78" t="b">
        <f>IF(VLOOKUP(C2208,Projetos!A:L,12,false)=TRUE,TRUE,FALSE)</f>
        <v>1</v>
      </c>
      <c r="I2208" s="68">
        <v>35.94867919823232</v>
      </c>
      <c r="J2208" s="68">
        <f t="shared" si="1"/>
        <v>53.9230188</v>
      </c>
      <c r="K2208" s="68" t="b">
        <v>1</v>
      </c>
    </row>
    <row r="2209" hidden="1">
      <c r="A2209" s="75">
        <v>2203.0</v>
      </c>
      <c r="B2209" s="62" t="s">
        <v>1306</v>
      </c>
      <c r="C2209" s="62" t="s">
        <v>108</v>
      </c>
      <c r="D2209" s="62" t="s">
        <v>1355</v>
      </c>
      <c r="E2209" s="76">
        <v>43875.0</v>
      </c>
      <c r="F2209" s="77">
        <v>0.1875</v>
      </c>
      <c r="G2209" s="62" t="b">
        <v>1</v>
      </c>
      <c r="H2209" s="78" t="b">
        <f>IF(VLOOKUP(C2209,Projetos!A:L,12,false)=TRUE,TRUE,FALSE)</f>
        <v>1</v>
      </c>
      <c r="I2209" s="68">
        <v>35.94867919823232</v>
      </c>
      <c r="J2209" s="68">
        <f t="shared" si="1"/>
        <v>161.7690564</v>
      </c>
      <c r="K2209" s="68" t="b">
        <v>1</v>
      </c>
    </row>
    <row r="2210" hidden="1">
      <c r="A2210" s="75">
        <v>2204.0</v>
      </c>
      <c r="B2210" s="62" t="s">
        <v>1306</v>
      </c>
      <c r="C2210" s="62" t="s">
        <v>108</v>
      </c>
      <c r="D2210" s="62" t="s">
        <v>1356</v>
      </c>
      <c r="E2210" s="76">
        <v>43877.0</v>
      </c>
      <c r="F2210" s="77">
        <v>0.22916666666666666</v>
      </c>
      <c r="G2210" s="62" t="b">
        <v>1</v>
      </c>
      <c r="H2210" s="78" t="b">
        <f>IF(VLOOKUP(C2210,Projetos!A:L,12,false)=TRUE,TRUE,FALSE)</f>
        <v>1</v>
      </c>
      <c r="I2210" s="68">
        <v>35.94867919823232</v>
      </c>
      <c r="J2210" s="68">
        <f t="shared" si="1"/>
        <v>197.7177356</v>
      </c>
      <c r="K2210" s="68" t="b">
        <v>1</v>
      </c>
    </row>
    <row r="2211" hidden="1">
      <c r="A2211" s="75">
        <v>2205.0</v>
      </c>
      <c r="B2211" s="62" t="s">
        <v>1306</v>
      </c>
      <c r="C2211" s="62" t="s">
        <v>108</v>
      </c>
      <c r="D2211" s="62" t="s">
        <v>1357</v>
      </c>
      <c r="E2211" s="76">
        <v>43878.0</v>
      </c>
      <c r="F2211" s="77">
        <v>0.4166666666666667</v>
      </c>
      <c r="G2211" s="62" t="b">
        <v>1</v>
      </c>
      <c r="H2211" s="78" t="b">
        <f>IF(VLOOKUP(C2211,Projetos!A:L,12,false)=TRUE,TRUE,FALSE)</f>
        <v>1</v>
      </c>
      <c r="I2211" s="68">
        <v>35.94867919823232</v>
      </c>
      <c r="J2211" s="68">
        <f t="shared" si="1"/>
        <v>359.486792</v>
      </c>
      <c r="K2211" s="68" t="b">
        <v>1</v>
      </c>
    </row>
    <row r="2212" hidden="1">
      <c r="A2212" s="75">
        <v>2206.0</v>
      </c>
      <c r="B2212" s="62" t="s">
        <v>1306</v>
      </c>
      <c r="C2212" s="62" t="s">
        <v>108</v>
      </c>
      <c r="D2212" s="62" t="s">
        <v>1357</v>
      </c>
      <c r="E2212" s="76">
        <v>43879.0</v>
      </c>
      <c r="F2212" s="77">
        <v>0.4166666666666667</v>
      </c>
      <c r="G2212" s="62" t="b">
        <v>1</v>
      </c>
      <c r="H2212" s="78" t="b">
        <f>IF(VLOOKUP(C2212,Projetos!A:L,12,false)=TRUE,TRUE,FALSE)</f>
        <v>1</v>
      </c>
      <c r="I2212" s="68">
        <v>35.94867919823232</v>
      </c>
      <c r="J2212" s="68">
        <f t="shared" si="1"/>
        <v>359.486792</v>
      </c>
      <c r="K2212" s="68" t="b">
        <v>1</v>
      </c>
    </row>
    <row r="2213" hidden="1">
      <c r="A2213" s="75">
        <v>2207.0</v>
      </c>
      <c r="B2213" s="62" t="s">
        <v>1306</v>
      </c>
      <c r="C2213" s="62" t="s">
        <v>108</v>
      </c>
      <c r="D2213" s="62" t="s">
        <v>1358</v>
      </c>
      <c r="E2213" s="76">
        <v>43880.0</v>
      </c>
      <c r="F2213" s="77">
        <v>0.375</v>
      </c>
      <c r="G2213" s="62" t="b">
        <v>1</v>
      </c>
      <c r="H2213" s="78" t="b">
        <f>IF(VLOOKUP(C2213,Projetos!A:L,12,false)=TRUE,TRUE,FALSE)</f>
        <v>1</v>
      </c>
      <c r="I2213" s="68">
        <v>35.94867919823232</v>
      </c>
      <c r="J2213" s="68">
        <f t="shared" si="1"/>
        <v>323.5381128</v>
      </c>
      <c r="K2213" s="68" t="b">
        <v>1</v>
      </c>
    </row>
    <row r="2214" hidden="1">
      <c r="A2214" s="75">
        <v>2208.0</v>
      </c>
      <c r="B2214" s="62" t="s">
        <v>1306</v>
      </c>
      <c r="C2214" s="62" t="s">
        <v>108</v>
      </c>
      <c r="D2214" s="62" t="s">
        <v>1359</v>
      </c>
      <c r="E2214" s="76">
        <v>43881.0</v>
      </c>
      <c r="F2214" s="77">
        <v>0.11458333333333333</v>
      </c>
      <c r="G2214" s="62" t="b">
        <v>0</v>
      </c>
      <c r="H2214" s="78" t="b">
        <f>IF(VLOOKUP(C2214,Projetos!A:L,12,false)=TRUE,TRUE,FALSE)</f>
        <v>1</v>
      </c>
      <c r="I2214" s="68">
        <v>35.94867919823232</v>
      </c>
      <c r="J2214" s="68">
        <f t="shared" si="1"/>
        <v>0</v>
      </c>
      <c r="K2214" s="68" t="b">
        <v>1</v>
      </c>
    </row>
    <row r="2215" hidden="1">
      <c r="A2215" s="75">
        <v>2209.0</v>
      </c>
      <c r="B2215" s="62" t="s">
        <v>1306</v>
      </c>
      <c r="C2215" s="62" t="s">
        <v>108</v>
      </c>
      <c r="D2215" s="62" t="s">
        <v>1360</v>
      </c>
      <c r="E2215" s="76">
        <v>43881.0</v>
      </c>
      <c r="F2215" s="77">
        <v>0.2916666666666667</v>
      </c>
      <c r="G2215" s="62" t="b">
        <v>0</v>
      </c>
      <c r="H2215" s="78" t="b">
        <f>IF(VLOOKUP(C2215,Projetos!A:L,12,false)=TRUE,TRUE,FALSE)</f>
        <v>1</v>
      </c>
      <c r="I2215" s="68">
        <v>35.94867919823232</v>
      </c>
      <c r="J2215" s="68">
        <f t="shared" si="1"/>
        <v>0</v>
      </c>
      <c r="K2215" s="68" t="b">
        <v>1</v>
      </c>
    </row>
    <row r="2216" hidden="1">
      <c r="A2216" s="75">
        <v>2210.0</v>
      </c>
      <c r="B2216" s="62" t="s">
        <v>1306</v>
      </c>
      <c r="C2216" s="62" t="s">
        <v>110</v>
      </c>
      <c r="D2216" s="62" t="s">
        <v>1309</v>
      </c>
      <c r="E2216" s="76">
        <v>43864.0</v>
      </c>
      <c r="F2216" s="77">
        <v>0.14583333333333334</v>
      </c>
      <c r="G2216" s="62" t="b">
        <v>1</v>
      </c>
      <c r="H2216" s="78" t="b">
        <f>IF(VLOOKUP(C2216,Projetos!A:L,12,false)=TRUE,TRUE,FALSE)</f>
        <v>1</v>
      </c>
      <c r="I2216" s="68">
        <v>35.94867919823232</v>
      </c>
      <c r="J2216" s="68">
        <f t="shared" si="1"/>
        <v>125.8203772</v>
      </c>
      <c r="K2216" s="68" t="b">
        <v>1</v>
      </c>
    </row>
    <row r="2217" hidden="1">
      <c r="A2217" s="75">
        <v>2211.0</v>
      </c>
      <c r="B2217" s="62" t="s">
        <v>1306</v>
      </c>
      <c r="C2217" s="62" t="s">
        <v>110</v>
      </c>
      <c r="D2217" s="62" t="s">
        <v>1361</v>
      </c>
      <c r="E2217" s="76">
        <v>43865.0</v>
      </c>
      <c r="F2217" s="77">
        <v>0.0625</v>
      </c>
      <c r="G2217" s="62" t="b">
        <v>1</v>
      </c>
      <c r="H2217" s="78" t="b">
        <f>IF(VLOOKUP(C2217,Projetos!A:L,12,false)=TRUE,TRUE,FALSE)</f>
        <v>1</v>
      </c>
      <c r="I2217" s="68">
        <v>35.94867919823232</v>
      </c>
      <c r="J2217" s="68">
        <f t="shared" si="1"/>
        <v>53.9230188</v>
      </c>
      <c r="K2217" s="68" t="b">
        <v>1</v>
      </c>
    </row>
    <row r="2218" hidden="1">
      <c r="A2218" s="75">
        <v>2212.0</v>
      </c>
      <c r="B2218" s="62" t="s">
        <v>1306</v>
      </c>
      <c r="C2218" s="62" t="s">
        <v>110</v>
      </c>
      <c r="D2218" s="62" t="s">
        <v>1339</v>
      </c>
      <c r="E2218" s="76">
        <v>43871.0</v>
      </c>
      <c r="F2218" s="77">
        <v>0.10416666666666667</v>
      </c>
      <c r="G2218" s="62" t="b">
        <v>1</v>
      </c>
      <c r="H2218" s="78" t="b">
        <f>IF(VLOOKUP(C2218,Projetos!A:L,12,false)=TRUE,TRUE,FALSE)</f>
        <v>1</v>
      </c>
      <c r="I2218" s="68">
        <v>35.94867919823232</v>
      </c>
      <c r="J2218" s="68">
        <f t="shared" si="1"/>
        <v>89.871698</v>
      </c>
      <c r="K2218" s="68" t="b">
        <v>1</v>
      </c>
    </row>
    <row r="2219" hidden="1">
      <c r="A2219" s="75">
        <v>2213.0</v>
      </c>
      <c r="B2219" s="62" t="s">
        <v>1306</v>
      </c>
      <c r="C2219" s="62" t="s">
        <v>110</v>
      </c>
      <c r="D2219" s="62" t="s">
        <v>1339</v>
      </c>
      <c r="E2219" s="76">
        <v>43882.0</v>
      </c>
      <c r="F2219" s="77">
        <v>0.08333333333333333</v>
      </c>
      <c r="G2219" s="62" t="b">
        <v>1</v>
      </c>
      <c r="H2219" s="78" t="b">
        <f>IF(VLOOKUP(C2219,Projetos!A:L,12,false)=TRUE,TRUE,FALSE)</f>
        <v>1</v>
      </c>
      <c r="I2219" s="68">
        <v>35.94867919823232</v>
      </c>
      <c r="J2219" s="68">
        <f t="shared" si="1"/>
        <v>71.8973584</v>
      </c>
      <c r="K2219" s="68" t="b">
        <v>1</v>
      </c>
    </row>
    <row r="2220" hidden="1">
      <c r="A2220" s="75">
        <v>2214.0</v>
      </c>
      <c r="B2220" s="62" t="s">
        <v>1306</v>
      </c>
      <c r="C2220" s="62" t="s">
        <v>138</v>
      </c>
      <c r="D2220" s="62" t="s">
        <v>1362</v>
      </c>
      <c r="E2220" s="76">
        <v>43913.0</v>
      </c>
      <c r="F2220" s="77">
        <v>0.16666666666666666</v>
      </c>
      <c r="G2220" s="62" t="b">
        <v>1</v>
      </c>
      <c r="H2220" s="78" t="b">
        <f>IF(VLOOKUP(C2220,Projetos!A:L,12,false)=TRUE,TRUE,FALSE)</f>
        <v>1</v>
      </c>
      <c r="I2220" s="68">
        <v>37.66052106481481</v>
      </c>
      <c r="J2220" s="68">
        <f t="shared" si="1"/>
        <v>150.6420843</v>
      </c>
      <c r="K2220" s="68" t="b">
        <v>1</v>
      </c>
    </row>
    <row r="2221" hidden="1">
      <c r="A2221" s="75">
        <v>2215.0</v>
      </c>
      <c r="B2221" s="62" t="s">
        <v>1306</v>
      </c>
      <c r="C2221" s="62" t="s">
        <v>138</v>
      </c>
      <c r="D2221" s="62" t="s">
        <v>1363</v>
      </c>
      <c r="E2221" s="76">
        <v>43915.0</v>
      </c>
      <c r="F2221" s="77">
        <v>0.10416666666666667</v>
      </c>
      <c r="G2221" s="62" t="b">
        <v>0</v>
      </c>
      <c r="H2221" s="78" t="b">
        <f>IF(VLOOKUP(C2221,Projetos!A:L,12,false)=TRUE,TRUE,FALSE)</f>
        <v>1</v>
      </c>
      <c r="I2221" s="68">
        <v>37.66052106481481</v>
      </c>
      <c r="J2221" s="68">
        <f t="shared" si="1"/>
        <v>0</v>
      </c>
      <c r="K2221" s="68" t="b">
        <v>1</v>
      </c>
    </row>
    <row r="2222" hidden="1">
      <c r="A2222" s="75">
        <v>2216.0</v>
      </c>
      <c r="B2222" s="62" t="s">
        <v>1306</v>
      </c>
      <c r="C2222" s="62" t="s">
        <v>138</v>
      </c>
      <c r="D2222" s="62" t="s">
        <v>1364</v>
      </c>
      <c r="E2222" s="76">
        <v>43921.0</v>
      </c>
      <c r="F2222" s="77">
        <v>0.08333333333333333</v>
      </c>
      <c r="G2222" s="62" t="b">
        <v>1</v>
      </c>
      <c r="H2222" s="78" t="b">
        <f>IF(VLOOKUP(C2222,Projetos!A:L,12,false)=TRUE,TRUE,FALSE)</f>
        <v>1</v>
      </c>
      <c r="I2222" s="68">
        <v>37.66052106481481</v>
      </c>
      <c r="J2222" s="68">
        <f t="shared" si="1"/>
        <v>75.32104213</v>
      </c>
      <c r="K2222" s="68" t="b">
        <v>1</v>
      </c>
    </row>
    <row r="2223" hidden="1">
      <c r="A2223" s="75">
        <v>2217.0</v>
      </c>
      <c r="B2223" s="62" t="s">
        <v>1306</v>
      </c>
      <c r="C2223" s="62" t="s">
        <v>83</v>
      </c>
      <c r="D2223" s="62" t="s">
        <v>1342</v>
      </c>
      <c r="E2223" s="76">
        <v>43894.0</v>
      </c>
      <c r="F2223" s="77">
        <v>0.19791666666666666</v>
      </c>
      <c r="G2223" s="62" t="b">
        <v>0</v>
      </c>
      <c r="H2223" s="78" t="b">
        <f>IF(VLOOKUP(C2223,Projetos!A:L,12,false)=TRUE,TRUE,FALSE)</f>
        <v>0</v>
      </c>
      <c r="I2223" s="68">
        <v>37.66052106481481</v>
      </c>
      <c r="J2223" s="68">
        <f t="shared" si="1"/>
        <v>0</v>
      </c>
      <c r="K2223" s="68" t="b">
        <v>0</v>
      </c>
    </row>
    <row r="2224" hidden="1">
      <c r="A2224" s="75">
        <v>2218.0</v>
      </c>
      <c r="B2224" s="62" t="s">
        <v>1306</v>
      </c>
      <c r="C2224" s="62" t="s">
        <v>98</v>
      </c>
      <c r="D2224" s="62" t="s">
        <v>1359</v>
      </c>
      <c r="E2224" s="76">
        <v>43921.0</v>
      </c>
      <c r="F2224" s="77">
        <v>0.03125</v>
      </c>
      <c r="G2224" s="62" t="b">
        <v>1</v>
      </c>
      <c r="H2224" s="78" t="b">
        <f>IF(VLOOKUP(C2224,Projetos!A:L,12,false)=TRUE,TRUE,FALSE)</f>
        <v>1</v>
      </c>
      <c r="I2224" s="68">
        <v>37.66052106481481</v>
      </c>
      <c r="J2224" s="68">
        <f t="shared" si="1"/>
        <v>28.2453908</v>
      </c>
      <c r="K2224" s="68" t="b">
        <v>1</v>
      </c>
    </row>
    <row r="2225" hidden="1">
      <c r="A2225" s="75">
        <v>2219.0</v>
      </c>
      <c r="B2225" s="62" t="s">
        <v>1306</v>
      </c>
      <c r="C2225" s="62" t="s">
        <v>100</v>
      </c>
      <c r="D2225" s="62" t="s">
        <v>1365</v>
      </c>
      <c r="E2225" s="76">
        <v>43893.0</v>
      </c>
      <c r="F2225" s="77">
        <v>0.16666666666666666</v>
      </c>
      <c r="G2225" s="62" t="b">
        <v>1</v>
      </c>
      <c r="H2225" s="78" t="b">
        <f>IF(VLOOKUP(C2225,Projetos!A:L,12,false)=TRUE,TRUE,FALSE)</f>
        <v>1</v>
      </c>
      <c r="I2225" s="68">
        <v>37.66052106481481</v>
      </c>
      <c r="J2225" s="68">
        <f t="shared" si="1"/>
        <v>150.6420843</v>
      </c>
      <c r="K2225" s="68" t="b">
        <v>1</v>
      </c>
    </row>
    <row r="2226" hidden="1">
      <c r="A2226" s="75">
        <v>2220.0</v>
      </c>
      <c r="B2226" s="62" t="s">
        <v>1306</v>
      </c>
      <c r="C2226" s="62" t="s">
        <v>100</v>
      </c>
      <c r="D2226" s="62" t="s">
        <v>1366</v>
      </c>
      <c r="E2226" s="76">
        <v>43902.0</v>
      </c>
      <c r="F2226" s="77">
        <v>0.08333333333333333</v>
      </c>
      <c r="G2226" s="62" t="b">
        <v>1</v>
      </c>
      <c r="H2226" s="78" t="b">
        <f>IF(VLOOKUP(C2226,Projetos!A:L,12,false)=TRUE,TRUE,FALSE)</f>
        <v>1</v>
      </c>
      <c r="I2226" s="68">
        <v>37.66052106481481</v>
      </c>
      <c r="J2226" s="68">
        <f t="shared" si="1"/>
        <v>75.32104213</v>
      </c>
      <c r="K2226" s="68" t="b">
        <v>1</v>
      </c>
    </row>
    <row r="2227" hidden="1">
      <c r="A2227" s="75">
        <v>2221.0</v>
      </c>
      <c r="B2227" s="62" t="s">
        <v>1306</v>
      </c>
      <c r="C2227" s="62" t="s">
        <v>100</v>
      </c>
      <c r="D2227" s="62" t="s">
        <v>1367</v>
      </c>
      <c r="E2227" s="76">
        <v>43907.0</v>
      </c>
      <c r="F2227" s="77">
        <v>0.041666666666666664</v>
      </c>
      <c r="G2227" s="62" t="b">
        <v>1</v>
      </c>
      <c r="H2227" s="78" t="b">
        <f>IF(VLOOKUP(C2227,Projetos!A:L,12,false)=TRUE,TRUE,FALSE)</f>
        <v>1</v>
      </c>
      <c r="I2227" s="68">
        <v>37.66052106481481</v>
      </c>
      <c r="J2227" s="68">
        <f t="shared" si="1"/>
        <v>37.66052106</v>
      </c>
      <c r="K2227" s="68" t="b">
        <v>1</v>
      </c>
    </row>
    <row r="2228" hidden="1">
      <c r="A2228" s="75">
        <v>2222.0</v>
      </c>
      <c r="B2228" s="62" t="s">
        <v>1306</v>
      </c>
      <c r="C2228" s="62" t="s">
        <v>100</v>
      </c>
      <c r="D2228" s="62" t="s">
        <v>1368</v>
      </c>
      <c r="E2228" s="76">
        <v>43910.0</v>
      </c>
      <c r="F2228" s="77">
        <v>0.07291666666666667</v>
      </c>
      <c r="G2228" s="62" t="b">
        <v>1</v>
      </c>
      <c r="H2228" s="78" t="b">
        <f>IF(VLOOKUP(C2228,Projetos!A:L,12,false)=TRUE,TRUE,FALSE)</f>
        <v>1</v>
      </c>
      <c r="I2228" s="68">
        <v>37.66052106481481</v>
      </c>
      <c r="J2228" s="68">
        <f t="shared" si="1"/>
        <v>65.90591186</v>
      </c>
      <c r="K2228" s="68" t="b">
        <v>1</v>
      </c>
    </row>
    <row r="2229" hidden="1">
      <c r="A2229" s="75">
        <v>2223.0</v>
      </c>
      <c r="B2229" s="62" t="s">
        <v>1306</v>
      </c>
      <c r="C2229" s="62" t="s">
        <v>100</v>
      </c>
      <c r="D2229" s="62" t="s">
        <v>1368</v>
      </c>
      <c r="E2229" s="76">
        <v>43913.0</v>
      </c>
      <c r="F2229" s="77">
        <v>0.08333333333333333</v>
      </c>
      <c r="G2229" s="62" t="b">
        <v>1</v>
      </c>
      <c r="H2229" s="78" t="b">
        <f>IF(VLOOKUP(C2229,Projetos!A:L,12,false)=TRUE,TRUE,FALSE)</f>
        <v>1</v>
      </c>
      <c r="I2229" s="68">
        <v>37.66052106481481</v>
      </c>
      <c r="J2229" s="68">
        <f t="shared" si="1"/>
        <v>75.32104213</v>
      </c>
      <c r="K2229" s="68" t="b">
        <v>1</v>
      </c>
    </row>
    <row r="2230" hidden="1">
      <c r="A2230" s="75">
        <v>2224.0</v>
      </c>
      <c r="B2230" s="62" t="s">
        <v>1306</v>
      </c>
      <c r="C2230" s="62" t="s">
        <v>100</v>
      </c>
      <c r="D2230" s="62" t="s">
        <v>1369</v>
      </c>
      <c r="E2230" s="76">
        <v>43917.0</v>
      </c>
      <c r="F2230" s="77">
        <v>0.052083333333333336</v>
      </c>
      <c r="G2230" s="62" t="b">
        <v>1</v>
      </c>
      <c r="H2230" s="78" t="b">
        <f>IF(VLOOKUP(C2230,Projetos!A:L,12,false)=TRUE,TRUE,FALSE)</f>
        <v>1</v>
      </c>
      <c r="I2230" s="68">
        <v>37.66052106481481</v>
      </c>
      <c r="J2230" s="68">
        <f t="shared" si="1"/>
        <v>47.07565133</v>
      </c>
      <c r="K2230" s="68" t="b">
        <v>1</v>
      </c>
    </row>
    <row r="2231" hidden="1">
      <c r="A2231" s="75">
        <v>2225.0</v>
      </c>
      <c r="B2231" s="62" t="s">
        <v>1306</v>
      </c>
      <c r="C2231" s="62" t="s">
        <v>100</v>
      </c>
      <c r="D2231" s="62" t="s">
        <v>1369</v>
      </c>
      <c r="E2231" s="76">
        <v>43917.0</v>
      </c>
      <c r="F2231" s="77">
        <v>0.08333333333333333</v>
      </c>
      <c r="G2231" s="62" t="b">
        <v>1</v>
      </c>
      <c r="H2231" s="78" t="b">
        <f>IF(VLOOKUP(C2231,Projetos!A:L,12,false)=TRUE,TRUE,FALSE)</f>
        <v>1</v>
      </c>
      <c r="I2231" s="68">
        <v>37.66052106481481</v>
      </c>
      <c r="J2231" s="68">
        <f t="shared" si="1"/>
        <v>75.32104213</v>
      </c>
      <c r="K2231" s="68" t="b">
        <v>1</v>
      </c>
    </row>
    <row r="2232" hidden="1">
      <c r="A2232" s="75">
        <v>2226.0</v>
      </c>
      <c r="B2232" s="62" t="s">
        <v>1306</v>
      </c>
      <c r="C2232" s="62" t="s">
        <v>100</v>
      </c>
      <c r="D2232" s="62" t="s">
        <v>1369</v>
      </c>
      <c r="E2232" s="76">
        <v>43920.0</v>
      </c>
      <c r="F2232" s="77">
        <v>0.08333333333333333</v>
      </c>
      <c r="G2232" s="62" t="b">
        <v>1</v>
      </c>
      <c r="H2232" s="78" t="b">
        <f>IF(VLOOKUP(C2232,Projetos!A:L,12,false)=TRUE,TRUE,FALSE)</f>
        <v>1</v>
      </c>
      <c r="I2232" s="68">
        <v>37.66052106481481</v>
      </c>
      <c r="J2232" s="68">
        <f t="shared" si="1"/>
        <v>75.32104213</v>
      </c>
      <c r="K2232" s="68" t="b">
        <v>1</v>
      </c>
    </row>
    <row r="2233" hidden="1">
      <c r="A2233" s="75">
        <v>2227.0</v>
      </c>
      <c r="B2233" s="62" t="s">
        <v>1306</v>
      </c>
      <c r="C2233" s="62" t="s">
        <v>101</v>
      </c>
      <c r="D2233" s="62" t="s">
        <v>1370</v>
      </c>
      <c r="E2233" s="76">
        <v>43900.0</v>
      </c>
      <c r="F2233" s="77">
        <v>0.0625</v>
      </c>
      <c r="G2233" s="62" t="b">
        <v>1</v>
      </c>
      <c r="H2233" s="78" t="b">
        <f>IF(VLOOKUP(C2233,Projetos!A:L,12,false)=TRUE,TRUE,FALSE)</f>
        <v>1</v>
      </c>
      <c r="I2233" s="68">
        <v>37.66052106481481</v>
      </c>
      <c r="J2233" s="68">
        <f t="shared" si="1"/>
        <v>56.4907816</v>
      </c>
      <c r="K2233" s="68" t="b">
        <v>1</v>
      </c>
    </row>
    <row r="2234" hidden="1">
      <c r="A2234" s="75">
        <v>2228.0</v>
      </c>
      <c r="B2234" s="62" t="s">
        <v>1306</v>
      </c>
      <c r="C2234" s="62" t="s">
        <v>102</v>
      </c>
      <c r="D2234" s="62" t="s">
        <v>1371</v>
      </c>
      <c r="E2234" s="76">
        <v>43902.0</v>
      </c>
      <c r="F2234" s="77">
        <v>0.0625</v>
      </c>
      <c r="G2234" s="62" t="b">
        <v>0</v>
      </c>
      <c r="H2234" s="78" t="b">
        <f>IF(VLOOKUP(C2234,Projetos!A:L,12,false)=TRUE,TRUE,FALSE)</f>
        <v>0</v>
      </c>
      <c r="I2234" s="68">
        <v>37.66052106481481</v>
      </c>
      <c r="J2234" s="68">
        <f t="shared" si="1"/>
        <v>0</v>
      </c>
      <c r="K2234" s="68" t="b">
        <v>0</v>
      </c>
    </row>
    <row r="2235" hidden="1">
      <c r="A2235" s="75">
        <v>2229.0</v>
      </c>
      <c r="B2235" s="62" t="s">
        <v>1306</v>
      </c>
      <c r="C2235" s="62" t="s">
        <v>103</v>
      </c>
      <c r="D2235" s="62" t="s">
        <v>1372</v>
      </c>
      <c r="E2235" s="76">
        <v>43900.0</v>
      </c>
      <c r="F2235" s="77">
        <v>0.125</v>
      </c>
      <c r="G2235" s="62" t="b">
        <v>0</v>
      </c>
      <c r="H2235" s="78" t="b">
        <f>IF(VLOOKUP(C2235,Projetos!A:L,12,false)=TRUE,TRUE,FALSE)</f>
        <v>1</v>
      </c>
      <c r="I2235" s="68">
        <v>37.66052106481481</v>
      </c>
      <c r="J2235" s="68">
        <f t="shared" si="1"/>
        <v>0</v>
      </c>
      <c r="K2235" s="68" t="b">
        <v>1</v>
      </c>
    </row>
    <row r="2236" hidden="1">
      <c r="A2236" s="75">
        <v>2230.0</v>
      </c>
      <c r="B2236" s="62" t="s">
        <v>1306</v>
      </c>
      <c r="C2236" s="62" t="s">
        <v>103</v>
      </c>
      <c r="D2236" s="62" t="s">
        <v>1373</v>
      </c>
      <c r="E2236" s="76">
        <v>43916.0</v>
      </c>
      <c r="F2236" s="77">
        <v>0.08333333333333333</v>
      </c>
      <c r="G2236" s="62" t="b">
        <v>1</v>
      </c>
      <c r="H2236" s="78" t="b">
        <f>IF(VLOOKUP(C2236,Projetos!A:L,12,false)=TRUE,TRUE,FALSE)</f>
        <v>1</v>
      </c>
      <c r="I2236" s="68">
        <v>37.66052106481481</v>
      </c>
      <c r="J2236" s="68">
        <f t="shared" si="1"/>
        <v>75.32104213</v>
      </c>
      <c r="K2236" s="68" t="b">
        <v>1</v>
      </c>
    </row>
    <row r="2237" hidden="1">
      <c r="A2237" s="75">
        <v>2231.0</v>
      </c>
      <c r="B2237" s="62" t="s">
        <v>1306</v>
      </c>
      <c r="C2237" s="62" t="s">
        <v>103</v>
      </c>
      <c r="D2237" s="62" t="s">
        <v>1374</v>
      </c>
      <c r="E2237" s="76">
        <v>43917.0</v>
      </c>
      <c r="F2237" s="77">
        <v>0.14583333333333334</v>
      </c>
      <c r="G2237" s="62" t="b">
        <v>1</v>
      </c>
      <c r="H2237" s="78" t="b">
        <f>IF(VLOOKUP(C2237,Projetos!A:L,12,false)=TRUE,TRUE,FALSE)</f>
        <v>1</v>
      </c>
      <c r="I2237" s="68">
        <v>37.66052106481481</v>
      </c>
      <c r="J2237" s="68">
        <f t="shared" si="1"/>
        <v>131.8118237</v>
      </c>
      <c r="K2237" s="68" t="b">
        <v>1</v>
      </c>
    </row>
    <row r="2238">
      <c r="A2238" s="75">
        <v>2232.0</v>
      </c>
      <c r="B2238" s="62" t="s">
        <v>1306</v>
      </c>
      <c r="C2238" s="62" t="s">
        <v>104</v>
      </c>
      <c r="D2238" s="62" t="s">
        <v>1369</v>
      </c>
      <c r="E2238" s="76">
        <v>43899.0</v>
      </c>
      <c r="F2238" s="77">
        <v>0.0625</v>
      </c>
      <c r="G2238" s="62" t="b">
        <v>1</v>
      </c>
      <c r="H2238" s="78" t="b">
        <f>IF(VLOOKUP(C2238,Projetos!A:L,12,false)=TRUE,TRUE,FALSE)</f>
        <v>1</v>
      </c>
      <c r="I2238" s="68">
        <v>37.66052106481481</v>
      </c>
      <c r="J2238" s="68">
        <f t="shared" si="1"/>
        <v>56.4907816</v>
      </c>
      <c r="K2238" s="68" t="b">
        <v>1</v>
      </c>
    </row>
    <row r="2239">
      <c r="A2239" s="75">
        <v>2233.0</v>
      </c>
      <c r="B2239" s="62" t="s">
        <v>1306</v>
      </c>
      <c r="C2239" s="62" t="s">
        <v>104</v>
      </c>
      <c r="D2239" s="62" t="s">
        <v>1375</v>
      </c>
      <c r="E2239" s="76">
        <v>43901.0</v>
      </c>
      <c r="F2239" s="77">
        <v>0.08333333333333333</v>
      </c>
      <c r="G2239" s="62" t="b">
        <v>1</v>
      </c>
      <c r="H2239" s="78" t="b">
        <f>IF(VLOOKUP(C2239,Projetos!A:L,12,false)=TRUE,TRUE,FALSE)</f>
        <v>1</v>
      </c>
      <c r="I2239" s="68">
        <v>37.66052106481481</v>
      </c>
      <c r="J2239" s="68">
        <f t="shared" si="1"/>
        <v>75.32104213</v>
      </c>
      <c r="K2239" s="68" t="b">
        <v>1</v>
      </c>
    </row>
    <row r="2240">
      <c r="A2240" s="75">
        <v>2234.0</v>
      </c>
      <c r="B2240" s="62" t="s">
        <v>1306</v>
      </c>
      <c r="C2240" s="62" t="s">
        <v>104</v>
      </c>
      <c r="D2240" s="62" t="s">
        <v>1376</v>
      </c>
      <c r="E2240" s="76">
        <v>43907.0</v>
      </c>
      <c r="F2240" s="77">
        <v>0.11458333333333333</v>
      </c>
      <c r="G2240" s="62" t="b">
        <v>1</v>
      </c>
      <c r="H2240" s="78" t="b">
        <f>IF(VLOOKUP(C2240,Projetos!A:L,12,false)=TRUE,TRUE,FALSE)</f>
        <v>1</v>
      </c>
      <c r="I2240" s="68">
        <v>37.66052106481481</v>
      </c>
      <c r="J2240" s="68">
        <f t="shared" si="1"/>
        <v>103.5664329</v>
      </c>
      <c r="K2240" s="68" t="b">
        <v>1</v>
      </c>
    </row>
    <row r="2241">
      <c r="A2241" s="75">
        <v>2235.0</v>
      </c>
      <c r="B2241" s="62" t="s">
        <v>1306</v>
      </c>
      <c r="C2241" s="62" t="s">
        <v>104</v>
      </c>
      <c r="D2241" s="62" t="s">
        <v>1376</v>
      </c>
      <c r="E2241" s="76">
        <v>43909.0</v>
      </c>
      <c r="F2241" s="77">
        <v>0.125</v>
      </c>
      <c r="G2241" s="62" t="b">
        <v>1</v>
      </c>
      <c r="H2241" s="78" t="b">
        <f>IF(VLOOKUP(C2241,Projetos!A:L,12,false)=TRUE,TRUE,FALSE)</f>
        <v>1</v>
      </c>
      <c r="I2241" s="68">
        <v>37.66052106481481</v>
      </c>
      <c r="J2241" s="68">
        <f t="shared" si="1"/>
        <v>112.9815632</v>
      </c>
      <c r="K2241" s="68" t="b">
        <v>1</v>
      </c>
    </row>
    <row r="2242">
      <c r="A2242" s="75">
        <v>2236.0</v>
      </c>
      <c r="B2242" s="62" t="s">
        <v>1306</v>
      </c>
      <c r="C2242" s="62" t="s">
        <v>104</v>
      </c>
      <c r="D2242" s="62" t="s">
        <v>1377</v>
      </c>
      <c r="E2242" s="76">
        <v>43915.0</v>
      </c>
      <c r="F2242" s="77">
        <v>0.22916666666666666</v>
      </c>
      <c r="G2242" s="62" t="b">
        <v>1</v>
      </c>
      <c r="H2242" s="78" t="b">
        <f>IF(VLOOKUP(C2242,Projetos!A:L,12,false)=TRUE,TRUE,FALSE)</f>
        <v>1</v>
      </c>
      <c r="I2242" s="68">
        <v>37.66052106481481</v>
      </c>
      <c r="J2242" s="68">
        <f t="shared" si="1"/>
        <v>207.1328659</v>
      </c>
      <c r="K2242" s="68" t="b">
        <v>1</v>
      </c>
    </row>
    <row r="2243">
      <c r="A2243" s="75">
        <v>2237.0</v>
      </c>
      <c r="B2243" s="62" t="s">
        <v>1306</v>
      </c>
      <c r="C2243" s="62" t="s">
        <v>104</v>
      </c>
      <c r="D2243" s="62" t="s">
        <v>1377</v>
      </c>
      <c r="E2243" s="76">
        <v>43916.0</v>
      </c>
      <c r="F2243" s="77">
        <v>0.08333333333333333</v>
      </c>
      <c r="G2243" s="62" t="b">
        <v>1</v>
      </c>
      <c r="H2243" s="78" t="b">
        <f>IF(VLOOKUP(C2243,Projetos!A:L,12,false)=TRUE,TRUE,FALSE)</f>
        <v>1</v>
      </c>
      <c r="I2243" s="68">
        <v>37.66052106481481</v>
      </c>
      <c r="J2243" s="68">
        <f t="shared" si="1"/>
        <v>75.32104213</v>
      </c>
      <c r="K2243" s="68" t="b">
        <v>1</v>
      </c>
    </row>
    <row r="2244">
      <c r="A2244" s="75">
        <v>2238.0</v>
      </c>
      <c r="B2244" s="62" t="s">
        <v>1306</v>
      </c>
      <c r="C2244" s="62" t="s">
        <v>104</v>
      </c>
      <c r="D2244" s="62" t="s">
        <v>1364</v>
      </c>
      <c r="E2244" s="76">
        <v>43921.0</v>
      </c>
      <c r="F2244" s="77">
        <v>0.125</v>
      </c>
      <c r="G2244" s="62" t="b">
        <v>1</v>
      </c>
      <c r="H2244" s="78" t="b">
        <f>IF(VLOOKUP(C2244,Projetos!A:L,12,false)=TRUE,TRUE,FALSE)</f>
        <v>1</v>
      </c>
      <c r="I2244" s="68">
        <v>37.66052106481481</v>
      </c>
      <c r="J2244" s="68">
        <f t="shared" si="1"/>
        <v>112.9815632</v>
      </c>
      <c r="K2244" s="68" t="b">
        <v>1</v>
      </c>
    </row>
    <row r="2245" hidden="1">
      <c r="A2245" s="75">
        <v>2239.0</v>
      </c>
      <c r="B2245" s="62" t="s">
        <v>1306</v>
      </c>
      <c r="C2245" s="62" t="s">
        <v>105</v>
      </c>
      <c r="D2245" s="62" t="s">
        <v>1367</v>
      </c>
      <c r="E2245" s="76">
        <v>43907.0</v>
      </c>
      <c r="F2245" s="77">
        <v>0.08333333333333333</v>
      </c>
      <c r="G2245" s="62" t="b">
        <v>1</v>
      </c>
      <c r="H2245" s="78" t="b">
        <f>IF(VLOOKUP(C2245,Projetos!A:L,12,false)=TRUE,TRUE,FALSE)</f>
        <v>1</v>
      </c>
      <c r="I2245" s="68">
        <v>37.66052106481481</v>
      </c>
      <c r="J2245" s="68">
        <f t="shared" si="1"/>
        <v>75.32104213</v>
      </c>
      <c r="K2245" s="68" t="b">
        <v>1</v>
      </c>
    </row>
    <row r="2246" hidden="1">
      <c r="A2246" s="75">
        <v>2240.0</v>
      </c>
      <c r="B2246" s="62" t="s">
        <v>1306</v>
      </c>
      <c r="C2246" s="62" t="s">
        <v>108</v>
      </c>
      <c r="D2246" s="62" t="s">
        <v>1378</v>
      </c>
      <c r="E2246" s="76">
        <v>43893.0</v>
      </c>
      <c r="F2246" s="77">
        <v>0.19791666666666666</v>
      </c>
      <c r="G2246" s="62" t="b">
        <v>0</v>
      </c>
      <c r="H2246" s="78" t="b">
        <f>IF(VLOOKUP(C2246,Projetos!A:L,12,false)=TRUE,TRUE,FALSE)</f>
        <v>1</v>
      </c>
      <c r="I2246" s="68">
        <v>37.66052106481481</v>
      </c>
      <c r="J2246" s="68">
        <f t="shared" si="1"/>
        <v>0</v>
      </c>
      <c r="K2246" s="68" t="b">
        <v>1</v>
      </c>
    </row>
    <row r="2247" hidden="1">
      <c r="A2247" s="75">
        <v>2241.0</v>
      </c>
      <c r="B2247" s="62" t="s">
        <v>1306</v>
      </c>
      <c r="C2247" s="62" t="s">
        <v>108</v>
      </c>
      <c r="D2247" s="62" t="s">
        <v>1379</v>
      </c>
      <c r="E2247" s="76">
        <v>43894.0</v>
      </c>
      <c r="F2247" s="77">
        <v>0.16666666666666666</v>
      </c>
      <c r="G2247" s="62" t="b">
        <v>0</v>
      </c>
      <c r="H2247" s="78" t="b">
        <f>IF(VLOOKUP(C2247,Projetos!A:L,12,false)=TRUE,TRUE,FALSE)</f>
        <v>1</v>
      </c>
      <c r="I2247" s="68">
        <v>37.66052106481481</v>
      </c>
      <c r="J2247" s="68">
        <f t="shared" si="1"/>
        <v>0</v>
      </c>
      <c r="K2247" s="68" t="b">
        <v>1</v>
      </c>
    </row>
    <row r="2248" hidden="1">
      <c r="A2248" s="75">
        <v>2242.0</v>
      </c>
      <c r="B2248" s="62" t="s">
        <v>1306</v>
      </c>
      <c r="C2248" s="62" t="s">
        <v>108</v>
      </c>
      <c r="D2248" s="62" t="s">
        <v>1379</v>
      </c>
      <c r="E2248" s="76">
        <v>43895.0</v>
      </c>
      <c r="F2248" s="77">
        <v>0.11458333333333333</v>
      </c>
      <c r="G2248" s="62" t="b">
        <v>0</v>
      </c>
      <c r="H2248" s="78" t="b">
        <f>IF(VLOOKUP(C2248,Projetos!A:L,12,false)=TRUE,TRUE,FALSE)</f>
        <v>1</v>
      </c>
      <c r="I2248" s="68">
        <v>37.66052106481481</v>
      </c>
      <c r="J2248" s="68">
        <f t="shared" si="1"/>
        <v>0</v>
      </c>
      <c r="K2248" s="68" t="b">
        <v>1</v>
      </c>
    </row>
    <row r="2249" hidden="1">
      <c r="A2249" s="75">
        <v>2243.0</v>
      </c>
      <c r="B2249" s="62" t="s">
        <v>1306</v>
      </c>
      <c r="C2249" s="62" t="s">
        <v>108</v>
      </c>
      <c r="D2249" s="62" t="s">
        <v>1380</v>
      </c>
      <c r="E2249" s="76">
        <v>43895.0</v>
      </c>
      <c r="F2249" s="77">
        <v>0.20833333333333334</v>
      </c>
      <c r="G2249" s="62" t="b">
        <v>0</v>
      </c>
      <c r="H2249" s="78" t="b">
        <f>IF(VLOOKUP(C2249,Projetos!A:L,12,false)=TRUE,TRUE,FALSE)</f>
        <v>1</v>
      </c>
      <c r="I2249" s="68">
        <v>37.66052106481481</v>
      </c>
      <c r="J2249" s="68">
        <f t="shared" si="1"/>
        <v>0</v>
      </c>
      <c r="K2249" s="68" t="b">
        <v>1</v>
      </c>
    </row>
    <row r="2250" hidden="1">
      <c r="A2250" s="75">
        <v>2244.0</v>
      </c>
      <c r="B2250" s="62" t="s">
        <v>1306</v>
      </c>
      <c r="C2250" s="62" t="s">
        <v>108</v>
      </c>
      <c r="D2250" s="62" t="s">
        <v>1381</v>
      </c>
      <c r="E2250" s="76">
        <v>43899.0</v>
      </c>
      <c r="F2250" s="77">
        <v>0.125</v>
      </c>
      <c r="G2250" s="62" t="b">
        <v>0</v>
      </c>
      <c r="H2250" s="78" t="b">
        <f>IF(VLOOKUP(C2250,Projetos!A:L,12,false)=TRUE,TRUE,FALSE)</f>
        <v>1</v>
      </c>
      <c r="I2250" s="68">
        <v>37.66052106481481</v>
      </c>
      <c r="J2250" s="68">
        <f t="shared" si="1"/>
        <v>0</v>
      </c>
      <c r="K2250" s="68" t="b">
        <v>1</v>
      </c>
    </row>
    <row r="2251" hidden="1">
      <c r="A2251" s="75">
        <v>2245.0</v>
      </c>
      <c r="B2251" s="62" t="s">
        <v>1306</v>
      </c>
      <c r="C2251" s="62" t="s">
        <v>108</v>
      </c>
      <c r="D2251" s="62" t="s">
        <v>1379</v>
      </c>
      <c r="E2251" s="76">
        <v>43901.0</v>
      </c>
      <c r="F2251" s="77">
        <v>0.09375</v>
      </c>
      <c r="G2251" s="62" t="b">
        <v>0</v>
      </c>
      <c r="H2251" s="78" t="b">
        <f>IF(VLOOKUP(C2251,Projetos!A:L,12,false)=TRUE,TRUE,FALSE)</f>
        <v>1</v>
      </c>
      <c r="I2251" s="68">
        <v>37.66052106481481</v>
      </c>
      <c r="J2251" s="68">
        <f t="shared" si="1"/>
        <v>0</v>
      </c>
      <c r="K2251" s="68" t="b">
        <v>1</v>
      </c>
    </row>
    <row r="2252" hidden="1">
      <c r="A2252" s="75">
        <v>2246.0</v>
      </c>
      <c r="B2252" s="62" t="s">
        <v>1306</v>
      </c>
      <c r="C2252" s="62" t="s">
        <v>108</v>
      </c>
      <c r="D2252" s="62" t="s">
        <v>1382</v>
      </c>
      <c r="E2252" s="76">
        <v>43901.0</v>
      </c>
      <c r="F2252" s="77">
        <v>0.08333333333333333</v>
      </c>
      <c r="G2252" s="62" t="b">
        <v>0</v>
      </c>
      <c r="H2252" s="78" t="b">
        <f>IF(VLOOKUP(C2252,Projetos!A:L,12,false)=TRUE,TRUE,FALSE)</f>
        <v>1</v>
      </c>
      <c r="I2252" s="68">
        <v>37.66052106481481</v>
      </c>
      <c r="J2252" s="68">
        <f t="shared" si="1"/>
        <v>0</v>
      </c>
      <c r="K2252" s="68" t="b">
        <v>1</v>
      </c>
    </row>
    <row r="2253" hidden="1">
      <c r="A2253" s="75">
        <v>2247.0</v>
      </c>
      <c r="B2253" s="62" t="s">
        <v>1306</v>
      </c>
      <c r="C2253" s="62" t="s">
        <v>108</v>
      </c>
      <c r="D2253" s="62" t="s">
        <v>1383</v>
      </c>
      <c r="E2253" s="76">
        <v>43903.0</v>
      </c>
      <c r="F2253" s="77">
        <v>0.041666666666666664</v>
      </c>
      <c r="G2253" s="62" t="b">
        <v>0</v>
      </c>
      <c r="H2253" s="78" t="b">
        <f>IF(VLOOKUP(C2253,Projetos!A:L,12,false)=TRUE,TRUE,FALSE)</f>
        <v>1</v>
      </c>
      <c r="I2253" s="68">
        <v>37.66052106481481</v>
      </c>
      <c r="J2253" s="68">
        <f t="shared" si="1"/>
        <v>0</v>
      </c>
      <c r="K2253" s="68" t="b">
        <v>1</v>
      </c>
    </row>
    <row r="2254" hidden="1">
      <c r="A2254" s="75">
        <v>2248.0</v>
      </c>
      <c r="B2254" s="62" t="s">
        <v>1306</v>
      </c>
      <c r="C2254" s="62" t="s">
        <v>108</v>
      </c>
      <c r="D2254" s="62" t="s">
        <v>1366</v>
      </c>
      <c r="E2254" s="76">
        <v>43906.0</v>
      </c>
      <c r="F2254" s="77">
        <v>0.19791666666666666</v>
      </c>
      <c r="G2254" s="62" t="b">
        <v>0</v>
      </c>
      <c r="H2254" s="78" t="b">
        <f>IF(VLOOKUP(C2254,Projetos!A:L,12,false)=TRUE,TRUE,FALSE)</f>
        <v>1</v>
      </c>
      <c r="I2254" s="68">
        <v>37.66052106481481</v>
      </c>
      <c r="J2254" s="68">
        <f t="shared" si="1"/>
        <v>0</v>
      </c>
      <c r="K2254" s="68" t="b">
        <v>1</v>
      </c>
    </row>
    <row r="2255" hidden="1">
      <c r="A2255" s="75">
        <v>2249.0</v>
      </c>
      <c r="B2255" s="62" t="s">
        <v>1306</v>
      </c>
      <c r="C2255" s="62" t="s">
        <v>108</v>
      </c>
      <c r="D2255" s="62" t="s">
        <v>1359</v>
      </c>
      <c r="E2255" s="76">
        <v>43906.0</v>
      </c>
      <c r="F2255" s="77">
        <v>0.16666666666666666</v>
      </c>
      <c r="G2255" s="62" t="b">
        <v>0</v>
      </c>
      <c r="H2255" s="78" t="b">
        <f>IF(VLOOKUP(C2255,Projetos!A:L,12,false)=TRUE,TRUE,FALSE)</f>
        <v>1</v>
      </c>
      <c r="I2255" s="68">
        <v>37.66052106481481</v>
      </c>
      <c r="J2255" s="68">
        <f t="shared" si="1"/>
        <v>0</v>
      </c>
      <c r="K2255" s="68" t="b">
        <v>1</v>
      </c>
    </row>
    <row r="2256" hidden="1">
      <c r="A2256" s="75">
        <v>2250.0</v>
      </c>
      <c r="B2256" s="62" t="s">
        <v>1306</v>
      </c>
      <c r="C2256" s="62" t="s">
        <v>108</v>
      </c>
      <c r="D2256" s="62" t="s">
        <v>1366</v>
      </c>
      <c r="E2256" s="76">
        <v>43907.0</v>
      </c>
      <c r="F2256" s="77">
        <v>0.125</v>
      </c>
      <c r="G2256" s="62" t="b">
        <v>0</v>
      </c>
      <c r="H2256" s="78" t="b">
        <f>IF(VLOOKUP(C2256,Projetos!A:L,12,false)=TRUE,TRUE,FALSE)</f>
        <v>1</v>
      </c>
      <c r="I2256" s="68">
        <v>37.66052106481481</v>
      </c>
      <c r="J2256" s="68">
        <f t="shared" si="1"/>
        <v>0</v>
      </c>
      <c r="K2256" s="68" t="b">
        <v>1</v>
      </c>
    </row>
    <row r="2257" hidden="1">
      <c r="A2257" s="75">
        <v>2251.0</v>
      </c>
      <c r="B2257" s="62" t="s">
        <v>1306</v>
      </c>
      <c r="C2257" s="62" t="s">
        <v>108</v>
      </c>
      <c r="D2257" s="62" t="s">
        <v>1382</v>
      </c>
      <c r="E2257" s="76">
        <v>43908.0</v>
      </c>
      <c r="F2257" s="77">
        <v>0.3333333333333333</v>
      </c>
      <c r="G2257" s="62" t="b">
        <v>0</v>
      </c>
      <c r="H2257" s="78" t="b">
        <f>IF(VLOOKUP(C2257,Projetos!A:L,12,false)=TRUE,TRUE,FALSE)</f>
        <v>1</v>
      </c>
      <c r="I2257" s="68">
        <v>37.66052106481481</v>
      </c>
      <c r="J2257" s="68">
        <f t="shared" si="1"/>
        <v>0</v>
      </c>
      <c r="K2257" s="68" t="b">
        <v>1</v>
      </c>
    </row>
    <row r="2258" hidden="1">
      <c r="A2258" s="75">
        <v>2252.0</v>
      </c>
      <c r="B2258" s="62" t="s">
        <v>1306</v>
      </c>
      <c r="C2258" s="62" t="s">
        <v>108</v>
      </c>
      <c r="D2258" s="62" t="s">
        <v>1369</v>
      </c>
      <c r="E2258" s="76">
        <v>43909.0</v>
      </c>
      <c r="F2258" s="77">
        <v>0.28125</v>
      </c>
      <c r="G2258" s="62" t="b">
        <v>0</v>
      </c>
      <c r="H2258" s="78" t="b">
        <f>IF(VLOOKUP(C2258,Projetos!A:L,12,false)=TRUE,TRUE,FALSE)</f>
        <v>1</v>
      </c>
      <c r="I2258" s="68">
        <v>37.66052106481481</v>
      </c>
      <c r="J2258" s="68">
        <f t="shared" si="1"/>
        <v>0</v>
      </c>
      <c r="K2258" s="68" t="b">
        <v>1</v>
      </c>
    </row>
    <row r="2259" hidden="1">
      <c r="A2259" s="75">
        <v>2253.0</v>
      </c>
      <c r="B2259" s="62" t="s">
        <v>1306</v>
      </c>
      <c r="C2259" s="62" t="s">
        <v>108</v>
      </c>
      <c r="D2259" s="62" t="s">
        <v>1384</v>
      </c>
      <c r="E2259" s="76">
        <v>43910.0</v>
      </c>
      <c r="F2259" s="77">
        <v>0.125</v>
      </c>
      <c r="G2259" s="62" t="b">
        <v>0</v>
      </c>
      <c r="H2259" s="78" t="b">
        <f>IF(VLOOKUP(C2259,Projetos!A:L,12,false)=TRUE,TRUE,FALSE)</f>
        <v>1</v>
      </c>
      <c r="I2259" s="68">
        <v>37.66052106481481</v>
      </c>
      <c r="J2259" s="68">
        <f t="shared" si="1"/>
        <v>0</v>
      </c>
      <c r="K2259" s="68" t="b">
        <v>1</v>
      </c>
    </row>
    <row r="2260" hidden="1">
      <c r="A2260" s="75">
        <v>2254.0</v>
      </c>
      <c r="B2260" s="62" t="s">
        <v>1306</v>
      </c>
      <c r="C2260" s="62" t="s">
        <v>108</v>
      </c>
      <c r="D2260" s="62" t="s">
        <v>1385</v>
      </c>
      <c r="E2260" s="76">
        <v>43910.0</v>
      </c>
      <c r="F2260" s="77">
        <v>0.041666666666666664</v>
      </c>
      <c r="G2260" s="62" t="b">
        <v>0</v>
      </c>
      <c r="H2260" s="78" t="b">
        <f>IF(VLOOKUP(C2260,Projetos!A:L,12,false)=TRUE,TRUE,FALSE)</f>
        <v>1</v>
      </c>
      <c r="I2260" s="68">
        <v>37.66052106481481</v>
      </c>
      <c r="J2260" s="68">
        <f t="shared" si="1"/>
        <v>0</v>
      </c>
      <c r="K2260" s="68" t="b">
        <v>1</v>
      </c>
    </row>
    <row r="2261" hidden="1">
      <c r="A2261" s="75">
        <v>2255.0</v>
      </c>
      <c r="B2261" s="62" t="s">
        <v>1306</v>
      </c>
      <c r="C2261" s="62" t="s">
        <v>108</v>
      </c>
      <c r="D2261" s="62" t="s">
        <v>1369</v>
      </c>
      <c r="E2261" s="76">
        <v>43913.0</v>
      </c>
      <c r="F2261" s="77">
        <v>0.11458333333333333</v>
      </c>
      <c r="G2261" s="62" t="b">
        <v>0</v>
      </c>
      <c r="H2261" s="78" t="b">
        <f>IF(VLOOKUP(C2261,Projetos!A:L,12,false)=TRUE,TRUE,FALSE)</f>
        <v>1</v>
      </c>
      <c r="I2261" s="68">
        <v>37.66052106481481</v>
      </c>
      <c r="J2261" s="68">
        <f t="shared" si="1"/>
        <v>0</v>
      </c>
      <c r="K2261" s="68" t="b">
        <v>1</v>
      </c>
    </row>
    <row r="2262" hidden="1">
      <c r="A2262" s="75">
        <v>2256.0</v>
      </c>
      <c r="B2262" s="62" t="s">
        <v>1306</v>
      </c>
      <c r="C2262" s="62" t="s">
        <v>108</v>
      </c>
      <c r="D2262" s="62" t="s">
        <v>1382</v>
      </c>
      <c r="E2262" s="76">
        <v>43914.0</v>
      </c>
      <c r="F2262" s="77">
        <v>0.07291666666666667</v>
      </c>
      <c r="G2262" s="62" t="b">
        <v>0</v>
      </c>
      <c r="H2262" s="78" t="b">
        <f>IF(VLOOKUP(C2262,Projetos!A:L,12,false)=TRUE,TRUE,FALSE)</f>
        <v>1</v>
      </c>
      <c r="I2262" s="68">
        <v>37.66052106481481</v>
      </c>
      <c r="J2262" s="68">
        <f t="shared" si="1"/>
        <v>0</v>
      </c>
      <c r="K2262" s="68" t="b">
        <v>1</v>
      </c>
    </row>
    <row r="2263" hidden="1">
      <c r="A2263" s="75">
        <v>2257.0</v>
      </c>
      <c r="B2263" s="62" t="s">
        <v>1306</v>
      </c>
      <c r="C2263" s="62" t="s">
        <v>108</v>
      </c>
      <c r="D2263" s="62" t="s">
        <v>1386</v>
      </c>
      <c r="E2263" s="76">
        <v>43914.0</v>
      </c>
      <c r="F2263" s="77">
        <v>0.08333333333333333</v>
      </c>
      <c r="G2263" s="62" t="b">
        <v>0</v>
      </c>
      <c r="H2263" s="78" t="b">
        <f>IF(VLOOKUP(C2263,Projetos!A:L,12,false)=TRUE,TRUE,FALSE)</f>
        <v>1</v>
      </c>
      <c r="I2263" s="68">
        <v>37.66052106481481</v>
      </c>
      <c r="J2263" s="68">
        <f t="shared" si="1"/>
        <v>0</v>
      </c>
      <c r="K2263" s="68" t="b">
        <v>1</v>
      </c>
    </row>
    <row r="2264" hidden="1">
      <c r="A2264" s="75">
        <v>2258.0</v>
      </c>
      <c r="B2264" s="62" t="s">
        <v>1306</v>
      </c>
      <c r="C2264" s="62" t="s">
        <v>108</v>
      </c>
      <c r="D2264" s="62" t="s">
        <v>1387</v>
      </c>
      <c r="E2264" s="76">
        <v>43914.0</v>
      </c>
      <c r="F2264" s="77">
        <v>0.25</v>
      </c>
      <c r="G2264" s="62" t="b">
        <v>0</v>
      </c>
      <c r="H2264" s="78" t="b">
        <f>IF(VLOOKUP(C2264,Projetos!A:L,12,false)=TRUE,TRUE,FALSE)</f>
        <v>1</v>
      </c>
      <c r="I2264" s="68">
        <v>37.66052106481481</v>
      </c>
      <c r="J2264" s="68">
        <f t="shared" si="1"/>
        <v>0</v>
      </c>
      <c r="K2264" s="68" t="b">
        <v>1</v>
      </c>
    </row>
    <row r="2265" hidden="1">
      <c r="A2265" s="75">
        <v>2259.0</v>
      </c>
      <c r="B2265" s="62" t="s">
        <v>1306</v>
      </c>
      <c r="C2265" s="62" t="s">
        <v>108</v>
      </c>
      <c r="D2265" s="62" t="s">
        <v>1388</v>
      </c>
      <c r="E2265" s="76">
        <v>43915.0</v>
      </c>
      <c r="F2265" s="77">
        <v>0.07291666666666667</v>
      </c>
      <c r="G2265" s="62" t="b">
        <v>0</v>
      </c>
      <c r="H2265" s="78" t="b">
        <f>IF(VLOOKUP(C2265,Projetos!A:L,12,false)=TRUE,TRUE,FALSE)</f>
        <v>1</v>
      </c>
      <c r="I2265" s="68">
        <v>37.66052106481481</v>
      </c>
      <c r="J2265" s="68">
        <f t="shared" si="1"/>
        <v>0</v>
      </c>
      <c r="K2265" s="68" t="b">
        <v>1</v>
      </c>
    </row>
    <row r="2266" hidden="1">
      <c r="A2266" s="75">
        <v>2260.0</v>
      </c>
      <c r="B2266" s="62" t="s">
        <v>1306</v>
      </c>
      <c r="C2266" s="62" t="s">
        <v>108</v>
      </c>
      <c r="D2266" s="62" t="s">
        <v>1382</v>
      </c>
      <c r="E2266" s="76">
        <v>43916.0</v>
      </c>
      <c r="F2266" s="77">
        <v>0.11458333333333333</v>
      </c>
      <c r="G2266" s="62" t="b">
        <v>0</v>
      </c>
      <c r="H2266" s="78" t="b">
        <f>IF(VLOOKUP(C2266,Projetos!A:L,12,false)=TRUE,TRUE,FALSE)</f>
        <v>1</v>
      </c>
      <c r="I2266" s="68">
        <v>37.66052106481481</v>
      </c>
      <c r="J2266" s="68">
        <f t="shared" si="1"/>
        <v>0</v>
      </c>
      <c r="K2266" s="68" t="b">
        <v>1</v>
      </c>
    </row>
    <row r="2267" hidden="1">
      <c r="A2267" s="75">
        <v>2261.0</v>
      </c>
      <c r="B2267" s="62" t="s">
        <v>1306</v>
      </c>
      <c r="C2267" s="62" t="s">
        <v>108</v>
      </c>
      <c r="D2267" s="62" t="s">
        <v>1387</v>
      </c>
      <c r="E2267" s="76">
        <v>43916.0</v>
      </c>
      <c r="F2267" s="77">
        <v>0.08333333333333333</v>
      </c>
      <c r="G2267" s="62" t="b">
        <v>0</v>
      </c>
      <c r="H2267" s="78" t="b">
        <f>IF(VLOOKUP(C2267,Projetos!A:L,12,false)=TRUE,TRUE,FALSE)</f>
        <v>1</v>
      </c>
      <c r="I2267" s="68">
        <v>37.66052106481481</v>
      </c>
      <c r="J2267" s="68">
        <f t="shared" si="1"/>
        <v>0</v>
      </c>
      <c r="K2267" s="68" t="b">
        <v>1</v>
      </c>
    </row>
    <row r="2268" hidden="1">
      <c r="A2268" s="75">
        <v>2262.0</v>
      </c>
      <c r="B2268" s="62" t="s">
        <v>1306</v>
      </c>
      <c r="C2268" s="62" t="s">
        <v>108</v>
      </c>
      <c r="D2268" s="62" t="s">
        <v>1389</v>
      </c>
      <c r="E2268" s="76">
        <v>43917.0</v>
      </c>
      <c r="F2268" s="77">
        <v>0.125</v>
      </c>
      <c r="G2268" s="62" t="b">
        <v>0</v>
      </c>
      <c r="H2268" s="78" t="b">
        <f>IF(VLOOKUP(C2268,Projetos!A:L,12,false)=TRUE,TRUE,FALSE)</f>
        <v>1</v>
      </c>
      <c r="I2268" s="68">
        <v>37.66052106481481</v>
      </c>
      <c r="J2268" s="68">
        <f t="shared" si="1"/>
        <v>0</v>
      </c>
      <c r="K2268" s="68" t="b">
        <v>1</v>
      </c>
    </row>
    <row r="2269" hidden="1">
      <c r="A2269" s="75">
        <v>2263.0</v>
      </c>
      <c r="B2269" s="62" t="s">
        <v>1306</v>
      </c>
      <c r="C2269" s="62" t="s">
        <v>108</v>
      </c>
      <c r="D2269" s="62" t="s">
        <v>1382</v>
      </c>
      <c r="E2269" s="76">
        <v>43920.0</v>
      </c>
      <c r="F2269" s="77">
        <v>0.08333333333333333</v>
      </c>
      <c r="G2269" s="62" t="b">
        <v>0</v>
      </c>
      <c r="H2269" s="78" t="b">
        <f>IF(VLOOKUP(C2269,Projetos!A:L,12,false)=TRUE,TRUE,FALSE)</f>
        <v>1</v>
      </c>
      <c r="I2269" s="68">
        <v>37.66052106481481</v>
      </c>
      <c r="J2269" s="68">
        <f t="shared" si="1"/>
        <v>0</v>
      </c>
      <c r="K2269" s="68" t="b">
        <v>1</v>
      </c>
    </row>
    <row r="2270" hidden="1">
      <c r="A2270" s="75">
        <v>2264.0</v>
      </c>
      <c r="B2270" s="62" t="s">
        <v>1306</v>
      </c>
      <c r="C2270" s="62" t="s">
        <v>108</v>
      </c>
      <c r="D2270" s="62" t="s">
        <v>1308</v>
      </c>
      <c r="E2270" s="76">
        <v>43920.0</v>
      </c>
      <c r="F2270" s="77">
        <v>0.08333333333333333</v>
      </c>
      <c r="G2270" s="62" t="b">
        <v>0</v>
      </c>
      <c r="H2270" s="78" t="b">
        <f>IF(VLOOKUP(C2270,Projetos!A:L,12,false)=TRUE,TRUE,FALSE)</f>
        <v>1</v>
      </c>
      <c r="I2270" s="68">
        <v>37.66052106481481</v>
      </c>
      <c r="J2270" s="68">
        <f t="shared" si="1"/>
        <v>0</v>
      </c>
      <c r="K2270" s="68" t="b">
        <v>1</v>
      </c>
    </row>
    <row r="2271" hidden="1">
      <c r="A2271" s="75">
        <v>2265.0</v>
      </c>
      <c r="B2271" s="62" t="s">
        <v>1306</v>
      </c>
      <c r="C2271" s="62" t="s">
        <v>108</v>
      </c>
      <c r="D2271" s="62" t="s">
        <v>1390</v>
      </c>
      <c r="E2271" s="76">
        <v>43921.0</v>
      </c>
      <c r="F2271" s="77">
        <v>0.125</v>
      </c>
      <c r="G2271" s="62" t="b">
        <v>0</v>
      </c>
      <c r="H2271" s="78" t="b">
        <f>IF(VLOOKUP(C2271,Projetos!A:L,12,false)=TRUE,TRUE,FALSE)</f>
        <v>1</v>
      </c>
      <c r="I2271" s="68">
        <v>37.66052106481481</v>
      </c>
      <c r="J2271" s="68">
        <f t="shared" si="1"/>
        <v>0</v>
      </c>
      <c r="K2271" s="68" t="b">
        <v>1</v>
      </c>
    </row>
    <row r="2272" hidden="1">
      <c r="A2272" s="75">
        <v>2266.0</v>
      </c>
      <c r="B2272" s="62" t="s">
        <v>1306</v>
      </c>
      <c r="C2272" s="62" t="s">
        <v>110</v>
      </c>
      <c r="D2272" s="62" t="s">
        <v>1367</v>
      </c>
      <c r="E2272" s="76">
        <v>43900.0</v>
      </c>
      <c r="F2272" s="77">
        <v>0.0625</v>
      </c>
      <c r="G2272" s="62" t="b">
        <v>1</v>
      </c>
      <c r="H2272" s="78" t="b">
        <f>IF(VLOOKUP(C2272,Projetos!A:L,12,false)=TRUE,TRUE,FALSE)</f>
        <v>1</v>
      </c>
      <c r="I2272" s="68">
        <v>37.66052106481481</v>
      </c>
      <c r="J2272" s="68">
        <f t="shared" si="1"/>
        <v>56.4907816</v>
      </c>
      <c r="K2272" s="68" t="b">
        <v>1</v>
      </c>
    </row>
    <row r="2273" hidden="1">
      <c r="A2273" s="75">
        <v>2267.0</v>
      </c>
      <c r="B2273" s="62" t="s">
        <v>1306</v>
      </c>
      <c r="C2273" s="62" t="s">
        <v>110</v>
      </c>
      <c r="D2273" s="62" t="s">
        <v>1340</v>
      </c>
      <c r="E2273" s="76">
        <v>43901.0</v>
      </c>
      <c r="F2273" s="77">
        <v>0.10416666666666667</v>
      </c>
      <c r="G2273" s="62" t="b">
        <v>1</v>
      </c>
      <c r="H2273" s="78" t="b">
        <f>IF(VLOOKUP(C2273,Projetos!A:L,12,false)=TRUE,TRUE,FALSE)</f>
        <v>1</v>
      </c>
      <c r="I2273" s="68">
        <v>37.66052106481481</v>
      </c>
      <c r="J2273" s="68">
        <f t="shared" si="1"/>
        <v>94.15130266</v>
      </c>
      <c r="K2273" s="68" t="b">
        <v>1</v>
      </c>
    </row>
    <row r="2274" hidden="1">
      <c r="A2274" s="75">
        <v>2268.0</v>
      </c>
      <c r="B2274" s="62" t="s">
        <v>1306</v>
      </c>
      <c r="C2274" s="62" t="s">
        <v>110</v>
      </c>
      <c r="D2274" s="62" t="s">
        <v>1367</v>
      </c>
      <c r="E2274" s="76">
        <v>43902.0</v>
      </c>
      <c r="F2274" s="77">
        <v>0.10416666666666667</v>
      </c>
      <c r="G2274" s="62" t="b">
        <v>1</v>
      </c>
      <c r="H2274" s="78" t="b">
        <f>IF(VLOOKUP(C2274,Projetos!A:L,12,false)=TRUE,TRUE,FALSE)</f>
        <v>1</v>
      </c>
      <c r="I2274" s="68">
        <v>37.66052106481481</v>
      </c>
      <c r="J2274" s="68">
        <f t="shared" si="1"/>
        <v>94.15130266</v>
      </c>
      <c r="K2274" s="68" t="b">
        <v>1</v>
      </c>
    </row>
    <row r="2275" hidden="1">
      <c r="A2275" s="75">
        <v>2269.0</v>
      </c>
      <c r="B2275" s="62" t="s">
        <v>1306</v>
      </c>
      <c r="C2275" s="62" t="s">
        <v>110</v>
      </c>
      <c r="D2275" s="62" t="s">
        <v>1366</v>
      </c>
      <c r="E2275" s="76">
        <v>43902.0</v>
      </c>
      <c r="F2275" s="77">
        <v>0.10416666666666667</v>
      </c>
      <c r="G2275" s="62" t="b">
        <v>1</v>
      </c>
      <c r="H2275" s="78" t="b">
        <f>IF(VLOOKUP(C2275,Projetos!A:L,12,false)=TRUE,TRUE,FALSE)</f>
        <v>1</v>
      </c>
      <c r="I2275" s="68">
        <v>37.66052106481481</v>
      </c>
      <c r="J2275" s="68">
        <f t="shared" si="1"/>
        <v>94.15130266</v>
      </c>
      <c r="K2275" s="68" t="b">
        <v>1</v>
      </c>
    </row>
    <row r="2276" hidden="1">
      <c r="A2276" s="75">
        <v>2270.0</v>
      </c>
      <c r="B2276" s="62" t="s">
        <v>1306</v>
      </c>
      <c r="C2276" s="62" t="s">
        <v>110</v>
      </c>
      <c r="D2276" s="62" t="s">
        <v>1367</v>
      </c>
      <c r="E2276" s="76">
        <v>43908.0</v>
      </c>
      <c r="F2276" s="77">
        <v>0.0625</v>
      </c>
      <c r="G2276" s="62" t="b">
        <v>1</v>
      </c>
      <c r="H2276" s="78" t="b">
        <f>IF(VLOOKUP(C2276,Projetos!A:L,12,false)=TRUE,TRUE,FALSE)</f>
        <v>1</v>
      </c>
      <c r="I2276" s="68">
        <v>37.66052106481481</v>
      </c>
      <c r="J2276" s="68">
        <f t="shared" si="1"/>
        <v>56.4907816</v>
      </c>
      <c r="K2276" s="68" t="b">
        <v>1</v>
      </c>
    </row>
    <row r="2277" hidden="1">
      <c r="A2277" s="75">
        <v>2271.0</v>
      </c>
      <c r="B2277" s="62" t="s">
        <v>1306</v>
      </c>
      <c r="C2277" s="62" t="s">
        <v>110</v>
      </c>
      <c r="D2277" s="62" t="s">
        <v>1391</v>
      </c>
      <c r="E2277" s="76">
        <v>43910.0</v>
      </c>
      <c r="F2277" s="77">
        <v>0.125</v>
      </c>
      <c r="G2277" s="62" t="b">
        <v>1</v>
      </c>
      <c r="H2277" s="78" t="b">
        <f>IF(VLOOKUP(C2277,Projetos!A:L,12,false)=TRUE,TRUE,FALSE)</f>
        <v>1</v>
      </c>
      <c r="I2277" s="68">
        <v>37.66052106481481</v>
      </c>
      <c r="J2277" s="68">
        <f t="shared" si="1"/>
        <v>112.9815632</v>
      </c>
      <c r="K2277" s="68" t="b">
        <v>1</v>
      </c>
    </row>
    <row r="2278" hidden="1">
      <c r="A2278" s="75">
        <v>2272.0</v>
      </c>
      <c r="B2278" s="62" t="s">
        <v>1306</v>
      </c>
      <c r="C2278" s="62" t="s">
        <v>110</v>
      </c>
      <c r="D2278" s="62" t="s">
        <v>1363</v>
      </c>
      <c r="E2278" s="76">
        <v>43920.0</v>
      </c>
      <c r="F2278" s="77">
        <v>0.11458333333333333</v>
      </c>
      <c r="G2278" s="62" t="b">
        <v>0</v>
      </c>
      <c r="H2278" s="78" t="b">
        <f>IF(VLOOKUP(C2278,Projetos!A:L,12,false)=TRUE,TRUE,FALSE)</f>
        <v>1</v>
      </c>
      <c r="I2278" s="68">
        <v>37.66052106481481</v>
      </c>
      <c r="J2278" s="68">
        <f t="shared" si="1"/>
        <v>0</v>
      </c>
      <c r="K2278" s="68" t="b">
        <v>1</v>
      </c>
    </row>
    <row r="2279" hidden="1">
      <c r="A2279" s="75">
        <v>2273.0</v>
      </c>
      <c r="B2279" s="62" t="s">
        <v>1306</v>
      </c>
      <c r="C2279" s="62" t="s">
        <v>110</v>
      </c>
      <c r="D2279" s="62" t="s">
        <v>1359</v>
      </c>
      <c r="E2279" s="76">
        <v>43921.0</v>
      </c>
      <c r="F2279" s="77">
        <v>0.041666666666666664</v>
      </c>
      <c r="G2279" s="62" t="b">
        <v>1</v>
      </c>
      <c r="H2279" s="78" t="b">
        <f>IF(VLOOKUP(C2279,Projetos!A:L,12,false)=TRUE,TRUE,FALSE)</f>
        <v>1</v>
      </c>
      <c r="I2279" s="68">
        <v>37.66052106481481</v>
      </c>
      <c r="J2279" s="68">
        <f t="shared" si="1"/>
        <v>37.66052106</v>
      </c>
      <c r="K2279" s="68" t="b">
        <v>1</v>
      </c>
    </row>
    <row r="2280" hidden="1">
      <c r="A2280" s="75">
        <v>2274.0</v>
      </c>
      <c r="B2280" s="62" t="s">
        <v>1306</v>
      </c>
      <c r="C2280" s="62" t="s">
        <v>115</v>
      </c>
      <c r="D2280" s="62" t="s">
        <v>1339</v>
      </c>
      <c r="E2280" s="76">
        <v>43900.0</v>
      </c>
      <c r="F2280" s="77">
        <v>0.10416666666666667</v>
      </c>
      <c r="G2280" s="62" t="b">
        <v>1</v>
      </c>
      <c r="H2280" s="78" t="b">
        <f>IF(VLOOKUP(C2280,Projetos!A:L,12,false)=TRUE,TRUE,FALSE)</f>
        <v>1</v>
      </c>
      <c r="I2280" s="68">
        <v>37.66052106481481</v>
      </c>
      <c r="J2280" s="68">
        <f t="shared" si="1"/>
        <v>94.15130266</v>
      </c>
      <c r="K2280" s="68" t="b">
        <v>1</v>
      </c>
    </row>
    <row r="2281" hidden="1">
      <c r="A2281" s="75">
        <v>2275.0</v>
      </c>
      <c r="B2281" s="62" t="s">
        <v>1306</v>
      </c>
      <c r="C2281" s="62" t="s">
        <v>138</v>
      </c>
      <c r="D2281" s="62" t="s">
        <v>1364</v>
      </c>
      <c r="E2281" s="76">
        <v>43922.0</v>
      </c>
      <c r="F2281" s="77">
        <v>0.041666666666666664</v>
      </c>
      <c r="G2281" s="62" t="b">
        <v>1</v>
      </c>
      <c r="H2281" s="78" t="b">
        <f>IF(VLOOKUP(C2281,Projetos!A:L,12,false)=TRUE,TRUE,FALSE)</f>
        <v>1</v>
      </c>
      <c r="I2281" s="68">
        <v>35.94867919823232</v>
      </c>
      <c r="J2281" s="68">
        <f t="shared" si="1"/>
        <v>35.9486792</v>
      </c>
      <c r="K2281" s="68" t="b">
        <v>1</v>
      </c>
    </row>
    <row r="2282" hidden="1">
      <c r="A2282" s="75">
        <v>2276.0</v>
      </c>
      <c r="B2282" s="62" t="s">
        <v>1306</v>
      </c>
      <c r="C2282" s="62" t="s">
        <v>138</v>
      </c>
      <c r="D2282" s="62" t="s">
        <v>1364</v>
      </c>
      <c r="E2282" s="76">
        <v>43924.0</v>
      </c>
      <c r="F2282" s="77">
        <v>0.0625</v>
      </c>
      <c r="G2282" s="62" t="b">
        <v>1</v>
      </c>
      <c r="H2282" s="78" t="b">
        <f>IF(VLOOKUP(C2282,Projetos!A:L,12,false)=TRUE,TRUE,FALSE)</f>
        <v>1</v>
      </c>
      <c r="I2282" s="68">
        <v>35.94867919823232</v>
      </c>
      <c r="J2282" s="68">
        <f t="shared" si="1"/>
        <v>53.9230188</v>
      </c>
      <c r="K2282" s="68" t="b">
        <v>1</v>
      </c>
    </row>
    <row r="2283" hidden="1">
      <c r="A2283" s="75">
        <v>2277.0</v>
      </c>
      <c r="B2283" s="62" t="s">
        <v>1306</v>
      </c>
      <c r="C2283" s="62" t="s">
        <v>138</v>
      </c>
      <c r="D2283" s="62" t="s">
        <v>1392</v>
      </c>
      <c r="E2283" s="76">
        <v>43930.0</v>
      </c>
      <c r="F2283" s="77">
        <v>0.0625</v>
      </c>
      <c r="G2283" s="62" t="b">
        <v>0</v>
      </c>
      <c r="H2283" s="78" t="b">
        <f>IF(VLOOKUP(C2283,Projetos!A:L,12,false)=TRUE,TRUE,FALSE)</f>
        <v>1</v>
      </c>
      <c r="I2283" s="68">
        <v>35.94867919823232</v>
      </c>
      <c r="J2283" s="68">
        <f t="shared" si="1"/>
        <v>0</v>
      </c>
      <c r="K2283" s="68" t="b">
        <v>1</v>
      </c>
    </row>
    <row r="2284" hidden="1">
      <c r="A2284" s="75">
        <v>2278.0</v>
      </c>
      <c r="B2284" s="62" t="s">
        <v>1306</v>
      </c>
      <c r="C2284" s="62" t="s">
        <v>90</v>
      </c>
      <c r="D2284" s="62" t="s">
        <v>1393</v>
      </c>
      <c r="E2284" s="76">
        <v>43930.0</v>
      </c>
      <c r="F2284" s="77">
        <v>0.08333333333333333</v>
      </c>
      <c r="G2284" s="62" t="b">
        <v>0</v>
      </c>
      <c r="H2284" s="78" t="b">
        <f>IF(VLOOKUP(C2284,Projetos!A:L,12,false)=TRUE,TRUE,FALSE)</f>
        <v>1</v>
      </c>
      <c r="I2284" s="68">
        <v>35.94867919823232</v>
      </c>
      <c r="J2284" s="68">
        <f t="shared" si="1"/>
        <v>0</v>
      </c>
      <c r="K2284" s="68" t="b">
        <v>1</v>
      </c>
    </row>
    <row r="2285" hidden="1">
      <c r="A2285" s="75">
        <v>2279.0</v>
      </c>
      <c r="B2285" s="62" t="s">
        <v>1306</v>
      </c>
      <c r="C2285" s="62" t="s">
        <v>98</v>
      </c>
      <c r="D2285" s="62" t="s">
        <v>1394</v>
      </c>
      <c r="E2285" s="76">
        <v>43928.0</v>
      </c>
      <c r="F2285" s="77">
        <v>0.08333333333333333</v>
      </c>
      <c r="G2285" s="62" t="b">
        <v>1</v>
      </c>
      <c r="H2285" s="78" t="b">
        <f>IF(VLOOKUP(C2285,Projetos!A:L,12,false)=TRUE,TRUE,FALSE)</f>
        <v>1</v>
      </c>
      <c r="I2285" s="68">
        <v>35.94867919823232</v>
      </c>
      <c r="J2285" s="68">
        <f t="shared" si="1"/>
        <v>71.8973584</v>
      </c>
      <c r="K2285" s="68" t="b">
        <v>1</v>
      </c>
    </row>
    <row r="2286" hidden="1">
      <c r="A2286" s="75">
        <v>2280.0</v>
      </c>
      <c r="B2286" s="62" t="s">
        <v>1306</v>
      </c>
      <c r="C2286" s="62" t="s">
        <v>98</v>
      </c>
      <c r="D2286" s="62" t="s">
        <v>243</v>
      </c>
      <c r="E2286" s="76">
        <v>43929.0</v>
      </c>
      <c r="F2286" s="77">
        <v>0.041666666666666664</v>
      </c>
      <c r="G2286" s="62" t="b">
        <v>1</v>
      </c>
      <c r="H2286" s="78" t="b">
        <f>IF(VLOOKUP(C2286,Projetos!A:L,12,false)=TRUE,TRUE,FALSE)</f>
        <v>1</v>
      </c>
      <c r="I2286" s="68">
        <v>35.94867919823232</v>
      </c>
      <c r="J2286" s="68">
        <f t="shared" si="1"/>
        <v>35.9486792</v>
      </c>
      <c r="K2286" s="68" t="b">
        <v>1</v>
      </c>
    </row>
    <row r="2287" hidden="1">
      <c r="A2287" s="75">
        <v>2281.0</v>
      </c>
      <c r="B2287" s="62" t="s">
        <v>1306</v>
      </c>
      <c r="C2287" s="62" t="s">
        <v>100</v>
      </c>
      <c r="D2287" s="62" t="s">
        <v>1364</v>
      </c>
      <c r="E2287" s="76">
        <v>43922.0</v>
      </c>
      <c r="F2287" s="77">
        <v>0.08333333333333333</v>
      </c>
      <c r="G2287" s="62" t="b">
        <v>1</v>
      </c>
      <c r="H2287" s="78" t="b">
        <f>IF(VLOOKUP(C2287,Projetos!A:L,12,false)=TRUE,TRUE,FALSE)</f>
        <v>1</v>
      </c>
      <c r="I2287" s="68">
        <v>35.94867919823232</v>
      </c>
      <c r="J2287" s="68">
        <f t="shared" si="1"/>
        <v>71.8973584</v>
      </c>
      <c r="K2287" s="68" t="b">
        <v>1</v>
      </c>
    </row>
    <row r="2288" hidden="1">
      <c r="A2288" s="75">
        <v>2282.0</v>
      </c>
      <c r="B2288" s="62" t="s">
        <v>1306</v>
      </c>
      <c r="C2288" s="62" t="s">
        <v>100</v>
      </c>
      <c r="D2288" s="62" t="s">
        <v>1346</v>
      </c>
      <c r="E2288" s="76">
        <v>43924.0</v>
      </c>
      <c r="F2288" s="77">
        <v>0.020833333333333332</v>
      </c>
      <c r="G2288" s="62" t="b">
        <v>1</v>
      </c>
      <c r="H2288" s="78" t="b">
        <f>IF(VLOOKUP(C2288,Projetos!A:L,12,false)=TRUE,TRUE,FALSE)</f>
        <v>1</v>
      </c>
      <c r="I2288" s="68">
        <v>35.94867919823232</v>
      </c>
      <c r="J2288" s="68">
        <f t="shared" si="1"/>
        <v>17.9743396</v>
      </c>
      <c r="K2288" s="68" t="b">
        <v>1</v>
      </c>
    </row>
    <row r="2289" hidden="1">
      <c r="A2289" s="75">
        <v>2283.0</v>
      </c>
      <c r="B2289" s="62" t="s">
        <v>1306</v>
      </c>
      <c r="C2289" s="62" t="s">
        <v>100</v>
      </c>
      <c r="D2289" s="62" t="s">
        <v>1369</v>
      </c>
      <c r="E2289" s="76">
        <v>43924.0</v>
      </c>
      <c r="F2289" s="77">
        <v>0.041666666666666664</v>
      </c>
      <c r="G2289" s="62" t="b">
        <v>1</v>
      </c>
      <c r="H2289" s="78" t="b">
        <f>IF(VLOOKUP(C2289,Projetos!A:L,12,false)=TRUE,TRUE,FALSE)</f>
        <v>1</v>
      </c>
      <c r="I2289" s="68">
        <v>35.94867919823232</v>
      </c>
      <c r="J2289" s="68">
        <f t="shared" si="1"/>
        <v>35.9486792</v>
      </c>
      <c r="K2289" s="68" t="b">
        <v>1</v>
      </c>
    </row>
    <row r="2290" hidden="1">
      <c r="A2290" s="75">
        <v>2284.0</v>
      </c>
      <c r="B2290" s="62" t="s">
        <v>1306</v>
      </c>
      <c r="C2290" s="62" t="s">
        <v>100</v>
      </c>
      <c r="D2290" s="62" t="s">
        <v>1395</v>
      </c>
      <c r="E2290" s="76">
        <v>43927.0</v>
      </c>
      <c r="F2290" s="77">
        <v>0.020833333333333332</v>
      </c>
      <c r="G2290" s="62" t="b">
        <v>1</v>
      </c>
      <c r="H2290" s="78" t="b">
        <f>IF(VLOOKUP(C2290,Projetos!A:L,12,false)=TRUE,TRUE,FALSE)</f>
        <v>1</v>
      </c>
      <c r="I2290" s="68">
        <v>35.94867919823232</v>
      </c>
      <c r="J2290" s="68">
        <f t="shared" si="1"/>
        <v>17.9743396</v>
      </c>
      <c r="K2290" s="68" t="b">
        <v>1</v>
      </c>
    </row>
    <row r="2291" hidden="1">
      <c r="A2291" s="75">
        <v>2285.0</v>
      </c>
      <c r="B2291" s="62" t="s">
        <v>1306</v>
      </c>
      <c r="C2291" s="62" t="s">
        <v>100</v>
      </c>
      <c r="D2291" s="62" t="s">
        <v>1364</v>
      </c>
      <c r="E2291" s="76">
        <v>43927.0</v>
      </c>
      <c r="F2291" s="77">
        <v>0.041666666666666664</v>
      </c>
      <c r="G2291" s="62" t="b">
        <v>1</v>
      </c>
      <c r="H2291" s="78" t="b">
        <f>IF(VLOOKUP(C2291,Projetos!A:L,12,false)=TRUE,TRUE,FALSE)</f>
        <v>1</v>
      </c>
      <c r="I2291" s="68">
        <v>35.94867919823232</v>
      </c>
      <c r="J2291" s="68">
        <f t="shared" si="1"/>
        <v>35.9486792</v>
      </c>
      <c r="K2291" s="68" t="b">
        <v>1</v>
      </c>
    </row>
    <row r="2292" hidden="1">
      <c r="A2292" s="75">
        <v>2286.0</v>
      </c>
      <c r="B2292" s="62" t="s">
        <v>1306</v>
      </c>
      <c r="C2292" s="62" t="s">
        <v>100</v>
      </c>
      <c r="D2292" s="62" t="s">
        <v>1364</v>
      </c>
      <c r="E2292" s="76">
        <v>43928.0</v>
      </c>
      <c r="F2292" s="77">
        <v>0.03125</v>
      </c>
      <c r="G2292" s="62" t="b">
        <v>1</v>
      </c>
      <c r="H2292" s="78" t="b">
        <f>IF(VLOOKUP(C2292,Projetos!A:L,12,false)=TRUE,TRUE,FALSE)</f>
        <v>1</v>
      </c>
      <c r="I2292" s="68">
        <v>35.94867919823232</v>
      </c>
      <c r="J2292" s="68">
        <f t="shared" si="1"/>
        <v>26.9615094</v>
      </c>
      <c r="K2292" s="68" t="b">
        <v>1</v>
      </c>
    </row>
    <row r="2293" hidden="1">
      <c r="A2293" s="75">
        <v>2287.0</v>
      </c>
      <c r="B2293" s="62" t="s">
        <v>1306</v>
      </c>
      <c r="C2293" s="62" t="s">
        <v>100</v>
      </c>
      <c r="D2293" s="62" t="s">
        <v>1396</v>
      </c>
      <c r="E2293" s="76">
        <v>43929.0</v>
      </c>
      <c r="F2293" s="77">
        <v>0.041666666666666664</v>
      </c>
      <c r="G2293" s="62" t="b">
        <v>1</v>
      </c>
      <c r="H2293" s="78" t="b">
        <f>IF(VLOOKUP(C2293,Projetos!A:L,12,false)=TRUE,TRUE,FALSE)</f>
        <v>1</v>
      </c>
      <c r="I2293" s="68">
        <v>35.94867919823232</v>
      </c>
      <c r="J2293" s="68">
        <f t="shared" si="1"/>
        <v>35.9486792</v>
      </c>
      <c r="K2293" s="68" t="b">
        <v>1</v>
      </c>
    </row>
    <row r="2294" hidden="1">
      <c r="A2294" s="75">
        <v>2288.0</v>
      </c>
      <c r="B2294" s="62" t="s">
        <v>1306</v>
      </c>
      <c r="C2294" s="62" t="s">
        <v>103</v>
      </c>
      <c r="D2294" s="62" t="s">
        <v>1397</v>
      </c>
      <c r="E2294" s="76">
        <v>43923.0</v>
      </c>
      <c r="F2294" s="77">
        <v>0.03125</v>
      </c>
      <c r="G2294" s="62" t="b">
        <v>1</v>
      </c>
      <c r="H2294" s="78" t="b">
        <f>IF(VLOOKUP(C2294,Projetos!A:L,12,false)=TRUE,TRUE,FALSE)</f>
        <v>1</v>
      </c>
      <c r="I2294" s="68">
        <v>35.94867919823232</v>
      </c>
      <c r="J2294" s="68">
        <f t="shared" si="1"/>
        <v>26.9615094</v>
      </c>
      <c r="K2294" s="68" t="b">
        <v>1</v>
      </c>
    </row>
    <row r="2295" hidden="1">
      <c r="A2295" s="75">
        <v>2289.0</v>
      </c>
      <c r="B2295" s="62" t="s">
        <v>1306</v>
      </c>
      <c r="C2295" s="62" t="s">
        <v>103</v>
      </c>
      <c r="D2295" s="62" t="s">
        <v>1397</v>
      </c>
      <c r="E2295" s="76">
        <v>43924.0</v>
      </c>
      <c r="F2295" s="77">
        <v>0.0625</v>
      </c>
      <c r="G2295" s="62" t="b">
        <v>1</v>
      </c>
      <c r="H2295" s="78" t="b">
        <f>IF(VLOOKUP(C2295,Projetos!A:L,12,false)=TRUE,TRUE,FALSE)</f>
        <v>1</v>
      </c>
      <c r="I2295" s="68">
        <v>35.94867919823232</v>
      </c>
      <c r="J2295" s="68">
        <f t="shared" si="1"/>
        <v>53.9230188</v>
      </c>
      <c r="K2295" s="68" t="b">
        <v>1</v>
      </c>
    </row>
    <row r="2296" hidden="1">
      <c r="A2296" s="75">
        <v>2290.0</v>
      </c>
      <c r="B2296" s="62" t="s">
        <v>1306</v>
      </c>
      <c r="C2296" s="62" t="s">
        <v>103</v>
      </c>
      <c r="D2296" s="62" t="s">
        <v>1398</v>
      </c>
      <c r="E2296" s="76">
        <v>43924.0</v>
      </c>
      <c r="F2296" s="77">
        <v>0.041666666666666664</v>
      </c>
      <c r="G2296" s="62" t="b">
        <v>1</v>
      </c>
      <c r="H2296" s="78" t="b">
        <f>IF(VLOOKUP(C2296,Projetos!A:L,12,false)=TRUE,TRUE,FALSE)</f>
        <v>1</v>
      </c>
      <c r="I2296" s="68">
        <v>35.94867919823232</v>
      </c>
      <c r="J2296" s="68">
        <f t="shared" si="1"/>
        <v>35.9486792</v>
      </c>
      <c r="K2296" s="68" t="b">
        <v>1</v>
      </c>
    </row>
    <row r="2297" hidden="1">
      <c r="A2297" s="75">
        <v>2291.0</v>
      </c>
      <c r="B2297" s="62" t="s">
        <v>1306</v>
      </c>
      <c r="C2297" s="62" t="s">
        <v>103</v>
      </c>
      <c r="D2297" s="62" t="s">
        <v>1399</v>
      </c>
      <c r="E2297" s="76">
        <v>43929.0</v>
      </c>
      <c r="F2297" s="77">
        <v>0.041666666666666664</v>
      </c>
      <c r="G2297" s="62" t="b">
        <v>1</v>
      </c>
      <c r="H2297" s="78" t="b">
        <f>IF(VLOOKUP(C2297,Projetos!A:L,12,false)=TRUE,TRUE,FALSE)</f>
        <v>1</v>
      </c>
      <c r="I2297" s="68">
        <v>35.94867919823232</v>
      </c>
      <c r="J2297" s="68">
        <f t="shared" si="1"/>
        <v>35.9486792</v>
      </c>
      <c r="K2297" s="68" t="b">
        <v>1</v>
      </c>
    </row>
    <row r="2298" hidden="1">
      <c r="A2298" s="75">
        <v>2292.0</v>
      </c>
      <c r="B2298" s="62" t="s">
        <v>1306</v>
      </c>
      <c r="C2298" s="62" t="s">
        <v>103</v>
      </c>
      <c r="D2298" s="62" t="s">
        <v>1400</v>
      </c>
      <c r="E2298" s="76">
        <v>43929.0</v>
      </c>
      <c r="F2298" s="77">
        <v>0.041666666666666664</v>
      </c>
      <c r="G2298" s="62" t="b">
        <v>1</v>
      </c>
      <c r="H2298" s="78" t="b">
        <f>IF(VLOOKUP(C2298,Projetos!A:L,12,false)=TRUE,TRUE,FALSE)</f>
        <v>1</v>
      </c>
      <c r="I2298" s="68">
        <v>35.94867919823232</v>
      </c>
      <c r="J2298" s="68">
        <f t="shared" si="1"/>
        <v>35.9486792</v>
      </c>
      <c r="K2298" s="68" t="b">
        <v>1</v>
      </c>
    </row>
    <row r="2299" hidden="1">
      <c r="A2299" s="75">
        <v>2293.0</v>
      </c>
      <c r="B2299" s="62" t="s">
        <v>1306</v>
      </c>
      <c r="C2299" s="62" t="s">
        <v>103</v>
      </c>
      <c r="D2299" s="62" t="s">
        <v>1401</v>
      </c>
      <c r="E2299" s="76">
        <v>43930.0</v>
      </c>
      <c r="F2299" s="77">
        <v>0.0625</v>
      </c>
      <c r="G2299" s="62" t="b">
        <v>1</v>
      </c>
      <c r="H2299" s="78" t="b">
        <f>IF(VLOOKUP(C2299,Projetos!A:L,12,false)=TRUE,TRUE,FALSE)</f>
        <v>1</v>
      </c>
      <c r="I2299" s="68">
        <v>35.94867919823232</v>
      </c>
      <c r="J2299" s="68">
        <f t="shared" si="1"/>
        <v>53.9230188</v>
      </c>
      <c r="K2299" s="68" t="b">
        <v>1</v>
      </c>
    </row>
    <row r="2300">
      <c r="A2300" s="75">
        <v>2294.0</v>
      </c>
      <c r="B2300" s="62" t="s">
        <v>1306</v>
      </c>
      <c r="C2300" s="62" t="s">
        <v>104</v>
      </c>
      <c r="D2300" s="62" t="s">
        <v>1364</v>
      </c>
      <c r="E2300" s="76">
        <v>43922.0</v>
      </c>
      <c r="F2300" s="77">
        <v>0.041666666666666664</v>
      </c>
      <c r="G2300" s="62" t="b">
        <v>1</v>
      </c>
      <c r="H2300" s="78" t="b">
        <f>IF(VLOOKUP(C2300,Projetos!A:L,12,false)=TRUE,TRUE,FALSE)</f>
        <v>1</v>
      </c>
      <c r="I2300" s="68">
        <v>35.94867919823232</v>
      </c>
      <c r="J2300" s="68">
        <f t="shared" si="1"/>
        <v>35.9486792</v>
      </c>
      <c r="K2300" s="68" t="b">
        <v>1</v>
      </c>
    </row>
    <row r="2301">
      <c r="A2301" s="75">
        <v>2295.0</v>
      </c>
      <c r="B2301" s="62" t="s">
        <v>1306</v>
      </c>
      <c r="C2301" s="62" t="s">
        <v>104</v>
      </c>
      <c r="D2301" s="62" t="s">
        <v>1402</v>
      </c>
      <c r="E2301" s="76">
        <v>43927.0</v>
      </c>
      <c r="F2301" s="77">
        <v>0.08333333333333333</v>
      </c>
      <c r="G2301" s="62" t="b">
        <v>1</v>
      </c>
      <c r="H2301" s="78" t="b">
        <f>IF(VLOOKUP(C2301,Projetos!A:L,12,false)=TRUE,TRUE,FALSE)</f>
        <v>1</v>
      </c>
      <c r="I2301" s="68">
        <v>35.94867919823232</v>
      </c>
      <c r="J2301" s="68">
        <f t="shared" si="1"/>
        <v>71.8973584</v>
      </c>
      <c r="K2301" s="68" t="b">
        <v>1</v>
      </c>
    </row>
    <row r="2302">
      <c r="A2302" s="75">
        <v>2296.0</v>
      </c>
      <c r="B2302" s="62" t="s">
        <v>1306</v>
      </c>
      <c r="C2302" s="62" t="s">
        <v>104</v>
      </c>
      <c r="D2302" s="62" t="s">
        <v>1403</v>
      </c>
      <c r="E2302" s="76">
        <v>43928.0</v>
      </c>
      <c r="F2302" s="77">
        <v>0.041666666666666664</v>
      </c>
      <c r="G2302" s="62" t="b">
        <v>1</v>
      </c>
      <c r="H2302" s="78" t="b">
        <f>IF(VLOOKUP(C2302,Projetos!A:L,12,false)=TRUE,TRUE,FALSE)</f>
        <v>1</v>
      </c>
      <c r="I2302" s="68">
        <v>35.94867919823232</v>
      </c>
      <c r="J2302" s="68">
        <f t="shared" si="1"/>
        <v>35.9486792</v>
      </c>
      <c r="K2302" s="68" t="b">
        <v>1</v>
      </c>
    </row>
    <row r="2303">
      <c r="A2303" s="75">
        <v>2297.0</v>
      </c>
      <c r="B2303" s="62" t="s">
        <v>1306</v>
      </c>
      <c r="C2303" s="62" t="s">
        <v>104</v>
      </c>
      <c r="D2303" s="62" t="s">
        <v>1404</v>
      </c>
      <c r="E2303" s="76">
        <v>43928.0</v>
      </c>
      <c r="F2303" s="77">
        <v>0.0625</v>
      </c>
      <c r="G2303" s="62" t="b">
        <v>1</v>
      </c>
      <c r="H2303" s="78" t="b">
        <f>IF(VLOOKUP(C2303,Projetos!A:L,12,false)=TRUE,TRUE,FALSE)</f>
        <v>1</v>
      </c>
      <c r="I2303" s="68">
        <v>35.94867919823232</v>
      </c>
      <c r="J2303" s="68">
        <f t="shared" si="1"/>
        <v>53.9230188</v>
      </c>
      <c r="K2303" s="68" t="b">
        <v>1</v>
      </c>
    </row>
    <row r="2304">
      <c r="A2304" s="75">
        <v>2298.0</v>
      </c>
      <c r="B2304" s="62" t="s">
        <v>1306</v>
      </c>
      <c r="C2304" s="62" t="s">
        <v>104</v>
      </c>
      <c r="D2304" s="62" t="s">
        <v>1405</v>
      </c>
      <c r="E2304" s="76">
        <v>43929.0</v>
      </c>
      <c r="F2304" s="77">
        <v>0.03125</v>
      </c>
      <c r="G2304" s="62" t="b">
        <v>1</v>
      </c>
      <c r="H2304" s="78" t="b">
        <f>IF(VLOOKUP(C2304,Projetos!A:L,12,false)=TRUE,TRUE,FALSE)</f>
        <v>1</v>
      </c>
      <c r="I2304" s="68">
        <v>35.94867919823232</v>
      </c>
      <c r="J2304" s="68">
        <f t="shared" si="1"/>
        <v>26.9615094</v>
      </c>
      <c r="K2304" s="68" t="b">
        <v>1</v>
      </c>
    </row>
    <row r="2305">
      <c r="A2305" s="75">
        <v>2299.0</v>
      </c>
      <c r="B2305" s="62" t="s">
        <v>1306</v>
      </c>
      <c r="C2305" s="62" t="s">
        <v>104</v>
      </c>
      <c r="D2305" s="62" t="s">
        <v>1406</v>
      </c>
      <c r="E2305" s="76">
        <v>43929.0</v>
      </c>
      <c r="F2305" s="77">
        <v>0.041666666666666664</v>
      </c>
      <c r="G2305" s="62" t="b">
        <v>1</v>
      </c>
      <c r="H2305" s="78" t="b">
        <f>IF(VLOOKUP(C2305,Projetos!A:L,12,false)=TRUE,TRUE,FALSE)</f>
        <v>1</v>
      </c>
      <c r="I2305" s="68">
        <v>35.94867919823232</v>
      </c>
      <c r="J2305" s="68">
        <f t="shared" si="1"/>
        <v>35.9486792</v>
      </c>
      <c r="K2305" s="68" t="b">
        <v>1</v>
      </c>
    </row>
    <row r="2306">
      <c r="A2306" s="75">
        <v>2300.0</v>
      </c>
      <c r="B2306" s="62" t="s">
        <v>1306</v>
      </c>
      <c r="C2306" s="62" t="s">
        <v>104</v>
      </c>
      <c r="D2306" s="62" t="s">
        <v>1407</v>
      </c>
      <c r="E2306" s="76">
        <v>43929.0</v>
      </c>
      <c r="F2306" s="77">
        <v>0.0625</v>
      </c>
      <c r="G2306" s="62" t="b">
        <v>1</v>
      </c>
      <c r="H2306" s="78" t="b">
        <f>IF(VLOOKUP(C2306,Projetos!A:L,12,false)=TRUE,TRUE,FALSE)</f>
        <v>1</v>
      </c>
      <c r="I2306" s="68">
        <v>35.94867919823232</v>
      </c>
      <c r="J2306" s="68">
        <f t="shared" si="1"/>
        <v>53.9230188</v>
      </c>
      <c r="K2306" s="68" t="b">
        <v>1</v>
      </c>
    </row>
    <row r="2307">
      <c r="A2307" s="75">
        <v>2301.0</v>
      </c>
      <c r="B2307" s="62" t="s">
        <v>1306</v>
      </c>
      <c r="C2307" s="62" t="s">
        <v>104</v>
      </c>
      <c r="D2307" s="62" t="s">
        <v>1406</v>
      </c>
      <c r="E2307" s="76">
        <v>43930.0</v>
      </c>
      <c r="F2307" s="77">
        <v>0.0625</v>
      </c>
      <c r="G2307" s="62" t="b">
        <v>1</v>
      </c>
      <c r="H2307" s="78" t="b">
        <f>IF(VLOOKUP(C2307,Projetos!A:L,12,false)=TRUE,TRUE,FALSE)</f>
        <v>1</v>
      </c>
      <c r="I2307" s="68">
        <v>35.94867919823232</v>
      </c>
      <c r="J2307" s="68">
        <f t="shared" si="1"/>
        <v>53.9230188</v>
      </c>
      <c r="K2307" s="68" t="b">
        <v>1</v>
      </c>
    </row>
    <row r="2308" hidden="1">
      <c r="A2308" s="75">
        <v>2302.0</v>
      </c>
      <c r="B2308" s="62" t="s">
        <v>1306</v>
      </c>
      <c r="C2308" s="62" t="s">
        <v>105</v>
      </c>
      <c r="D2308" s="62" t="s">
        <v>243</v>
      </c>
      <c r="E2308" s="76">
        <v>43927.0</v>
      </c>
      <c r="F2308" s="77">
        <v>0.08333333333333333</v>
      </c>
      <c r="G2308" s="62" t="b">
        <v>1</v>
      </c>
      <c r="H2308" s="78" t="b">
        <f>IF(VLOOKUP(C2308,Projetos!A:L,12,false)=TRUE,TRUE,FALSE)</f>
        <v>1</v>
      </c>
      <c r="I2308" s="68">
        <v>35.94867919823232</v>
      </c>
      <c r="J2308" s="68">
        <f t="shared" si="1"/>
        <v>71.8973584</v>
      </c>
      <c r="K2308" s="68" t="b">
        <v>1</v>
      </c>
    </row>
    <row r="2309" hidden="1">
      <c r="A2309" s="75">
        <v>2303.0</v>
      </c>
      <c r="B2309" s="62" t="s">
        <v>1306</v>
      </c>
      <c r="C2309" s="62" t="s">
        <v>108</v>
      </c>
      <c r="D2309" s="62" t="s">
        <v>1364</v>
      </c>
      <c r="E2309" s="76">
        <v>43922.0</v>
      </c>
      <c r="F2309" s="77">
        <v>0.125</v>
      </c>
      <c r="G2309" s="62" t="b">
        <v>0</v>
      </c>
      <c r="H2309" s="78" t="b">
        <f>IF(VLOOKUP(C2309,Projetos!A:L,12,false)=TRUE,TRUE,FALSE)</f>
        <v>1</v>
      </c>
      <c r="I2309" s="68">
        <v>35.94867919823232</v>
      </c>
      <c r="J2309" s="68">
        <f t="shared" si="1"/>
        <v>0</v>
      </c>
      <c r="K2309" s="68" t="b">
        <v>1</v>
      </c>
    </row>
    <row r="2310" hidden="1">
      <c r="A2310" s="75">
        <v>2304.0</v>
      </c>
      <c r="B2310" s="62" t="s">
        <v>1306</v>
      </c>
      <c r="C2310" s="62" t="s">
        <v>108</v>
      </c>
      <c r="D2310" s="62" t="s">
        <v>1408</v>
      </c>
      <c r="E2310" s="76">
        <v>43923.0</v>
      </c>
      <c r="F2310" s="77">
        <v>0.16666666666666666</v>
      </c>
      <c r="G2310" s="62" t="b">
        <v>0</v>
      </c>
      <c r="H2310" s="78" t="b">
        <f>IF(VLOOKUP(C2310,Projetos!A:L,12,false)=TRUE,TRUE,FALSE)</f>
        <v>1</v>
      </c>
      <c r="I2310" s="68">
        <v>35.94867919823232</v>
      </c>
      <c r="J2310" s="68">
        <f t="shared" si="1"/>
        <v>0</v>
      </c>
      <c r="K2310" s="68" t="b">
        <v>1</v>
      </c>
    </row>
    <row r="2311" hidden="1">
      <c r="A2311" s="75">
        <v>2305.0</v>
      </c>
      <c r="B2311" s="62" t="s">
        <v>1306</v>
      </c>
      <c r="C2311" s="62" t="s">
        <v>108</v>
      </c>
      <c r="D2311" s="62" t="s">
        <v>1409</v>
      </c>
      <c r="E2311" s="76">
        <v>43924.0</v>
      </c>
      <c r="F2311" s="77">
        <v>0.07291666666666667</v>
      </c>
      <c r="G2311" s="62" t="b">
        <v>0</v>
      </c>
      <c r="H2311" s="78" t="b">
        <f>IF(VLOOKUP(C2311,Projetos!A:L,12,false)=TRUE,TRUE,FALSE)</f>
        <v>1</v>
      </c>
      <c r="I2311" s="68">
        <v>35.94867919823232</v>
      </c>
      <c r="J2311" s="68">
        <f t="shared" si="1"/>
        <v>0</v>
      </c>
      <c r="K2311" s="68" t="b">
        <v>1</v>
      </c>
    </row>
    <row r="2312" hidden="1">
      <c r="A2312" s="75">
        <v>2306.0</v>
      </c>
      <c r="B2312" s="62" t="s">
        <v>1306</v>
      </c>
      <c r="C2312" s="62" t="s">
        <v>108</v>
      </c>
      <c r="D2312" s="62" t="s">
        <v>1410</v>
      </c>
      <c r="E2312" s="76">
        <v>43924.0</v>
      </c>
      <c r="F2312" s="77">
        <v>0.0625</v>
      </c>
      <c r="G2312" s="62" t="b">
        <v>0</v>
      </c>
      <c r="H2312" s="78" t="b">
        <f>IF(VLOOKUP(C2312,Projetos!A:L,12,false)=TRUE,TRUE,FALSE)</f>
        <v>1</v>
      </c>
      <c r="I2312" s="68">
        <v>35.94867919823232</v>
      </c>
      <c r="J2312" s="68">
        <f t="shared" si="1"/>
        <v>0</v>
      </c>
      <c r="K2312" s="68" t="b">
        <v>1</v>
      </c>
    </row>
    <row r="2313" hidden="1">
      <c r="A2313" s="75">
        <v>2307.0</v>
      </c>
      <c r="B2313" s="62" t="s">
        <v>1306</v>
      </c>
      <c r="C2313" s="62" t="s">
        <v>108</v>
      </c>
      <c r="D2313" s="62" t="s">
        <v>1409</v>
      </c>
      <c r="E2313" s="76">
        <v>43927.0</v>
      </c>
      <c r="F2313" s="77">
        <v>0.041666666666666664</v>
      </c>
      <c r="G2313" s="62" t="b">
        <v>0</v>
      </c>
      <c r="H2313" s="78" t="b">
        <f>IF(VLOOKUP(C2313,Projetos!A:L,12,false)=TRUE,TRUE,FALSE)</f>
        <v>1</v>
      </c>
      <c r="I2313" s="68">
        <v>35.94867919823232</v>
      </c>
      <c r="J2313" s="68">
        <f t="shared" si="1"/>
        <v>0</v>
      </c>
      <c r="K2313" s="68" t="b">
        <v>1</v>
      </c>
    </row>
    <row r="2314" hidden="1">
      <c r="A2314" s="75">
        <v>2308.0</v>
      </c>
      <c r="B2314" s="62" t="s">
        <v>1306</v>
      </c>
      <c r="C2314" s="62" t="s">
        <v>108</v>
      </c>
      <c r="D2314" s="62" t="s">
        <v>1411</v>
      </c>
      <c r="E2314" s="76">
        <v>43927.0</v>
      </c>
      <c r="F2314" s="77">
        <v>0.041666666666666664</v>
      </c>
      <c r="G2314" s="62" t="b">
        <v>0</v>
      </c>
      <c r="H2314" s="78" t="b">
        <f>IF(VLOOKUP(C2314,Projetos!A:L,12,false)=TRUE,TRUE,FALSE)</f>
        <v>1</v>
      </c>
      <c r="I2314" s="68">
        <v>35.94867919823232</v>
      </c>
      <c r="J2314" s="68">
        <f t="shared" si="1"/>
        <v>0</v>
      </c>
      <c r="K2314" s="68" t="b">
        <v>1</v>
      </c>
    </row>
    <row r="2315" hidden="1">
      <c r="A2315" s="75">
        <v>2309.0</v>
      </c>
      <c r="B2315" s="62" t="s">
        <v>1306</v>
      </c>
      <c r="C2315" s="62" t="s">
        <v>108</v>
      </c>
      <c r="D2315" s="62" t="s">
        <v>1412</v>
      </c>
      <c r="E2315" s="76">
        <v>43927.0</v>
      </c>
      <c r="F2315" s="77">
        <v>0.03125</v>
      </c>
      <c r="G2315" s="62" t="b">
        <v>0</v>
      </c>
      <c r="H2315" s="78" t="b">
        <f>IF(VLOOKUP(C2315,Projetos!A:L,12,false)=TRUE,TRUE,FALSE)</f>
        <v>1</v>
      </c>
      <c r="I2315" s="68">
        <v>35.94867919823232</v>
      </c>
      <c r="J2315" s="68">
        <f t="shared" si="1"/>
        <v>0</v>
      </c>
      <c r="K2315" s="68" t="b">
        <v>1</v>
      </c>
    </row>
    <row r="2316" hidden="1">
      <c r="A2316" s="75">
        <v>2310.0</v>
      </c>
      <c r="B2316" s="62" t="s">
        <v>1306</v>
      </c>
      <c r="C2316" s="62" t="s">
        <v>108</v>
      </c>
      <c r="D2316" s="62" t="s">
        <v>243</v>
      </c>
      <c r="E2316" s="76">
        <v>43928.0</v>
      </c>
      <c r="F2316" s="77">
        <v>0.041666666666666664</v>
      </c>
      <c r="G2316" s="62" t="b">
        <v>0</v>
      </c>
      <c r="H2316" s="78" t="b">
        <f>IF(VLOOKUP(C2316,Projetos!A:L,12,false)=TRUE,TRUE,FALSE)</f>
        <v>1</v>
      </c>
      <c r="I2316" s="68">
        <v>35.94867919823232</v>
      </c>
      <c r="J2316" s="68">
        <f t="shared" si="1"/>
        <v>0</v>
      </c>
      <c r="K2316" s="68" t="b">
        <v>1</v>
      </c>
    </row>
    <row r="2317" hidden="1">
      <c r="A2317" s="75">
        <v>2311.0</v>
      </c>
      <c r="B2317" s="62" t="s">
        <v>1306</v>
      </c>
      <c r="C2317" s="62" t="s">
        <v>108</v>
      </c>
      <c r="D2317" s="62" t="s">
        <v>1413</v>
      </c>
      <c r="E2317" s="76">
        <v>43928.0</v>
      </c>
      <c r="F2317" s="77">
        <v>0.08333333333333333</v>
      </c>
      <c r="G2317" s="62" t="b">
        <v>0</v>
      </c>
      <c r="H2317" s="78" t="b">
        <f>IF(VLOOKUP(C2317,Projetos!A:L,12,false)=TRUE,TRUE,FALSE)</f>
        <v>1</v>
      </c>
      <c r="I2317" s="68">
        <v>35.94867919823232</v>
      </c>
      <c r="J2317" s="68">
        <f t="shared" si="1"/>
        <v>0</v>
      </c>
      <c r="K2317" s="68" t="b">
        <v>1</v>
      </c>
    </row>
    <row r="2318" hidden="1">
      <c r="A2318" s="75">
        <v>2312.0</v>
      </c>
      <c r="B2318" s="62" t="s">
        <v>1306</v>
      </c>
      <c r="C2318" s="62" t="s">
        <v>108</v>
      </c>
      <c r="D2318" s="62" t="s">
        <v>1414</v>
      </c>
      <c r="E2318" s="76">
        <v>43929.0</v>
      </c>
      <c r="F2318" s="77">
        <v>0.041666666666666664</v>
      </c>
      <c r="G2318" s="62" t="b">
        <v>0</v>
      </c>
      <c r="H2318" s="78" t="b">
        <f>IF(VLOOKUP(C2318,Projetos!A:L,12,false)=TRUE,TRUE,FALSE)</f>
        <v>1</v>
      </c>
      <c r="I2318" s="68">
        <v>35.94867919823232</v>
      </c>
      <c r="J2318" s="68">
        <f t="shared" si="1"/>
        <v>0</v>
      </c>
      <c r="K2318" s="68" t="b">
        <v>1</v>
      </c>
    </row>
    <row r="2319" hidden="1">
      <c r="A2319" s="75">
        <v>2313.0</v>
      </c>
      <c r="B2319" s="62" t="s">
        <v>1306</v>
      </c>
      <c r="C2319" s="62" t="s">
        <v>108</v>
      </c>
      <c r="D2319" s="62" t="s">
        <v>1392</v>
      </c>
      <c r="E2319" s="76">
        <v>43930.0</v>
      </c>
      <c r="F2319" s="77">
        <v>0.0625</v>
      </c>
      <c r="G2319" s="62" t="b">
        <v>0</v>
      </c>
      <c r="H2319" s="78" t="b">
        <f>IF(VLOOKUP(C2319,Projetos!A:L,12,false)=TRUE,TRUE,FALSE)</f>
        <v>1</v>
      </c>
      <c r="I2319" s="68">
        <v>35.94867919823232</v>
      </c>
      <c r="J2319" s="68">
        <f t="shared" si="1"/>
        <v>0</v>
      </c>
      <c r="K2319" s="68" t="b">
        <v>1</v>
      </c>
    </row>
    <row r="2320" hidden="1">
      <c r="A2320" s="75">
        <v>2314.0</v>
      </c>
      <c r="B2320" s="62" t="s">
        <v>1306</v>
      </c>
      <c r="C2320" s="62" t="s">
        <v>110</v>
      </c>
      <c r="D2320" s="62" t="s">
        <v>1346</v>
      </c>
      <c r="E2320" s="76">
        <v>43923.0</v>
      </c>
      <c r="F2320" s="77">
        <v>0.041666666666666664</v>
      </c>
      <c r="G2320" s="62" t="b">
        <v>1</v>
      </c>
      <c r="H2320" s="78" t="b">
        <f>IF(VLOOKUP(C2320,Projetos!A:L,12,false)=TRUE,TRUE,FALSE)</f>
        <v>1</v>
      </c>
      <c r="I2320" s="68">
        <v>35.94867919823232</v>
      </c>
      <c r="J2320" s="68">
        <f t="shared" si="1"/>
        <v>35.9486792</v>
      </c>
      <c r="K2320" s="68" t="b">
        <v>1</v>
      </c>
    </row>
    <row r="2321" hidden="1">
      <c r="A2321" s="75">
        <v>2315.0</v>
      </c>
      <c r="B2321" s="62" t="s">
        <v>1306</v>
      </c>
      <c r="C2321" s="62" t="s">
        <v>115</v>
      </c>
      <c r="D2321" s="62" t="s">
        <v>1415</v>
      </c>
      <c r="E2321" s="76">
        <v>43928.0</v>
      </c>
      <c r="F2321" s="77">
        <v>0.020833333333333332</v>
      </c>
      <c r="G2321" s="62" t="b">
        <v>1</v>
      </c>
      <c r="H2321" s="78" t="b">
        <f>IF(VLOOKUP(C2321,Projetos!A:L,12,false)=TRUE,TRUE,FALSE)</f>
        <v>1</v>
      </c>
      <c r="I2321" s="68">
        <v>35.94867919823232</v>
      </c>
      <c r="J2321" s="68">
        <f t="shared" si="1"/>
        <v>17.9743396</v>
      </c>
      <c r="K2321" s="68" t="b">
        <v>1</v>
      </c>
    </row>
    <row r="2322" hidden="1">
      <c r="A2322" s="75">
        <v>2316.0</v>
      </c>
      <c r="B2322" s="62" t="s">
        <v>1306</v>
      </c>
      <c r="C2322" s="62" t="s">
        <v>115</v>
      </c>
      <c r="D2322" s="62" t="s">
        <v>243</v>
      </c>
      <c r="E2322" s="76">
        <v>43930.0</v>
      </c>
      <c r="F2322" s="77">
        <v>0.020833333333333332</v>
      </c>
      <c r="G2322" s="62" t="b">
        <v>1</v>
      </c>
      <c r="H2322" s="78" t="b">
        <f>IF(VLOOKUP(C2322,Projetos!A:L,12,false)=TRUE,TRUE,FALSE)</f>
        <v>1</v>
      </c>
      <c r="I2322" s="68">
        <v>35.94867919823232</v>
      </c>
      <c r="J2322" s="68">
        <f t="shared" si="1"/>
        <v>17.9743396</v>
      </c>
      <c r="K2322" s="68" t="b">
        <v>1</v>
      </c>
    </row>
    <row r="2323" hidden="1">
      <c r="A2323" s="75">
        <v>2317.0</v>
      </c>
      <c r="B2323" s="62" t="s">
        <v>1306</v>
      </c>
      <c r="C2323" s="62" t="s">
        <v>116</v>
      </c>
      <c r="D2323" s="62" t="s">
        <v>1392</v>
      </c>
      <c r="E2323" s="76">
        <v>43930.0</v>
      </c>
      <c r="F2323" s="77">
        <v>0.041666666666666664</v>
      </c>
      <c r="G2323" s="62" t="b">
        <v>0</v>
      </c>
      <c r="H2323" s="78" t="b">
        <f>IF(VLOOKUP(C2323,Projetos!A:L,12,false)=TRUE,TRUE,FALSE)</f>
        <v>1</v>
      </c>
      <c r="I2323" s="68">
        <v>35.94867919823232</v>
      </c>
      <c r="J2323" s="68">
        <f t="shared" si="1"/>
        <v>0</v>
      </c>
      <c r="K2323" s="68" t="b">
        <v>1</v>
      </c>
    </row>
    <row r="2324" hidden="1">
      <c r="A2324" s="75">
        <v>2318.0</v>
      </c>
      <c r="B2324" s="62" t="s">
        <v>1306</v>
      </c>
      <c r="C2324" s="62" t="s">
        <v>138</v>
      </c>
      <c r="D2324" s="62" t="s">
        <v>1416</v>
      </c>
      <c r="E2324" s="76">
        <v>43965.0</v>
      </c>
      <c r="F2324" s="77">
        <v>0.041666666666666664</v>
      </c>
      <c r="G2324" s="62" t="b">
        <v>1</v>
      </c>
      <c r="H2324" s="78" t="b">
        <f>IF(VLOOKUP(C2324,Projetos!A:L,12,false)=TRUE,TRUE,FALSE)</f>
        <v>1</v>
      </c>
      <c r="I2324" s="68">
        <v>37.66052106481481</v>
      </c>
      <c r="J2324" s="68">
        <f t="shared" si="1"/>
        <v>37.66052106</v>
      </c>
      <c r="K2324" s="68" t="b">
        <v>1</v>
      </c>
    </row>
    <row r="2325" hidden="1">
      <c r="A2325" s="75">
        <v>2319.0</v>
      </c>
      <c r="B2325" s="62" t="s">
        <v>1306</v>
      </c>
      <c r="C2325" s="62" t="s">
        <v>138</v>
      </c>
      <c r="D2325" s="62" t="s">
        <v>1417</v>
      </c>
      <c r="E2325" s="76">
        <v>43976.0</v>
      </c>
      <c r="F2325" s="77">
        <v>0.07291666666666667</v>
      </c>
      <c r="G2325" s="62" t="b">
        <v>0</v>
      </c>
      <c r="H2325" s="78" t="b">
        <f>IF(VLOOKUP(C2325,Projetos!A:L,12,false)=TRUE,TRUE,FALSE)</f>
        <v>1</v>
      </c>
      <c r="I2325" s="68">
        <v>37.66052106481481</v>
      </c>
      <c r="J2325" s="68">
        <f t="shared" si="1"/>
        <v>0</v>
      </c>
      <c r="K2325" s="68" t="b">
        <v>1</v>
      </c>
    </row>
    <row r="2326" hidden="1">
      <c r="A2326" s="75">
        <v>2320.0</v>
      </c>
      <c r="B2326" s="62" t="s">
        <v>1306</v>
      </c>
      <c r="C2326" s="62" t="s">
        <v>138</v>
      </c>
      <c r="D2326" s="62" t="s">
        <v>1418</v>
      </c>
      <c r="E2326" s="76">
        <v>43976.0</v>
      </c>
      <c r="F2326" s="77">
        <v>0.041666666666666664</v>
      </c>
      <c r="G2326" s="62" t="b">
        <v>1</v>
      </c>
      <c r="H2326" s="78" t="b">
        <f>IF(VLOOKUP(C2326,Projetos!A:L,12,false)=TRUE,TRUE,FALSE)</f>
        <v>1</v>
      </c>
      <c r="I2326" s="68">
        <v>37.66052106481481</v>
      </c>
      <c r="J2326" s="68">
        <f t="shared" si="1"/>
        <v>37.66052106</v>
      </c>
      <c r="K2326" s="68" t="b">
        <v>1</v>
      </c>
    </row>
    <row r="2327" hidden="1">
      <c r="A2327" s="75">
        <v>2321.0</v>
      </c>
      <c r="B2327" s="62" t="s">
        <v>1306</v>
      </c>
      <c r="C2327" s="62" t="s">
        <v>138</v>
      </c>
      <c r="D2327" s="62" t="s">
        <v>1419</v>
      </c>
      <c r="E2327" s="76">
        <v>43980.0</v>
      </c>
      <c r="F2327" s="77">
        <v>0.020833333333333332</v>
      </c>
      <c r="G2327" s="62" t="b">
        <v>1</v>
      </c>
      <c r="H2327" s="78" t="b">
        <f>IF(VLOOKUP(C2327,Projetos!A:L,12,false)=TRUE,TRUE,FALSE)</f>
        <v>1</v>
      </c>
      <c r="I2327" s="68">
        <v>37.66052106481481</v>
      </c>
      <c r="J2327" s="68">
        <f t="shared" si="1"/>
        <v>18.83026053</v>
      </c>
      <c r="K2327" s="68" t="b">
        <v>1</v>
      </c>
    </row>
    <row r="2328" hidden="1">
      <c r="A2328" s="75">
        <v>2322.0</v>
      </c>
      <c r="B2328" s="62" t="s">
        <v>1306</v>
      </c>
      <c r="C2328" s="62" t="s">
        <v>83</v>
      </c>
      <c r="D2328" s="62" t="s">
        <v>1420</v>
      </c>
      <c r="E2328" s="76">
        <v>43966.0</v>
      </c>
      <c r="F2328" s="77">
        <v>0.0625</v>
      </c>
      <c r="G2328" s="62" t="b">
        <v>0</v>
      </c>
      <c r="H2328" s="78" t="b">
        <f>IF(VLOOKUP(C2328,Projetos!A:L,12,false)=TRUE,TRUE,FALSE)</f>
        <v>0</v>
      </c>
      <c r="I2328" s="68">
        <v>37.66052106481481</v>
      </c>
      <c r="J2328" s="68">
        <f t="shared" si="1"/>
        <v>0</v>
      </c>
      <c r="K2328" s="68" t="b">
        <v>0</v>
      </c>
    </row>
    <row r="2329" hidden="1">
      <c r="A2329" s="75">
        <v>2323.0</v>
      </c>
      <c r="B2329" s="62" t="s">
        <v>1306</v>
      </c>
      <c r="C2329" s="62" t="s">
        <v>90</v>
      </c>
      <c r="D2329" s="62" t="s">
        <v>1421</v>
      </c>
      <c r="E2329" s="76">
        <v>43964.0</v>
      </c>
      <c r="F2329" s="77">
        <v>0.041666666666666664</v>
      </c>
      <c r="G2329" s="62" t="b">
        <v>1</v>
      </c>
      <c r="H2329" s="78" t="b">
        <f>IF(VLOOKUP(C2329,Projetos!A:L,12,false)=TRUE,TRUE,FALSE)</f>
        <v>1</v>
      </c>
      <c r="I2329" s="68">
        <v>37.66052106481481</v>
      </c>
      <c r="J2329" s="68">
        <f t="shared" si="1"/>
        <v>37.66052106</v>
      </c>
      <c r="K2329" s="68" t="b">
        <v>1</v>
      </c>
    </row>
    <row r="2330" hidden="1">
      <c r="A2330" s="75">
        <v>2324.0</v>
      </c>
      <c r="B2330" s="62" t="s">
        <v>1306</v>
      </c>
      <c r="C2330" s="62" t="s">
        <v>90</v>
      </c>
      <c r="D2330" s="62" t="s">
        <v>243</v>
      </c>
      <c r="E2330" s="76">
        <v>43965.0</v>
      </c>
      <c r="F2330" s="77">
        <v>0.041666666666666664</v>
      </c>
      <c r="G2330" s="62" t="b">
        <v>1</v>
      </c>
      <c r="H2330" s="78" t="b">
        <f>IF(VLOOKUP(C2330,Projetos!A:L,12,false)=TRUE,TRUE,FALSE)</f>
        <v>1</v>
      </c>
      <c r="I2330" s="68">
        <v>37.66052106481481</v>
      </c>
      <c r="J2330" s="68">
        <f t="shared" si="1"/>
        <v>37.66052106</v>
      </c>
      <c r="K2330" s="68" t="b">
        <v>1</v>
      </c>
    </row>
    <row r="2331" hidden="1">
      <c r="A2331" s="75">
        <v>2325.0</v>
      </c>
      <c r="B2331" s="62" t="s">
        <v>1306</v>
      </c>
      <c r="C2331" s="62" t="s">
        <v>90</v>
      </c>
      <c r="D2331" s="62" t="s">
        <v>1422</v>
      </c>
      <c r="E2331" s="76">
        <v>43966.0</v>
      </c>
      <c r="F2331" s="77">
        <v>0.03125</v>
      </c>
      <c r="G2331" s="62" t="b">
        <v>1</v>
      </c>
      <c r="H2331" s="78" t="b">
        <f>IF(VLOOKUP(C2331,Projetos!A:L,12,false)=TRUE,TRUE,FALSE)</f>
        <v>1</v>
      </c>
      <c r="I2331" s="68">
        <v>37.66052106481481</v>
      </c>
      <c r="J2331" s="68">
        <f t="shared" si="1"/>
        <v>28.2453908</v>
      </c>
      <c r="K2331" s="68" t="b">
        <v>1</v>
      </c>
    </row>
    <row r="2332" hidden="1">
      <c r="A2332" s="75">
        <v>2326.0</v>
      </c>
      <c r="B2332" s="62" t="s">
        <v>1306</v>
      </c>
      <c r="C2332" s="62" t="s">
        <v>90</v>
      </c>
      <c r="D2332" s="62" t="s">
        <v>1423</v>
      </c>
      <c r="E2332" s="76">
        <v>43966.0</v>
      </c>
      <c r="F2332" s="77">
        <v>0.020833333333333332</v>
      </c>
      <c r="G2332" s="62" t="b">
        <v>1</v>
      </c>
      <c r="H2332" s="78" t="b">
        <f>IF(VLOOKUP(C2332,Projetos!A:L,12,false)=TRUE,TRUE,FALSE)</f>
        <v>1</v>
      </c>
      <c r="I2332" s="68">
        <v>37.66052106481481</v>
      </c>
      <c r="J2332" s="68">
        <f t="shared" si="1"/>
        <v>18.83026053</v>
      </c>
      <c r="K2332" s="68" t="b">
        <v>1</v>
      </c>
    </row>
    <row r="2333" hidden="1">
      <c r="A2333" s="75">
        <v>2327.0</v>
      </c>
      <c r="B2333" s="62" t="s">
        <v>1306</v>
      </c>
      <c r="C2333" s="62" t="s">
        <v>90</v>
      </c>
      <c r="D2333" s="62" t="s">
        <v>1424</v>
      </c>
      <c r="E2333" s="76">
        <v>43966.0</v>
      </c>
      <c r="F2333" s="77">
        <v>0.0625</v>
      </c>
      <c r="G2333" s="62" t="b">
        <v>0</v>
      </c>
      <c r="H2333" s="78" t="b">
        <f>IF(VLOOKUP(C2333,Projetos!A:L,12,false)=TRUE,TRUE,FALSE)</f>
        <v>1</v>
      </c>
      <c r="I2333" s="68">
        <v>37.66052106481481</v>
      </c>
      <c r="J2333" s="68">
        <f t="shared" si="1"/>
        <v>0</v>
      </c>
      <c r="K2333" s="68" t="b">
        <v>1</v>
      </c>
    </row>
    <row r="2334" hidden="1">
      <c r="A2334" s="75">
        <v>2328.0</v>
      </c>
      <c r="B2334" s="62" t="s">
        <v>1306</v>
      </c>
      <c r="C2334" s="62" t="s">
        <v>90</v>
      </c>
      <c r="D2334" s="62" t="s">
        <v>1423</v>
      </c>
      <c r="E2334" s="76">
        <v>43966.0</v>
      </c>
      <c r="F2334" s="77">
        <v>0.0625</v>
      </c>
      <c r="G2334" s="62" t="b">
        <v>1</v>
      </c>
      <c r="H2334" s="78" t="b">
        <f>IF(VLOOKUP(C2334,Projetos!A:L,12,false)=TRUE,TRUE,FALSE)</f>
        <v>1</v>
      </c>
      <c r="I2334" s="68">
        <v>37.66052106481481</v>
      </c>
      <c r="J2334" s="68">
        <f t="shared" si="1"/>
        <v>56.4907816</v>
      </c>
      <c r="K2334" s="68" t="b">
        <v>1</v>
      </c>
    </row>
    <row r="2335" hidden="1">
      <c r="A2335" s="75">
        <v>2329.0</v>
      </c>
      <c r="B2335" s="62" t="s">
        <v>1306</v>
      </c>
      <c r="C2335" s="62" t="s">
        <v>90</v>
      </c>
      <c r="D2335" s="62" t="s">
        <v>1423</v>
      </c>
      <c r="E2335" s="76">
        <v>43969.0</v>
      </c>
      <c r="F2335" s="77">
        <v>0.10416666666666667</v>
      </c>
      <c r="G2335" s="62" t="b">
        <v>1</v>
      </c>
      <c r="H2335" s="78" t="b">
        <f>IF(VLOOKUP(C2335,Projetos!A:L,12,false)=TRUE,TRUE,FALSE)</f>
        <v>1</v>
      </c>
      <c r="I2335" s="68">
        <v>37.66052106481481</v>
      </c>
      <c r="J2335" s="68">
        <f t="shared" si="1"/>
        <v>94.15130266</v>
      </c>
      <c r="K2335" s="68" t="b">
        <v>1</v>
      </c>
    </row>
    <row r="2336" hidden="1">
      <c r="A2336" s="75">
        <v>2330.0</v>
      </c>
      <c r="B2336" s="62" t="s">
        <v>1306</v>
      </c>
      <c r="C2336" s="62" t="s">
        <v>90</v>
      </c>
      <c r="D2336" s="62" t="s">
        <v>1423</v>
      </c>
      <c r="E2336" s="76">
        <v>43969.0</v>
      </c>
      <c r="F2336" s="77">
        <v>0.041666666666666664</v>
      </c>
      <c r="G2336" s="62" t="b">
        <v>1</v>
      </c>
      <c r="H2336" s="78" t="b">
        <f>IF(VLOOKUP(C2336,Projetos!A:L,12,false)=TRUE,TRUE,FALSE)</f>
        <v>1</v>
      </c>
      <c r="I2336" s="68">
        <v>37.66052106481481</v>
      </c>
      <c r="J2336" s="68">
        <f t="shared" si="1"/>
        <v>37.66052106</v>
      </c>
      <c r="K2336" s="68" t="b">
        <v>1</v>
      </c>
    </row>
    <row r="2337" hidden="1">
      <c r="A2337" s="75">
        <v>2331.0</v>
      </c>
      <c r="B2337" s="62" t="s">
        <v>1306</v>
      </c>
      <c r="C2337" s="62" t="s">
        <v>90</v>
      </c>
      <c r="D2337" s="62" t="s">
        <v>1425</v>
      </c>
      <c r="E2337" s="76">
        <v>43969.0</v>
      </c>
      <c r="F2337" s="77">
        <v>0.08333333333333333</v>
      </c>
      <c r="G2337" s="62" t="b">
        <v>1</v>
      </c>
      <c r="H2337" s="78" t="b">
        <f>IF(VLOOKUP(C2337,Projetos!A:L,12,false)=TRUE,TRUE,FALSE)</f>
        <v>1</v>
      </c>
      <c r="I2337" s="68">
        <v>37.66052106481481</v>
      </c>
      <c r="J2337" s="68">
        <f t="shared" si="1"/>
        <v>75.32104213</v>
      </c>
      <c r="K2337" s="68" t="b">
        <v>1</v>
      </c>
    </row>
    <row r="2338" hidden="1">
      <c r="A2338" s="75">
        <v>2332.0</v>
      </c>
      <c r="B2338" s="62" t="s">
        <v>1306</v>
      </c>
      <c r="C2338" s="62" t="s">
        <v>90</v>
      </c>
      <c r="D2338" s="62" t="s">
        <v>1426</v>
      </c>
      <c r="E2338" s="76">
        <v>43969.0</v>
      </c>
      <c r="F2338" s="77">
        <v>0.03125</v>
      </c>
      <c r="G2338" s="62" t="b">
        <v>1</v>
      </c>
      <c r="H2338" s="78" t="b">
        <f>IF(VLOOKUP(C2338,Projetos!A:L,12,false)=TRUE,TRUE,FALSE)</f>
        <v>1</v>
      </c>
      <c r="I2338" s="68">
        <v>37.66052106481481</v>
      </c>
      <c r="J2338" s="68">
        <f t="shared" si="1"/>
        <v>28.2453908</v>
      </c>
      <c r="K2338" s="68" t="b">
        <v>1</v>
      </c>
    </row>
    <row r="2339" hidden="1">
      <c r="A2339" s="75">
        <v>2333.0</v>
      </c>
      <c r="B2339" s="62" t="s">
        <v>1306</v>
      </c>
      <c r="C2339" s="62" t="s">
        <v>90</v>
      </c>
      <c r="D2339" s="62" t="s">
        <v>1427</v>
      </c>
      <c r="E2339" s="76">
        <v>43970.0</v>
      </c>
      <c r="F2339" s="77">
        <v>0.0625</v>
      </c>
      <c r="G2339" s="62" t="b">
        <v>1</v>
      </c>
      <c r="H2339" s="78" t="b">
        <f>IF(VLOOKUP(C2339,Projetos!A:L,12,false)=TRUE,TRUE,FALSE)</f>
        <v>1</v>
      </c>
      <c r="I2339" s="68">
        <v>37.66052106481481</v>
      </c>
      <c r="J2339" s="68">
        <f t="shared" si="1"/>
        <v>56.4907816</v>
      </c>
      <c r="K2339" s="68" t="b">
        <v>1</v>
      </c>
    </row>
    <row r="2340" hidden="1">
      <c r="A2340" s="75">
        <v>2334.0</v>
      </c>
      <c r="B2340" s="62" t="s">
        <v>1306</v>
      </c>
      <c r="C2340" s="62" t="s">
        <v>90</v>
      </c>
      <c r="D2340" s="62" t="s">
        <v>1428</v>
      </c>
      <c r="E2340" s="76">
        <v>43970.0</v>
      </c>
      <c r="F2340" s="77">
        <v>0.041666666666666664</v>
      </c>
      <c r="G2340" s="62" t="b">
        <v>1</v>
      </c>
      <c r="H2340" s="78" t="b">
        <f>IF(VLOOKUP(C2340,Projetos!A:L,12,false)=TRUE,TRUE,FALSE)</f>
        <v>1</v>
      </c>
      <c r="I2340" s="68">
        <v>37.66052106481481</v>
      </c>
      <c r="J2340" s="68">
        <f t="shared" si="1"/>
        <v>37.66052106</v>
      </c>
      <c r="K2340" s="68" t="b">
        <v>1</v>
      </c>
    </row>
    <row r="2341" hidden="1">
      <c r="A2341" s="75">
        <v>2335.0</v>
      </c>
      <c r="B2341" s="62" t="s">
        <v>1306</v>
      </c>
      <c r="C2341" s="62" t="s">
        <v>90</v>
      </c>
      <c r="D2341" s="62" t="s">
        <v>1429</v>
      </c>
      <c r="E2341" s="76">
        <v>43972.0</v>
      </c>
      <c r="F2341" s="77">
        <v>0.13541666666666666</v>
      </c>
      <c r="G2341" s="62" t="b">
        <v>1</v>
      </c>
      <c r="H2341" s="78" t="b">
        <f>IF(VLOOKUP(C2341,Projetos!A:L,12,false)=TRUE,TRUE,FALSE)</f>
        <v>1</v>
      </c>
      <c r="I2341" s="68">
        <v>37.66052106481481</v>
      </c>
      <c r="J2341" s="68">
        <f t="shared" si="1"/>
        <v>122.3966935</v>
      </c>
      <c r="K2341" s="68" t="b">
        <v>1</v>
      </c>
    </row>
    <row r="2342" hidden="1">
      <c r="A2342" s="75">
        <v>2336.0</v>
      </c>
      <c r="B2342" s="62" t="s">
        <v>1306</v>
      </c>
      <c r="C2342" s="62" t="s">
        <v>90</v>
      </c>
      <c r="D2342" s="62" t="s">
        <v>1430</v>
      </c>
      <c r="E2342" s="76">
        <v>43972.0</v>
      </c>
      <c r="F2342" s="77">
        <v>0.020833333333333332</v>
      </c>
      <c r="G2342" s="62" t="b">
        <v>1</v>
      </c>
      <c r="H2342" s="78" t="b">
        <f>IF(VLOOKUP(C2342,Projetos!A:L,12,false)=TRUE,TRUE,FALSE)</f>
        <v>1</v>
      </c>
      <c r="I2342" s="68">
        <v>37.66052106481481</v>
      </c>
      <c r="J2342" s="68">
        <f t="shared" si="1"/>
        <v>18.83026053</v>
      </c>
      <c r="K2342" s="68" t="b">
        <v>1</v>
      </c>
    </row>
    <row r="2343" hidden="1">
      <c r="A2343" s="75">
        <v>2337.0</v>
      </c>
      <c r="B2343" s="62" t="s">
        <v>1306</v>
      </c>
      <c r="C2343" s="62" t="s">
        <v>90</v>
      </c>
      <c r="D2343" s="62" t="s">
        <v>1431</v>
      </c>
      <c r="E2343" s="76">
        <v>43972.0</v>
      </c>
      <c r="F2343" s="77">
        <v>0.041666666666666664</v>
      </c>
      <c r="G2343" s="62" t="b">
        <v>1</v>
      </c>
      <c r="H2343" s="78" t="b">
        <f>IF(VLOOKUP(C2343,Projetos!A:L,12,false)=TRUE,TRUE,FALSE)</f>
        <v>1</v>
      </c>
      <c r="I2343" s="68">
        <v>37.66052106481481</v>
      </c>
      <c r="J2343" s="68">
        <f t="shared" si="1"/>
        <v>37.66052106</v>
      </c>
      <c r="K2343" s="68" t="b">
        <v>1</v>
      </c>
    </row>
    <row r="2344" hidden="1">
      <c r="A2344" s="75">
        <v>2338.0</v>
      </c>
      <c r="B2344" s="62" t="s">
        <v>1306</v>
      </c>
      <c r="C2344" s="62" t="s">
        <v>90</v>
      </c>
      <c r="D2344" s="62" t="s">
        <v>1422</v>
      </c>
      <c r="E2344" s="76">
        <v>43973.0</v>
      </c>
      <c r="F2344" s="77">
        <v>0.020833333333333332</v>
      </c>
      <c r="G2344" s="62" t="b">
        <v>1</v>
      </c>
      <c r="H2344" s="78" t="b">
        <f>IF(VLOOKUP(C2344,Projetos!A:L,12,false)=TRUE,TRUE,FALSE)</f>
        <v>1</v>
      </c>
      <c r="I2344" s="68">
        <v>37.66052106481481</v>
      </c>
      <c r="J2344" s="68">
        <f t="shared" si="1"/>
        <v>18.83026053</v>
      </c>
      <c r="K2344" s="68" t="b">
        <v>1</v>
      </c>
    </row>
    <row r="2345" hidden="1">
      <c r="A2345" s="75">
        <v>2339.0</v>
      </c>
      <c r="B2345" s="62" t="s">
        <v>1306</v>
      </c>
      <c r="C2345" s="62" t="s">
        <v>90</v>
      </c>
      <c r="D2345" s="62" t="s">
        <v>1432</v>
      </c>
      <c r="E2345" s="76">
        <v>43973.0</v>
      </c>
      <c r="F2345" s="77">
        <v>0.041666666666666664</v>
      </c>
      <c r="G2345" s="62" t="b">
        <v>1</v>
      </c>
      <c r="H2345" s="78" t="b">
        <f>IF(VLOOKUP(C2345,Projetos!A:L,12,false)=TRUE,TRUE,FALSE)</f>
        <v>1</v>
      </c>
      <c r="I2345" s="68">
        <v>37.66052106481481</v>
      </c>
      <c r="J2345" s="68">
        <f t="shared" si="1"/>
        <v>37.66052106</v>
      </c>
      <c r="K2345" s="68" t="b">
        <v>1</v>
      </c>
    </row>
    <row r="2346" hidden="1">
      <c r="A2346" s="75">
        <v>2340.0</v>
      </c>
      <c r="B2346" s="62" t="s">
        <v>1306</v>
      </c>
      <c r="C2346" s="62" t="s">
        <v>90</v>
      </c>
      <c r="D2346" s="62" t="s">
        <v>1433</v>
      </c>
      <c r="E2346" s="76">
        <v>43973.0</v>
      </c>
      <c r="F2346" s="77">
        <v>0.041666666666666664</v>
      </c>
      <c r="G2346" s="62" t="b">
        <v>1</v>
      </c>
      <c r="H2346" s="78" t="b">
        <f>IF(VLOOKUP(C2346,Projetos!A:L,12,false)=TRUE,TRUE,FALSE)</f>
        <v>1</v>
      </c>
      <c r="I2346" s="68">
        <v>37.66052106481481</v>
      </c>
      <c r="J2346" s="68">
        <f t="shared" si="1"/>
        <v>37.66052106</v>
      </c>
      <c r="K2346" s="68" t="b">
        <v>1</v>
      </c>
    </row>
    <row r="2347" hidden="1">
      <c r="A2347" s="75">
        <v>2341.0</v>
      </c>
      <c r="B2347" s="62" t="s">
        <v>1306</v>
      </c>
      <c r="C2347" s="62" t="s">
        <v>90</v>
      </c>
      <c r="D2347" s="62" t="s">
        <v>1434</v>
      </c>
      <c r="E2347" s="76">
        <v>43973.0</v>
      </c>
      <c r="F2347" s="77">
        <v>0.0625</v>
      </c>
      <c r="G2347" s="62" t="b">
        <v>1</v>
      </c>
      <c r="H2347" s="78" t="b">
        <f>IF(VLOOKUP(C2347,Projetos!A:L,12,false)=TRUE,TRUE,FALSE)</f>
        <v>1</v>
      </c>
      <c r="I2347" s="68">
        <v>37.66052106481481</v>
      </c>
      <c r="J2347" s="68">
        <f t="shared" si="1"/>
        <v>56.4907816</v>
      </c>
      <c r="K2347" s="68" t="b">
        <v>1</v>
      </c>
    </row>
    <row r="2348" hidden="1">
      <c r="A2348" s="75">
        <v>2342.0</v>
      </c>
      <c r="B2348" s="62" t="s">
        <v>1306</v>
      </c>
      <c r="C2348" s="62" t="s">
        <v>90</v>
      </c>
      <c r="D2348" s="62" t="s">
        <v>1435</v>
      </c>
      <c r="E2348" s="76">
        <v>43973.0</v>
      </c>
      <c r="F2348" s="77">
        <v>0.0625</v>
      </c>
      <c r="G2348" s="62" t="b">
        <v>0</v>
      </c>
      <c r="H2348" s="78" t="b">
        <f>IF(VLOOKUP(C2348,Projetos!A:L,12,false)=TRUE,TRUE,FALSE)</f>
        <v>1</v>
      </c>
      <c r="I2348" s="68">
        <v>37.66052106481481</v>
      </c>
      <c r="J2348" s="68">
        <f t="shared" si="1"/>
        <v>0</v>
      </c>
      <c r="K2348" s="68" t="b">
        <v>1</v>
      </c>
    </row>
    <row r="2349" hidden="1">
      <c r="A2349" s="75">
        <v>2343.0</v>
      </c>
      <c r="B2349" s="62" t="s">
        <v>1306</v>
      </c>
      <c r="C2349" s="62" t="s">
        <v>90</v>
      </c>
      <c r="D2349" s="62" t="s">
        <v>243</v>
      </c>
      <c r="E2349" s="76">
        <v>43976.0</v>
      </c>
      <c r="F2349" s="77">
        <v>0.0625</v>
      </c>
      <c r="G2349" s="62" t="b">
        <v>1</v>
      </c>
      <c r="H2349" s="78" t="b">
        <f>IF(VLOOKUP(C2349,Projetos!A:L,12,false)=TRUE,TRUE,FALSE)</f>
        <v>1</v>
      </c>
      <c r="I2349" s="68">
        <v>37.66052106481481</v>
      </c>
      <c r="J2349" s="68">
        <f t="shared" si="1"/>
        <v>56.4907816</v>
      </c>
      <c r="K2349" s="68" t="b">
        <v>1</v>
      </c>
    </row>
    <row r="2350" hidden="1">
      <c r="A2350" s="75">
        <v>2344.0</v>
      </c>
      <c r="B2350" s="62" t="s">
        <v>1306</v>
      </c>
      <c r="C2350" s="62" t="s">
        <v>90</v>
      </c>
      <c r="D2350" s="62" t="s">
        <v>1417</v>
      </c>
      <c r="E2350" s="76">
        <v>43976.0</v>
      </c>
      <c r="F2350" s="77">
        <v>0.020833333333333332</v>
      </c>
      <c r="G2350" s="62" t="b">
        <v>0</v>
      </c>
      <c r="H2350" s="78" t="b">
        <f>IF(VLOOKUP(C2350,Projetos!A:L,12,false)=TRUE,TRUE,FALSE)</f>
        <v>1</v>
      </c>
      <c r="I2350" s="68">
        <v>37.66052106481481</v>
      </c>
      <c r="J2350" s="68">
        <f t="shared" si="1"/>
        <v>0</v>
      </c>
      <c r="K2350" s="68" t="b">
        <v>1</v>
      </c>
    </row>
    <row r="2351" hidden="1">
      <c r="A2351" s="75">
        <v>2345.0</v>
      </c>
      <c r="B2351" s="62" t="s">
        <v>1306</v>
      </c>
      <c r="C2351" s="62" t="s">
        <v>90</v>
      </c>
      <c r="D2351" s="62" t="s">
        <v>1436</v>
      </c>
      <c r="E2351" s="76">
        <v>43979.0</v>
      </c>
      <c r="F2351" s="77">
        <v>0.041666666666666664</v>
      </c>
      <c r="G2351" s="62" t="b">
        <v>1</v>
      </c>
      <c r="H2351" s="78" t="b">
        <f>IF(VLOOKUP(C2351,Projetos!A:L,12,false)=TRUE,TRUE,FALSE)</f>
        <v>1</v>
      </c>
      <c r="I2351" s="68">
        <v>37.66052106481481</v>
      </c>
      <c r="J2351" s="68">
        <f t="shared" si="1"/>
        <v>37.66052106</v>
      </c>
      <c r="K2351" s="68" t="b">
        <v>1</v>
      </c>
    </row>
    <row r="2352" hidden="1">
      <c r="A2352" s="75">
        <v>2346.0</v>
      </c>
      <c r="B2352" s="62" t="s">
        <v>1306</v>
      </c>
      <c r="C2352" s="62" t="s">
        <v>90</v>
      </c>
      <c r="D2352" s="62" t="s">
        <v>1437</v>
      </c>
      <c r="E2352" s="76">
        <v>43979.0</v>
      </c>
      <c r="F2352" s="77">
        <v>0.041666666666666664</v>
      </c>
      <c r="G2352" s="62" t="b">
        <v>1</v>
      </c>
      <c r="H2352" s="78" t="b">
        <f>IF(VLOOKUP(C2352,Projetos!A:L,12,false)=TRUE,TRUE,FALSE)</f>
        <v>1</v>
      </c>
      <c r="I2352" s="68">
        <v>37.66052106481481</v>
      </c>
      <c r="J2352" s="68">
        <f t="shared" si="1"/>
        <v>37.66052106</v>
      </c>
      <c r="K2352" s="68" t="b">
        <v>1</v>
      </c>
    </row>
    <row r="2353" hidden="1">
      <c r="A2353" s="75">
        <v>2347.0</v>
      </c>
      <c r="B2353" s="62" t="s">
        <v>1306</v>
      </c>
      <c r="C2353" s="62" t="s">
        <v>90</v>
      </c>
      <c r="D2353" s="62" t="s">
        <v>1438</v>
      </c>
      <c r="E2353" s="76">
        <v>43979.0</v>
      </c>
      <c r="F2353" s="77">
        <v>0.020833333333333332</v>
      </c>
      <c r="G2353" s="62" t="b">
        <v>1</v>
      </c>
      <c r="H2353" s="78" t="b">
        <f>IF(VLOOKUP(C2353,Projetos!A:L,12,false)=TRUE,TRUE,FALSE)</f>
        <v>1</v>
      </c>
      <c r="I2353" s="68">
        <v>37.66052106481481</v>
      </c>
      <c r="J2353" s="68">
        <f t="shared" si="1"/>
        <v>18.83026053</v>
      </c>
      <c r="K2353" s="68" t="b">
        <v>1</v>
      </c>
    </row>
    <row r="2354" hidden="1">
      <c r="A2354" s="75">
        <v>2348.0</v>
      </c>
      <c r="B2354" s="62" t="s">
        <v>1306</v>
      </c>
      <c r="C2354" s="62" t="s">
        <v>90</v>
      </c>
      <c r="D2354" s="62" t="s">
        <v>1439</v>
      </c>
      <c r="E2354" s="76">
        <v>43980.0</v>
      </c>
      <c r="F2354" s="77">
        <v>0.0625</v>
      </c>
      <c r="G2354" s="62" t="b">
        <v>1</v>
      </c>
      <c r="H2354" s="78" t="b">
        <f>IF(VLOOKUP(C2354,Projetos!A:L,12,false)=TRUE,TRUE,FALSE)</f>
        <v>1</v>
      </c>
      <c r="I2354" s="68">
        <v>37.66052106481481</v>
      </c>
      <c r="J2354" s="68">
        <f t="shared" si="1"/>
        <v>56.4907816</v>
      </c>
      <c r="K2354" s="68" t="b">
        <v>1</v>
      </c>
    </row>
    <row r="2355" hidden="1">
      <c r="A2355" s="75">
        <v>2349.0</v>
      </c>
      <c r="B2355" s="62" t="s">
        <v>1306</v>
      </c>
      <c r="C2355" s="62" t="s">
        <v>97</v>
      </c>
      <c r="D2355" s="62" t="s">
        <v>243</v>
      </c>
      <c r="E2355" s="76">
        <v>43976.0</v>
      </c>
      <c r="F2355" s="77">
        <v>0.041666666666666664</v>
      </c>
      <c r="G2355" s="62" t="b">
        <v>1</v>
      </c>
      <c r="H2355" s="78" t="b">
        <f>IF(VLOOKUP(C2355,Projetos!A:L,12,false)=TRUE,TRUE,FALSE)</f>
        <v>1</v>
      </c>
      <c r="I2355" s="68">
        <v>37.66052106481481</v>
      </c>
      <c r="J2355" s="68">
        <f t="shared" si="1"/>
        <v>37.66052106</v>
      </c>
      <c r="K2355" s="68" t="b">
        <v>1</v>
      </c>
    </row>
    <row r="2356" hidden="1">
      <c r="A2356" s="75">
        <v>2350.0</v>
      </c>
      <c r="B2356" s="62" t="s">
        <v>1306</v>
      </c>
      <c r="C2356" s="62" t="s">
        <v>98</v>
      </c>
      <c r="D2356" s="62" t="s">
        <v>1440</v>
      </c>
      <c r="E2356" s="76">
        <v>43970.0</v>
      </c>
      <c r="F2356" s="77">
        <v>0.03125</v>
      </c>
      <c r="G2356" s="62" t="b">
        <v>1</v>
      </c>
      <c r="H2356" s="78" t="b">
        <f>IF(VLOOKUP(C2356,Projetos!A:L,12,false)=TRUE,TRUE,FALSE)</f>
        <v>1</v>
      </c>
      <c r="I2356" s="68">
        <v>37.66052106481481</v>
      </c>
      <c r="J2356" s="68">
        <f t="shared" si="1"/>
        <v>28.2453908</v>
      </c>
      <c r="K2356" s="68" t="b">
        <v>1</v>
      </c>
    </row>
    <row r="2357" hidden="1">
      <c r="A2357" s="75">
        <v>2351.0</v>
      </c>
      <c r="B2357" s="62" t="s">
        <v>1306</v>
      </c>
      <c r="C2357" s="62" t="s">
        <v>98</v>
      </c>
      <c r="D2357" s="62" t="s">
        <v>1346</v>
      </c>
      <c r="E2357" s="76">
        <v>43970.0</v>
      </c>
      <c r="F2357" s="77">
        <v>0.041666666666666664</v>
      </c>
      <c r="G2357" s="62" t="b">
        <v>1</v>
      </c>
      <c r="H2357" s="78" t="b">
        <f>IF(VLOOKUP(C2357,Projetos!A:L,12,false)=TRUE,TRUE,FALSE)</f>
        <v>1</v>
      </c>
      <c r="I2357" s="68">
        <v>37.66052106481481</v>
      </c>
      <c r="J2357" s="68">
        <f t="shared" si="1"/>
        <v>37.66052106</v>
      </c>
      <c r="K2357" s="68" t="b">
        <v>1</v>
      </c>
    </row>
    <row r="2358" hidden="1">
      <c r="A2358" s="75">
        <v>2352.0</v>
      </c>
      <c r="B2358" s="62" t="s">
        <v>1306</v>
      </c>
      <c r="C2358" s="62" t="s">
        <v>98</v>
      </c>
      <c r="D2358" s="62" t="s">
        <v>1441</v>
      </c>
      <c r="E2358" s="76">
        <v>43977.0</v>
      </c>
      <c r="F2358" s="77">
        <v>0.08333333333333333</v>
      </c>
      <c r="G2358" s="62" t="b">
        <v>1</v>
      </c>
      <c r="H2358" s="78" t="b">
        <f>IF(VLOOKUP(C2358,Projetos!A:L,12,false)=TRUE,TRUE,FALSE)</f>
        <v>1</v>
      </c>
      <c r="I2358" s="68">
        <v>37.66052106481481</v>
      </c>
      <c r="J2358" s="68">
        <f t="shared" si="1"/>
        <v>75.32104213</v>
      </c>
      <c r="K2358" s="68" t="b">
        <v>1</v>
      </c>
    </row>
    <row r="2359" hidden="1">
      <c r="A2359" s="75">
        <v>2353.0</v>
      </c>
      <c r="B2359" s="62" t="s">
        <v>1306</v>
      </c>
      <c r="C2359" s="62" t="s">
        <v>98</v>
      </c>
      <c r="D2359" s="62" t="s">
        <v>243</v>
      </c>
      <c r="E2359" s="76">
        <v>43978.0</v>
      </c>
      <c r="F2359" s="77">
        <v>0.041666666666666664</v>
      </c>
      <c r="G2359" s="62" t="b">
        <v>1</v>
      </c>
      <c r="H2359" s="78" t="b">
        <f>IF(VLOOKUP(C2359,Projetos!A:L,12,false)=TRUE,TRUE,FALSE)</f>
        <v>1</v>
      </c>
      <c r="I2359" s="68">
        <v>37.66052106481481</v>
      </c>
      <c r="J2359" s="68">
        <f t="shared" si="1"/>
        <v>37.66052106</v>
      </c>
      <c r="K2359" s="68" t="b">
        <v>1</v>
      </c>
    </row>
    <row r="2360" hidden="1">
      <c r="A2360" s="75">
        <v>2354.0</v>
      </c>
      <c r="B2360" s="62" t="s">
        <v>1306</v>
      </c>
      <c r="C2360" s="62" t="s">
        <v>100</v>
      </c>
      <c r="D2360" s="62" t="s">
        <v>1346</v>
      </c>
      <c r="E2360" s="76">
        <v>43971.0</v>
      </c>
      <c r="F2360" s="77">
        <v>0.020833333333333332</v>
      </c>
      <c r="G2360" s="62" t="b">
        <v>1</v>
      </c>
      <c r="H2360" s="78" t="b">
        <f>IF(VLOOKUP(C2360,Projetos!A:L,12,false)=TRUE,TRUE,FALSE)</f>
        <v>1</v>
      </c>
      <c r="I2360" s="68">
        <v>37.66052106481481</v>
      </c>
      <c r="J2360" s="68">
        <f t="shared" si="1"/>
        <v>18.83026053</v>
      </c>
      <c r="K2360" s="68" t="b">
        <v>1</v>
      </c>
    </row>
    <row r="2361" hidden="1">
      <c r="A2361" s="75">
        <v>2355.0</v>
      </c>
      <c r="B2361" s="62" t="s">
        <v>1306</v>
      </c>
      <c r="C2361" s="62" t="s">
        <v>101</v>
      </c>
      <c r="D2361" s="62" t="s">
        <v>1442</v>
      </c>
      <c r="E2361" s="76">
        <v>43965.0</v>
      </c>
      <c r="F2361" s="77">
        <v>0.020833333333333332</v>
      </c>
      <c r="G2361" s="62" t="b">
        <v>1</v>
      </c>
      <c r="H2361" s="78" t="b">
        <f>IF(VLOOKUP(C2361,Projetos!A:L,12,false)=TRUE,TRUE,FALSE)</f>
        <v>1</v>
      </c>
      <c r="I2361" s="68">
        <v>37.66052106481481</v>
      </c>
      <c r="J2361" s="68">
        <f t="shared" si="1"/>
        <v>18.83026053</v>
      </c>
      <c r="K2361" s="68" t="b">
        <v>1</v>
      </c>
    </row>
    <row r="2362" hidden="1">
      <c r="A2362" s="75">
        <v>2356.0</v>
      </c>
      <c r="B2362" s="62" t="s">
        <v>1306</v>
      </c>
      <c r="C2362" s="62" t="s">
        <v>103</v>
      </c>
      <c r="D2362" s="62" t="s">
        <v>1443</v>
      </c>
      <c r="E2362" s="76">
        <v>43964.0</v>
      </c>
      <c r="F2362" s="77">
        <v>0.08333333333333333</v>
      </c>
      <c r="G2362" s="62" t="b">
        <v>1</v>
      </c>
      <c r="H2362" s="78" t="b">
        <f>IF(VLOOKUP(C2362,Projetos!A:L,12,false)=TRUE,TRUE,FALSE)</f>
        <v>1</v>
      </c>
      <c r="I2362" s="68">
        <v>37.66052106481481</v>
      </c>
      <c r="J2362" s="68">
        <f t="shared" si="1"/>
        <v>75.32104213</v>
      </c>
      <c r="K2362" s="68" t="b">
        <v>1</v>
      </c>
    </row>
    <row r="2363" hidden="1">
      <c r="A2363" s="75">
        <v>2357.0</v>
      </c>
      <c r="B2363" s="62" t="s">
        <v>1306</v>
      </c>
      <c r="C2363" s="62" t="s">
        <v>103</v>
      </c>
      <c r="D2363" s="62" t="s">
        <v>1444</v>
      </c>
      <c r="E2363" s="76">
        <v>43966.0</v>
      </c>
      <c r="F2363" s="77">
        <v>0.041666666666666664</v>
      </c>
      <c r="G2363" s="62" t="b">
        <v>1</v>
      </c>
      <c r="H2363" s="78" t="b">
        <f>IF(VLOOKUP(C2363,Projetos!A:L,12,false)=TRUE,TRUE,FALSE)</f>
        <v>1</v>
      </c>
      <c r="I2363" s="68">
        <v>37.66052106481481</v>
      </c>
      <c r="J2363" s="68">
        <f t="shared" si="1"/>
        <v>37.66052106</v>
      </c>
      <c r="K2363" s="68" t="b">
        <v>1</v>
      </c>
    </row>
    <row r="2364" hidden="1">
      <c r="A2364" s="75">
        <v>2358.0</v>
      </c>
      <c r="B2364" s="62" t="s">
        <v>1306</v>
      </c>
      <c r="C2364" s="62" t="s">
        <v>103</v>
      </c>
      <c r="D2364" s="62" t="s">
        <v>1445</v>
      </c>
      <c r="E2364" s="76">
        <v>43973.0</v>
      </c>
      <c r="F2364" s="77">
        <v>0.020833333333333332</v>
      </c>
      <c r="G2364" s="62" t="b">
        <v>1</v>
      </c>
      <c r="H2364" s="78" t="b">
        <f>IF(VLOOKUP(C2364,Projetos!A:L,12,false)=TRUE,TRUE,FALSE)</f>
        <v>1</v>
      </c>
      <c r="I2364" s="68">
        <v>37.66052106481481</v>
      </c>
      <c r="J2364" s="68">
        <f t="shared" si="1"/>
        <v>18.83026053</v>
      </c>
      <c r="K2364" s="68" t="b">
        <v>1</v>
      </c>
    </row>
    <row r="2365" hidden="1">
      <c r="A2365" s="75">
        <v>2359.0</v>
      </c>
      <c r="B2365" s="62" t="s">
        <v>1306</v>
      </c>
      <c r="C2365" s="62" t="s">
        <v>103</v>
      </c>
      <c r="D2365" s="62" t="s">
        <v>1446</v>
      </c>
      <c r="E2365" s="76">
        <v>43973.0</v>
      </c>
      <c r="F2365" s="77">
        <v>0.0625</v>
      </c>
      <c r="G2365" s="62" t="b">
        <v>1</v>
      </c>
      <c r="H2365" s="78" t="b">
        <f>IF(VLOOKUP(C2365,Projetos!A:L,12,false)=TRUE,TRUE,FALSE)</f>
        <v>1</v>
      </c>
      <c r="I2365" s="68">
        <v>37.66052106481481</v>
      </c>
      <c r="J2365" s="68">
        <f t="shared" si="1"/>
        <v>56.4907816</v>
      </c>
      <c r="K2365" s="68" t="b">
        <v>1</v>
      </c>
    </row>
    <row r="2366" hidden="1">
      <c r="A2366" s="75">
        <v>2360.0</v>
      </c>
      <c r="B2366" s="62" t="s">
        <v>1306</v>
      </c>
      <c r="C2366" s="62" t="s">
        <v>103</v>
      </c>
      <c r="D2366" s="62" t="s">
        <v>1443</v>
      </c>
      <c r="E2366" s="76">
        <v>43977.0</v>
      </c>
      <c r="F2366" s="77">
        <v>0.07291666666666667</v>
      </c>
      <c r="G2366" s="62" t="b">
        <v>1</v>
      </c>
      <c r="H2366" s="78" t="b">
        <f>IF(VLOOKUP(C2366,Projetos!A:L,12,false)=TRUE,TRUE,FALSE)</f>
        <v>1</v>
      </c>
      <c r="I2366" s="68">
        <v>37.66052106481481</v>
      </c>
      <c r="J2366" s="68">
        <f t="shared" si="1"/>
        <v>65.90591186</v>
      </c>
      <c r="K2366" s="68" t="b">
        <v>1</v>
      </c>
    </row>
    <row r="2367" hidden="1">
      <c r="A2367" s="75">
        <v>2361.0</v>
      </c>
      <c r="B2367" s="62" t="s">
        <v>1306</v>
      </c>
      <c r="C2367" s="62" t="s">
        <v>103</v>
      </c>
      <c r="D2367" s="62" t="s">
        <v>1443</v>
      </c>
      <c r="E2367" s="76">
        <v>43978.0</v>
      </c>
      <c r="F2367" s="77">
        <v>0.041666666666666664</v>
      </c>
      <c r="G2367" s="62" t="b">
        <v>1</v>
      </c>
      <c r="H2367" s="78" t="b">
        <f>IF(VLOOKUP(C2367,Projetos!A:L,12,false)=TRUE,TRUE,FALSE)</f>
        <v>1</v>
      </c>
      <c r="I2367" s="68">
        <v>37.66052106481481</v>
      </c>
      <c r="J2367" s="68">
        <f t="shared" si="1"/>
        <v>37.66052106</v>
      </c>
      <c r="K2367" s="68" t="b">
        <v>1</v>
      </c>
    </row>
    <row r="2368" hidden="1">
      <c r="A2368" s="75">
        <v>2362.0</v>
      </c>
      <c r="B2368" s="62" t="s">
        <v>1306</v>
      </c>
      <c r="C2368" s="62" t="s">
        <v>103</v>
      </c>
      <c r="D2368" s="62" t="s">
        <v>1443</v>
      </c>
      <c r="E2368" s="76">
        <v>43979.0</v>
      </c>
      <c r="F2368" s="77">
        <v>0.041666666666666664</v>
      </c>
      <c r="G2368" s="62" t="b">
        <v>1</v>
      </c>
      <c r="H2368" s="78" t="b">
        <f>IF(VLOOKUP(C2368,Projetos!A:L,12,false)=TRUE,TRUE,FALSE)</f>
        <v>1</v>
      </c>
      <c r="I2368" s="68">
        <v>37.66052106481481</v>
      </c>
      <c r="J2368" s="68">
        <f t="shared" si="1"/>
        <v>37.66052106</v>
      </c>
      <c r="K2368" s="68" t="b">
        <v>1</v>
      </c>
    </row>
    <row r="2369" hidden="1">
      <c r="A2369" s="75">
        <v>2363.0</v>
      </c>
      <c r="B2369" s="62" t="s">
        <v>1306</v>
      </c>
      <c r="C2369" s="62" t="s">
        <v>103</v>
      </c>
      <c r="D2369" s="62" t="s">
        <v>1443</v>
      </c>
      <c r="E2369" s="76">
        <v>43980.0</v>
      </c>
      <c r="F2369" s="77">
        <v>0.03125</v>
      </c>
      <c r="G2369" s="62" t="b">
        <v>1</v>
      </c>
      <c r="H2369" s="78" t="b">
        <f>IF(VLOOKUP(C2369,Projetos!A:L,12,false)=TRUE,TRUE,FALSE)</f>
        <v>1</v>
      </c>
      <c r="I2369" s="68">
        <v>37.66052106481481</v>
      </c>
      <c r="J2369" s="68">
        <f t="shared" si="1"/>
        <v>28.2453908</v>
      </c>
      <c r="K2369" s="68" t="b">
        <v>1</v>
      </c>
    </row>
    <row r="2370" hidden="1">
      <c r="A2370" s="75">
        <v>2364.0</v>
      </c>
      <c r="B2370" s="62" t="s">
        <v>1306</v>
      </c>
      <c r="C2370" s="62" t="s">
        <v>103</v>
      </c>
      <c r="D2370" s="62" t="s">
        <v>1447</v>
      </c>
      <c r="E2370" s="76">
        <v>43980.0</v>
      </c>
      <c r="F2370" s="77">
        <v>0.0625</v>
      </c>
      <c r="G2370" s="62" t="b">
        <v>1</v>
      </c>
      <c r="H2370" s="78" t="b">
        <f>IF(VLOOKUP(C2370,Projetos!A:L,12,false)=TRUE,TRUE,FALSE)</f>
        <v>1</v>
      </c>
      <c r="I2370" s="68">
        <v>37.66052106481481</v>
      </c>
      <c r="J2370" s="68">
        <f t="shared" si="1"/>
        <v>56.4907816</v>
      </c>
      <c r="K2370" s="68" t="b">
        <v>1</v>
      </c>
    </row>
    <row r="2371">
      <c r="A2371" s="75">
        <v>2365.0</v>
      </c>
      <c r="B2371" s="62" t="s">
        <v>1306</v>
      </c>
      <c r="C2371" s="62" t="s">
        <v>104</v>
      </c>
      <c r="D2371" s="62" t="s">
        <v>1448</v>
      </c>
      <c r="E2371" s="76">
        <v>43964.0</v>
      </c>
      <c r="F2371" s="77">
        <v>0.03125</v>
      </c>
      <c r="G2371" s="62" t="b">
        <v>1</v>
      </c>
      <c r="H2371" s="78" t="b">
        <f>IF(VLOOKUP(C2371,Projetos!A:L,12,false)=TRUE,TRUE,FALSE)</f>
        <v>1</v>
      </c>
      <c r="I2371" s="68">
        <v>37.66052106481481</v>
      </c>
      <c r="J2371" s="68">
        <f t="shared" si="1"/>
        <v>28.2453908</v>
      </c>
      <c r="K2371" s="68" t="b">
        <v>1</v>
      </c>
    </row>
    <row r="2372">
      <c r="A2372" s="75">
        <v>2366.0</v>
      </c>
      <c r="B2372" s="62" t="s">
        <v>1306</v>
      </c>
      <c r="C2372" s="62" t="s">
        <v>104</v>
      </c>
      <c r="D2372" s="62" t="s">
        <v>1449</v>
      </c>
      <c r="E2372" s="76">
        <v>43964.0</v>
      </c>
      <c r="F2372" s="77">
        <v>0.041666666666666664</v>
      </c>
      <c r="G2372" s="62" t="b">
        <v>1</v>
      </c>
      <c r="H2372" s="78" t="b">
        <f>IF(VLOOKUP(C2372,Projetos!A:L,12,false)=TRUE,TRUE,FALSE)</f>
        <v>1</v>
      </c>
      <c r="I2372" s="68">
        <v>37.66052106481481</v>
      </c>
      <c r="J2372" s="68">
        <f t="shared" si="1"/>
        <v>37.66052106</v>
      </c>
      <c r="K2372" s="68" t="b">
        <v>1</v>
      </c>
    </row>
    <row r="2373">
      <c r="A2373" s="75">
        <v>2367.0</v>
      </c>
      <c r="B2373" s="62" t="s">
        <v>1306</v>
      </c>
      <c r="C2373" s="62" t="s">
        <v>104</v>
      </c>
      <c r="D2373" s="62" t="s">
        <v>1450</v>
      </c>
      <c r="E2373" s="76">
        <v>43965.0</v>
      </c>
      <c r="F2373" s="77">
        <v>0.03125</v>
      </c>
      <c r="G2373" s="62" t="b">
        <v>1</v>
      </c>
      <c r="H2373" s="78" t="b">
        <f>IF(VLOOKUP(C2373,Projetos!A:L,12,false)=TRUE,TRUE,FALSE)</f>
        <v>1</v>
      </c>
      <c r="I2373" s="68">
        <v>37.66052106481481</v>
      </c>
      <c r="J2373" s="68">
        <f t="shared" si="1"/>
        <v>28.2453908</v>
      </c>
      <c r="K2373" s="68" t="b">
        <v>1</v>
      </c>
    </row>
    <row r="2374">
      <c r="A2374" s="75">
        <v>2368.0</v>
      </c>
      <c r="B2374" s="62" t="s">
        <v>1306</v>
      </c>
      <c r="C2374" s="62" t="s">
        <v>104</v>
      </c>
      <c r="D2374" s="62" t="s">
        <v>243</v>
      </c>
      <c r="E2374" s="76">
        <v>43965.0</v>
      </c>
      <c r="F2374" s="77">
        <v>0.041666666666666664</v>
      </c>
      <c r="G2374" s="62" t="b">
        <v>1</v>
      </c>
      <c r="H2374" s="78" t="b">
        <f>IF(VLOOKUP(C2374,Projetos!A:L,12,false)=TRUE,TRUE,FALSE)</f>
        <v>1</v>
      </c>
      <c r="I2374" s="68">
        <v>37.66052106481481</v>
      </c>
      <c r="J2374" s="68">
        <f t="shared" si="1"/>
        <v>37.66052106</v>
      </c>
      <c r="K2374" s="68" t="b">
        <v>1</v>
      </c>
    </row>
    <row r="2375">
      <c r="A2375" s="75">
        <v>2369.0</v>
      </c>
      <c r="B2375" s="62" t="s">
        <v>1306</v>
      </c>
      <c r="C2375" s="62" t="s">
        <v>104</v>
      </c>
      <c r="D2375" s="62" t="s">
        <v>1451</v>
      </c>
      <c r="E2375" s="76">
        <v>43965.0</v>
      </c>
      <c r="F2375" s="77">
        <v>0.041666666666666664</v>
      </c>
      <c r="G2375" s="62" t="b">
        <v>1</v>
      </c>
      <c r="H2375" s="78" t="b">
        <f>IF(VLOOKUP(C2375,Projetos!A:L,12,false)=TRUE,TRUE,FALSE)</f>
        <v>1</v>
      </c>
      <c r="I2375" s="68">
        <v>37.66052106481481</v>
      </c>
      <c r="J2375" s="68">
        <f t="shared" si="1"/>
        <v>37.66052106</v>
      </c>
      <c r="K2375" s="68" t="b">
        <v>1</v>
      </c>
    </row>
    <row r="2376">
      <c r="A2376" s="75">
        <v>2370.0</v>
      </c>
      <c r="B2376" s="62" t="s">
        <v>1306</v>
      </c>
      <c r="C2376" s="62" t="s">
        <v>104</v>
      </c>
      <c r="D2376" s="62" t="s">
        <v>1452</v>
      </c>
      <c r="E2376" s="76">
        <v>43966.0</v>
      </c>
      <c r="F2376" s="77">
        <v>0.020833333333333332</v>
      </c>
      <c r="G2376" s="62" t="b">
        <v>1</v>
      </c>
      <c r="H2376" s="78" t="b">
        <f>IF(VLOOKUP(C2376,Projetos!A:L,12,false)=TRUE,TRUE,FALSE)</f>
        <v>1</v>
      </c>
      <c r="I2376" s="68">
        <v>37.66052106481481</v>
      </c>
      <c r="J2376" s="68">
        <f t="shared" si="1"/>
        <v>18.83026053</v>
      </c>
      <c r="K2376" s="68" t="b">
        <v>1</v>
      </c>
    </row>
    <row r="2377">
      <c r="A2377" s="75">
        <v>2371.0</v>
      </c>
      <c r="B2377" s="62" t="s">
        <v>1306</v>
      </c>
      <c r="C2377" s="62" t="s">
        <v>104</v>
      </c>
      <c r="D2377" s="62" t="s">
        <v>1453</v>
      </c>
      <c r="E2377" s="76">
        <v>43970.0</v>
      </c>
      <c r="F2377" s="77">
        <v>0.020833333333333332</v>
      </c>
      <c r="G2377" s="62" t="b">
        <v>1</v>
      </c>
      <c r="H2377" s="78" t="b">
        <f>IF(VLOOKUP(C2377,Projetos!A:L,12,false)=TRUE,TRUE,FALSE)</f>
        <v>1</v>
      </c>
      <c r="I2377" s="68">
        <v>37.66052106481481</v>
      </c>
      <c r="J2377" s="68">
        <f t="shared" si="1"/>
        <v>18.83026053</v>
      </c>
      <c r="K2377" s="68" t="b">
        <v>1</v>
      </c>
    </row>
    <row r="2378">
      <c r="A2378" s="75">
        <v>2372.0</v>
      </c>
      <c r="B2378" s="62" t="s">
        <v>1306</v>
      </c>
      <c r="C2378" s="62" t="s">
        <v>104</v>
      </c>
      <c r="D2378" s="62" t="s">
        <v>1454</v>
      </c>
      <c r="E2378" s="76">
        <v>43973.0</v>
      </c>
      <c r="F2378" s="77">
        <v>0.041666666666666664</v>
      </c>
      <c r="G2378" s="62" t="b">
        <v>1</v>
      </c>
      <c r="H2378" s="78" t="b">
        <f>IF(VLOOKUP(C2378,Projetos!A:L,12,false)=TRUE,TRUE,FALSE)</f>
        <v>1</v>
      </c>
      <c r="I2378" s="68">
        <v>37.66052106481481</v>
      </c>
      <c r="J2378" s="68">
        <f t="shared" si="1"/>
        <v>37.66052106</v>
      </c>
      <c r="K2378" s="68" t="b">
        <v>1</v>
      </c>
    </row>
    <row r="2379">
      <c r="A2379" s="75">
        <v>2373.0</v>
      </c>
      <c r="B2379" s="62" t="s">
        <v>1306</v>
      </c>
      <c r="C2379" s="62" t="s">
        <v>104</v>
      </c>
      <c r="D2379" s="62" t="s">
        <v>1346</v>
      </c>
      <c r="E2379" s="76">
        <v>43973.0</v>
      </c>
      <c r="F2379" s="77">
        <v>0.020833333333333332</v>
      </c>
      <c r="G2379" s="62" t="b">
        <v>1</v>
      </c>
      <c r="H2379" s="78" t="b">
        <f>IF(VLOOKUP(C2379,Projetos!A:L,12,false)=TRUE,TRUE,FALSE)</f>
        <v>1</v>
      </c>
      <c r="I2379" s="68">
        <v>37.66052106481481</v>
      </c>
      <c r="J2379" s="68">
        <f t="shared" si="1"/>
        <v>18.83026053</v>
      </c>
      <c r="K2379" s="68" t="b">
        <v>1</v>
      </c>
    </row>
    <row r="2380">
      <c r="A2380" s="75">
        <v>2374.0</v>
      </c>
      <c r="B2380" s="62" t="s">
        <v>1306</v>
      </c>
      <c r="C2380" s="62" t="s">
        <v>104</v>
      </c>
      <c r="D2380" s="62" t="s">
        <v>1455</v>
      </c>
      <c r="E2380" s="76">
        <v>43977.0</v>
      </c>
      <c r="F2380" s="77">
        <v>0.0625</v>
      </c>
      <c r="G2380" s="62" t="b">
        <v>1</v>
      </c>
      <c r="H2380" s="78" t="b">
        <f>IF(VLOOKUP(C2380,Projetos!A:L,12,false)=TRUE,TRUE,FALSE)</f>
        <v>1</v>
      </c>
      <c r="I2380" s="68">
        <v>37.66052106481481</v>
      </c>
      <c r="J2380" s="68">
        <f t="shared" si="1"/>
        <v>56.4907816</v>
      </c>
      <c r="K2380" s="68" t="b">
        <v>1</v>
      </c>
    </row>
    <row r="2381">
      <c r="A2381" s="75">
        <v>2375.0</v>
      </c>
      <c r="B2381" s="62" t="s">
        <v>1306</v>
      </c>
      <c r="C2381" s="62" t="s">
        <v>104</v>
      </c>
      <c r="D2381" s="62" t="s">
        <v>1339</v>
      </c>
      <c r="E2381" s="76">
        <v>43977.0</v>
      </c>
      <c r="F2381" s="77">
        <v>0.08333333333333333</v>
      </c>
      <c r="G2381" s="62" t="b">
        <v>1</v>
      </c>
      <c r="H2381" s="78" t="b">
        <f>IF(VLOOKUP(C2381,Projetos!A:L,12,false)=TRUE,TRUE,FALSE)</f>
        <v>1</v>
      </c>
      <c r="I2381" s="68">
        <v>37.66052106481481</v>
      </c>
      <c r="J2381" s="68">
        <f t="shared" si="1"/>
        <v>75.32104213</v>
      </c>
      <c r="K2381" s="68" t="b">
        <v>1</v>
      </c>
    </row>
    <row r="2382" hidden="1">
      <c r="A2382" s="75">
        <v>2376.0</v>
      </c>
      <c r="B2382" s="62" t="s">
        <v>1306</v>
      </c>
      <c r="C2382" s="62" t="s">
        <v>105</v>
      </c>
      <c r="D2382" s="62" t="s">
        <v>1456</v>
      </c>
      <c r="E2382" s="76">
        <v>43965.0</v>
      </c>
      <c r="F2382" s="77">
        <v>0.0625</v>
      </c>
      <c r="G2382" s="62" t="b">
        <v>1</v>
      </c>
      <c r="H2382" s="78" t="b">
        <f>IF(VLOOKUP(C2382,Projetos!A:L,12,false)=TRUE,TRUE,FALSE)</f>
        <v>1</v>
      </c>
      <c r="I2382" s="68">
        <v>37.66052106481481</v>
      </c>
      <c r="J2382" s="68">
        <f t="shared" si="1"/>
        <v>56.4907816</v>
      </c>
      <c r="K2382" s="68" t="b">
        <v>1</v>
      </c>
    </row>
    <row r="2383" hidden="1">
      <c r="A2383" s="75">
        <v>2377.0</v>
      </c>
      <c r="B2383" s="62" t="s">
        <v>1306</v>
      </c>
      <c r="C2383" s="62" t="s">
        <v>105</v>
      </c>
      <c r="D2383" s="62" t="s">
        <v>1457</v>
      </c>
      <c r="E2383" s="76">
        <v>43965.0</v>
      </c>
      <c r="F2383" s="77">
        <v>0.041666666666666664</v>
      </c>
      <c r="G2383" s="62" t="b">
        <v>0</v>
      </c>
      <c r="H2383" s="78" t="b">
        <f>IF(VLOOKUP(C2383,Projetos!A:L,12,false)=TRUE,TRUE,FALSE)</f>
        <v>1</v>
      </c>
      <c r="I2383" s="68">
        <v>37.66052106481481</v>
      </c>
      <c r="J2383" s="68">
        <f t="shared" si="1"/>
        <v>0</v>
      </c>
      <c r="K2383" s="68" t="b">
        <v>1</v>
      </c>
    </row>
    <row r="2384" hidden="1">
      <c r="A2384" s="75">
        <v>2378.0</v>
      </c>
      <c r="B2384" s="62" t="s">
        <v>1306</v>
      </c>
      <c r="C2384" s="62" t="s">
        <v>105</v>
      </c>
      <c r="D2384" s="62" t="s">
        <v>1425</v>
      </c>
      <c r="E2384" s="76">
        <v>43969.0</v>
      </c>
      <c r="F2384" s="77">
        <v>0.041666666666666664</v>
      </c>
      <c r="G2384" s="62" t="b">
        <v>1</v>
      </c>
      <c r="H2384" s="78" t="b">
        <f>IF(VLOOKUP(C2384,Projetos!A:L,12,false)=TRUE,TRUE,FALSE)</f>
        <v>1</v>
      </c>
      <c r="I2384" s="68">
        <v>37.66052106481481</v>
      </c>
      <c r="J2384" s="68">
        <f t="shared" si="1"/>
        <v>37.66052106</v>
      </c>
      <c r="K2384" s="68" t="b">
        <v>1</v>
      </c>
    </row>
    <row r="2385" hidden="1">
      <c r="A2385" s="75">
        <v>2379.0</v>
      </c>
      <c r="B2385" s="62" t="s">
        <v>1306</v>
      </c>
      <c r="C2385" s="62" t="s">
        <v>105</v>
      </c>
      <c r="D2385" s="62" t="s">
        <v>1458</v>
      </c>
      <c r="E2385" s="76">
        <v>43971.0</v>
      </c>
      <c r="F2385" s="77">
        <v>0.13541666666666666</v>
      </c>
      <c r="G2385" s="62" t="b">
        <v>1</v>
      </c>
      <c r="H2385" s="78" t="b">
        <f>IF(VLOOKUP(C2385,Projetos!A:L,12,false)=TRUE,TRUE,FALSE)</f>
        <v>1</v>
      </c>
      <c r="I2385" s="68">
        <v>37.66052106481481</v>
      </c>
      <c r="J2385" s="68">
        <f t="shared" si="1"/>
        <v>122.3966935</v>
      </c>
      <c r="K2385" s="68" t="b">
        <v>1</v>
      </c>
    </row>
    <row r="2386" hidden="1">
      <c r="A2386" s="75">
        <v>2380.0</v>
      </c>
      <c r="B2386" s="62" t="s">
        <v>1306</v>
      </c>
      <c r="C2386" s="62" t="s">
        <v>105</v>
      </c>
      <c r="D2386" s="62" t="s">
        <v>1346</v>
      </c>
      <c r="E2386" s="76">
        <v>43971.0</v>
      </c>
      <c r="F2386" s="77">
        <v>0.08333333333333333</v>
      </c>
      <c r="G2386" s="62" t="b">
        <v>1</v>
      </c>
      <c r="H2386" s="78" t="b">
        <f>IF(VLOOKUP(C2386,Projetos!A:L,12,false)=TRUE,TRUE,FALSE)</f>
        <v>1</v>
      </c>
      <c r="I2386" s="68">
        <v>37.66052106481481</v>
      </c>
      <c r="J2386" s="68">
        <f t="shared" si="1"/>
        <v>75.32104213</v>
      </c>
      <c r="K2386" s="68" t="b">
        <v>1</v>
      </c>
    </row>
    <row r="2387" hidden="1">
      <c r="A2387" s="75">
        <v>2381.0</v>
      </c>
      <c r="B2387" s="62" t="s">
        <v>1306</v>
      </c>
      <c r="C2387" s="62" t="s">
        <v>105</v>
      </c>
      <c r="D2387" s="62" t="s">
        <v>1346</v>
      </c>
      <c r="E2387" s="76">
        <v>43972.0</v>
      </c>
      <c r="F2387" s="77">
        <v>0.041666666666666664</v>
      </c>
      <c r="G2387" s="62" t="b">
        <v>1</v>
      </c>
      <c r="H2387" s="78" t="b">
        <f>IF(VLOOKUP(C2387,Projetos!A:L,12,false)=TRUE,TRUE,FALSE)</f>
        <v>1</v>
      </c>
      <c r="I2387" s="68">
        <v>37.66052106481481</v>
      </c>
      <c r="J2387" s="68">
        <f t="shared" si="1"/>
        <v>37.66052106</v>
      </c>
      <c r="K2387" s="68" t="b">
        <v>1</v>
      </c>
    </row>
    <row r="2388" hidden="1">
      <c r="A2388" s="75">
        <v>2382.0</v>
      </c>
      <c r="B2388" s="62" t="s">
        <v>1306</v>
      </c>
      <c r="C2388" s="62" t="s">
        <v>105</v>
      </c>
      <c r="D2388" s="62" t="s">
        <v>1459</v>
      </c>
      <c r="E2388" s="76">
        <v>43976.0</v>
      </c>
      <c r="F2388" s="77">
        <v>0.041666666666666664</v>
      </c>
      <c r="G2388" s="62" t="b">
        <v>1</v>
      </c>
      <c r="H2388" s="78" t="b">
        <f>IF(VLOOKUP(C2388,Projetos!A:L,12,false)=TRUE,TRUE,FALSE)</f>
        <v>1</v>
      </c>
      <c r="I2388" s="68">
        <v>37.66052106481481</v>
      </c>
      <c r="J2388" s="68">
        <f t="shared" si="1"/>
        <v>37.66052106</v>
      </c>
      <c r="K2388" s="68" t="b">
        <v>1</v>
      </c>
    </row>
    <row r="2389" hidden="1">
      <c r="A2389" s="75">
        <v>2383.0</v>
      </c>
      <c r="B2389" s="62" t="s">
        <v>1306</v>
      </c>
      <c r="C2389" s="62" t="s">
        <v>105</v>
      </c>
      <c r="D2389" s="62" t="s">
        <v>1459</v>
      </c>
      <c r="E2389" s="76">
        <v>43977.0</v>
      </c>
      <c r="F2389" s="77">
        <v>0.020833333333333332</v>
      </c>
      <c r="G2389" s="62" t="b">
        <v>1</v>
      </c>
      <c r="H2389" s="78" t="b">
        <f>IF(VLOOKUP(C2389,Projetos!A:L,12,false)=TRUE,TRUE,FALSE)</f>
        <v>1</v>
      </c>
      <c r="I2389" s="68">
        <v>37.66052106481481</v>
      </c>
      <c r="J2389" s="68">
        <f t="shared" si="1"/>
        <v>18.83026053</v>
      </c>
      <c r="K2389" s="68" t="b">
        <v>1</v>
      </c>
    </row>
    <row r="2390" hidden="1">
      <c r="A2390" s="75">
        <v>2384.0</v>
      </c>
      <c r="B2390" s="62" t="s">
        <v>1306</v>
      </c>
      <c r="C2390" s="62" t="s">
        <v>105</v>
      </c>
      <c r="D2390" s="62" t="s">
        <v>1460</v>
      </c>
      <c r="E2390" s="76">
        <v>43978.0</v>
      </c>
      <c r="F2390" s="77">
        <v>0.20833333333333334</v>
      </c>
      <c r="G2390" s="62" t="b">
        <v>1</v>
      </c>
      <c r="H2390" s="78" t="b">
        <f>IF(VLOOKUP(C2390,Projetos!A:L,12,false)=TRUE,TRUE,FALSE)</f>
        <v>1</v>
      </c>
      <c r="I2390" s="68">
        <v>37.66052106481481</v>
      </c>
      <c r="J2390" s="68">
        <f t="shared" si="1"/>
        <v>188.3026053</v>
      </c>
      <c r="K2390" s="68" t="b">
        <v>1</v>
      </c>
    </row>
    <row r="2391" hidden="1">
      <c r="A2391" s="75">
        <v>2385.0</v>
      </c>
      <c r="B2391" s="62" t="s">
        <v>1306</v>
      </c>
      <c r="C2391" s="62" t="s">
        <v>105</v>
      </c>
      <c r="D2391" s="62" t="s">
        <v>1461</v>
      </c>
      <c r="E2391" s="76">
        <v>43980.0</v>
      </c>
      <c r="F2391" s="77">
        <v>0.08333333333333333</v>
      </c>
      <c r="G2391" s="62" t="b">
        <v>1</v>
      </c>
      <c r="H2391" s="78" t="b">
        <f>IF(VLOOKUP(C2391,Projetos!A:L,12,false)=TRUE,TRUE,FALSE)</f>
        <v>1</v>
      </c>
      <c r="I2391" s="68">
        <v>37.66052106481481</v>
      </c>
      <c r="J2391" s="68">
        <f t="shared" si="1"/>
        <v>75.32104213</v>
      </c>
      <c r="K2391" s="68" t="b">
        <v>1</v>
      </c>
    </row>
    <row r="2392" hidden="1">
      <c r="A2392" s="75">
        <v>2386.0</v>
      </c>
      <c r="B2392" s="62" t="s">
        <v>1306</v>
      </c>
      <c r="C2392" s="62" t="s">
        <v>105</v>
      </c>
      <c r="D2392" s="62" t="s">
        <v>1462</v>
      </c>
      <c r="E2392" s="76">
        <v>43980.0</v>
      </c>
      <c r="F2392" s="77">
        <v>0.041666666666666664</v>
      </c>
      <c r="G2392" s="62" t="b">
        <v>1</v>
      </c>
      <c r="H2392" s="78" t="b">
        <f>IF(VLOOKUP(C2392,Projetos!A:L,12,false)=TRUE,TRUE,FALSE)</f>
        <v>1</v>
      </c>
      <c r="I2392" s="68">
        <v>37.66052106481481</v>
      </c>
      <c r="J2392" s="68">
        <f t="shared" si="1"/>
        <v>37.66052106</v>
      </c>
      <c r="K2392" s="68" t="b">
        <v>1</v>
      </c>
    </row>
    <row r="2393" hidden="1">
      <c r="A2393" s="75">
        <v>2387.0</v>
      </c>
      <c r="B2393" s="62" t="s">
        <v>1306</v>
      </c>
      <c r="C2393" s="62" t="s">
        <v>108</v>
      </c>
      <c r="D2393" s="62" t="s">
        <v>1463</v>
      </c>
      <c r="E2393" s="76">
        <v>43964.0</v>
      </c>
      <c r="F2393" s="77">
        <v>0.041666666666666664</v>
      </c>
      <c r="G2393" s="62" t="b">
        <v>0</v>
      </c>
      <c r="H2393" s="78" t="b">
        <f>IF(VLOOKUP(C2393,Projetos!A:L,12,false)=TRUE,TRUE,FALSE)</f>
        <v>1</v>
      </c>
      <c r="I2393" s="68">
        <v>37.66052106481481</v>
      </c>
      <c r="J2393" s="68">
        <f t="shared" si="1"/>
        <v>0</v>
      </c>
      <c r="K2393" s="68" t="b">
        <v>1</v>
      </c>
    </row>
    <row r="2394" hidden="1">
      <c r="A2394" s="75">
        <v>2388.0</v>
      </c>
      <c r="B2394" s="62" t="s">
        <v>1306</v>
      </c>
      <c r="C2394" s="62" t="s">
        <v>108</v>
      </c>
      <c r="D2394" s="62" t="s">
        <v>1464</v>
      </c>
      <c r="E2394" s="76">
        <v>43966.0</v>
      </c>
      <c r="F2394" s="77">
        <v>0.020833333333333332</v>
      </c>
      <c r="G2394" s="62" t="b">
        <v>0</v>
      </c>
      <c r="H2394" s="78" t="b">
        <f>IF(VLOOKUP(C2394,Projetos!A:L,12,false)=TRUE,TRUE,FALSE)</f>
        <v>1</v>
      </c>
      <c r="I2394" s="68">
        <v>37.66052106481481</v>
      </c>
      <c r="J2394" s="68">
        <f t="shared" si="1"/>
        <v>0</v>
      </c>
      <c r="K2394" s="68" t="b">
        <v>1</v>
      </c>
    </row>
    <row r="2395" hidden="1">
      <c r="A2395" s="75">
        <v>2389.0</v>
      </c>
      <c r="B2395" s="62" t="s">
        <v>1306</v>
      </c>
      <c r="C2395" s="62" t="s">
        <v>108</v>
      </c>
      <c r="D2395" s="62" t="s">
        <v>1465</v>
      </c>
      <c r="E2395" s="76">
        <v>43966.0</v>
      </c>
      <c r="F2395" s="77">
        <v>0.041666666666666664</v>
      </c>
      <c r="G2395" s="62" t="b">
        <v>0</v>
      </c>
      <c r="H2395" s="78" t="b">
        <f>IF(VLOOKUP(C2395,Projetos!A:L,12,false)=TRUE,TRUE,FALSE)</f>
        <v>1</v>
      </c>
      <c r="I2395" s="68">
        <v>37.66052106481481</v>
      </c>
      <c r="J2395" s="68">
        <f t="shared" si="1"/>
        <v>0</v>
      </c>
      <c r="K2395" s="68" t="b">
        <v>1</v>
      </c>
    </row>
    <row r="2396" hidden="1">
      <c r="A2396" s="75">
        <v>2390.0</v>
      </c>
      <c r="B2396" s="62" t="s">
        <v>1306</v>
      </c>
      <c r="C2396" s="62" t="s">
        <v>108</v>
      </c>
      <c r="D2396" s="62" t="s">
        <v>1409</v>
      </c>
      <c r="E2396" s="76">
        <v>43969.0</v>
      </c>
      <c r="F2396" s="77">
        <v>0.07291666666666667</v>
      </c>
      <c r="G2396" s="62" t="b">
        <v>0</v>
      </c>
      <c r="H2396" s="78" t="b">
        <f>IF(VLOOKUP(C2396,Projetos!A:L,12,false)=TRUE,TRUE,FALSE)</f>
        <v>1</v>
      </c>
      <c r="I2396" s="68">
        <v>37.66052106481481</v>
      </c>
      <c r="J2396" s="68">
        <f t="shared" si="1"/>
        <v>0</v>
      </c>
      <c r="K2396" s="68" t="b">
        <v>1</v>
      </c>
    </row>
    <row r="2397" hidden="1">
      <c r="A2397" s="75">
        <v>2391.0</v>
      </c>
      <c r="B2397" s="62" t="s">
        <v>1306</v>
      </c>
      <c r="C2397" s="62" t="s">
        <v>108</v>
      </c>
      <c r="D2397" s="62" t="s">
        <v>1466</v>
      </c>
      <c r="E2397" s="76">
        <v>43969.0</v>
      </c>
      <c r="F2397" s="77">
        <v>0.041666666666666664</v>
      </c>
      <c r="G2397" s="62" t="b">
        <v>0</v>
      </c>
      <c r="H2397" s="78" t="b">
        <f>IF(VLOOKUP(C2397,Projetos!A:L,12,false)=TRUE,TRUE,FALSE)</f>
        <v>1</v>
      </c>
      <c r="I2397" s="68">
        <v>37.66052106481481</v>
      </c>
      <c r="J2397" s="68">
        <f t="shared" si="1"/>
        <v>0</v>
      </c>
      <c r="K2397" s="68" t="b">
        <v>1</v>
      </c>
    </row>
    <row r="2398" hidden="1">
      <c r="A2398" s="75">
        <v>2392.0</v>
      </c>
      <c r="B2398" s="62" t="s">
        <v>1306</v>
      </c>
      <c r="C2398" s="62" t="s">
        <v>108</v>
      </c>
      <c r="D2398" s="62" t="s">
        <v>1308</v>
      </c>
      <c r="E2398" s="76">
        <v>43970.0</v>
      </c>
      <c r="F2398" s="77">
        <v>0.0625</v>
      </c>
      <c r="G2398" s="62" t="b">
        <v>0</v>
      </c>
      <c r="H2398" s="78" t="b">
        <f>IF(VLOOKUP(C2398,Projetos!A:L,12,false)=TRUE,TRUE,FALSE)</f>
        <v>1</v>
      </c>
      <c r="I2398" s="68">
        <v>37.66052106481481</v>
      </c>
      <c r="J2398" s="68">
        <f t="shared" si="1"/>
        <v>0</v>
      </c>
      <c r="K2398" s="68" t="b">
        <v>1</v>
      </c>
    </row>
    <row r="2399" hidden="1">
      <c r="A2399" s="75">
        <v>2393.0</v>
      </c>
      <c r="B2399" s="62" t="s">
        <v>1306</v>
      </c>
      <c r="C2399" s="62" t="s">
        <v>108</v>
      </c>
      <c r="D2399" s="62" t="s">
        <v>1467</v>
      </c>
      <c r="E2399" s="76">
        <v>43971.0</v>
      </c>
      <c r="F2399" s="77">
        <v>0.041666666666666664</v>
      </c>
      <c r="G2399" s="62" t="b">
        <v>0</v>
      </c>
      <c r="H2399" s="78" t="b">
        <f>IF(VLOOKUP(C2399,Projetos!A:L,12,false)=TRUE,TRUE,FALSE)</f>
        <v>1</v>
      </c>
      <c r="I2399" s="68">
        <v>37.66052106481481</v>
      </c>
      <c r="J2399" s="68">
        <f t="shared" si="1"/>
        <v>0</v>
      </c>
      <c r="K2399" s="68" t="b">
        <v>1</v>
      </c>
    </row>
    <row r="2400" hidden="1">
      <c r="A2400" s="75">
        <v>2394.0</v>
      </c>
      <c r="B2400" s="62" t="s">
        <v>1306</v>
      </c>
      <c r="C2400" s="62" t="s">
        <v>108</v>
      </c>
      <c r="D2400" s="62" t="s">
        <v>1468</v>
      </c>
      <c r="E2400" s="76">
        <v>43972.0</v>
      </c>
      <c r="F2400" s="77">
        <v>0.041666666666666664</v>
      </c>
      <c r="G2400" s="62" t="b">
        <v>0</v>
      </c>
      <c r="H2400" s="78" t="b">
        <f>IF(VLOOKUP(C2400,Projetos!A:L,12,false)=TRUE,TRUE,FALSE)</f>
        <v>1</v>
      </c>
      <c r="I2400" s="68">
        <v>37.66052106481481</v>
      </c>
      <c r="J2400" s="68">
        <f t="shared" si="1"/>
        <v>0</v>
      </c>
      <c r="K2400" s="68" t="b">
        <v>1</v>
      </c>
    </row>
    <row r="2401" hidden="1">
      <c r="A2401" s="75">
        <v>2395.0</v>
      </c>
      <c r="B2401" s="62" t="s">
        <v>1306</v>
      </c>
      <c r="C2401" s="62" t="s">
        <v>108</v>
      </c>
      <c r="D2401" s="62" t="s">
        <v>1469</v>
      </c>
      <c r="E2401" s="76">
        <v>43972.0</v>
      </c>
      <c r="F2401" s="77">
        <v>0.041666666666666664</v>
      </c>
      <c r="G2401" s="62" t="b">
        <v>0</v>
      </c>
      <c r="H2401" s="78" t="b">
        <f>IF(VLOOKUP(C2401,Projetos!A:L,12,false)=TRUE,TRUE,FALSE)</f>
        <v>1</v>
      </c>
      <c r="I2401" s="68">
        <v>37.66052106481481</v>
      </c>
      <c r="J2401" s="68">
        <f t="shared" si="1"/>
        <v>0</v>
      </c>
      <c r="K2401" s="68" t="b">
        <v>1</v>
      </c>
    </row>
    <row r="2402" hidden="1">
      <c r="A2402" s="75">
        <v>2396.0</v>
      </c>
      <c r="B2402" s="62" t="s">
        <v>1306</v>
      </c>
      <c r="C2402" s="62" t="s">
        <v>108</v>
      </c>
      <c r="D2402" s="62" t="s">
        <v>1470</v>
      </c>
      <c r="E2402" s="76">
        <v>43976.0</v>
      </c>
      <c r="F2402" s="77">
        <v>0.041666666666666664</v>
      </c>
      <c r="G2402" s="62" t="b">
        <v>0</v>
      </c>
      <c r="H2402" s="78" t="b">
        <f>IF(VLOOKUP(C2402,Projetos!A:L,12,false)=TRUE,TRUE,FALSE)</f>
        <v>1</v>
      </c>
      <c r="I2402" s="68">
        <v>37.66052106481481</v>
      </c>
      <c r="J2402" s="68">
        <f t="shared" si="1"/>
        <v>0</v>
      </c>
      <c r="K2402" s="68" t="b">
        <v>1</v>
      </c>
    </row>
    <row r="2403" hidden="1">
      <c r="A2403" s="75">
        <v>2397.0</v>
      </c>
      <c r="B2403" s="62" t="s">
        <v>1306</v>
      </c>
      <c r="C2403" s="62" t="s">
        <v>108</v>
      </c>
      <c r="D2403" s="62" t="s">
        <v>1471</v>
      </c>
      <c r="E2403" s="76">
        <v>43978.0</v>
      </c>
      <c r="F2403" s="77">
        <v>0.07291666666666667</v>
      </c>
      <c r="G2403" s="62" t="b">
        <v>0</v>
      </c>
      <c r="H2403" s="78" t="b">
        <f>IF(VLOOKUP(C2403,Projetos!A:L,12,false)=TRUE,TRUE,FALSE)</f>
        <v>1</v>
      </c>
      <c r="I2403" s="68">
        <v>37.66052106481481</v>
      </c>
      <c r="J2403" s="68">
        <f t="shared" si="1"/>
        <v>0</v>
      </c>
      <c r="K2403" s="68" t="b">
        <v>1</v>
      </c>
    </row>
    <row r="2404" hidden="1">
      <c r="A2404" s="75">
        <v>2398.0</v>
      </c>
      <c r="B2404" s="62" t="s">
        <v>1306</v>
      </c>
      <c r="C2404" s="62" t="s">
        <v>108</v>
      </c>
      <c r="D2404" s="62" t="s">
        <v>1423</v>
      </c>
      <c r="E2404" s="76">
        <v>43979.0</v>
      </c>
      <c r="F2404" s="77">
        <v>0.16666666666666666</v>
      </c>
      <c r="G2404" s="62" t="b">
        <v>0</v>
      </c>
      <c r="H2404" s="78" t="b">
        <f>IF(VLOOKUP(C2404,Projetos!A:L,12,false)=TRUE,TRUE,FALSE)</f>
        <v>1</v>
      </c>
      <c r="I2404" s="68">
        <v>37.66052106481481</v>
      </c>
      <c r="J2404" s="68">
        <f t="shared" si="1"/>
        <v>0</v>
      </c>
      <c r="K2404" s="68" t="b">
        <v>1</v>
      </c>
    </row>
    <row r="2405" hidden="1">
      <c r="A2405" s="75">
        <v>2399.0</v>
      </c>
      <c r="B2405" s="62" t="s">
        <v>1306</v>
      </c>
      <c r="C2405" s="62" t="s">
        <v>108</v>
      </c>
      <c r="D2405" s="62" t="s">
        <v>1472</v>
      </c>
      <c r="E2405" s="76">
        <v>43979.0</v>
      </c>
      <c r="F2405" s="77">
        <v>0.10416666666666667</v>
      </c>
      <c r="G2405" s="62" t="b">
        <v>0</v>
      </c>
      <c r="H2405" s="78" t="b">
        <f>IF(VLOOKUP(C2405,Projetos!A:L,12,false)=TRUE,TRUE,FALSE)</f>
        <v>1</v>
      </c>
      <c r="I2405" s="68">
        <v>37.66052106481481</v>
      </c>
      <c r="J2405" s="68">
        <f t="shared" si="1"/>
        <v>0</v>
      </c>
      <c r="K2405" s="68" t="b">
        <v>1</v>
      </c>
    </row>
    <row r="2406" hidden="1">
      <c r="A2406" s="75">
        <v>2400.0</v>
      </c>
      <c r="B2406" s="62" t="s">
        <v>1306</v>
      </c>
      <c r="C2406" s="62" t="s">
        <v>110</v>
      </c>
      <c r="D2406" s="62" t="s">
        <v>1473</v>
      </c>
      <c r="E2406" s="76">
        <v>43965.0</v>
      </c>
      <c r="F2406" s="77">
        <v>0.041666666666666664</v>
      </c>
      <c r="G2406" s="62" t="b">
        <v>0</v>
      </c>
      <c r="H2406" s="78" t="b">
        <f>IF(VLOOKUP(C2406,Projetos!A:L,12,false)=TRUE,TRUE,FALSE)</f>
        <v>1</v>
      </c>
      <c r="I2406" s="68">
        <v>37.66052106481481</v>
      </c>
      <c r="J2406" s="68">
        <f t="shared" si="1"/>
        <v>0</v>
      </c>
      <c r="K2406" s="68" t="b">
        <v>1</v>
      </c>
    </row>
    <row r="2407" hidden="1">
      <c r="A2407" s="75">
        <v>2401.0</v>
      </c>
      <c r="B2407" s="62" t="s">
        <v>1306</v>
      </c>
      <c r="C2407" s="62" t="s">
        <v>110</v>
      </c>
      <c r="D2407" s="62" t="s">
        <v>1474</v>
      </c>
      <c r="E2407" s="76">
        <v>43970.0</v>
      </c>
      <c r="F2407" s="77">
        <v>0.041666666666666664</v>
      </c>
      <c r="G2407" s="62" t="b">
        <v>1</v>
      </c>
      <c r="H2407" s="78" t="b">
        <f>IF(VLOOKUP(C2407,Projetos!A:L,12,false)=TRUE,TRUE,FALSE)</f>
        <v>1</v>
      </c>
      <c r="I2407" s="68">
        <v>37.66052106481481</v>
      </c>
      <c r="J2407" s="68">
        <f t="shared" si="1"/>
        <v>37.66052106</v>
      </c>
      <c r="K2407" s="68" t="b">
        <v>1</v>
      </c>
    </row>
    <row r="2408" hidden="1">
      <c r="A2408" s="75">
        <v>2402.0</v>
      </c>
      <c r="B2408" s="62" t="s">
        <v>1306</v>
      </c>
      <c r="C2408" s="62" t="s">
        <v>110</v>
      </c>
      <c r="D2408" s="62" t="s">
        <v>1475</v>
      </c>
      <c r="E2408" s="76">
        <v>43970.0</v>
      </c>
      <c r="F2408" s="77">
        <v>0.041666666666666664</v>
      </c>
      <c r="G2408" s="62" t="b">
        <v>1</v>
      </c>
      <c r="H2408" s="78" t="b">
        <f>IF(VLOOKUP(C2408,Projetos!A:L,12,false)=TRUE,TRUE,FALSE)</f>
        <v>1</v>
      </c>
      <c r="I2408" s="68">
        <v>37.66052106481481</v>
      </c>
      <c r="J2408" s="68">
        <f t="shared" si="1"/>
        <v>37.66052106</v>
      </c>
      <c r="K2408" s="68" t="b">
        <v>1</v>
      </c>
    </row>
    <row r="2409" hidden="1">
      <c r="A2409" s="75">
        <v>2403.0</v>
      </c>
      <c r="B2409" s="62" t="s">
        <v>1306</v>
      </c>
      <c r="C2409" s="62" t="s">
        <v>110</v>
      </c>
      <c r="D2409" s="62" t="s">
        <v>1475</v>
      </c>
      <c r="E2409" s="76">
        <v>43971.0</v>
      </c>
      <c r="F2409" s="77">
        <v>0.08333333333333333</v>
      </c>
      <c r="G2409" s="62" t="b">
        <v>1</v>
      </c>
      <c r="H2409" s="78" t="b">
        <f>IF(VLOOKUP(C2409,Projetos!A:L,12,false)=TRUE,TRUE,FALSE)</f>
        <v>1</v>
      </c>
      <c r="I2409" s="68">
        <v>37.66052106481481</v>
      </c>
      <c r="J2409" s="68">
        <f t="shared" si="1"/>
        <v>75.32104213</v>
      </c>
      <c r="K2409" s="68" t="b">
        <v>1</v>
      </c>
    </row>
    <row r="2410" hidden="1">
      <c r="A2410" s="75">
        <v>2404.0</v>
      </c>
      <c r="B2410" s="62" t="s">
        <v>1306</v>
      </c>
      <c r="C2410" s="62" t="s">
        <v>110</v>
      </c>
      <c r="D2410" s="62" t="s">
        <v>1476</v>
      </c>
      <c r="E2410" s="76">
        <v>43972.0</v>
      </c>
      <c r="F2410" s="77">
        <v>0.041666666666666664</v>
      </c>
      <c r="G2410" s="62" t="b">
        <v>1</v>
      </c>
      <c r="H2410" s="78" t="b">
        <f>IF(VLOOKUP(C2410,Projetos!A:L,12,false)=TRUE,TRUE,FALSE)</f>
        <v>1</v>
      </c>
      <c r="I2410" s="68">
        <v>37.66052106481481</v>
      </c>
      <c r="J2410" s="68">
        <f t="shared" si="1"/>
        <v>37.66052106</v>
      </c>
      <c r="K2410" s="68" t="b">
        <v>1</v>
      </c>
    </row>
    <row r="2411" hidden="1">
      <c r="A2411" s="75">
        <v>2405.0</v>
      </c>
      <c r="B2411" s="62" t="s">
        <v>1306</v>
      </c>
      <c r="C2411" s="62" t="s">
        <v>110</v>
      </c>
      <c r="D2411" s="62" t="s">
        <v>1477</v>
      </c>
      <c r="E2411" s="76">
        <v>43976.0</v>
      </c>
      <c r="F2411" s="77">
        <v>0.041666666666666664</v>
      </c>
      <c r="G2411" s="62" t="b">
        <v>1</v>
      </c>
      <c r="H2411" s="78" t="b">
        <f>IF(VLOOKUP(C2411,Projetos!A:L,12,false)=TRUE,TRUE,FALSE)</f>
        <v>1</v>
      </c>
      <c r="I2411" s="68">
        <v>37.66052106481481</v>
      </c>
      <c r="J2411" s="68">
        <f t="shared" si="1"/>
        <v>37.66052106</v>
      </c>
      <c r="K2411" s="68" t="b">
        <v>1</v>
      </c>
    </row>
    <row r="2412" hidden="1">
      <c r="A2412" s="75">
        <v>2406.0</v>
      </c>
      <c r="B2412" s="62" t="s">
        <v>1306</v>
      </c>
      <c r="C2412" s="62" t="s">
        <v>110</v>
      </c>
      <c r="D2412" s="62" t="s">
        <v>1478</v>
      </c>
      <c r="E2412" s="76">
        <v>43979.0</v>
      </c>
      <c r="F2412" s="77">
        <v>0.03125</v>
      </c>
      <c r="G2412" s="62" t="b">
        <v>1</v>
      </c>
      <c r="H2412" s="78" t="b">
        <f>IF(VLOOKUP(C2412,Projetos!A:L,12,false)=TRUE,TRUE,FALSE)</f>
        <v>1</v>
      </c>
      <c r="I2412" s="68">
        <v>37.66052106481481</v>
      </c>
      <c r="J2412" s="68">
        <f t="shared" si="1"/>
        <v>28.2453908</v>
      </c>
      <c r="K2412" s="68" t="b">
        <v>1</v>
      </c>
    </row>
    <row r="2413" hidden="1">
      <c r="A2413" s="75">
        <v>2407.0</v>
      </c>
      <c r="B2413" s="62" t="s">
        <v>1306</v>
      </c>
      <c r="C2413" s="62" t="s">
        <v>110</v>
      </c>
      <c r="D2413" s="62" t="s">
        <v>1378</v>
      </c>
      <c r="E2413" s="76">
        <v>43980.0</v>
      </c>
      <c r="F2413" s="77">
        <v>0.0625</v>
      </c>
      <c r="G2413" s="62" t="b">
        <v>1</v>
      </c>
      <c r="H2413" s="78" t="b">
        <f>IF(VLOOKUP(C2413,Projetos!A:L,12,false)=TRUE,TRUE,FALSE)</f>
        <v>1</v>
      </c>
      <c r="I2413" s="68">
        <v>37.66052106481481</v>
      </c>
      <c r="J2413" s="68">
        <f t="shared" si="1"/>
        <v>56.4907816</v>
      </c>
      <c r="K2413" s="68" t="b">
        <v>1</v>
      </c>
    </row>
    <row r="2414" hidden="1">
      <c r="A2414" s="75">
        <v>2408.0</v>
      </c>
      <c r="B2414" s="62" t="s">
        <v>1306</v>
      </c>
      <c r="C2414" s="62" t="s">
        <v>138</v>
      </c>
      <c r="D2414" s="62" t="s">
        <v>1479</v>
      </c>
      <c r="E2414" s="76">
        <v>43987.0</v>
      </c>
      <c r="F2414" s="77">
        <v>0.15625</v>
      </c>
      <c r="G2414" s="62" t="b">
        <v>1</v>
      </c>
      <c r="H2414" s="78" t="b">
        <f>IF(VLOOKUP(C2414,Projetos!A:L,12,false)=TRUE,TRUE,FALSE)</f>
        <v>1</v>
      </c>
      <c r="I2414" s="68">
        <v>35.94867919823232</v>
      </c>
      <c r="J2414" s="68">
        <f t="shared" si="1"/>
        <v>134.807547</v>
      </c>
      <c r="K2414" s="68" t="b">
        <v>1</v>
      </c>
    </row>
    <row r="2415" hidden="1">
      <c r="A2415" s="75">
        <v>2409.0</v>
      </c>
      <c r="B2415" s="62" t="s">
        <v>1306</v>
      </c>
      <c r="C2415" s="62" t="s">
        <v>138</v>
      </c>
      <c r="D2415" s="62" t="s">
        <v>1480</v>
      </c>
      <c r="E2415" s="76">
        <v>43991.0</v>
      </c>
      <c r="F2415" s="77">
        <v>0.020833333333333332</v>
      </c>
      <c r="G2415" s="62" t="b">
        <v>1</v>
      </c>
      <c r="H2415" s="78" t="b">
        <f>IF(VLOOKUP(C2415,Projetos!A:L,12,false)=TRUE,TRUE,FALSE)</f>
        <v>1</v>
      </c>
      <c r="I2415" s="68">
        <v>35.94867919823232</v>
      </c>
      <c r="J2415" s="68">
        <f t="shared" si="1"/>
        <v>17.9743396</v>
      </c>
      <c r="K2415" s="68" t="b">
        <v>1</v>
      </c>
    </row>
    <row r="2416" hidden="1">
      <c r="A2416" s="75">
        <v>2410.0</v>
      </c>
      <c r="B2416" s="62" t="s">
        <v>1306</v>
      </c>
      <c r="C2416" s="62" t="s">
        <v>138</v>
      </c>
      <c r="D2416" s="62" t="s">
        <v>1481</v>
      </c>
      <c r="E2416" s="76">
        <v>43992.0</v>
      </c>
      <c r="F2416" s="77">
        <v>0.11458333333333333</v>
      </c>
      <c r="G2416" s="62" t="b">
        <v>1</v>
      </c>
      <c r="H2416" s="78" t="b">
        <f>IF(VLOOKUP(C2416,Projetos!A:L,12,false)=TRUE,TRUE,FALSE)</f>
        <v>1</v>
      </c>
      <c r="I2416" s="68">
        <v>35.94867919823232</v>
      </c>
      <c r="J2416" s="68">
        <f t="shared" si="1"/>
        <v>98.8588678</v>
      </c>
      <c r="K2416" s="68" t="b">
        <v>1</v>
      </c>
    </row>
    <row r="2417" hidden="1">
      <c r="A2417" s="75">
        <v>2411.0</v>
      </c>
      <c r="B2417" s="62" t="s">
        <v>1306</v>
      </c>
      <c r="C2417" s="62" t="s">
        <v>138</v>
      </c>
      <c r="D2417" s="62" t="s">
        <v>1435</v>
      </c>
      <c r="E2417" s="76">
        <v>43997.0</v>
      </c>
      <c r="F2417" s="77">
        <v>0.03125</v>
      </c>
      <c r="G2417" s="62" t="b">
        <v>0</v>
      </c>
      <c r="H2417" s="78" t="b">
        <f>IF(VLOOKUP(C2417,Projetos!A:L,12,false)=TRUE,TRUE,FALSE)</f>
        <v>1</v>
      </c>
      <c r="I2417" s="68">
        <v>35.94867919823232</v>
      </c>
      <c r="J2417" s="68">
        <f t="shared" si="1"/>
        <v>0</v>
      </c>
      <c r="K2417" s="68" t="b">
        <v>1</v>
      </c>
    </row>
    <row r="2418" hidden="1">
      <c r="A2418" s="75">
        <v>2412.0</v>
      </c>
      <c r="B2418" s="62" t="s">
        <v>1306</v>
      </c>
      <c r="C2418" s="62" t="s">
        <v>138</v>
      </c>
      <c r="D2418" s="62" t="s">
        <v>1435</v>
      </c>
      <c r="E2418" s="76">
        <v>43997.0</v>
      </c>
      <c r="F2418" s="77">
        <v>0.020833333333333332</v>
      </c>
      <c r="G2418" s="62" t="b">
        <v>0</v>
      </c>
      <c r="H2418" s="78" t="b">
        <f>IF(VLOOKUP(C2418,Projetos!A:L,12,false)=TRUE,TRUE,FALSE)</f>
        <v>1</v>
      </c>
      <c r="I2418" s="68">
        <v>35.94867919823232</v>
      </c>
      <c r="J2418" s="68">
        <f t="shared" si="1"/>
        <v>0</v>
      </c>
      <c r="K2418" s="68" t="b">
        <v>1</v>
      </c>
    </row>
    <row r="2419" hidden="1">
      <c r="A2419" s="75">
        <v>2413.0</v>
      </c>
      <c r="B2419" s="62" t="s">
        <v>1306</v>
      </c>
      <c r="C2419" s="62" t="s">
        <v>138</v>
      </c>
      <c r="D2419" s="62" t="s">
        <v>1482</v>
      </c>
      <c r="E2419" s="76">
        <v>43997.0</v>
      </c>
      <c r="F2419" s="77">
        <v>0.09375</v>
      </c>
      <c r="G2419" s="62" t="b">
        <v>1</v>
      </c>
      <c r="H2419" s="78" t="b">
        <f>IF(VLOOKUP(C2419,Projetos!A:L,12,false)=TRUE,TRUE,FALSE)</f>
        <v>1</v>
      </c>
      <c r="I2419" s="68">
        <v>35.94867919823232</v>
      </c>
      <c r="J2419" s="68">
        <f t="shared" si="1"/>
        <v>80.8845282</v>
      </c>
      <c r="K2419" s="68" t="b">
        <v>1</v>
      </c>
    </row>
    <row r="2420" hidden="1">
      <c r="A2420" s="75">
        <v>2414.0</v>
      </c>
      <c r="B2420" s="62" t="s">
        <v>1306</v>
      </c>
      <c r="C2420" s="62" t="s">
        <v>138</v>
      </c>
      <c r="D2420" s="62" t="s">
        <v>1481</v>
      </c>
      <c r="E2420" s="76">
        <v>43999.0</v>
      </c>
      <c r="F2420" s="77">
        <v>0.08333333333333333</v>
      </c>
      <c r="G2420" s="62" t="b">
        <v>1</v>
      </c>
      <c r="H2420" s="78" t="b">
        <f>IF(VLOOKUP(C2420,Projetos!A:L,12,false)=TRUE,TRUE,FALSE)</f>
        <v>1</v>
      </c>
      <c r="I2420" s="68">
        <v>35.94867919823232</v>
      </c>
      <c r="J2420" s="68">
        <f t="shared" si="1"/>
        <v>71.8973584</v>
      </c>
      <c r="K2420" s="68" t="b">
        <v>1</v>
      </c>
    </row>
    <row r="2421" hidden="1">
      <c r="A2421" s="75">
        <v>2415.0</v>
      </c>
      <c r="B2421" s="62" t="s">
        <v>1306</v>
      </c>
      <c r="C2421" s="62" t="s">
        <v>138</v>
      </c>
      <c r="D2421" s="62" t="s">
        <v>1481</v>
      </c>
      <c r="E2421" s="76">
        <v>43999.0</v>
      </c>
      <c r="F2421" s="77">
        <v>0.041666666666666664</v>
      </c>
      <c r="G2421" s="62" t="b">
        <v>1</v>
      </c>
      <c r="H2421" s="78" t="b">
        <f>IF(VLOOKUP(C2421,Projetos!A:L,12,false)=TRUE,TRUE,FALSE)</f>
        <v>1</v>
      </c>
      <c r="I2421" s="68">
        <v>35.94867919823232</v>
      </c>
      <c r="J2421" s="68">
        <f t="shared" si="1"/>
        <v>35.9486792</v>
      </c>
      <c r="K2421" s="68" t="b">
        <v>1</v>
      </c>
    </row>
    <row r="2422" hidden="1">
      <c r="A2422" s="75">
        <v>2416.0</v>
      </c>
      <c r="B2422" s="62" t="s">
        <v>1306</v>
      </c>
      <c r="C2422" s="62" t="s">
        <v>138</v>
      </c>
      <c r="D2422" s="62" t="s">
        <v>1435</v>
      </c>
      <c r="E2422" s="76">
        <v>44000.0</v>
      </c>
      <c r="F2422" s="77">
        <v>0.052083333333333336</v>
      </c>
      <c r="G2422" s="62" t="b">
        <v>0</v>
      </c>
      <c r="H2422" s="78" t="b">
        <f>IF(VLOOKUP(C2422,Projetos!A:L,12,false)=TRUE,TRUE,FALSE)</f>
        <v>1</v>
      </c>
      <c r="I2422" s="68">
        <v>35.94867919823232</v>
      </c>
      <c r="J2422" s="68">
        <f t="shared" si="1"/>
        <v>0</v>
      </c>
      <c r="K2422" s="68" t="b">
        <v>1</v>
      </c>
    </row>
    <row r="2423" hidden="1">
      <c r="A2423" s="75">
        <v>2417.0</v>
      </c>
      <c r="B2423" s="62" t="s">
        <v>1306</v>
      </c>
      <c r="C2423" s="62" t="s">
        <v>138</v>
      </c>
      <c r="D2423" s="62" t="s">
        <v>1425</v>
      </c>
      <c r="E2423" s="76">
        <v>44004.0</v>
      </c>
      <c r="F2423" s="77">
        <v>0.052083333333333336</v>
      </c>
      <c r="G2423" s="62" t="b">
        <v>1</v>
      </c>
      <c r="H2423" s="78" t="b">
        <f>IF(VLOOKUP(C2423,Projetos!A:L,12,false)=TRUE,TRUE,FALSE)</f>
        <v>1</v>
      </c>
      <c r="I2423" s="68">
        <v>35.94867919823232</v>
      </c>
      <c r="J2423" s="68">
        <f t="shared" si="1"/>
        <v>44.935849</v>
      </c>
      <c r="K2423" s="68" t="b">
        <v>1</v>
      </c>
    </row>
    <row r="2424" hidden="1">
      <c r="A2424" s="75">
        <v>2418.0</v>
      </c>
      <c r="B2424" s="62" t="s">
        <v>1306</v>
      </c>
      <c r="C2424" s="62" t="s">
        <v>138</v>
      </c>
      <c r="D2424" s="62" t="s">
        <v>1483</v>
      </c>
      <c r="E2424" s="76">
        <v>44011.0</v>
      </c>
      <c r="F2424" s="77">
        <v>0.052083333333333336</v>
      </c>
      <c r="G2424" s="62" t="b">
        <v>1</v>
      </c>
      <c r="H2424" s="78" t="b">
        <f>IF(VLOOKUP(C2424,Projetos!A:L,12,false)=TRUE,TRUE,FALSE)</f>
        <v>1</v>
      </c>
      <c r="I2424" s="68">
        <v>35.94867919823232</v>
      </c>
      <c r="J2424" s="68">
        <f t="shared" si="1"/>
        <v>44.935849</v>
      </c>
      <c r="K2424" s="68" t="b">
        <v>1</v>
      </c>
    </row>
    <row r="2425" hidden="1">
      <c r="A2425" s="75">
        <v>2419.0</v>
      </c>
      <c r="B2425" s="62" t="s">
        <v>1306</v>
      </c>
      <c r="C2425" s="62" t="s">
        <v>138</v>
      </c>
      <c r="D2425" s="62" t="s">
        <v>1346</v>
      </c>
      <c r="E2425" s="76">
        <v>44011.0</v>
      </c>
      <c r="F2425" s="77">
        <v>0.041666666666666664</v>
      </c>
      <c r="G2425" s="62" t="b">
        <v>1</v>
      </c>
      <c r="H2425" s="78" t="b">
        <f>IF(VLOOKUP(C2425,Projetos!A:L,12,false)=TRUE,TRUE,FALSE)</f>
        <v>1</v>
      </c>
      <c r="I2425" s="68">
        <v>35.94867919823232</v>
      </c>
      <c r="J2425" s="68">
        <f t="shared" si="1"/>
        <v>35.9486792</v>
      </c>
      <c r="K2425" s="68" t="b">
        <v>1</v>
      </c>
    </row>
    <row r="2426" hidden="1">
      <c r="A2426" s="75">
        <v>2420.0</v>
      </c>
      <c r="B2426" s="62" t="s">
        <v>1306</v>
      </c>
      <c r="C2426" s="62" t="s">
        <v>138</v>
      </c>
      <c r="D2426" s="62" t="s">
        <v>1484</v>
      </c>
      <c r="E2426" s="76">
        <v>44011.0</v>
      </c>
      <c r="F2426" s="77">
        <v>0.0625</v>
      </c>
      <c r="G2426" s="62" t="b">
        <v>1</v>
      </c>
      <c r="H2426" s="78" t="b">
        <f>IF(VLOOKUP(C2426,Projetos!A:L,12,false)=TRUE,TRUE,FALSE)</f>
        <v>1</v>
      </c>
      <c r="I2426" s="68">
        <v>35.94867919823232</v>
      </c>
      <c r="J2426" s="68">
        <f t="shared" si="1"/>
        <v>53.9230188</v>
      </c>
      <c r="K2426" s="68" t="b">
        <v>1</v>
      </c>
    </row>
    <row r="2427" hidden="1">
      <c r="A2427" s="75">
        <v>2421.0</v>
      </c>
      <c r="B2427" s="62" t="s">
        <v>1306</v>
      </c>
      <c r="C2427" s="62" t="s">
        <v>90</v>
      </c>
      <c r="D2427" s="62" t="s">
        <v>1485</v>
      </c>
      <c r="E2427" s="76">
        <v>43983.0</v>
      </c>
      <c r="F2427" s="77">
        <v>0.041666666666666664</v>
      </c>
      <c r="G2427" s="62" t="b">
        <v>1</v>
      </c>
      <c r="H2427" s="78" t="b">
        <f>IF(VLOOKUP(C2427,Projetos!A:L,12,false)=TRUE,TRUE,FALSE)</f>
        <v>1</v>
      </c>
      <c r="I2427" s="68">
        <v>35.94867919823232</v>
      </c>
      <c r="J2427" s="68">
        <f t="shared" si="1"/>
        <v>35.9486792</v>
      </c>
      <c r="K2427" s="68" t="b">
        <v>1</v>
      </c>
    </row>
    <row r="2428" hidden="1">
      <c r="A2428" s="75">
        <v>2422.0</v>
      </c>
      <c r="B2428" s="62" t="s">
        <v>1306</v>
      </c>
      <c r="C2428" s="62" t="s">
        <v>90</v>
      </c>
      <c r="D2428" s="62" t="s">
        <v>1486</v>
      </c>
      <c r="E2428" s="76">
        <v>43983.0</v>
      </c>
      <c r="F2428" s="77">
        <v>0.041666666666666664</v>
      </c>
      <c r="G2428" s="62" t="b">
        <v>1</v>
      </c>
      <c r="H2428" s="78" t="b">
        <f>IF(VLOOKUP(C2428,Projetos!A:L,12,false)=TRUE,TRUE,FALSE)</f>
        <v>1</v>
      </c>
      <c r="I2428" s="68">
        <v>35.94867919823232</v>
      </c>
      <c r="J2428" s="68">
        <f t="shared" si="1"/>
        <v>35.9486792</v>
      </c>
      <c r="K2428" s="68" t="b">
        <v>1</v>
      </c>
    </row>
    <row r="2429" hidden="1">
      <c r="A2429" s="75">
        <v>2423.0</v>
      </c>
      <c r="B2429" s="62" t="s">
        <v>1306</v>
      </c>
      <c r="C2429" s="62" t="s">
        <v>90</v>
      </c>
      <c r="D2429" s="62" t="s">
        <v>1487</v>
      </c>
      <c r="E2429" s="76">
        <v>43983.0</v>
      </c>
      <c r="F2429" s="77">
        <v>0.041666666666666664</v>
      </c>
      <c r="G2429" s="62" t="b">
        <v>1</v>
      </c>
      <c r="H2429" s="78" t="b">
        <f>IF(VLOOKUP(C2429,Projetos!A:L,12,false)=TRUE,TRUE,FALSE)</f>
        <v>1</v>
      </c>
      <c r="I2429" s="68">
        <v>35.94867919823232</v>
      </c>
      <c r="J2429" s="68">
        <f t="shared" si="1"/>
        <v>35.9486792</v>
      </c>
      <c r="K2429" s="68" t="b">
        <v>1</v>
      </c>
    </row>
    <row r="2430" hidden="1">
      <c r="A2430" s="75">
        <v>2424.0</v>
      </c>
      <c r="B2430" s="62" t="s">
        <v>1306</v>
      </c>
      <c r="C2430" s="62" t="s">
        <v>90</v>
      </c>
      <c r="D2430" s="62" t="s">
        <v>1488</v>
      </c>
      <c r="E2430" s="76">
        <v>43984.0</v>
      </c>
      <c r="F2430" s="77">
        <v>0.0625</v>
      </c>
      <c r="G2430" s="62" t="b">
        <v>1</v>
      </c>
      <c r="H2430" s="78" t="b">
        <f>IF(VLOOKUP(C2430,Projetos!A:L,12,false)=TRUE,TRUE,FALSE)</f>
        <v>1</v>
      </c>
      <c r="I2430" s="68">
        <v>35.94867919823232</v>
      </c>
      <c r="J2430" s="68">
        <f t="shared" si="1"/>
        <v>53.9230188</v>
      </c>
      <c r="K2430" s="68" t="b">
        <v>1</v>
      </c>
    </row>
    <row r="2431" hidden="1">
      <c r="A2431" s="75">
        <v>2425.0</v>
      </c>
      <c r="B2431" s="62" t="s">
        <v>1306</v>
      </c>
      <c r="C2431" s="62" t="s">
        <v>90</v>
      </c>
      <c r="D2431" s="62" t="s">
        <v>1489</v>
      </c>
      <c r="E2431" s="76">
        <v>43985.0</v>
      </c>
      <c r="F2431" s="77">
        <v>0.041666666666666664</v>
      </c>
      <c r="G2431" s="62" t="b">
        <v>1</v>
      </c>
      <c r="H2431" s="78" t="b">
        <f>IF(VLOOKUP(C2431,Projetos!A:L,12,false)=TRUE,TRUE,FALSE)</f>
        <v>1</v>
      </c>
      <c r="I2431" s="68">
        <v>35.94867919823232</v>
      </c>
      <c r="J2431" s="68">
        <f t="shared" si="1"/>
        <v>35.9486792</v>
      </c>
      <c r="K2431" s="68" t="b">
        <v>1</v>
      </c>
    </row>
    <row r="2432" hidden="1">
      <c r="A2432" s="75">
        <v>2426.0</v>
      </c>
      <c r="B2432" s="62" t="s">
        <v>1306</v>
      </c>
      <c r="C2432" s="62" t="s">
        <v>90</v>
      </c>
      <c r="D2432" s="62" t="s">
        <v>1490</v>
      </c>
      <c r="E2432" s="76">
        <v>43985.0</v>
      </c>
      <c r="F2432" s="77">
        <v>0.10416666666666667</v>
      </c>
      <c r="G2432" s="62" t="b">
        <v>1</v>
      </c>
      <c r="H2432" s="78" t="b">
        <f>IF(VLOOKUP(C2432,Projetos!A:L,12,false)=TRUE,TRUE,FALSE)</f>
        <v>1</v>
      </c>
      <c r="I2432" s="68">
        <v>35.94867919823232</v>
      </c>
      <c r="J2432" s="68">
        <f t="shared" si="1"/>
        <v>89.871698</v>
      </c>
      <c r="K2432" s="68" t="b">
        <v>1</v>
      </c>
    </row>
    <row r="2433" hidden="1">
      <c r="A2433" s="75">
        <v>2427.0</v>
      </c>
      <c r="B2433" s="62" t="s">
        <v>1306</v>
      </c>
      <c r="C2433" s="62" t="s">
        <v>90</v>
      </c>
      <c r="D2433" s="62" t="s">
        <v>1428</v>
      </c>
      <c r="E2433" s="76">
        <v>43985.0</v>
      </c>
      <c r="F2433" s="77">
        <v>0.041666666666666664</v>
      </c>
      <c r="G2433" s="62" t="b">
        <v>1</v>
      </c>
      <c r="H2433" s="78" t="b">
        <f>IF(VLOOKUP(C2433,Projetos!A:L,12,false)=TRUE,TRUE,FALSE)</f>
        <v>1</v>
      </c>
      <c r="I2433" s="68">
        <v>35.94867919823232</v>
      </c>
      <c r="J2433" s="68">
        <f t="shared" si="1"/>
        <v>35.9486792</v>
      </c>
      <c r="K2433" s="68" t="b">
        <v>1</v>
      </c>
    </row>
    <row r="2434" hidden="1">
      <c r="A2434" s="75">
        <v>2428.0</v>
      </c>
      <c r="B2434" s="62" t="s">
        <v>1306</v>
      </c>
      <c r="C2434" s="62" t="s">
        <v>90</v>
      </c>
      <c r="D2434" s="62" t="s">
        <v>971</v>
      </c>
      <c r="E2434" s="76">
        <v>43986.0</v>
      </c>
      <c r="F2434" s="77">
        <v>0.020833333333333332</v>
      </c>
      <c r="G2434" s="62" t="b">
        <v>1</v>
      </c>
      <c r="H2434" s="78" t="b">
        <f>IF(VLOOKUP(C2434,Projetos!A:L,12,false)=TRUE,TRUE,FALSE)</f>
        <v>1</v>
      </c>
      <c r="I2434" s="68">
        <v>35.94867919823232</v>
      </c>
      <c r="J2434" s="68">
        <f t="shared" si="1"/>
        <v>17.9743396</v>
      </c>
      <c r="K2434" s="68" t="b">
        <v>1</v>
      </c>
    </row>
    <row r="2435" hidden="1">
      <c r="A2435" s="75">
        <v>2429.0</v>
      </c>
      <c r="B2435" s="62" t="s">
        <v>1306</v>
      </c>
      <c r="C2435" s="62" t="s">
        <v>90</v>
      </c>
      <c r="D2435" s="62" t="s">
        <v>1491</v>
      </c>
      <c r="E2435" s="76">
        <v>43986.0</v>
      </c>
      <c r="F2435" s="77">
        <v>0.0625</v>
      </c>
      <c r="G2435" s="62" t="b">
        <v>1</v>
      </c>
      <c r="H2435" s="78" t="b">
        <f>IF(VLOOKUP(C2435,Projetos!A:L,12,false)=TRUE,TRUE,FALSE)</f>
        <v>1</v>
      </c>
      <c r="I2435" s="68">
        <v>35.94867919823232</v>
      </c>
      <c r="J2435" s="68">
        <f t="shared" si="1"/>
        <v>53.9230188</v>
      </c>
      <c r="K2435" s="68" t="b">
        <v>1</v>
      </c>
    </row>
    <row r="2436" hidden="1">
      <c r="A2436" s="75">
        <v>2430.0</v>
      </c>
      <c r="B2436" s="62" t="s">
        <v>1306</v>
      </c>
      <c r="C2436" s="62" t="s">
        <v>90</v>
      </c>
      <c r="D2436" s="62" t="s">
        <v>1492</v>
      </c>
      <c r="E2436" s="76">
        <v>43986.0</v>
      </c>
      <c r="F2436" s="77">
        <v>0.041666666666666664</v>
      </c>
      <c r="G2436" s="62" t="b">
        <v>1</v>
      </c>
      <c r="H2436" s="78" t="b">
        <f>IF(VLOOKUP(C2436,Projetos!A:L,12,false)=TRUE,TRUE,FALSE)</f>
        <v>1</v>
      </c>
      <c r="I2436" s="68">
        <v>35.94867919823232</v>
      </c>
      <c r="J2436" s="68">
        <f t="shared" si="1"/>
        <v>35.9486792</v>
      </c>
      <c r="K2436" s="68" t="b">
        <v>1</v>
      </c>
    </row>
    <row r="2437" hidden="1">
      <c r="A2437" s="75">
        <v>2431.0</v>
      </c>
      <c r="B2437" s="62" t="s">
        <v>1306</v>
      </c>
      <c r="C2437" s="62" t="s">
        <v>90</v>
      </c>
      <c r="D2437" s="62" t="s">
        <v>1493</v>
      </c>
      <c r="E2437" s="76">
        <v>43987.0</v>
      </c>
      <c r="F2437" s="77">
        <v>0.0625</v>
      </c>
      <c r="G2437" s="62" t="b">
        <v>1</v>
      </c>
      <c r="H2437" s="78" t="b">
        <f>IF(VLOOKUP(C2437,Projetos!A:L,12,false)=TRUE,TRUE,FALSE)</f>
        <v>1</v>
      </c>
      <c r="I2437" s="68">
        <v>35.94867919823232</v>
      </c>
      <c r="J2437" s="68">
        <f t="shared" si="1"/>
        <v>53.9230188</v>
      </c>
      <c r="K2437" s="68" t="b">
        <v>1</v>
      </c>
    </row>
    <row r="2438" hidden="1">
      <c r="A2438" s="75">
        <v>2432.0</v>
      </c>
      <c r="B2438" s="62" t="s">
        <v>1306</v>
      </c>
      <c r="C2438" s="62" t="s">
        <v>90</v>
      </c>
      <c r="D2438" s="62" t="s">
        <v>1494</v>
      </c>
      <c r="E2438" s="76">
        <v>43990.0</v>
      </c>
      <c r="F2438" s="77">
        <v>0.041666666666666664</v>
      </c>
      <c r="G2438" s="62" t="b">
        <v>1</v>
      </c>
      <c r="H2438" s="78" t="b">
        <f>IF(VLOOKUP(C2438,Projetos!A:L,12,false)=TRUE,TRUE,FALSE)</f>
        <v>1</v>
      </c>
      <c r="I2438" s="68">
        <v>35.94867919823232</v>
      </c>
      <c r="J2438" s="68">
        <f t="shared" si="1"/>
        <v>35.9486792</v>
      </c>
      <c r="K2438" s="68" t="b">
        <v>1</v>
      </c>
    </row>
    <row r="2439" hidden="1">
      <c r="A2439" s="75">
        <v>2433.0</v>
      </c>
      <c r="B2439" s="62" t="s">
        <v>1306</v>
      </c>
      <c r="C2439" s="62" t="s">
        <v>90</v>
      </c>
      <c r="D2439" s="62" t="s">
        <v>1495</v>
      </c>
      <c r="E2439" s="76">
        <v>43991.0</v>
      </c>
      <c r="F2439" s="77">
        <v>0.052083333333333336</v>
      </c>
      <c r="G2439" s="62" t="b">
        <v>1</v>
      </c>
      <c r="H2439" s="78" t="b">
        <f>IF(VLOOKUP(C2439,Projetos!A:L,12,false)=TRUE,TRUE,FALSE)</f>
        <v>1</v>
      </c>
      <c r="I2439" s="68">
        <v>35.94867919823232</v>
      </c>
      <c r="J2439" s="68">
        <f t="shared" si="1"/>
        <v>44.935849</v>
      </c>
      <c r="K2439" s="68" t="b">
        <v>1</v>
      </c>
    </row>
    <row r="2440" hidden="1">
      <c r="A2440" s="75">
        <v>2434.0</v>
      </c>
      <c r="B2440" s="62" t="s">
        <v>1306</v>
      </c>
      <c r="C2440" s="62" t="s">
        <v>90</v>
      </c>
      <c r="D2440" s="62" t="s">
        <v>1496</v>
      </c>
      <c r="E2440" s="76">
        <v>43991.0</v>
      </c>
      <c r="F2440" s="77">
        <v>0.041666666666666664</v>
      </c>
      <c r="G2440" s="62" t="b">
        <v>1</v>
      </c>
      <c r="H2440" s="78" t="b">
        <f>IF(VLOOKUP(C2440,Projetos!A:L,12,false)=TRUE,TRUE,FALSE)</f>
        <v>1</v>
      </c>
      <c r="I2440" s="68">
        <v>35.94867919823232</v>
      </c>
      <c r="J2440" s="68">
        <f t="shared" si="1"/>
        <v>35.9486792</v>
      </c>
      <c r="K2440" s="68" t="b">
        <v>1</v>
      </c>
    </row>
    <row r="2441" hidden="1">
      <c r="A2441" s="75">
        <v>2435.0</v>
      </c>
      <c r="B2441" s="62" t="s">
        <v>1306</v>
      </c>
      <c r="C2441" s="62" t="s">
        <v>90</v>
      </c>
      <c r="D2441" s="62" t="s">
        <v>1497</v>
      </c>
      <c r="E2441" s="76">
        <v>43992.0</v>
      </c>
      <c r="F2441" s="77">
        <v>0.041666666666666664</v>
      </c>
      <c r="G2441" s="62" t="b">
        <v>1</v>
      </c>
      <c r="H2441" s="78" t="b">
        <f>IF(VLOOKUP(C2441,Projetos!A:L,12,false)=TRUE,TRUE,FALSE)</f>
        <v>1</v>
      </c>
      <c r="I2441" s="68">
        <v>35.94867919823232</v>
      </c>
      <c r="J2441" s="68">
        <f t="shared" si="1"/>
        <v>35.9486792</v>
      </c>
      <c r="K2441" s="68" t="b">
        <v>1</v>
      </c>
    </row>
    <row r="2442" hidden="1">
      <c r="A2442" s="75">
        <v>2436.0</v>
      </c>
      <c r="B2442" s="62" t="s">
        <v>1306</v>
      </c>
      <c r="C2442" s="62" t="s">
        <v>90</v>
      </c>
      <c r="D2442" s="62" t="s">
        <v>1481</v>
      </c>
      <c r="E2442" s="76">
        <v>43992.0</v>
      </c>
      <c r="F2442" s="77">
        <v>0.041666666666666664</v>
      </c>
      <c r="G2442" s="62" t="b">
        <v>1</v>
      </c>
      <c r="H2442" s="78" t="b">
        <f>IF(VLOOKUP(C2442,Projetos!A:L,12,false)=TRUE,TRUE,FALSE)</f>
        <v>1</v>
      </c>
      <c r="I2442" s="68">
        <v>35.94867919823232</v>
      </c>
      <c r="J2442" s="68">
        <f t="shared" si="1"/>
        <v>35.9486792</v>
      </c>
      <c r="K2442" s="68" t="b">
        <v>1</v>
      </c>
    </row>
    <row r="2443" hidden="1">
      <c r="A2443" s="75">
        <v>2437.0</v>
      </c>
      <c r="B2443" s="62" t="s">
        <v>1306</v>
      </c>
      <c r="C2443" s="62" t="s">
        <v>90</v>
      </c>
      <c r="D2443" s="62" t="s">
        <v>1485</v>
      </c>
      <c r="E2443" s="76">
        <v>43994.0</v>
      </c>
      <c r="F2443" s="77">
        <v>0.010416666666666666</v>
      </c>
      <c r="G2443" s="62" t="b">
        <v>1</v>
      </c>
      <c r="H2443" s="78" t="b">
        <f>IF(VLOOKUP(C2443,Projetos!A:L,12,false)=TRUE,TRUE,FALSE)</f>
        <v>1</v>
      </c>
      <c r="I2443" s="68">
        <v>35.94867919823232</v>
      </c>
      <c r="J2443" s="68">
        <f t="shared" si="1"/>
        <v>8.9871698</v>
      </c>
      <c r="K2443" s="68" t="b">
        <v>1</v>
      </c>
    </row>
    <row r="2444" hidden="1">
      <c r="A2444" s="75">
        <v>2438.0</v>
      </c>
      <c r="B2444" s="62" t="s">
        <v>1306</v>
      </c>
      <c r="C2444" s="62" t="s">
        <v>90</v>
      </c>
      <c r="D2444" s="62" t="s">
        <v>971</v>
      </c>
      <c r="E2444" s="76">
        <v>43994.0</v>
      </c>
      <c r="F2444" s="77">
        <v>0.020833333333333332</v>
      </c>
      <c r="G2444" s="62" t="b">
        <v>1</v>
      </c>
      <c r="H2444" s="78" t="b">
        <f>IF(VLOOKUP(C2444,Projetos!A:L,12,false)=TRUE,TRUE,FALSE)</f>
        <v>1</v>
      </c>
      <c r="I2444" s="68">
        <v>35.94867919823232</v>
      </c>
      <c r="J2444" s="68">
        <f t="shared" si="1"/>
        <v>17.9743396</v>
      </c>
      <c r="K2444" s="68" t="b">
        <v>1</v>
      </c>
    </row>
    <row r="2445" hidden="1">
      <c r="A2445" s="75">
        <v>2439.0</v>
      </c>
      <c r="B2445" s="62" t="s">
        <v>1306</v>
      </c>
      <c r="C2445" s="62" t="s">
        <v>90</v>
      </c>
      <c r="D2445" s="62" t="s">
        <v>1481</v>
      </c>
      <c r="E2445" s="76">
        <v>43994.0</v>
      </c>
      <c r="F2445" s="77">
        <v>0.041666666666666664</v>
      </c>
      <c r="G2445" s="62" t="b">
        <v>1</v>
      </c>
      <c r="H2445" s="78" t="b">
        <f>IF(VLOOKUP(C2445,Projetos!A:L,12,false)=TRUE,TRUE,FALSE)</f>
        <v>1</v>
      </c>
      <c r="I2445" s="68">
        <v>35.94867919823232</v>
      </c>
      <c r="J2445" s="68">
        <f t="shared" si="1"/>
        <v>35.9486792</v>
      </c>
      <c r="K2445" s="68" t="b">
        <v>1</v>
      </c>
    </row>
    <row r="2446" hidden="1">
      <c r="A2446" s="75">
        <v>2440.0</v>
      </c>
      <c r="B2446" s="62" t="s">
        <v>1306</v>
      </c>
      <c r="C2446" s="62" t="s">
        <v>90</v>
      </c>
      <c r="D2446" s="62" t="s">
        <v>1498</v>
      </c>
      <c r="E2446" s="76">
        <v>43994.0</v>
      </c>
      <c r="F2446" s="77">
        <v>0.125</v>
      </c>
      <c r="G2446" s="62" t="b">
        <v>1</v>
      </c>
      <c r="H2446" s="78" t="b">
        <f>IF(VLOOKUP(C2446,Projetos!A:L,12,false)=TRUE,TRUE,FALSE)</f>
        <v>1</v>
      </c>
      <c r="I2446" s="68">
        <v>35.94867919823232</v>
      </c>
      <c r="J2446" s="68">
        <f t="shared" si="1"/>
        <v>107.8460376</v>
      </c>
      <c r="K2446" s="68" t="b">
        <v>1</v>
      </c>
    </row>
    <row r="2447" hidden="1">
      <c r="A2447" s="75">
        <v>2441.0</v>
      </c>
      <c r="B2447" s="62" t="s">
        <v>1306</v>
      </c>
      <c r="C2447" s="62" t="s">
        <v>90</v>
      </c>
      <c r="D2447" s="62" t="s">
        <v>1481</v>
      </c>
      <c r="E2447" s="76">
        <v>43998.0</v>
      </c>
      <c r="F2447" s="77">
        <v>0.041666666666666664</v>
      </c>
      <c r="G2447" s="62" t="b">
        <v>1</v>
      </c>
      <c r="H2447" s="78" t="b">
        <f>IF(VLOOKUP(C2447,Projetos!A:L,12,false)=TRUE,TRUE,FALSE)</f>
        <v>1</v>
      </c>
      <c r="I2447" s="68">
        <v>35.94867919823232</v>
      </c>
      <c r="J2447" s="68">
        <f t="shared" si="1"/>
        <v>35.9486792</v>
      </c>
      <c r="K2447" s="68" t="b">
        <v>1</v>
      </c>
    </row>
    <row r="2448" hidden="1">
      <c r="A2448" s="75">
        <v>2442.0</v>
      </c>
      <c r="B2448" s="62" t="s">
        <v>1306</v>
      </c>
      <c r="C2448" s="62" t="s">
        <v>90</v>
      </c>
      <c r="D2448" s="62" t="s">
        <v>1499</v>
      </c>
      <c r="E2448" s="76">
        <v>43998.0</v>
      </c>
      <c r="F2448" s="77">
        <v>0.020833333333333332</v>
      </c>
      <c r="G2448" s="62" t="b">
        <v>1</v>
      </c>
      <c r="H2448" s="78" t="b">
        <f>IF(VLOOKUP(C2448,Projetos!A:L,12,false)=TRUE,TRUE,FALSE)</f>
        <v>1</v>
      </c>
      <c r="I2448" s="68">
        <v>35.94867919823232</v>
      </c>
      <c r="J2448" s="68">
        <f t="shared" si="1"/>
        <v>17.9743396</v>
      </c>
      <c r="K2448" s="68" t="b">
        <v>1</v>
      </c>
    </row>
    <row r="2449" hidden="1">
      <c r="A2449" s="75">
        <v>2443.0</v>
      </c>
      <c r="B2449" s="62" t="s">
        <v>1306</v>
      </c>
      <c r="C2449" s="62" t="s">
        <v>90</v>
      </c>
      <c r="D2449" s="62" t="s">
        <v>1500</v>
      </c>
      <c r="E2449" s="76">
        <v>43999.0</v>
      </c>
      <c r="F2449" s="77">
        <v>0.041666666666666664</v>
      </c>
      <c r="G2449" s="62" t="b">
        <v>1</v>
      </c>
      <c r="H2449" s="78" t="b">
        <f>IF(VLOOKUP(C2449,Projetos!A:L,12,false)=TRUE,TRUE,FALSE)</f>
        <v>1</v>
      </c>
      <c r="I2449" s="68">
        <v>35.94867919823232</v>
      </c>
      <c r="J2449" s="68">
        <f t="shared" si="1"/>
        <v>35.9486792</v>
      </c>
      <c r="K2449" s="68" t="b">
        <v>1</v>
      </c>
    </row>
    <row r="2450" hidden="1">
      <c r="A2450" s="75">
        <v>2444.0</v>
      </c>
      <c r="B2450" s="62" t="s">
        <v>1306</v>
      </c>
      <c r="C2450" s="62" t="s">
        <v>90</v>
      </c>
      <c r="D2450" s="62" t="s">
        <v>1501</v>
      </c>
      <c r="E2450" s="76">
        <v>43999.0</v>
      </c>
      <c r="F2450" s="77">
        <v>0.020833333333333332</v>
      </c>
      <c r="G2450" s="62" t="b">
        <v>1</v>
      </c>
      <c r="H2450" s="78" t="b">
        <f>IF(VLOOKUP(C2450,Projetos!A:L,12,false)=TRUE,TRUE,FALSE)</f>
        <v>1</v>
      </c>
      <c r="I2450" s="68">
        <v>35.94867919823232</v>
      </c>
      <c r="J2450" s="68">
        <f t="shared" si="1"/>
        <v>17.9743396</v>
      </c>
      <c r="K2450" s="68" t="b">
        <v>1</v>
      </c>
    </row>
    <row r="2451" hidden="1">
      <c r="A2451" s="75">
        <v>2445.0</v>
      </c>
      <c r="B2451" s="62" t="s">
        <v>1306</v>
      </c>
      <c r="C2451" s="62" t="s">
        <v>90</v>
      </c>
      <c r="D2451" s="62" t="s">
        <v>971</v>
      </c>
      <c r="E2451" s="76">
        <v>44000.0</v>
      </c>
      <c r="F2451" s="77">
        <v>0.020833333333333332</v>
      </c>
      <c r="G2451" s="62" t="b">
        <v>1</v>
      </c>
      <c r="H2451" s="78" t="b">
        <f>IF(VLOOKUP(C2451,Projetos!A:L,12,false)=TRUE,TRUE,FALSE)</f>
        <v>1</v>
      </c>
      <c r="I2451" s="68">
        <v>35.94867919823232</v>
      </c>
      <c r="J2451" s="68">
        <f t="shared" si="1"/>
        <v>17.9743396</v>
      </c>
      <c r="K2451" s="68" t="b">
        <v>1</v>
      </c>
    </row>
    <row r="2452" hidden="1">
      <c r="A2452" s="75">
        <v>2446.0</v>
      </c>
      <c r="B2452" s="62" t="s">
        <v>1306</v>
      </c>
      <c r="C2452" s="62" t="s">
        <v>90</v>
      </c>
      <c r="D2452" s="62" t="s">
        <v>1502</v>
      </c>
      <c r="E2452" s="76">
        <v>44000.0</v>
      </c>
      <c r="F2452" s="77">
        <v>0.041666666666666664</v>
      </c>
      <c r="G2452" s="62" t="b">
        <v>1</v>
      </c>
      <c r="H2452" s="78" t="b">
        <f>IF(VLOOKUP(C2452,Projetos!A:L,12,false)=TRUE,TRUE,FALSE)</f>
        <v>1</v>
      </c>
      <c r="I2452" s="68">
        <v>35.94867919823232</v>
      </c>
      <c r="J2452" s="68">
        <f t="shared" si="1"/>
        <v>35.9486792</v>
      </c>
      <c r="K2452" s="68" t="b">
        <v>1</v>
      </c>
    </row>
    <row r="2453" hidden="1">
      <c r="A2453" s="75">
        <v>2447.0</v>
      </c>
      <c r="B2453" s="62" t="s">
        <v>1306</v>
      </c>
      <c r="C2453" s="62" t="s">
        <v>90</v>
      </c>
      <c r="D2453" s="62" t="s">
        <v>1499</v>
      </c>
      <c r="E2453" s="76">
        <v>44000.0</v>
      </c>
      <c r="F2453" s="77">
        <v>0.041666666666666664</v>
      </c>
      <c r="G2453" s="62" t="b">
        <v>1</v>
      </c>
      <c r="H2453" s="78" t="b">
        <f>IF(VLOOKUP(C2453,Projetos!A:L,12,false)=TRUE,TRUE,FALSE)</f>
        <v>1</v>
      </c>
      <c r="I2453" s="68">
        <v>35.94867919823232</v>
      </c>
      <c r="J2453" s="68">
        <f t="shared" si="1"/>
        <v>35.9486792</v>
      </c>
      <c r="K2453" s="68" t="b">
        <v>1</v>
      </c>
    </row>
    <row r="2454" hidden="1">
      <c r="A2454" s="75">
        <v>2448.0</v>
      </c>
      <c r="B2454" s="62" t="s">
        <v>1306</v>
      </c>
      <c r="C2454" s="62" t="s">
        <v>90</v>
      </c>
      <c r="D2454" s="62" t="s">
        <v>971</v>
      </c>
      <c r="E2454" s="76">
        <v>44001.0</v>
      </c>
      <c r="F2454" s="77">
        <v>0.020833333333333332</v>
      </c>
      <c r="G2454" s="62" t="b">
        <v>1</v>
      </c>
      <c r="H2454" s="78" t="b">
        <f>IF(VLOOKUP(C2454,Projetos!A:L,12,false)=TRUE,TRUE,FALSE)</f>
        <v>1</v>
      </c>
      <c r="I2454" s="68">
        <v>35.94867919823232</v>
      </c>
      <c r="J2454" s="68">
        <f t="shared" si="1"/>
        <v>17.9743396</v>
      </c>
      <c r="K2454" s="68" t="b">
        <v>1</v>
      </c>
    </row>
    <row r="2455" hidden="1">
      <c r="A2455" s="75">
        <v>2449.0</v>
      </c>
      <c r="B2455" s="62" t="s">
        <v>1306</v>
      </c>
      <c r="C2455" s="62" t="s">
        <v>90</v>
      </c>
      <c r="D2455" s="62" t="s">
        <v>1502</v>
      </c>
      <c r="E2455" s="76">
        <v>44001.0</v>
      </c>
      <c r="F2455" s="77">
        <v>0.041666666666666664</v>
      </c>
      <c r="G2455" s="62" t="b">
        <v>1</v>
      </c>
      <c r="H2455" s="78" t="b">
        <f>IF(VLOOKUP(C2455,Projetos!A:L,12,false)=TRUE,TRUE,FALSE)</f>
        <v>1</v>
      </c>
      <c r="I2455" s="68">
        <v>35.94867919823232</v>
      </c>
      <c r="J2455" s="68">
        <f t="shared" si="1"/>
        <v>35.9486792</v>
      </c>
      <c r="K2455" s="68" t="b">
        <v>1</v>
      </c>
    </row>
    <row r="2456" hidden="1">
      <c r="A2456" s="75">
        <v>2450.0</v>
      </c>
      <c r="B2456" s="62" t="s">
        <v>1306</v>
      </c>
      <c r="C2456" s="62" t="s">
        <v>90</v>
      </c>
      <c r="D2456" s="62" t="s">
        <v>1503</v>
      </c>
      <c r="E2456" s="76">
        <v>44004.0</v>
      </c>
      <c r="F2456" s="77">
        <v>0.052083333333333336</v>
      </c>
      <c r="G2456" s="62" t="b">
        <v>1</v>
      </c>
      <c r="H2456" s="78" t="b">
        <f>IF(VLOOKUP(C2456,Projetos!A:L,12,false)=TRUE,TRUE,FALSE)</f>
        <v>1</v>
      </c>
      <c r="I2456" s="68">
        <v>35.94867919823232</v>
      </c>
      <c r="J2456" s="68">
        <f t="shared" si="1"/>
        <v>44.935849</v>
      </c>
      <c r="K2456" s="68" t="b">
        <v>1</v>
      </c>
    </row>
    <row r="2457" hidden="1">
      <c r="A2457" s="75">
        <v>2451.0</v>
      </c>
      <c r="B2457" s="62" t="s">
        <v>1306</v>
      </c>
      <c r="C2457" s="62" t="s">
        <v>90</v>
      </c>
      <c r="D2457" s="62" t="s">
        <v>1485</v>
      </c>
      <c r="E2457" s="76">
        <v>44005.0</v>
      </c>
      <c r="F2457" s="77">
        <v>0.041666666666666664</v>
      </c>
      <c r="G2457" s="62" t="b">
        <v>1</v>
      </c>
      <c r="H2457" s="78" t="b">
        <f>IF(VLOOKUP(C2457,Projetos!A:L,12,false)=TRUE,TRUE,FALSE)</f>
        <v>1</v>
      </c>
      <c r="I2457" s="68">
        <v>35.94867919823232</v>
      </c>
      <c r="J2457" s="68">
        <f t="shared" si="1"/>
        <v>35.9486792</v>
      </c>
      <c r="K2457" s="68" t="b">
        <v>1</v>
      </c>
    </row>
    <row r="2458" hidden="1">
      <c r="A2458" s="75">
        <v>2452.0</v>
      </c>
      <c r="B2458" s="62" t="s">
        <v>1306</v>
      </c>
      <c r="C2458" s="62" t="s">
        <v>90</v>
      </c>
      <c r="D2458" s="62" t="s">
        <v>971</v>
      </c>
      <c r="E2458" s="76">
        <v>44008.0</v>
      </c>
      <c r="F2458" s="77">
        <v>0.020833333333333332</v>
      </c>
      <c r="G2458" s="62" t="b">
        <v>1</v>
      </c>
      <c r="H2458" s="78" t="b">
        <f>IF(VLOOKUP(C2458,Projetos!A:L,12,false)=TRUE,TRUE,FALSE)</f>
        <v>1</v>
      </c>
      <c r="I2458" s="68">
        <v>35.94867919823232</v>
      </c>
      <c r="J2458" s="68">
        <f t="shared" si="1"/>
        <v>17.9743396</v>
      </c>
      <c r="K2458" s="68" t="b">
        <v>1</v>
      </c>
    </row>
    <row r="2459" hidden="1">
      <c r="A2459" s="75">
        <v>2453.0</v>
      </c>
      <c r="B2459" s="62" t="s">
        <v>1306</v>
      </c>
      <c r="C2459" s="62" t="s">
        <v>90</v>
      </c>
      <c r="D2459" s="62" t="s">
        <v>1504</v>
      </c>
      <c r="E2459" s="76">
        <v>44008.0</v>
      </c>
      <c r="F2459" s="77">
        <v>0.08333333333333333</v>
      </c>
      <c r="G2459" s="62" t="b">
        <v>1</v>
      </c>
      <c r="H2459" s="78" t="b">
        <f>IF(VLOOKUP(C2459,Projetos!A:L,12,false)=TRUE,TRUE,FALSE)</f>
        <v>1</v>
      </c>
      <c r="I2459" s="68">
        <v>35.94867919823232</v>
      </c>
      <c r="J2459" s="68">
        <f t="shared" si="1"/>
        <v>71.8973584</v>
      </c>
      <c r="K2459" s="68" t="b">
        <v>1</v>
      </c>
    </row>
    <row r="2460" hidden="1">
      <c r="A2460" s="75">
        <v>2454.0</v>
      </c>
      <c r="B2460" s="62" t="s">
        <v>1306</v>
      </c>
      <c r="C2460" s="62" t="s">
        <v>90</v>
      </c>
      <c r="D2460" s="62" t="s">
        <v>1387</v>
      </c>
      <c r="E2460" s="76">
        <v>44011.0</v>
      </c>
      <c r="F2460" s="77">
        <v>0.10416666666666667</v>
      </c>
      <c r="G2460" s="62" t="b">
        <v>1</v>
      </c>
      <c r="H2460" s="78" t="b">
        <f>IF(VLOOKUP(C2460,Projetos!A:L,12,false)=TRUE,TRUE,FALSE)</f>
        <v>1</v>
      </c>
      <c r="I2460" s="68">
        <v>35.94867919823232</v>
      </c>
      <c r="J2460" s="68">
        <f t="shared" si="1"/>
        <v>89.871698</v>
      </c>
      <c r="K2460" s="68" t="b">
        <v>1</v>
      </c>
    </row>
    <row r="2461" hidden="1">
      <c r="A2461" s="75">
        <v>2455.0</v>
      </c>
      <c r="B2461" s="62" t="s">
        <v>1306</v>
      </c>
      <c r="C2461" s="62" t="s">
        <v>97</v>
      </c>
      <c r="D2461" s="62" t="s">
        <v>243</v>
      </c>
      <c r="E2461" s="76">
        <v>44005.0</v>
      </c>
      <c r="F2461" s="77">
        <v>0.10416666666666667</v>
      </c>
      <c r="G2461" s="62" t="b">
        <v>1</v>
      </c>
      <c r="H2461" s="78" t="b">
        <f>IF(VLOOKUP(C2461,Projetos!A:L,12,false)=TRUE,TRUE,FALSE)</f>
        <v>1</v>
      </c>
      <c r="I2461" s="68">
        <v>35.94867919823232</v>
      </c>
      <c r="J2461" s="68">
        <f t="shared" si="1"/>
        <v>89.871698</v>
      </c>
      <c r="K2461" s="68" t="b">
        <v>1</v>
      </c>
    </row>
    <row r="2462" hidden="1">
      <c r="A2462" s="75">
        <v>2456.0</v>
      </c>
      <c r="B2462" s="62" t="s">
        <v>1306</v>
      </c>
      <c r="C2462" s="62" t="s">
        <v>97</v>
      </c>
      <c r="D2462" s="62" t="s">
        <v>1505</v>
      </c>
      <c r="E2462" s="76">
        <v>44006.0</v>
      </c>
      <c r="F2462" s="77">
        <v>0.041666666666666664</v>
      </c>
      <c r="G2462" s="62" t="b">
        <v>1</v>
      </c>
      <c r="H2462" s="78" t="b">
        <f>IF(VLOOKUP(C2462,Projetos!A:L,12,false)=TRUE,TRUE,FALSE)</f>
        <v>1</v>
      </c>
      <c r="I2462" s="68">
        <v>35.94867919823232</v>
      </c>
      <c r="J2462" s="68">
        <f t="shared" si="1"/>
        <v>35.9486792</v>
      </c>
      <c r="K2462" s="68" t="b">
        <v>1</v>
      </c>
    </row>
    <row r="2463" hidden="1">
      <c r="A2463" s="75">
        <v>2457.0</v>
      </c>
      <c r="B2463" s="62" t="s">
        <v>1306</v>
      </c>
      <c r="C2463" s="62" t="s">
        <v>97</v>
      </c>
      <c r="D2463" s="62" t="s">
        <v>1506</v>
      </c>
      <c r="E2463" s="76">
        <v>44012.0</v>
      </c>
      <c r="F2463" s="77">
        <v>0.041666666666666664</v>
      </c>
      <c r="G2463" s="62" t="b">
        <v>0</v>
      </c>
      <c r="H2463" s="78" t="b">
        <f>IF(VLOOKUP(C2463,Projetos!A:L,12,false)=TRUE,TRUE,FALSE)</f>
        <v>1</v>
      </c>
      <c r="I2463" s="68">
        <v>35.94867919823232</v>
      </c>
      <c r="J2463" s="68">
        <f t="shared" si="1"/>
        <v>0</v>
      </c>
      <c r="K2463" s="68" t="b">
        <v>1</v>
      </c>
    </row>
    <row r="2464" hidden="1">
      <c r="A2464" s="75">
        <v>2458.0</v>
      </c>
      <c r="B2464" s="62" t="s">
        <v>1306</v>
      </c>
      <c r="C2464" s="62" t="s">
        <v>98</v>
      </c>
      <c r="D2464" s="62" t="s">
        <v>1507</v>
      </c>
      <c r="E2464" s="76">
        <v>43986.0</v>
      </c>
      <c r="F2464" s="77">
        <v>0.041666666666666664</v>
      </c>
      <c r="G2464" s="62" t="b">
        <v>1</v>
      </c>
      <c r="H2464" s="78" t="b">
        <f>IF(VLOOKUP(C2464,Projetos!A:L,12,false)=TRUE,TRUE,FALSE)</f>
        <v>1</v>
      </c>
      <c r="I2464" s="68">
        <v>35.94867919823232</v>
      </c>
      <c r="J2464" s="68">
        <f t="shared" si="1"/>
        <v>35.9486792</v>
      </c>
      <c r="K2464" s="68" t="b">
        <v>1</v>
      </c>
    </row>
    <row r="2465" hidden="1">
      <c r="A2465" s="75">
        <v>2459.0</v>
      </c>
      <c r="B2465" s="62" t="s">
        <v>1306</v>
      </c>
      <c r="C2465" s="62" t="s">
        <v>100</v>
      </c>
      <c r="D2465" s="62" t="s">
        <v>1485</v>
      </c>
      <c r="E2465" s="76">
        <v>44004.0</v>
      </c>
      <c r="F2465" s="77">
        <v>0.10416666666666667</v>
      </c>
      <c r="G2465" s="62" t="b">
        <v>1</v>
      </c>
      <c r="H2465" s="78" t="b">
        <f>IF(VLOOKUP(C2465,Projetos!A:L,12,false)=TRUE,TRUE,FALSE)</f>
        <v>1</v>
      </c>
      <c r="I2465" s="68">
        <v>35.94867919823232</v>
      </c>
      <c r="J2465" s="68">
        <f t="shared" si="1"/>
        <v>89.871698</v>
      </c>
      <c r="K2465" s="68" t="b">
        <v>1</v>
      </c>
    </row>
    <row r="2466" hidden="1">
      <c r="A2466" s="75">
        <v>2460.0</v>
      </c>
      <c r="B2466" s="62" t="s">
        <v>1306</v>
      </c>
      <c r="C2466" s="62" t="s">
        <v>100</v>
      </c>
      <c r="D2466" s="62" t="s">
        <v>1508</v>
      </c>
      <c r="E2466" s="76">
        <v>44004.0</v>
      </c>
      <c r="F2466" s="77">
        <v>0.10416666666666667</v>
      </c>
      <c r="G2466" s="62" t="b">
        <v>1</v>
      </c>
      <c r="H2466" s="78" t="b">
        <f>IF(VLOOKUP(C2466,Projetos!A:L,12,false)=TRUE,TRUE,FALSE)</f>
        <v>1</v>
      </c>
      <c r="I2466" s="68">
        <v>35.94867919823232</v>
      </c>
      <c r="J2466" s="68">
        <f t="shared" si="1"/>
        <v>89.871698</v>
      </c>
      <c r="K2466" s="68" t="b">
        <v>1</v>
      </c>
    </row>
    <row r="2467" hidden="1">
      <c r="A2467" s="75">
        <v>2461.0</v>
      </c>
      <c r="B2467" s="62" t="s">
        <v>1306</v>
      </c>
      <c r="C2467" s="62" t="s">
        <v>100</v>
      </c>
      <c r="D2467" s="62" t="s">
        <v>1509</v>
      </c>
      <c r="E2467" s="76">
        <v>44012.0</v>
      </c>
      <c r="F2467" s="77">
        <v>0.10416666666666667</v>
      </c>
      <c r="G2467" s="62" t="b">
        <v>1</v>
      </c>
      <c r="H2467" s="78" t="b">
        <f>IF(VLOOKUP(C2467,Projetos!A:L,12,false)=TRUE,TRUE,FALSE)</f>
        <v>1</v>
      </c>
      <c r="I2467" s="68">
        <v>35.94867919823232</v>
      </c>
      <c r="J2467" s="68">
        <f t="shared" si="1"/>
        <v>89.871698</v>
      </c>
      <c r="K2467" s="68" t="b">
        <v>1</v>
      </c>
    </row>
    <row r="2468" hidden="1">
      <c r="A2468" s="75">
        <v>2462.0</v>
      </c>
      <c r="B2468" s="62" t="s">
        <v>1306</v>
      </c>
      <c r="C2468" s="62" t="s">
        <v>102</v>
      </c>
      <c r="D2468" s="62" t="s">
        <v>1510</v>
      </c>
      <c r="E2468" s="76">
        <v>43983.0</v>
      </c>
      <c r="F2468" s="77">
        <v>0.0625</v>
      </c>
      <c r="G2468" s="62" t="b">
        <v>0</v>
      </c>
      <c r="H2468" s="78" t="b">
        <f>IF(VLOOKUP(C2468,Projetos!A:L,12,false)=TRUE,TRUE,FALSE)</f>
        <v>0</v>
      </c>
      <c r="I2468" s="68">
        <v>35.94867919823232</v>
      </c>
      <c r="J2468" s="68">
        <f t="shared" si="1"/>
        <v>0</v>
      </c>
      <c r="K2468" s="68" t="b">
        <v>0</v>
      </c>
    </row>
    <row r="2469" hidden="1">
      <c r="A2469" s="75">
        <v>2463.0</v>
      </c>
      <c r="B2469" s="62" t="s">
        <v>1306</v>
      </c>
      <c r="C2469" s="62" t="s">
        <v>103</v>
      </c>
      <c r="D2469" s="62" t="s">
        <v>1511</v>
      </c>
      <c r="E2469" s="76">
        <v>43983.0</v>
      </c>
      <c r="F2469" s="77">
        <v>0.03125</v>
      </c>
      <c r="G2469" s="62" t="b">
        <v>1</v>
      </c>
      <c r="H2469" s="78" t="b">
        <f>IF(VLOOKUP(C2469,Projetos!A:L,12,false)=TRUE,TRUE,FALSE)</f>
        <v>1</v>
      </c>
      <c r="I2469" s="68">
        <v>35.94867919823232</v>
      </c>
      <c r="J2469" s="68">
        <f t="shared" si="1"/>
        <v>26.9615094</v>
      </c>
      <c r="K2469" s="68" t="b">
        <v>1</v>
      </c>
    </row>
    <row r="2470" hidden="1">
      <c r="A2470" s="75">
        <v>2464.0</v>
      </c>
      <c r="B2470" s="62" t="s">
        <v>1306</v>
      </c>
      <c r="C2470" s="62" t="s">
        <v>103</v>
      </c>
      <c r="D2470" s="62" t="s">
        <v>1443</v>
      </c>
      <c r="E2470" s="76">
        <v>43983.0</v>
      </c>
      <c r="F2470" s="77">
        <v>0.09027777777777778</v>
      </c>
      <c r="G2470" s="62" t="b">
        <v>1</v>
      </c>
      <c r="H2470" s="78" t="b">
        <f>IF(VLOOKUP(C2470,Projetos!A:L,12,false)=TRUE,TRUE,FALSE)</f>
        <v>1</v>
      </c>
      <c r="I2470" s="68">
        <v>35.94867919823232</v>
      </c>
      <c r="J2470" s="68">
        <f t="shared" si="1"/>
        <v>77.88880493</v>
      </c>
      <c r="K2470" s="68" t="b">
        <v>1</v>
      </c>
    </row>
    <row r="2471" hidden="1">
      <c r="A2471" s="75">
        <v>2465.0</v>
      </c>
      <c r="B2471" s="62" t="s">
        <v>1306</v>
      </c>
      <c r="C2471" s="62" t="s">
        <v>103</v>
      </c>
      <c r="D2471" s="62" t="s">
        <v>1443</v>
      </c>
      <c r="E2471" s="76">
        <v>43984.0</v>
      </c>
      <c r="F2471" s="77">
        <v>0.041666666666666664</v>
      </c>
      <c r="G2471" s="62" t="b">
        <v>1</v>
      </c>
      <c r="H2471" s="78" t="b">
        <f>IF(VLOOKUP(C2471,Projetos!A:L,12,false)=TRUE,TRUE,FALSE)</f>
        <v>1</v>
      </c>
      <c r="I2471" s="68">
        <v>35.94867919823232</v>
      </c>
      <c r="J2471" s="68">
        <f t="shared" si="1"/>
        <v>35.9486792</v>
      </c>
      <c r="K2471" s="68" t="b">
        <v>1</v>
      </c>
    </row>
    <row r="2472" hidden="1">
      <c r="A2472" s="75">
        <v>2466.0</v>
      </c>
      <c r="B2472" s="62" t="s">
        <v>1306</v>
      </c>
      <c r="C2472" s="62" t="s">
        <v>103</v>
      </c>
      <c r="D2472" s="62" t="s">
        <v>1446</v>
      </c>
      <c r="E2472" s="76">
        <v>43984.0</v>
      </c>
      <c r="F2472" s="77">
        <v>0.0625</v>
      </c>
      <c r="G2472" s="62" t="b">
        <v>1</v>
      </c>
      <c r="H2472" s="78" t="b">
        <f>IF(VLOOKUP(C2472,Projetos!A:L,12,false)=TRUE,TRUE,FALSE)</f>
        <v>1</v>
      </c>
      <c r="I2472" s="68">
        <v>35.94867919823232</v>
      </c>
      <c r="J2472" s="68">
        <f t="shared" si="1"/>
        <v>53.9230188</v>
      </c>
      <c r="K2472" s="68" t="b">
        <v>1</v>
      </c>
    </row>
    <row r="2473" hidden="1">
      <c r="A2473" s="75">
        <v>2467.0</v>
      </c>
      <c r="B2473" s="62" t="s">
        <v>1306</v>
      </c>
      <c r="C2473" s="62" t="s">
        <v>103</v>
      </c>
      <c r="D2473" s="62" t="s">
        <v>1512</v>
      </c>
      <c r="E2473" s="76">
        <v>43990.0</v>
      </c>
      <c r="F2473" s="77">
        <v>0.08333333333333333</v>
      </c>
      <c r="G2473" s="62" t="b">
        <v>1</v>
      </c>
      <c r="H2473" s="78" t="b">
        <f>IF(VLOOKUP(C2473,Projetos!A:L,12,false)=TRUE,TRUE,FALSE)</f>
        <v>1</v>
      </c>
      <c r="I2473" s="68">
        <v>35.94867919823232</v>
      </c>
      <c r="J2473" s="68">
        <f t="shared" si="1"/>
        <v>71.8973584</v>
      </c>
      <c r="K2473" s="68" t="b">
        <v>1</v>
      </c>
    </row>
    <row r="2474" hidden="1">
      <c r="A2474" s="75">
        <v>2468.0</v>
      </c>
      <c r="B2474" s="62" t="s">
        <v>1306</v>
      </c>
      <c r="C2474" s="62" t="s">
        <v>103</v>
      </c>
      <c r="D2474" s="62" t="s">
        <v>1513</v>
      </c>
      <c r="E2474" s="76">
        <v>43990.0</v>
      </c>
      <c r="F2474" s="77">
        <v>0.041666666666666664</v>
      </c>
      <c r="G2474" s="62" t="b">
        <v>1</v>
      </c>
      <c r="H2474" s="78" t="b">
        <f>IF(VLOOKUP(C2474,Projetos!A:L,12,false)=TRUE,TRUE,FALSE)</f>
        <v>1</v>
      </c>
      <c r="I2474" s="68">
        <v>35.94867919823232</v>
      </c>
      <c r="J2474" s="68">
        <f t="shared" si="1"/>
        <v>35.9486792</v>
      </c>
      <c r="K2474" s="68" t="b">
        <v>1</v>
      </c>
    </row>
    <row r="2475" hidden="1">
      <c r="A2475" s="75">
        <v>2469.0</v>
      </c>
      <c r="B2475" s="62" t="s">
        <v>1306</v>
      </c>
      <c r="C2475" s="62" t="s">
        <v>103</v>
      </c>
      <c r="D2475" s="62" t="s">
        <v>1514</v>
      </c>
      <c r="E2475" s="76">
        <v>43992.0</v>
      </c>
      <c r="F2475" s="77">
        <v>0.041666666666666664</v>
      </c>
      <c r="G2475" s="62" t="b">
        <v>1</v>
      </c>
      <c r="H2475" s="78" t="b">
        <f>IF(VLOOKUP(C2475,Projetos!A:L,12,false)=TRUE,TRUE,FALSE)</f>
        <v>1</v>
      </c>
      <c r="I2475" s="68">
        <v>35.94867919823232</v>
      </c>
      <c r="J2475" s="68">
        <f t="shared" si="1"/>
        <v>35.9486792</v>
      </c>
      <c r="K2475" s="68" t="b">
        <v>1</v>
      </c>
    </row>
    <row r="2476" hidden="1">
      <c r="A2476" s="75">
        <v>2470.0</v>
      </c>
      <c r="B2476" s="62" t="s">
        <v>1306</v>
      </c>
      <c r="C2476" s="62" t="s">
        <v>103</v>
      </c>
      <c r="D2476" s="62" t="s">
        <v>1514</v>
      </c>
      <c r="E2476" s="76">
        <v>43994.0</v>
      </c>
      <c r="F2476" s="77">
        <v>0.08333333333333333</v>
      </c>
      <c r="G2476" s="62" t="b">
        <v>1</v>
      </c>
      <c r="H2476" s="78" t="b">
        <f>IF(VLOOKUP(C2476,Projetos!A:L,12,false)=TRUE,TRUE,FALSE)</f>
        <v>1</v>
      </c>
      <c r="I2476" s="68">
        <v>35.94867919823232</v>
      </c>
      <c r="J2476" s="68">
        <f t="shared" si="1"/>
        <v>71.8973584</v>
      </c>
      <c r="K2476" s="68" t="b">
        <v>1</v>
      </c>
    </row>
    <row r="2477" hidden="1">
      <c r="A2477" s="75">
        <v>2471.0</v>
      </c>
      <c r="B2477" s="62" t="s">
        <v>1306</v>
      </c>
      <c r="C2477" s="62" t="s">
        <v>103</v>
      </c>
      <c r="D2477" s="62" t="s">
        <v>1514</v>
      </c>
      <c r="E2477" s="76">
        <v>43997.0</v>
      </c>
      <c r="F2477" s="77">
        <v>0.010416666666666666</v>
      </c>
      <c r="G2477" s="62" t="b">
        <v>1</v>
      </c>
      <c r="H2477" s="78" t="b">
        <f>IF(VLOOKUP(C2477,Projetos!A:L,12,false)=TRUE,TRUE,FALSE)</f>
        <v>1</v>
      </c>
      <c r="I2477" s="68">
        <v>35.94867919823232</v>
      </c>
      <c r="J2477" s="68">
        <f t="shared" si="1"/>
        <v>8.9871698</v>
      </c>
      <c r="K2477" s="68" t="b">
        <v>1</v>
      </c>
    </row>
    <row r="2478" hidden="1">
      <c r="A2478" s="75">
        <v>2472.0</v>
      </c>
      <c r="B2478" s="62" t="s">
        <v>1306</v>
      </c>
      <c r="C2478" s="62" t="s">
        <v>103</v>
      </c>
      <c r="D2478" s="62" t="s">
        <v>1515</v>
      </c>
      <c r="E2478" s="76">
        <v>43998.0</v>
      </c>
      <c r="F2478" s="77">
        <v>0.052083333333333336</v>
      </c>
      <c r="G2478" s="62" t="b">
        <v>1</v>
      </c>
      <c r="H2478" s="78" t="b">
        <f>IF(VLOOKUP(C2478,Projetos!A:L,12,false)=TRUE,TRUE,FALSE)</f>
        <v>1</v>
      </c>
      <c r="I2478" s="68">
        <v>35.94867919823232</v>
      </c>
      <c r="J2478" s="68">
        <f t="shared" si="1"/>
        <v>44.935849</v>
      </c>
      <c r="K2478" s="68" t="b">
        <v>1</v>
      </c>
    </row>
    <row r="2479" hidden="1">
      <c r="A2479" s="75">
        <v>2473.0</v>
      </c>
      <c r="B2479" s="62" t="s">
        <v>1306</v>
      </c>
      <c r="C2479" s="62" t="s">
        <v>103</v>
      </c>
      <c r="D2479" s="62" t="s">
        <v>1516</v>
      </c>
      <c r="E2479" s="76">
        <v>44008.0</v>
      </c>
      <c r="F2479" s="77">
        <v>0.041666666666666664</v>
      </c>
      <c r="G2479" s="62" t="b">
        <v>1</v>
      </c>
      <c r="H2479" s="78" t="b">
        <f>IF(VLOOKUP(C2479,Projetos!A:L,12,false)=TRUE,TRUE,FALSE)</f>
        <v>1</v>
      </c>
      <c r="I2479" s="68">
        <v>35.94867919823232</v>
      </c>
      <c r="J2479" s="68">
        <f t="shared" si="1"/>
        <v>35.9486792</v>
      </c>
      <c r="K2479" s="68" t="b">
        <v>1</v>
      </c>
    </row>
    <row r="2480">
      <c r="A2480" s="75">
        <v>2474.0</v>
      </c>
      <c r="B2480" s="62" t="s">
        <v>1306</v>
      </c>
      <c r="C2480" s="62" t="s">
        <v>104</v>
      </c>
      <c r="D2480" s="62" t="s">
        <v>1485</v>
      </c>
      <c r="E2480" s="76">
        <v>43984.0</v>
      </c>
      <c r="F2480" s="77">
        <v>0.08333333333333333</v>
      </c>
      <c r="G2480" s="62" t="b">
        <v>1</v>
      </c>
      <c r="H2480" s="78" t="b">
        <f>IF(VLOOKUP(C2480,Projetos!A:L,12,false)=TRUE,TRUE,FALSE)</f>
        <v>1</v>
      </c>
      <c r="I2480" s="68">
        <v>35.94867919823232</v>
      </c>
      <c r="J2480" s="68">
        <f t="shared" si="1"/>
        <v>71.8973584</v>
      </c>
      <c r="K2480" s="68" t="b">
        <v>1</v>
      </c>
    </row>
    <row r="2481">
      <c r="A2481" s="75">
        <v>2475.0</v>
      </c>
      <c r="B2481" s="62" t="s">
        <v>1306</v>
      </c>
      <c r="C2481" s="62" t="s">
        <v>104</v>
      </c>
      <c r="D2481" s="62" t="s">
        <v>1425</v>
      </c>
      <c r="E2481" s="76">
        <v>43984.0</v>
      </c>
      <c r="F2481" s="77">
        <v>0.08333333333333333</v>
      </c>
      <c r="G2481" s="62" t="b">
        <v>1</v>
      </c>
      <c r="H2481" s="78" t="b">
        <f>IF(VLOOKUP(C2481,Projetos!A:L,12,false)=TRUE,TRUE,FALSE)</f>
        <v>1</v>
      </c>
      <c r="I2481" s="68">
        <v>35.94867919823232</v>
      </c>
      <c r="J2481" s="68">
        <f t="shared" si="1"/>
        <v>71.8973584</v>
      </c>
      <c r="K2481" s="68" t="b">
        <v>1</v>
      </c>
    </row>
    <row r="2482">
      <c r="A2482" s="75">
        <v>2476.0</v>
      </c>
      <c r="B2482" s="62" t="s">
        <v>1306</v>
      </c>
      <c r="C2482" s="62" t="s">
        <v>104</v>
      </c>
      <c r="D2482" s="62" t="s">
        <v>1446</v>
      </c>
      <c r="E2482" s="76">
        <v>43985.0</v>
      </c>
      <c r="F2482" s="77">
        <v>0.041666666666666664</v>
      </c>
      <c r="G2482" s="62" t="b">
        <v>1</v>
      </c>
      <c r="H2482" s="78" t="b">
        <f>IF(VLOOKUP(C2482,Projetos!A:L,12,false)=TRUE,TRUE,FALSE)</f>
        <v>1</v>
      </c>
      <c r="I2482" s="68">
        <v>35.94867919823232</v>
      </c>
      <c r="J2482" s="68">
        <f t="shared" si="1"/>
        <v>35.9486792</v>
      </c>
      <c r="K2482" s="68" t="b">
        <v>1</v>
      </c>
    </row>
    <row r="2483">
      <c r="A2483" s="75">
        <v>2477.0</v>
      </c>
      <c r="B2483" s="62" t="s">
        <v>1306</v>
      </c>
      <c r="C2483" s="62" t="s">
        <v>104</v>
      </c>
      <c r="D2483" s="62" t="s">
        <v>1446</v>
      </c>
      <c r="E2483" s="76">
        <v>43986.0</v>
      </c>
      <c r="F2483" s="77">
        <v>0.0625</v>
      </c>
      <c r="G2483" s="62" t="b">
        <v>1</v>
      </c>
      <c r="H2483" s="78" t="b">
        <f>IF(VLOOKUP(C2483,Projetos!A:L,12,false)=TRUE,TRUE,FALSE)</f>
        <v>1</v>
      </c>
      <c r="I2483" s="68">
        <v>35.94867919823232</v>
      </c>
      <c r="J2483" s="68">
        <f t="shared" si="1"/>
        <v>53.9230188</v>
      </c>
      <c r="K2483" s="68" t="b">
        <v>1</v>
      </c>
    </row>
    <row r="2484">
      <c r="A2484" s="75">
        <v>2478.0</v>
      </c>
      <c r="B2484" s="62" t="s">
        <v>1306</v>
      </c>
      <c r="C2484" s="62" t="s">
        <v>104</v>
      </c>
      <c r="D2484" s="62" t="s">
        <v>1517</v>
      </c>
      <c r="E2484" s="76">
        <v>43986.0</v>
      </c>
      <c r="F2484" s="77">
        <v>0.041666666666666664</v>
      </c>
      <c r="G2484" s="62" t="b">
        <v>1</v>
      </c>
      <c r="H2484" s="78" t="b">
        <f>IF(VLOOKUP(C2484,Projetos!A:L,12,false)=TRUE,TRUE,FALSE)</f>
        <v>1</v>
      </c>
      <c r="I2484" s="68">
        <v>35.94867919823232</v>
      </c>
      <c r="J2484" s="68">
        <f t="shared" si="1"/>
        <v>35.9486792</v>
      </c>
      <c r="K2484" s="68" t="b">
        <v>1</v>
      </c>
    </row>
    <row r="2485">
      <c r="A2485" s="75">
        <v>2479.0</v>
      </c>
      <c r="B2485" s="62" t="s">
        <v>1306</v>
      </c>
      <c r="C2485" s="62" t="s">
        <v>104</v>
      </c>
      <c r="D2485" s="62" t="s">
        <v>1485</v>
      </c>
      <c r="E2485" s="76">
        <v>43990.0</v>
      </c>
      <c r="F2485" s="77">
        <v>0.041666666666666664</v>
      </c>
      <c r="G2485" s="62" t="b">
        <v>1</v>
      </c>
      <c r="H2485" s="78" t="b">
        <f>IF(VLOOKUP(C2485,Projetos!A:L,12,false)=TRUE,TRUE,FALSE)</f>
        <v>1</v>
      </c>
      <c r="I2485" s="68">
        <v>35.94867919823232</v>
      </c>
      <c r="J2485" s="68">
        <f t="shared" si="1"/>
        <v>35.9486792</v>
      </c>
      <c r="K2485" s="68" t="b">
        <v>1</v>
      </c>
    </row>
    <row r="2486">
      <c r="A2486" s="75">
        <v>2480.0</v>
      </c>
      <c r="B2486" s="62" t="s">
        <v>1306</v>
      </c>
      <c r="C2486" s="62" t="s">
        <v>104</v>
      </c>
      <c r="D2486" s="62" t="s">
        <v>1518</v>
      </c>
      <c r="E2486" s="76">
        <v>43991.0</v>
      </c>
      <c r="F2486" s="77">
        <v>0.10416666666666667</v>
      </c>
      <c r="G2486" s="62" t="b">
        <v>1</v>
      </c>
      <c r="H2486" s="78" t="b">
        <f>IF(VLOOKUP(C2486,Projetos!A:L,12,false)=TRUE,TRUE,FALSE)</f>
        <v>1</v>
      </c>
      <c r="I2486" s="68">
        <v>35.94867919823232</v>
      </c>
      <c r="J2486" s="68">
        <f t="shared" si="1"/>
        <v>89.871698</v>
      </c>
      <c r="K2486" s="68" t="b">
        <v>1</v>
      </c>
    </row>
    <row r="2487">
      <c r="A2487" s="75">
        <v>2481.0</v>
      </c>
      <c r="B2487" s="62" t="s">
        <v>1306</v>
      </c>
      <c r="C2487" s="62" t="s">
        <v>104</v>
      </c>
      <c r="D2487" s="62" t="s">
        <v>1519</v>
      </c>
      <c r="E2487" s="76">
        <v>43991.0</v>
      </c>
      <c r="F2487" s="77">
        <v>0.041666666666666664</v>
      </c>
      <c r="G2487" s="62" t="b">
        <v>1</v>
      </c>
      <c r="H2487" s="78" t="b">
        <f>IF(VLOOKUP(C2487,Projetos!A:L,12,false)=TRUE,TRUE,FALSE)</f>
        <v>1</v>
      </c>
      <c r="I2487" s="68">
        <v>35.94867919823232</v>
      </c>
      <c r="J2487" s="68">
        <f t="shared" si="1"/>
        <v>35.9486792</v>
      </c>
      <c r="K2487" s="68" t="b">
        <v>1</v>
      </c>
    </row>
    <row r="2488">
      <c r="A2488" s="75">
        <v>2482.0</v>
      </c>
      <c r="B2488" s="62" t="s">
        <v>1306</v>
      </c>
      <c r="C2488" s="62" t="s">
        <v>104</v>
      </c>
      <c r="D2488" s="62" t="s">
        <v>1520</v>
      </c>
      <c r="E2488" s="76">
        <v>43994.0</v>
      </c>
      <c r="F2488" s="77">
        <v>0.041666666666666664</v>
      </c>
      <c r="G2488" s="62" t="b">
        <v>1</v>
      </c>
      <c r="H2488" s="78" t="b">
        <f>IF(VLOOKUP(C2488,Projetos!A:L,12,false)=TRUE,TRUE,FALSE)</f>
        <v>1</v>
      </c>
      <c r="I2488" s="68">
        <v>35.94867919823232</v>
      </c>
      <c r="J2488" s="68">
        <f t="shared" si="1"/>
        <v>35.9486792</v>
      </c>
      <c r="K2488" s="68" t="b">
        <v>1</v>
      </c>
    </row>
    <row r="2489">
      <c r="A2489" s="75">
        <v>2483.0</v>
      </c>
      <c r="B2489" s="62" t="s">
        <v>1306</v>
      </c>
      <c r="C2489" s="62" t="s">
        <v>104</v>
      </c>
      <c r="D2489" s="62" t="s">
        <v>1521</v>
      </c>
      <c r="E2489" s="76">
        <v>43998.0</v>
      </c>
      <c r="F2489" s="77">
        <v>0.020833333333333332</v>
      </c>
      <c r="G2489" s="62" t="b">
        <v>1</v>
      </c>
      <c r="H2489" s="78" t="b">
        <f>IF(VLOOKUP(C2489,Projetos!A:L,12,false)=TRUE,TRUE,FALSE)</f>
        <v>1</v>
      </c>
      <c r="I2489" s="68">
        <v>35.94867919823232</v>
      </c>
      <c r="J2489" s="68">
        <f t="shared" si="1"/>
        <v>17.9743396</v>
      </c>
      <c r="K2489" s="68" t="b">
        <v>1</v>
      </c>
    </row>
    <row r="2490">
      <c r="A2490" s="75">
        <v>2484.0</v>
      </c>
      <c r="B2490" s="62" t="s">
        <v>1306</v>
      </c>
      <c r="C2490" s="62" t="s">
        <v>104</v>
      </c>
      <c r="D2490" s="62" t="s">
        <v>1522</v>
      </c>
      <c r="E2490" s="76">
        <v>44012.0</v>
      </c>
      <c r="F2490" s="77">
        <v>0.041666666666666664</v>
      </c>
      <c r="G2490" s="62" t="b">
        <v>1</v>
      </c>
      <c r="H2490" s="78" t="b">
        <f>IF(VLOOKUP(C2490,Projetos!A:L,12,false)=TRUE,TRUE,FALSE)</f>
        <v>1</v>
      </c>
      <c r="I2490" s="68">
        <v>35.94867919823232</v>
      </c>
      <c r="J2490" s="68">
        <f t="shared" si="1"/>
        <v>35.9486792</v>
      </c>
      <c r="K2490" s="68" t="b">
        <v>1</v>
      </c>
    </row>
    <row r="2491" hidden="1">
      <c r="A2491" s="75">
        <v>2485.0</v>
      </c>
      <c r="B2491" s="62" t="s">
        <v>1306</v>
      </c>
      <c r="C2491" s="62" t="s">
        <v>105</v>
      </c>
      <c r="D2491" s="62" t="s">
        <v>1523</v>
      </c>
      <c r="E2491" s="76">
        <v>43986.0</v>
      </c>
      <c r="F2491" s="77">
        <v>0.041666666666666664</v>
      </c>
      <c r="G2491" s="62" t="b">
        <v>1</v>
      </c>
      <c r="H2491" s="78" t="b">
        <f>IF(VLOOKUP(C2491,Projetos!A:L,12,false)=TRUE,TRUE,FALSE)</f>
        <v>1</v>
      </c>
      <c r="I2491" s="68">
        <v>35.94867919823232</v>
      </c>
      <c r="J2491" s="68">
        <f t="shared" si="1"/>
        <v>35.9486792</v>
      </c>
      <c r="K2491" s="68" t="b">
        <v>1</v>
      </c>
    </row>
    <row r="2492" hidden="1">
      <c r="A2492" s="75">
        <v>2486.0</v>
      </c>
      <c r="B2492" s="62" t="s">
        <v>1306</v>
      </c>
      <c r="C2492" s="62" t="s">
        <v>105</v>
      </c>
      <c r="D2492" s="62" t="s">
        <v>1524</v>
      </c>
      <c r="E2492" s="76">
        <v>43998.0</v>
      </c>
      <c r="F2492" s="77">
        <v>0.010416666666666666</v>
      </c>
      <c r="G2492" s="62" t="b">
        <v>0</v>
      </c>
      <c r="H2492" s="78" t="b">
        <f>IF(VLOOKUP(C2492,Projetos!A:L,12,false)=TRUE,TRUE,FALSE)</f>
        <v>1</v>
      </c>
      <c r="I2492" s="68">
        <v>35.94867919823232</v>
      </c>
      <c r="J2492" s="68">
        <f t="shared" si="1"/>
        <v>0</v>
      </c>
      <c r="K2492" s="68" t="b">
        <v>1</v>
      </c>
    </row>
    <row r="2493" hidden="1">
      <c r="A2493" s="75">
        <v>2487.0</v>
      </c>
      <c r="B2493" s="62" t="s">
        <v>1306</v>
      </c>
      <c r="C2493" s="62" t="s">
        <v>105</v>
      </c>
      <c r="D2493" s="62" t="s">
        <v>1525</v>
      </c>
      <c r="E2493" s="76">
        <v>44000.0</v>
      </c>
      <c r="F2493" s="77">
        <v>0.041666666666666664</v>
      </c>
      <c r="G2493" s="62" t="b">
        <v>1</v>
      </c>
      <c r="H2493" s="78" t="b">
        <f>IF(VLOOKUP(C2493,Projetos!A:L,12,false)=TRUE,TRUE,FALSE)</f>
        <v>1</v>
      </c>
      <c r="I2493" s="68">
        <v>35.94867919823232</v>
      </c>
      <c r="J2493" s="68">
        <f t="shared" si="1"/>
        <v>35.9486792</v>
      </c>
      <c r="K2493" s="68" t="b">
        <v>1</v>
      </c>
    </row>
    <row r="2494" hidden="1">
      <c r="A2494" s="75">
        <v>2488.0</v>
      </c>
      <c r="B2494" s="62" t="s">
        <v>1306</v>
      </c>
      <c r="C2494" s="62" t="s">
        <v>105</v>
      </c>
      <c r="D2494" s="62" t="s">
        <v>1526</v>
      </c>
      <c r="E2494" s="76">
        <v>44005.0</v>
      </c>
      <c r="F2494" s="77">
        <v>0.125</v>
      </c>
      <c r="G2494" s="62" t="b">
        <v>1</v>
      </c>
      <c r="H2494" s="78" t="b">
        <f>IF(VLOOKUP(C2494,Projetos!A:L,12,false)=TRUE,TRUE,FALSE)</f>
        <v>1</v>
      </c>
      <c r="I2494" s="68">
        <v>35.94867919823232</v>
      </c>
      <c r="J2494" s="68">
        <f t="shared" si="1"/>
        <v>107.8460376</v>
      </c>
      <c r="K2494" s="68" t="b">
        <v>1</v>
      </c>
    </row>
    <row r="2495" hidden="1">
      <c r="A2495" s="75">
        <v>2489.0</v>
      </c>
      <c r="B2495" s="62" t="s">
        <v>1306</v>
      </c>
      <c r="C2495" s="62" t="s">
        <v>105</v>
      </c>
      <c r="D2495" s="62" t="s">
        <v>1527</v>
      </c>
      <c r="E2495" s="76">
        <v>44006.0</v>
      </c>
      <c r="F2495" s="77">
        <v>0.11458333333333333</v>
      </c>
      <c r="G2495" s="62" t="b">
        <v>1</v>
      </c>
      <c r="H2495" s="78" t="b">
        <f>IF(VLOOKUP(C2495,Projetos!A:L,12,false)=TRUE,TRUE,FALSE)</f>
        <v>1</v>
      </c>
      <c r="I2495" s="68">
        <v>35.94867919823232</v>
      </c>
      <c r="J2495" s="68">
        <f t="shared" si="1"/>
        <v>98.8588678</v>
      </c>
      <c r="K2495" s="68" t="b">
        <v>1</v>
      </c>
    </row>
    <row r="2496" hidden="1">
      <c r="A2496" s="75">
        <v>2490.0</v>
      </c>
      <c r="B2496" s="62" t="s">
        <v>1306</v>
      </c>
      <c r="C2496" s="62" t="s">
        <v>105</v>
      </c>
      <c r="D2496" s="62" t="s">
        <v>1527</v>
      </c>
      <c r="E2496" s="76">
        <v>44006.0</v>
      </c>
      <c r="F2496" s="77">
        <v>0.0625</v>
      </c>
      <c r="G2496" s="62" t="b">
        <v>1</v>
      </c>
      <c r="H2496" s="78" t="b">
        <f>IF(VLOOKUP(C2496,Projetos!A:L,12,false)=TRUE,TRUE,FALSE)</f>
        <v>1</v>
      </c>
      <c r="I2496" s="68">
        <v>35.94867919823232</v>
      </c>
      <c r="J2496" s="68">
        <f t="shared" si="1"/>
        <v>53.9230188</v>
      </c>
      <c r="K2496" s="68" t="b">
        <v>1</v>
      </c>
    </row>
    <row r="2497" hidden="1">
      <c r="A2497" s="75">
        <v>2491.0</v>
      </c>
      <c r="B2497" s="62" t="s">
        <v>1306</v>
      </c>
      <c r="C2497" s="62" t="s">
        <v>105</v>
      </c>
      <c r="D2497" s="62" t="s">
        <v>1528</v>
      </c>
      <c r="E2497" s="76">
        <v>44006.0</v>
      </c>
      <c r="F2497" s="77">
        <v>0.16666666666666666</v>
      </c>
      <c r="G2497" s="62" t="b">
        <v>1</v>
      </c>
      <c r="H2497" s="78" t="b">
        <f>IF(VLOOKUP(C2497,Projetos!A:L,12,false)=TRUE,TRUE,FALSE)</f>
        <v>1</v>
      </c>
      <c r="I2497" s="68">
        <v>35.94867919823232</v>
      </c>
      <c r="J2497" s="68">
        <f t="shared" si="1"/>
        <v>143.7947168</v>
      </c>
      <c r="K2497" s="68" t="b">
        <v>1</v>
      </c>
    </row>
    <row r="2498" hidden="1">
      <c r="A2498" s="75">
        <v>2492.0</v>
      </c>
      <c r="B2498" s="62" t="s">
        <v>1306</v>
      </c>
      <c r="C2498" s="62" t="s">
        <v>105</v>
      </c>
      <c r="D2498" s="62" t="s">
        <v>1528</v>
      </c>
      <c r="E2498" s="76">
        <v>44007.0</v>
      </c>
      <c r="F2498" s="77">
        <v>0.21875</v>
      </c>
      <c r="G2498" s="62" t="b">
        <v>1</v>
      </c>
      <c r="H2498" s="78" t="b">
        <f>IF(VLOOKUP(C2498,Projetos!A:L,12,false)=TRUE,TRUE,FALSE)</f>
        <v>1</v>
      </c>
      <c r="I2498" s="68">
        <v>35.94867919823232</v>
      </c>
      <c r="J2498" s="68">
        <f t="shared" si="1"/>
        <v>188.7305658</v>
      </c>
      <c r="K2498" s="68" t="b">
        <v>1</v>
      </c>
    </row>
    <row r="2499" hidden="1">
      <c r="A2499" s="75">
        <v>2493.0</v>
      </c>
      <c r="B2499" s="62" t="s">
        <v>1306</v>
      </c>
      <c r="C2499" s="62" t="s">
        <v>105</v>
      </c>
      <c r="D2499" s="62" t="s">
        <v>1528</v>
      </c>
      <c r="E2499" s="76">
        <v>44007.0</v>
      </c>
      <c r="F2499" s="77">
        <v>0.125</v>
      </c>
      <c r="G2499" s="62" t="b">
        <v>1</v>
      </c>
      <c r="H2499" s="78" t="b">
        <f>IF(VLOOKUP(C2499,Projetos!A:L,12,false)=TRUE,TRUE,FALSE)</f>
        <v>1</v>
      </c>
      <c r="I2499" s="68">
        <v>35.94867919823232</v>
      </c>
      <c r="J2499" s="68">
        <f t="shared" si="1"/>
        <v>107.8460376</v>
      </c>
      <c r="K2499" s="68" t="b">
        <v>1</v>
      </c>
    </row>
    <row r="2500" hidden="1">
      <c r="A2500" s="75">
        <v>2494.0</v>
      </c>
      <c r="B2500" s="62" t="s">
        <v>1306</v>
      </c>
      <c r="C2500" s="62" t="s">
        <v>105</v>
      </c>
      <c r="D2500" s="62" t="s">
        <v>1529</v>
      </c>
      <c r="E2500" s="76">
        <v>44011.0</v>
      </c>
      <c r="F2500" s="77">
        <v>0.041666666666666664</v>
      </c>
      <c r="G2500" s="62" t="b">
        <v>1</v>
      </c>
      <c r="H2500" s="78" t="b">
        <f>IF(VLOOKUP(C2500,Projetos!A:L,12,false)=TRUE,TRUE,FALSE)</f>
        <v>1</v>
      </c>
      <c r="I2500" s="68">
        <v>35.94867919823232</v>
      </c>
      <c r="J2500" s="68">
        <f t="shared" si="1"/>
        <v>35.9486792</v>
      </c>
      <c r="K2500" s="68" t="b">
        <v>1</v>
      </c>
    </row>
    <row r="2501" hidden="1">
      <c r="A2501" s="75">
        <v>2495.0</v>
      </c>
      <c r="B2501" s="62" t="s">
        <v>1306</v>
      </c>
      <c r="C2501" s="62" t="s">
        <v>105</v>
      </c>
      <c r="D2501" s="62" t="s">
        <v>1530</v>
      </c>
      <c r="E2501" s="76">
        <v>44011.0</v>
      </c>
      <c r="F2501" s="77">
        <v>0.0625</v>
      </c>
      <c r="G2501" s="62" t="b">
        <v>1</v>
      </c>
      <c r="H2501" s="78" t="b">
        <f>IF(VLOOKUP(C2501,Projetos!A:L,12,false)=TRUE,TRUE,FALSE)</f>
        <v>1</v>
      </c>
      <c r="I2501" s="68">
        <v>35.94867919823232</v>
      </c>
      <c r="J2501" s="68">
        <f t="shared" si="1"/>
        <v>53.9230188</v>
      </c>
      <c r="K2501" s="68" t="b">
        <v>1</v>
      </c>
    </row>
    <row r="2502" hidden="1">
      <c r="A2502" s="75">
        <v>2496.0</v>
      </c>
      <c r="B2502" s="62" t="s">
        <v>1306</v>
      </c>
      <c r="C2502" s="62" t="s">
        <v>105</v>
      </c>
      <c r="D2502" s="62" t="s">
        <v>1531</v>
      </c>
      <c r="E2502" s="76">
        <v>44012.0</v>
      </c>
      <c r="F2502" s="77">
        <v>0.041666666666666664</v>
      </c>
      <c r="G2502" s="62" t="b">
        <v>1</v>
      </c>
      <c r="H2502" s="78" t="b">
        <f>IF(VLOOKUP(C2502,Projetos!A:L,12,false)=TRUE,TRUE,FALSE)</f>
        <v>1</v>
      </c>
      <c r="I2502" s="68">
        <v>35.94867919823232</v>
      </c>
      <c r="J2502" s="68">
        <f t="shared" si="1"/>
        <v>35.9486792</v>
      </c>
      <c r="K2502" s="68" t="b">
        <v>1</v>
      </c>
    </row>
    <row r="2503" hidden="1">
      <c r="A2503" s="75">
        <v>2497.0</v>
      </c>
      <c r="B2503" s="62" t="s">
        <v>1306</v>
      </c>
      <c r="C2503" s="62" t="s">
        <v>105</v>
      </c>
      <c r="D2503" s="62" t="s">
        <v>1346</v>
      </c>
      <c r="E2503" s="76">
        <v>44012.0</v>
      </c>
      <c r="F2503" s="77">
        <v>0.020833333333333332</v>
      </c>
      <c r="G2503" s="62" t="b">
        <v>1</v>
      </c>
      <c r="H2503" s="78" t="b">
        <f>IF(VLOOKUP(C2503,Projetos!A:L,12,false)=TRUE,TRUE,FALSE)</f>
        <v>1</v>
      </c>
      <c r="I2503" s="68">
        <v>35.94867919823232</v>
      </c>
      <c r="J2503" s="68">
        <f t="shared" si="1"/>
        <v>17.9743396</v>
      </c>
      <c r="K2503" s="68" t="b">
        <v>1</v>
      </c>
    </row>
    <row r="2504" hidden="1">
      <c r="A2504" s="75">
        <v>2498.0</v>
      </c>
      <c r="B2504" s="62" t="s">
        <v>1306</v>
      </c>
      <c r="C2504" s="62" t="s">
        <v>105</v>
      </c>
      <c r="D2504" s="62" t="s">
        <v>1532</v>
      </c>
      <c r="E2504" s="76">
        <v>44012.0</v>
      </c>
      <c r="F2504" s="77">
        <v>0.08333333333333333</v>
      </c>
      <c r="G2504" s="62" t="b">
        <v>1</v>
      </c>
      <c r="H2504" s="78" t="b">
        <f>IF(VLOOKUP(C2504,Projetos!A:L,12,false)=TRUE,TRUE,FALSE)</f>
        <v>1</v>
      </c>
      <c r="I2504" s="68">
        <v>35.94867919823232</v>
      </c>
      <c r="J2504" s="68">
        <f t="shared" si="1"/>
        <v>71.8973584</v>
      </c>
      <c r="K2504" s="68" t="b">
        <v>1</v>
      </c>
    </row>
    <row r="2505" hidden="1">
      <c r="A2505" s="75">
        <v>2499.0</v>
      </c>
      <c r="B2505" s="62" t="s">
        <v>1306</v>
      </c>
      <c r="C2505" s="62" t="s">
        <v>108</v>
      </c>
      <c r="D2505" s="62" t="s">
        <v>1533</v>
      </c>
      <c r="E2505" s="76">
        <v>43983.0</v>
      </c>
      <c r="F2505" s="77">
        <v>0.041666666666666664</v>
      </c>
      <c r="G2505" s="62" t="b">
        <v>0</v>
      </c>
      <c r="H2505" s="78" t="b">
        <f>IF(VLOOKUP(C2505,Projetos!A:L,12,false)=TRUE,TRUE,FALSE)</f>
        <v>1</v>
      </c>
      <c r="I2505" s="68">
        <v>35.94867919823232</v>
      </c>
      <c r="J2505" s="68">
        <f t="shared" si="1"/>
        <v>0</v>
      </c>
      <c r="K2505" s="68" t="b">
        <v>1</v>
      </c>
    </row>
    <row r="2506" hidden="1">
      <c r="A2506" s="75">
        <v>2500.0</v>
      </c>
      <c r="B2506" s="62" t="s">
        <v>1306</v>
      </c>
      <c r="C2506" s="62" t="s">
        <v>108</v>
      </c>
      <c r="D2506" s="62" t="s">
        <v>1508</v>
      </c>
      <c r="E2506" s="76">
        <v>43984.0</v>
      </c>
      <c r="F2506" s="77">
        <v>0.07291666666666667</v>
      </c>
      <c r="G2506" s="62" t="b">
        <v>0</v>
      </c>
      <c r="H2506" s="78" t="b">
        <f>IF(VLOOKUP(C2506,Projetos!A:L,12,false)=TRUE,TRUE,FALSE)</f>
        <v>1</v>
      </c>
      <c r="I2506" s="68">
        <v>35.94867919823232</v>
      </c>
      <c r="J2506" s="68">
        <f t="shared" si="1"/>
        <v>0</v>
      </c>
      <c r="K2506" s="68" t="b">
        <v>1</v>
      </c>
    </row>
    <row r="2507" hidden="1">
      <c r="A2507" s="75">
        <v>2501.0</v>
      </c>
      <c r="B2507" s="62" t="s">
        <v>1306</v>
      </c>
      <c r="C2507" s="62" t="s">
        <v>108</v>
      </c>
      <c r="D2507" s="62" t="s">
        <v>1534</v>
      </c>
      <c r="E2507" s="76">
        <v>43985.0</v>
      </c>
      <c r="F2507" s="77">
        <v>0.052083333333333336</v>
      </c>
      <c r="G2507" s="62" t="b">
        <v>0</v>
      </c>
      <c r="H2507" s="78" t="b">
        <f>IF(VLOOKUP(C2507,Projetos!A:L,12,false)=TRUE,TRUE,FALSE)</f>
        <v>1</v>
      </c>
      <c r="I2507" s="68">
        <v>35.94867919823232</v>
      </c>
      <c r="J2507" s="68">
        <f t="shared" si="1"/>
        <v>0</v>
      </c>
      <c r="K2507" s="68" t="b">
        <v>1</v>
      </c>
    </row>
    <row r="2508" hidden="1">
      <c r="A2508" s="75">
        <v>2502.0</v>
      </c>
      <c r="B2508" s="62" t="s">
        <v>1306</v>
      </c>
      <c r="C2508" s="62" t="s">
        <v>108</v>
      </c>
      <c r="D2508" s="62" t="s">
        <v>1387</v>
      </c>
      <c r="E2508" s="76">
        <v>43987.0</v>
      </c>
      <c r="F2508" s="77">
        <v>0.08333333333333333</v>
      </c>
      <c r="G2508" s="62" t="b">
        <v>0</v>
      </c>
      <c r="H2508" s="78" t="b">
        <f>IF(VLOOKUP(C2508,Projetos!A:L,12,false)=TRUE,TRUE,FALSE)</f>
        <v>1</v>
      </c>
      <c r="I2508" s="68">
        <v>35.94867919823232</v>
      </c>
      <c r="J2508" s="68">
        <f t="shared" si="1"/>
        <v>0</v>
      </c>
      <c r="K2508" s="68" t="b">
        <v>1</v>
      </c>
    </row>
    <row r="2509" hidden="1">
      <c r="A2509" s="75">
        <v>2503.0</v>
      </c>
      <c r="B2509" s="62" t="s">
        <v>1306</v>
      </c>
      <c r="C2509" s="62" t="s">
        <v>108</v>
      </c>
      <c r="D2509" s="62" t="s">
        <v>1535</v>
      </c>
      <c r="E2509" s="76">
        <v>43987.0</v>
      </c>
      <c r="F2509" s="77">
        <v>0.0625</v>
      </c>
      <c r="G2509" s="62" t="b">
        <v>0</v>
      </c>
      <c r="H2509" s="78" t="b">
        <f>IF(VLOOKUP(C2509,Projetos!A:L,12,false)=TRUE,TRUE,FALSE)</f>
        <v>1</v>
      </c>
      <c r="I2509" s="68">
        <v>35.94867919823232</v>
      </c>
      <c r="J2509" s="68">
        <f t="shared" si="1"/>
        <v>0</v>
      </c>
      <c r="K2509" s="68" t="b">
        <v>1</v>
      </c>
    </row>
    <row r="2510" hidden="1">
      <c r="A2510" s="75">
        <v>2504.0</v>
      </c>
      <c r="B2510" s="62" t="s">
        <v>1306</v>
      </c>
      <c r="C2510" s="62" t="s">
        <v>108</v>
      </c>
      <c r="D2510" s="62" t="s">
        <v>1536</v>
      </c>
      <c r="E2510" s="76">
        <v>43990.0</v>
      </c>
      <c r="F2510" s="77">
        <v>0.052083333333333336</v>
      </c>
      <c r="G2510" s="62" t="b">
        <v>0</v>
      </c>
      <c r="H2510" s="78" t="b">
        <f>IF(VLOOKUP(C2510,Projetos!A:L,12,false)=TRUE,TRUE,FALSE)</f>
        <v>1</v>
      </c>
      <c r="I2510" s="68">
        <v>35.94867919823232</v>
      </c>
      <c r="J2510" s="68">
        <f t="shared" si="1"/>
        <v>0</v>
      </c>
      <c r="K2510" s="68" t="b">
        <v>1</v>
      </c>
    </row>
    <row r="2511" hidden="1">
      <c r="A2511" s="75">
        <v>2505.0</v>
      </c>
      <c r="B2511" s="62" t="s">
        <v>1306</v>
      </c>
      <c r="C2511" s="62" t="s">
        <v>108</v>
      </c>
      <c r="D2511" s="62" t="s">
        <v>1508</v>
      </c>
      <c r="E2511" s="76">
        <v>43990.0</v>
      </c>
      <c r="F2511" s="77">
        <v>0.0625</v>
      </c>
      <c r="G2511" s="62" t="b">
        <v>0</v>
      </c>
      <c r="H2511" s="78" t="b">
        <f>IF(VLOOKUP(C2511,Projetos!A:L,12,false)=TRUE,TRUE,FALSE)</f>
        <v>1</v>
      </c>
      <c r="I2511" s="68">
        <v>35.94867919823232</v>
      </c>
      <c r="J2511" s="68">
        <f t="shared" si="1"/>
        <v>0</v>
      </c>
      <c r="K2511" s="68" t="b">
        <v>1</v>
      </c>
    </row>
    <row r="2512" hidden="1">
      <c r="A2512" s="75">
        <v>2506.0</v>
      </c>
      <c r="B2512" s="62" t="s">
        <v>1306</v>
      </c>
      <c r="C2512" s="62" t="s">
        <v>108</v>
      </c>
      <c r="D2512" s="62" t="s">
        <v>1537</v>
      </c>
      <c r="E2512" s="76">
        <v>43991.0</v>
      </c>
      <c r="F2512" s="77">
        <v>0.041666666666666664</v>
      </c>
      <c r="G2512" s="62" t="b">
        <v>0</v>
      </c>
      <c r="H2512" s="78" t="b">
        <f>IF(VLOOKUP(C2512,Projetos!A:L,12,false)=TRUE,TRUE,FALSE)</f>
        <v>1</v>
      </c>
      <c r="I2512" s="68">
        <v>35.94867919823232</v>
      </c>
      <c r="J2512" s="68">
        <f t="shared" si="1"/>
        <v>0</v>
      </c>
      <c r="K2512" s="68" t="b">
        <v>1</v>
      </c>
    </row>
    <row r="2513" hidden="1">
      <c r="A2513" s="75">
        <v>2507.0</v>
      </c>
      <c r="B2513" s="62" t="s">
        <v>1306</v>
      </c>
      <c r="C2513" s="62" t="s">
        <v>108</v>
      </c>
      <c r="D2513" s="62" t="s">
        <v>1538</v>
      </c>
      <c r="E2513" s="76">
        <v>43992.0</v>
      </c>
      <c r="F2513" s="77">
        <v>0.041666666666666664</v>
      </c>
      <c r="G2513" s="62" t="b">
        <v>0</v>
      </c>
      <c r="H2513" s="78" t="b">
        <f>IF(VLOOKUP(C2513,Projetos!A:L,12,false)=TRUE,TRUE,FALSE)</f>
        <v>1</v>
      </c>
      <c r="I2513" s="68">
        <v>35.94867919823232</v>
      </c>
      <c r="J2513" s="68">
        <f t="shared" si="1"/>
        <v>0</v>
      </c>
      <c r="K2513" s="68" t="b">
        <v>1</v>
      </c>
    </row>
    <row r="2514" hidden="1">
      <c r="A2514" s="75">
        <v>2508.0</v>
      </c>
      <c r="B2514" s="62" t="s">
        <v>1306</v>
      </c>
      <c r="C2514" s="62" t="s">
        <v>108</v>
      </c>
      <c r="D2514" s="62" t="s">
        <v>1539</v>
      </c>
      <c r="E2514" s="76">
        <v>43994.0</v>
      </c>
      <c r="F2514" s="77">
        <v>0.041666666666666664</v>
      </c>
      <c r="G2514" s="62" t="b">
        <v>0</v>
      </c>
      <c r="H2514" s="78" t="b">
        <f>IF(VLOOKUP(C2514,Projetos!A:L,12,false)=TRUE,TRUE,FALSE)</f>
        <v>1</v>
      </c>
      <c r="I2514" s="68">
        <v>35.94867919823232</v>
      </c>
      <c r="J2514" s="68">
        <f t="shared" si="1"/>
        <v>0</v>
      </c>
      <c r="K2514" s="68" t="b">
        <v>1</v>
      </c>
    </row>
    <row r="2515" hidden="1">
      <c r="A2515" s="75">
        <v>2509.0</v>
      </c>
      <c r="B2515" s="62" t="s">
        <v>1306</v>
      </c>
      <c r="C2515" s="62" t="s">
        <v>108</v>
      </c>
      <c r="D2515" s="62" t="s">
        <v>1485</v>
      </c>
      <c r="E2515" s="76">
        <v>43997.0</v>
      </c>
      <c r="F2515" s="77">
        <v>0.029166666666666667</v>
      </c>
      <c r="G2515" s="62" t="b">
        <v>0</v>
      </c>
      <c r="H2515" s="78" t="b">
        <f>IF(VLOOKUP(C2515,Projetos!A:L,12,false)=TRUE,TRUE,FALSE)</f>
        <v>1</v>
      </c>
      <c r="I2515" s="68">
        <v>35.94867919823232</v>
      </c>
      <c r="J2515" s="68">
        <f t="shared" si="1"/>
        <v>0</v>
      </c>
      <c r="K2515" s="68" t="b">
        <v>1</v>
      </c>
    </row>
    <row r="2516" hidden="1">
      <c r="A2516" s="75">
        <v>2510.0</v>
      </c>
      <c r="B2516" s="62" t="s">
        <v>1306</v>
      </c>
      <c r="C2516" s="62" t="s">
        <v>108</v>
      </c>
      <c r="D2516" s="62" t="s">
        <v>1540</v>
      </c>
      <c r="E2516" s="76">
        <v>43997.0</v>
      </c>
      <c r="F2516" s="77">
        <v>0.0625</v>
      </c>
      <c r="G2516" s="62" t="b">
        <v>0</v>
      </c>
      <c r="H2516" s="78" t="b">
        <f>IF(VLOOKUP(C2516,Projetos!A:L,12,false)=TRUE,TRUE,FALSE)</f>
        <v>1</v>
      </c>
      <c r="I2516" s="68">
        <v>35.94867919823232</v>
      </c>
      <c r="J2516" s="68">
        <f t="shared" si="1"/>
        <v>0</v>
      </c>
      <c r="K2516" s="68" t="b">
        <v>1</v>
      </c>
    </row>
    <row r="2517" hidden="1">
      <c r="A2517" s="75">
        <v>2511.0</v>
      </c>
      <c r="B2517" s="62" t="s">
        <v>1306</v>
      </c>
      <c r="C2517" s="62" t="s">
        <v>108</v>
      </c>
      <c r="D2517" s="62" t="s">
        <v>1541</v>
      </c>
      <c r="E2517" s="76">
        <v>43999.0</v>
      </c>
      <c r="F2517" s="77">
        <v>0.03125</v>
      </c>
      <c r="G2517" s="62" t="b">
        <v>0</v>
      </c>
      <c r="H2517" s="78" t="b">
        <f>IF(VLOOKUP(C2517,Projetos!A:L,12,false)=TRUE,TRUE,FALSE)</f>
        <v>1</v>
      </c>
      <c r="I2517" s="68">
        <v>35.94867919823232</v>
      </c>
      <c r="J2517" s="68">
        <f t="shared" si="1"/>
        <v>0</v>
      </c>
      <c r="K2517" s="68" t="b">
        <v>1</v>
      </c>
    </row>
    <row r="2518" hidden="1">
      <c r="A2518" s="75">
        <v>2512.0</v>
      </c>
      <c r="B2518" s="62" t="s">
        <v>1306</v>
      </c>
      <c r="C2518" s="62" t="s">
        <v>108</v>
      </c>
      <c r="D2518" s="62" t="s">
        <v>1542</v>
      </c>
      <c r="E2518" s="76">
        <v>43999.0</v>
      </c>
      <c r="F2518" s="77">
        <v>0.020833333333333332</v>
      </c>
      <c r="G2518" s="62" t="b">
        <v>0</v>
      </c>
      <c r="H2518" s="78" t="b">
        <f>IF(VLOOKUP(C2518,Projetos!A:L,12,false)=TRUE,TRUE,FALSE)</f>
        <v>1</v>
      </c>
      <c r="I2518" s="68">
        <v>35.94867919823232</v>
      </c>
      <c r="J2518" s="68">
        <f t="shared" si="1"/>
        <v>0</v>
      </c>
      <c r="K2518" s="68" t="b">
        <v>1</v>
      </c>
    </row>
    <row r="2519" hidden="1">
      <c r="A2519" s="75">
        <v>2513.0</v>
      </c>
      <c r="B2519" s="62" t="s">
        <v>1306</v>
      </c>
      <c r="C2519" s="62" t="s">
        <v>108</v>
      </c>
      <c r="D2519" s="62" t="s">
        <v>1543</v>
      </c>
      <c r="E2519" s="76">
        <v>44001.0</v>
      </c>
      <c r="F2519" s="77">
        <v>0.0625</v>
      </c>
      <c r="G2519" s="62" t="b">
        <v>0</v>
      </c>
      <c r="H2519" s="78" t="b">
        <f>IF(VLOOKUP(C2519,Projetos!A:L,12,false)=TRUE,TRUE,FALSE)</f>
        <v>1</v>
      </c>
      <c r="I2519" s="68">
        <v>35.94867919823232</v>
      </c>
      <c r="J2519" s="68">
        <f t="shared" si="1"/>
        <v>0</v>
      </c>
      <c r="K2519" s="68" t="b">
        <v>1</v>
      </c>
    </row>
    <row r="2520" hidden="1">
      <c r="A2520" s="75">
        <v>2514.0</v>
      </c>
      <c r="B2520" s="62" t="s">
        <v>1306</v>
      </c>
      <c r="C2520" s="62" t="s">
        <v>108</v>
      </c>
      <c r="D2520" s="62" t="s">
        <v>1544</v>
      </c>
      <c r="E2520" s="76">
        <v>44001.0</v>
      </c>
      <c r="F2520" s="77">
        <v>0.0625</v>
      </c>
      <c r="G2520" s="62" t="b">
        <v>0</v>
      </c>
      <c r="H2520" s="78" t="b">
        <f>IF(VLOOKUP(C2520,Projetos!A:L,12,false)=TRUE,TRUE,FALSE)</f>
        <v>1</v>
      </c>
      <c r="I2520" s="68">
        <v>35.94867919823232</v>
      </c>
      <c r="J2520" s="68">
        <f t="shared" si="1"/>
        <v>0</v>
      </c>
      <c r="K2520" s="68" t="b">
        <v>1</v>
      </c>
    </row>
    <row r="2521" hidden="1">
      <c r="A2521" s="75">
        <v>2515.0</v>
      </c>
      <c r="B2521" s="62" t="s">
        <v>1306</v>
      </c>
      <c r="C2521" s="62" t="s">
        <v>108</v>
      </c>
      <c r="D2521" s="62" t="s">
        <v>1544</v>
      </c>
      <c r="E2521" s="76">
        <v>44004.0</v>
      </c>
      <c r="F2521" s="77">
        <v>0.0625</v>
      </c>
      <c r="G2521" s="62" t="b">
        <v>0</v>
      </c>
      <c r="H2521" s="78" t="b">
        <f>IF(VLOOKUP(C2521,Projetos!A:L,12,false)=TRUE,TRUE,FALSE)</f>
        <v>1</v>
      </c>
      <c r="I2521" s="68">
        <v>35.94867919823232</v>
      </c>
      <c r="J2521" s="68">
        <f t="shared" si="1"/>
        <v>0</v>
      </c>
      <c r="K2521" s="68" t="b">
        <v>1</v>
      </c>
    </row>
    <row r="2522" hidden="1">
      <c r="A2522" s="75">
        <v>2516.0</v>
      </c>
      <c r="B2522" s="62" t="s">
        <v>1306</v>
      </c>
      <c r="C2522" s="62" t="s">
        <v>108</v>
      </c>
      <c r="D2522" s="62" t="s">
        <v>1507</v>
      </c>
      <c r="E2522" s="76">
        <v>44005.0</v>
      </c>
      <c r="F2522" s="77">
        <v>0.041666666666666664</v>
      </c>
      <c r="G2522" s="62" t="b">
        <v>0</v>
      </c>
      <c r="H2522" s="78" t="b">
        <f>IF(VLOOKUP(C2522,Projetos!A:L,12,false)=TRUE,TRUE,FALSE)</f>
        <v>1</v>
      </c>
      <c r="I2522" s="68">
        <v>35.94867919823232</v>
      </c>
      <c r="J2522" s="68">
        <f t="shared" si="1"/>
        <v>0</v>
      </c>
      <c r="K2522" s="68" t="b">
        <v>1</v>
      </c>
    </row>
    <row r="2523" hidden="1">
      <c r="A2523" s="75">
        <v>2517.0</v>
      </c>
      <c r="B2523" s="62" t="s">
        <v>1306</v>
      </c>
      <c r="C2523" s="62" t="s">
        <v>108</v>
      </c>
      <c r="D2523" s="62" t="s">
        <v>1545</v>
      </c>
      <c r="E2523" s="76">
        <v>44007.0</v>
      </c>
      <c r="F2523" s="77">
        <v>0.020833333333333332</v>
      </c>
      <c r="G2523" s="62" t="b">
        <v>0</v>
      </c>
      <c r="H2523" s="78" t="b">
        <f>IF(VLOOKUP(C2523,Projetos!A:L,12,false)=TRUE,TRUE,FALSE)</f>
        <v>1</v>
      </c>
      <c r="I2523" s="68">
        <v>35.94867919823232</v>
      </c>
      <c r="J2523" s="68">
        <f t="shared" si="1"/>
        <v>0</v>
      </c>
      <c r="K2523" s="68" t="b">
        <v>1</v>
      </c>
    </row>
    <row r="2524" hidden="1">
      <c r="A2524" s="75">
        <v>2518.0</v>
      </c>
      <c r="B2524" s="62" t="s">
        <v>1306</v>
      </c>
      <c r="C2524" s="62" t="s">
        <v>109</v>
      </c>
      <c r="D2524" s="62" t="s">
        <v>1546</v>
      </c>
      <c r="E2524" s="76">
        <v>43983.0</v>
      </c>
      <c r="F2524" s="77">
        <v>0.034722222222222224</v>
      </c>
      <c r="G2524" s="62" t="b">
        <v>0</v>
      </c>
      <c r="H2524" s="78" t="b">
        <f>IF(VLOOKUP(C2524,Projetos!A:L,12,false)=TRUE,TRUE,FALSE)</f>
        <v>0</v>
      </c>
      <c r="I2524" s="68">
        <v>35.94867919823232</v>
      </c>
      <c r="J2524" s="68">
        <f t="shared" si="1"/>
        <v>0</v>
      </c>
      <c r="K2524" s="68" t="b">
        <v>0</v>
      </c>
    </row>
    <row r="2525" hidden="1">
      <c r="A2525" s="75">
        <v>2519.0</v>
      </c>
      <c r="B2525" s="62" t="s">
        <v>1306</v>
      </c>
      <c r="C2525" s="62" t="s">
        <v>109</v>
      </c>
      <c r="D2525" s="62" t="s">
        <v>1546</v>
      </c>
      <c r="E2525" s="76">
        <v>43985.0</v>
      </c>
      <c r="F2525" s="77">
        <v>0.041666666666666664</v>
      </c>
      <c r="G2525" s="62" t="b">
        <v>0</v>
      </c>
      <c r="H2525" s="78" t="b">
        <f>IF(VLOOKUP(C2525,Projetos!A:L,12,false)=TRUE,TRUE,FALSE)</f>
        <v>0</v>
      </c>
      <c r="I2525" s="68">
        <v>35.94867919823232</v>
      </c>
      <c r="J2525" s="68">
        <f t="shared" si="1"/>
        <v>0</v>
      </c>
      <c r="K2525" s="68" t="b">
        <v>0</v>
      </c>
    </row>
    <row r="2526" hidden="1">
      <c r="A2526" s="75">
        <v>2520.0</v>
      </c>
      <c r="B2526" s="62" t="s">
        <v>1306</v>
      </c>
      <c r="C2526" s="62" t="s">
        <v>109</v>
      </c>
      <c r="D2526" s="62" t="s">
        <v>1492</v>
      </c>
      <c r="E2526" s="76">
        <v>43985.0</v>
      </c>
      <c r="F2526" s="77">
        <v>0.041666666666666664</v>
      </c>
      <c r="G2526" s="62" t="b">
        <v>0</v>
      </c>
      <c r="H2526" s="78" t="b">
        <f>IF(VLOOKUP(C2526,Projetos!A:L,12,false)=TRUE,TRUE,FALSE)</f>
        <v>0</v>
      </c>
      <c r="I2526" s="68">
        <v>35.94867919823232</v>
      </c>
      <c r="J2526" s="68">
        <f t="shared" si="1"/>
        <v>0</v>
      </c>
      <c r="K2526" s="68" t="b">
        <v>0</v>
      </c>
    </row>
    <row r="2527" hidden="1">
      <c r="A2527" s="75">
        <v>2521.0</v>
      </c>
      <c r="B2527" s="62" t="s">
        <v>1306</v>
      </c>
      <c r="C2527" s="62" t="s">
        <v>109</v>
      </c>
      <c r="D2527" s="62" t="s">
        <v>1546</v>
      </c>
      <c r="E2527" s="76">
        <v>43986.0</v>
      </c>
      <c r="F2527" s="77">
        <v>0.041666666666666664</v>
      </c>
      <c r="G2527" s="62" t="b">
        <v>0</v>
      </c>
      <c r="H2527" s="78" t="b">
        <f>IF(VLOOKUP(C2527,Projetos!A:L,12,false)=TRUE,TRUE,FALSE)</f>
        <v>0</v>
      </c>
      <c r="I2527" s="68">
        <v>35.94867919823232</v>
      </c>
      <c r="J2527" s="68">
        <f t="shared" si="1"/>
        <v>0</v>
      </c>
      <c r="K2527" s="68" t="b">
        <v>0</v>
      </c>
    </row>
    <row r="2528" hidden="1">
      <c r="A2528" s="75">
        <v>2522.0</v>
      </c>
      <c r="B2528" s="62" t="s">
        <v>1306</v>
      </c>
      <c r="C2528" s="62" t="s">
        <v>109</v>
      </c>
      <c r="D2528" s="62" t="s">
        <v>1547</v>
      </c>
      <c r="E2528" s="76">
        <v>43990.0</v>
      </c>
      <c r="F2528" s="77">
        <v>0.041666666666666664</v>
      </c>
      <c r="G2528" s="62" t="b">
        <v>0</v>
      </c>
      <c r="H2528" s="78" t="b">
        <f>IF(VLOOKUP(C2528,Projetos!A:L,12,false)=TRUE,TRUE,FALSE)</f>
        <v>0</v>
      </c>
      <c r="I2528" s="68">
        <v>35.94867919823232</v>
      </c>
      <c r="J2528" s="68">
        <f t="shared" si="1"/>
        <v>0</v>
      </c>
      <c r="K2528" s="68" t="b">
        <v>0</v>
      </c>
    </row>
    <row r="2529" hidden="1">
      <c r="A2529" s="75">
        <v>2523.0</v>
      </c>
      <c r="B2529" s="62" t="s">
        <v>1306</v>
      </c>
      <c r="C2529" s="62" t="s">
        <v>109</v>
      </c>
      <c r="D2529" s="62" t="s">
        <v>1425</v>
      </c>
      <c r="E2529" s="76">
        <v>43990.0</v>
      </c>
      <c r="F2529" s="77">
        <v>0.03125</v>
      </c>
      <c r="G2529" s="62" t="b">
        <v>0</v>
      </c>
      <c r="H2529" s="78" t="b">
        <f>IF(VLOOKUP(C2529,Projetos!A:L,12,false)=TRUE,TRUE,FALSE)</f>
        <v>0</v>
      </c>
      <c r="I2529" s="68">
        <v>35.94867919823232</v>
      </c>
      <c r="J2529" s="68">
        <f t="shared" si="1"/>
        <v>0</v>
      </c>
      <c r="K2529" s="68" t="b">
        <v>0</v>
      </c>
    </row>
    <row r="2530" hidden="1">
      <c r="A2530" s="75">
        <v>2524.0</v>
      </c>
      <c r="B2530" s="62" t="s">
        <v>1306</v>
      </c>
      <c r="C2530" s="62" t="s">
        <v>109</v>
      </c>
      <c r="D2530" s="62" t="s">
        <v>1547</v>
      </c>
      <c r="E2530" s="76">
        <v>43991.0</v>
      </c>
      <c r="F2530" s="77">
        <v>0.041666666666666664</v>
      </c>
      <c r="G2530" s="62" t="b">
        <v>0</v>
      </c>
      <c r="H2530" s="78" t="b">
        <f>IF(VLOOKUP(C2530,Projetos!A:L,12,false)=TRUE,TRUE,FALSE)</f>
        <v>0</v>
      </c>
      <c r="I2530" s="68">
        <v>35.94867919823232</v>
      </c>
      <c r="J2530" s="68">
        <f t="shared" si="1"/>
        <v>0</v>
      </c>
      <c r="K2530" s="68" t="b">
        <v>0</v>
      </c>
    </row>
    <row r="2531" hidden="1">
      <c r="A2531" s="75">
        <v>2525.0</v>
      </c>
      <c r="B2531" s="62" t="s">
        <v>1306</v>
      </c>
      <c r="C2531" s="62" t="s">
        <v>109</v>
      </c>
      <c r="D2531" s="62" t="s">
        <v>1548</v>
      </c>
      <c r="E2531" s="76">
        <v>43997.0</v>
      </c>
      <c r="F2531" s="77">
        <v>0.11458333333333333</v>
      </c>
      <c r="G2531" s="62" t="b">
        <v>0</v>
      </c>
      <c r="H2531" s="78" t="b">
        <f>IF(VLOOKUP(C2531,Projetos!A:L,12,false)=TRUE,TRUE,FALSE)</f>
        <v>0</v>
      </c>
      <c r="I2531" s="68">
        <v>35.94867919823232</v>
      </c>
      <c r="J2531" s="68">
        <f t="shared" si="1"/>
        <v>0</v>
      </c>
      <c r="K2531" s="68" t="b">
        <v>0</v>
      </c>
    </row>
    <row r="2532" hidden="1">
      <c r="A2532" s="75">
        <v>2526.0</v>
      </c>
      <c r="B2532" s="62" t="s">
        <v>1306</v>
      </c>
      <c r="C2532" s="62" t="s">
        <v>109</v>
      </c>
      <c r="D2532" s="62" t="s">
        <v>1548</v>
      </c>
      <c r="E2532" s="76">
        <v>43998.0</v>
      </c>
      <c r="F2532" s="77">
        <v>0.11458333333333333</v>
      </c>
      <c r="G2532" s="62" t="b">
        <v>0</v>
      </c>
      <c r="H2532" s="78" t="b">
        <f>IF(VLOOKUP(C2532,Projetos!A:L,12,false)=TRUE,TRUE,FALSE)</f>
        <v>0</v>
      </c>
      <c r="I2532" s="68">
        <v>35.94867919823232</v>
      </c>
      <c r="J2532" s="68">
        <f t="shared" si="1"/>
        <v>0</v>
      </c>
      <c r="K2532" s="68" t="b">
        <v>0</v>
      </c>
    </row>
    <row r="2533" hidden="1">
      <c r="A2533" s="75">
        <v>2527.0</v>
      </c>
      <c r="B2533" s="62" t="s">
        <v>1306</v>
      </c>
      <c r="C2533" s="62" t="s">
        <v>109</v>
      </c>
      <c r="D2533" s="62" t="s">
        <v>1548</v>
      </c>
      <c r="E2533" s="76">
        <v>43999.0</v>
      </c>
      <c r="F2533" s="77">
        <v>0.11458333333333333</v>
      </c>
      <c r="G2533" s="62" t="b">
        <v>0</v>
      </c>
      <c r="H2533" s="78" t="b">
        <f>IF(VLOOKUP(C2533,Projetos!A:L,12,false)=TRUE,TRUE,FALSE)</f>
        <v>0</v>
      </c>
      <c r="I2533" s="68">
        <v>35.94867919823232</v>
      </c>
      <c r="J2533" s="68">
        <f t="shared" si="1"/>
        <v>0</v>
      </c>
      <c r="K2533" s="68" t="b">
        <v>0</v>
      </c>
    </row>
    <row r="2534" hidden="1">
      <c r="A2534" s="75">
        <v>2528.0</v>
      </c>
      <c r="B2534" s="62" t="s">
        <v>1306</v>
      </c>
      <c r="C2534" s="62" t="s">
        <v>109</v>
      </c>
      <c r="D2534" s="62" t="s">
        <v>1549</v>
      </c>
      <c r="E2534" s="76">
        <v>43999.0</v>
      </c>
      <c r="F2534" s="77">
        <v>0.041666666666666664</v>
      </c>
      <c r="G2534" s="62" t="b">
        <v>0</v>
      </c>
      <c r="H2534" s="78" t="b">
        <f>IF(VLOOKUP(C2534,Projetos!A:L,12,false)=TRUE,TRUE,FALSE)</f>
        <v>0</v>
      </c>
      <c r="I2534" s="68">
        <v>35.94867919823232</v>
      </c>
      <c r="J2534" s="68">
        <f t="shared" si="1"/>
        <v>0</v>
      </c>
      <c r="K2534" s="68" t="b">
        <v>0</v>
      </c>
    </row>
    <row r="2535" hidden="1">
      <c r="A2535" s="75">
        <v>2529.0</v>
      </c>
      <c r="B2535" s="62" t="s">
        <v>1306</v>
      </c>
      <c r="C2535" s="62" t="s">
        <v>109</v>
      </c>
      <c r="D2535" s="62" t="s">
        <v>1548</v>
      </c>
      <c r="E2535" s="76">
        <v>44000.0</v>
      </c>
      <c r="F2535" s="77">
        <v>0.11458333333333333</v>
      </c>
      <c r="G2535" s="62" t="b">
        <v>0</v>
      </c>
      <c r="H2535" s="78" t="b">
        <f>IF(VLOOKUP(C2535,Projetos!A:L,12,false)=TRUE,TRUE,FALSE)</f>
        <v>0</v>
      </c>
      <c r="I2535" s="68">
        <v>35.94867919823232</v>
      </c>
      <c r="J2535" s="68">
        <f t="shared" si="1"/>
        <v>0</v>
      </c>
      <c r="K2535" s="68" t="b">
        <v>0</v>
      </c>
    </row>
    <row r="2536" hidden="1">
      <c r="A2536" s="75">
        <v>2530.0</v>
      </c>
      <c r="B2536" s="62" t="s">
        <v>1306</v>
      </c>
      <c r="C2536" s="62" t="s">
        <v>109</v>
      </c>
      <c r="D2536" s="62" t="s">
        <v>1548</v>
      </c>
      <c r="E2536" s="76">
        <v>44001.0</v>
      </c>
      <c r="F2536" s="77">
        <v>0.11458333333333333</v>
      </c>
      <c r="G2536" s="62" t="b">
        <v>0</v>
      </c>
      <c r="H2536" s="78" t="b">
        <f>IF(VLOOKUP(C2536,Projetos!A:L,12,false)=TRUE,TRUE,FALSE)</f>
        <v>0</v>
      </c>
      <c r="I2536" s="68">
        <v>35.94867919823232</v>
      </c>
      <c r="J2536" s="68">
        <f t="shared" si="1"/>
        <v>0</v>
      </c>
      <c r="K2536" s="68" t="b">
        <v>0</v>
      </c>
    </row>
    <row r="2537" hidden="1">
      <c r="A2537" s="75">
        <v>2531.0</v>
      </c>
      <c r="B2537" s="62" t="s">
        <v>1306</v>
      </c>
      <c r="C2537" s="62" t="s">
        <v>109</v>
      </c>
      <c r="D2537" s="62" t="s">
        <v>1550</v>
      </c>
      <c r="E2537" s="76">
        <v>44001.0</v>
      </c>
      <c r="F2537" s="77">
        <v>0.08333333333333333</v>
      </c>
      <c r="G2537" s="62" t="b">
        <v>0</v>
      </c>
      <c r="H2537" s="78" t="b">
        <f>IF(VLOOKUP(C2537,Projetos!A:L,12,false)=TRUE,TRUE,FALSE)</f>
        <v>0</v>
      </c>
      <c r="I2537" s="68">
        <v>35.94867919823232</v>
      </c>
      <c r="J2537" s="68">
        <f t="shared" si="1"/>
        <v>0</v>
      </c>
      <c r="K2537" s="68" t="b">
        <v>0</v>
      </c>
    </row>
    <row r="2538" hidden="1">
      <c r="A2538" s="75">
        <v>2532.0</v>
      </c>
      <c r="B2538" s="62" t="s">
        <v>1306</v>
      </c>
      <c r="C2538" s="62" t="s">
        <v>109</v>
      </c>
      <c r="D2538" s="62" t="s">
        <v>1551</v>
      </c>
      <c r="E2538" s="76">
        <v>44008.0</v>
      </c>
      <c r="F2538" s="77">
        <v>0.10416666666666667</v>
      </c>
      <c r="G2538" s="62" t="b">
        <v>0</v>
      </c>
      <c r="H2538" s="78" t="b">
        <f>IF(VLOOKUP(C2538,Projetos!A:L,12,false)=TRUE,TRUE,FALSE)</f>
        <v>0</v>
      </c>
      <c r="I2538" s="68">
        <v>35.94867919823232</v>
      </c>
      <c r="J2538" s="68">
        <f t="shared" si="1"/>
        <v>0</v>
      </c>
      <c r="K2538" s="68" t="b">
        <v>0</v>
      </c>
    </row>
    <row r="2539" hidden="1">
      <c r="A2539" s="75">
        <v>2533.0</v>
      </c>
      <c r="B2539" s="62" t="s">
        <v>1306</v>
      </c>
      <c r="C2539" s="62" t="s">
        <v>110</v>
      </c>
      <c r="D2539" s="62" t="s">
        <v>1552</v>
      </c>
      <c r="E2539" s="76">
        <v>43990.0</v>
      </c>
      <c r="F2539" s="77">
        <v>0.020833333333333332</v>
      </c>
      <c r="G2539" s="62" t="b">
        <v>1</v>
      </c>
      <c r="H2539" s="78" t="b">
        <f>IF(VLOOKUP(C2539,Projetos!A:L,12,false)=TRUE,TRUE,FALSE)</f>
        <v>1</v>
      </c>
      <c r="I2539" s="68">
        <v>35.94867919823232</v>
      </c>
      <c r="J2539" s="68">
        <f t="shared" si="1"/>
        <v>17.9743396</v>
      </c>
      <c r="K2539" s="68" t="b">
        <v>1</v>
      </c>
    </row>
    <row r="2540" hidden="1">
      <c r="A2540" s="75">
        <v>2534.0</v>
      </c>
      <c r="B2540" s="62" t="s">
        <v>1306</v>
      </c>
      <c r="C2540" s="62" t="s">
        <v>110</v>
      </c>
      <c r="D2540" s="62" t="s">
        <v>1446</v>
      </c>
      <c r="E2540" s="76">
        <v>43992.0</v>
      </c>
      <c r="F2540" s="77">
        <v>0.0625</v>
      </c>
      <c r="G2540" s="62" t="b">
        <v>1</v>
      </c>
      <c r="H2540" s="78" t="b">
        <f>IF(VLOOKUP(C2540,Projetos!A:L,12,false)=TRUE,TRUE,FALSE)</f>
        <v>1</v>
      </c>
      <c r="I2540" s="68">
        <v>35.94867919823232</v>
      </c>
      <c r="J2540" s="68">
        <f t="shared" si="1"/>
        <v>53.9230188</v>
      </c>
      <c r="K2540" s="68" t="b">
        <v>1</v>
      </c>
    </row>
    <row r="2541" hidden="1">
      <c r="A2541" s="75">
        <v>2535.0</v>
      </c>
      <c r="B2541" s="62" t="s">
        <v>1306</v>
      </c>
      <c r="C2541" s="62" t="s">
        <v>110</v>
      </c>
      <c r="D2541" s="62" t="s">
        <v>1501</v>
      </c>
      <c r="E2541" s="76">
        <v>43992.0</v>
      </c>
      <c r="F2541" s="77">
        <v>0.041666666666666664</v>
      </c>
      <c r="G2541" s="62" t="b">
        <v>1</v>
      </c>
      <c r="H2541" s="78" t="b">
        <f>IF(VLOOKUP(C2541,Projetos!A:L,12,false)=TRUE,TRUE,FALSE)</f>
        <v>1</v>
      </c>
      <c r="I2541" s="68">
        <v>35.94867919823232</v>
      </c>
      <c r="J2541" s="68">
        <f t="shared" si="1"/>
        <v>35.9486792</v>
      </c>
      <c r="K2541" s="68" t="b">
        <v>1</v>
      </c>
    </row>
    <row r="2542" hidden="1">
      <c r="A2542" s="75">
        <v>2536.0</v>
      </c>
      <c r="B2542" s="62" t="s">
        <v>1306</v>
      </c>
      <c r="C2542" s="62" t="s">
        <v>110</v>
      </c>
      <c r="D2542" s="62" t="s">
        <v>1501</v>
      </c>
      <c r="E2542" s="76">
        <v>43998.0</v>
      </c>
      <c r="F2542" s="77">
        <v>0.041666666666666664</v>
      </c>
      <c r="G2542" s="62" t="b">
        <v>1</v>
      </c>
      <c r="H2542" s="78" t="b">
        <f>IF(VLOOKUP(C2542,Projetos!A:L,12,false)=TRUE,TRUE,FALSE)</f>
        <v>1</v>
      </c>
      <c r="I2542" s="68">
        <v>35.94867919823232</v>
      </c>
      <c r="J2542" s="68">
        <f t="shared" si="1"/>
        <v>35.9486792</v>
      </c>
      <c r="K2542" s="68" t="b">
        <v>1</v>
      </c>
    </row>
    <row r="2543" hidden="1">
      <c r="A2543" s="75">
        <v>2537.0</v>
      </c>
      <c r="B2543" s="62" t="s">
        <v>1306</v>
      </c>
      <c r="C2543" s="62" t="s">
        <v>110</v>
      </c>
      <c r="D2543" s="62" t="s">
        <v>1507</v>
      </c>
      <c r="E2543" s="76">
        <v>43998.0</v>
      </c>
      <c r="F2543" s="77">
        <v>0.0625</v>
      </c>
      <c r="G2543" s="62" t="b">
        <v>1</v>
      </c>
      <c r="H2543" s="78" t="b">
        <f>IF(VLOOKUP(C2543,Projetos!A:L,12,false)=TRUE,TRUE,FALSE)</f>
        <v>1</v>
      </c>
      <c r="I2543" s="68">
        <v>35.94867919823232</v>
      </c>
      <c r="J2543" s="68">
        <f t="shared" si="1"/>
        <v>53.9230188</v>
      </c>
      <c r="K2543" s="68" t="b">
        <v>1</v>
      </c>
    </row>
    <row r="2544" hidden="1">
      <c r="A2544" s="75">
        <v>2538.0</v>
      </c>
      <c r="B2544" s="62" t="s">
        <v>1306</v>
      </c>
      <c r="C2544" s="62" t="s">
        <v>110</v>
      </c>
      <c r="D2544" s="62" t="s">
        <v>1378</v>
      </c>
      <c r="E2544" s="76">
        <v>44000.0</v>
      </c>
      <c r="F2544" s="77">
        <v>0.041666666666666664</v>
      </c>
      <c r="G2544" s="62" t="b">
        <v>1</v>
      </c>
      <c r="H2544" s="78" t="b">
        <f>IF(VLOOKUP(C2544,Projetos!A:L,12,false)=TRUE,TRUE,FALSE)</f>
        <v>1</v>
      </c>
      <c r="I2544" s="68">
        <v>35.94867919823232</v>
      </c>
      <c r="J2544" s="68">
        <f t="shared" si="1"/>
        <v>35.9486792</v>
      </c>
      <c r="K2544" s="68" t="b">
        <v>1</v>
      </c>
    </row>
    <row r="2545" hidden="1">
      <c r="A2545" s="75">
        <v>2539.0</v>
      </c>
      <c r="B2545" s="62" t="s">
        <v>1306</v>
      </c>
      <c r="C2545" s="62" t="s">
        <v>110</v>
      </c>
      <c r="D2545" s="62" t="s">
        <v>1501</v>
      </c>
      <c r="E2545" s="76">
        <v>44004.0</v>
      </c>
      <c r="F2545" s="77">
        <v>0.041666666666666664</v>
      </c>
      <c r="G2545" s="62" t="b">
        <v>1</v>
      </c>
      <c r="H2545" s="78" t="b">
        <f>IF(VLOOKUP(C2545,Projetos!A:L,12,false)=TRUE,TRUE,FALSE)</f>
        <v>1</v>
      </c>
      <c r="I2545" s="68">
        <v>35.94867919823232</v>
      </c>
      <c r="J2545" s="68">
        <f t="shared" si="1"/>
        <v>35.9486792</v>
      </c>
      <c r="K2545" s="68" t="b">
        <v>1</v>
      </c>
    </row>
    <row r="2546" hidden="1">
      <c r="A2546" s="75">
        <v>2540.0</v>
      </c>
      <c r="B2546" s="62" t="s">
        <v>1306</v>
      </c>
      <c r="C2546" s="62" t="s">
        <v>110</v>
      </c>
      <c r="D2546" s="62" t="s">
        <v>1553</v>
      </c>
      <c r="E2546" s="76">
        <v>44005.0</v>
      </c>
      <c r="F2546" s="77">
        <v>0.041666666666666664</v>
      </c>
      <c r="G2546" s="62" t="b">
        <v>1</v>
      </c>
      <c r="H2546" s="78" t="b">
        <f>IF(VLOOKUP(C2546,Projetos!A:L,12,false)=TRUE,TRUE,FALSE)</f>
        <v>1</v>
      </c>
      <c r="I2546" s="68">
        <v>35.94867919823232</v>
      </c>
      <c r="J2546" s="68">
        <f t="shared" si="1"/>
        <v>35.9486792</v>
      </c>
      <c r="K2546" s="68" t="b">
        <v>1</v>
      </c>
    </row>
    <row r="2547" hidden="1">
      <c r="A2547" s="75">
        <v>2541.0</v>
      </c>
      <c r="B2547" s="62" t="s">
        <v>1306</v>
      </c>
      <c r="C2547" s="62" t="s">
        <v>138</v>
      </c>
      <c r="D2547" s="62" t="s">
        <v>1554</v>
      </c>
      <c r="E2547" s="76">
        <v>44013.0</v>
      </c>
      <c r="F2547" s="77">
        <v>0.041666666666666664</v>
      </c>
      <c r="G2547" s="62" t="b">
        <v>1</v>
      </c>
      <c r="H2547" s="78" t="b">
        <f>IF(VLOOKUP(C2547,Projetos!A:L,12,false)=TRUE,TRUE,FALSE)</f>
        <v>1</v>
      </c>
      <c r="I2547" s="68">
        <v>37.66052106481481</v>
      </c>
      <c r="J2547" s="68">
        <f t="shared" si="1"/>
        <v>37.66052106</v>
      </c>
      <c r="K2547" s="68" t="b">
        <v>1</v>
      </c>
    </row>
    <row r="2548" hidden="1">
      <c r="A2548" s="75">
        <v>2542.0</v>
      </c>
      <c r="B2548" s="62" t="s">
        <v>1306</v>
      </c>
      <c r="C2548" s="62" t="s">
        <v>138</v>
      </c>
      <c r="D2548" s="62" t="s">
        <v>1555</v>
      </c>
      <c r="E2548" s="76">
        <v>44013.0</v>
      </c>
      <c r="F2548" s="77">
        <v>0.07291666666666667</v>
      </c>
      <c r="G2548" s="62" t="b">
        <v>1</v>
      </c>
      <c r="H2548" s="78" t="b">
        <f>IF(VLOOKUP(C2548,Projetos!A:L,12,false)=TRUE,TRUE,FALSE)</f>
        <v>1</v>
      </c>
      <c r="I2548" s="68">
        <v>37.66052106481481</v>
      </c>
      <c r="J2548" s="68">
        <f t="shared" si="1"/>
        <v>65.90591186</v>
      </c>
      <c r="K2548" s="68" t="b">
        <v>1</v>
      </c>
    </row>
    <row r="2549" hidden="1">
      <c r="A2549" s="75">
        <v>2543.0</v>
      </c>
      <c r="B2549" s="62" t="s">
        <v>1306</v>
      </c>
      <c r="C2549" s="62" t="s">
        <v>138</v>
      </c>
      <c r="D2549" s="62" t="s">
        <v>1556</v>
      </c>
      <c r="E2549" s="76">
        <v>44014.0</v>
      </c>
      <c r="F2549" s="77">
        <v>0.041666666666666664</v>
      </c>
      <c r="G2549" s="62" t="b">
        <v>1</v>
      </c>
      <c r="H2549" s="78" t="b">
        <f>IF(VLOOKUP(C2549,Projetos!A:L,12,false)=TRUE,TRUE,FALSE)</f>
        <v>1</v>
      </c>
      <c r="I2549" s="68">
        <v>37.66052106481481</v>
      </c>
      <c r="J2549" s="68">
        <f t="shared" si="1"/>
        <v>37.66052106</v>
      </c>
      <c r="K2549" s="68" t="b">
        <v>1</v>
      </c>
    </row>
    <row r="2550" hidden="1">
      <c r="A2550" s="75">
        <v>2544.0</v>
      </c>
      <c r="B2550" s="62" t="s">
        <v>1306</v>
      </c>
      <c r="C2550" s="62" t="s">
        <v>138</v>
      </c>
      <c r="D2550" s="62" t="s">
        <v>1557</v>
      </c>
      <c r="E2550" s="76">
        <v>44015.0</v>
      </c>
      <c r="F2550" s="77">
        <v>0.0625</v>
      </c>
      <c r="G2550" s="62" t="b">
        <v>1</v>
      </c>
      <c r="H2550" s="78" t="b">
        <f>IF(VLOOKUP(C2550,Projetos!A:L,12,false)=TRUE,TRUE,FALSE)</f>
        <v>1</v>
      </c>
      <c r="I2550" s="68">
        <v>37.66052106481481</v>
      </c>
      <c r="J2550" s="68">
        <f t="shared" si="1"/>
        <v>56.4907816</v>
      </c>
      <c r="K2550" s="68" t="b">
        <v>1</v>
      </c>
    </row>
    <row r="2551" hidden="1">
      <c r="A2551" s="75">
        <v>2545.0</v>
      </c>
      <c r="B2551" s="62" t="s">
        <v>1306</v>
      </c>
      <c r="C2551" s="62" t="s">
        <v>138</v>
      </c>
      <c r="D2551" s="62" t="s">
        <v>1558</v>
      </c>
      <c r="E2551" s="76">
        <v>44020.0</v>
      </c>
      <c r="F2551" s="77">
        <v>0.041666666666666664</v>
      </c>
      <c r="G2551" s="62" t="b">
        <v>1</v>
      </c>
      <c r="H2551" s="78" t="b">
        <f>IF(VLOOKUP(C2551,Projetos!A:L,12,false)=TRUE,TRUE,FALSE)</f>
        <v>1</v>
      </c>
      <c r="I2551" s="68">
        <v>37.66052106481481</v>
      </c>
      <c r="J2551" s="68">
        <f t="shared" si="1"/>
        <v>37.66052106</v>
      </c>
      <c r="K2551" s="68" t="b">
        <v>1</v>
      </c>
    </row>
    <row r="2552" hidden="1">
      <c r="A2552" s="75">
        <v>2546.0</v>
      </c>
      <c r="B2552" s="62" t="s">
        <v>1306</v>
      </c>
      <c r="C2552" s="62" t="s">
        <v>138</v>
      </c>
      <c r="D2552" s="62" t="s">
        <v>1559</v>
      </c>
      <c r="E2552" s="76">
        <v>44022.0</v>
      </c>
      <c r="F2552" s="77">
        <v>0.0625</v>
      </c>
      <c r="G2552" s="62" t="b">
        <v>1</v>
      </c>
      <c r="H2552" s="78" t="b">
        <f>IF(VLOOKUP(C2552,Projetos!A:L,12,false)=TRUE,TRUE,FALSE)</f>
        <v>1</v>
      </c>
      <c r="I2552" s="68">
        <v>37.66052106481481</v>
      </c>
      <c r="J2552" s="68">
        <f t="shared" si="1"/>
        <v>56.4907816</v>
      </c>
      <c r="K2552" s="68" t="b">
        <v>1</v>
      </c>
    </row>
    <row r="2553" hidden="1">
      <c r="A2553" s="75">
        <v>2547.0</v>
      </c>
      <c r="B2553" s="62" t="s">
        <v>1306</v>
      </c>
      <c r="C2553" s="62" t="s">
        <v>138</v>
      </c>
      <c r="D2553" s="62" t="s">
        <v>1560</v>
      </c>
      <c r="E2553" s="76">
        <v>44025.0</v>
      </c>
      <c r="F2553" s="77">
        <v>0.125</v>
      </c>
      <c r="G2553" s="62" t="b">
        <v>1</v>
      </c>
      <c r="H2553" s="78" t="b">
        <f>IF(VLOOKUP(C2553,Projetos!A:L,12,false)=TRUE,TRUE,FALSE)</f>
        <v>1</v>
      </c>
      <c r="I2553" s="68">
        <v>37.66052106481481</v>
      </c>
      <c r="J2553" s="68">
        <f t="shared" si="1"/>
        <v>112.9815632</v>
      </c>
      <c r="K2553" s="68" t="b">
        <v>1</v>
      </c>
    </row>
    <row r="2554" hidden="1">
      <c r="A2554" s="75">
        <v>2548.0</v>
      </c>
      <c r="B2554" s="62" t="s">
        <v>1306</v>
      </c>
      <c r="C2554" s="62" t="s">
        <v>138</v>
      </c>
      <c r="D2554" s="62" t="s">
        <v>1561</v>
      </c>
      <c r="E2554" s="76">
        <v>44027.0</v>
      </c>
      <c r="F2554" s="77">
        <v>0.041666666666666664</v>
      </c>
      <c r="G2554" s="62" t="b">
        <v>1</v>
      </c>
      <c r="H2554" s="78" t="b">
        <f>IF(VLOOKUP(C2554,Projetos!A:L,12,false)=TRUE,TRUE,FALSE)</f>
        <v>1</v>
      </c>
      <c r="I2554" s="68">
        <v>37.66052106481481</v>
      </c>
      <c r="J2554" s="68">
        <f t="shared" si="1"/>
        <v>37.66052106</v>
      </c>
      <c r="K2554" s="68" t="b">
        <v>1</v>
      </c>
    </row>
    <row r="2555" hidden="1">
      <c r="A2555" s="75">
        <v>2549.0</v>
      </c>
      <c r="B2555" s="62" t="s">
        <v>1306</v>
      </c>
      <c r="C2555" s="62" t="s">
        <v>138</v>
      </c>
      <c r="D2555" s="62" t="s">
        <v>1562</v>
      </c>
      <c r="E2555" s="76">
        <v>44027.0</v>
      </c>
      <c r="F2555" s="77">
        <v>0.041666666666666664</v>
      </c>
      <c r="G2555" s="62" t="b">
        <v>0</v>
      </c>
      <c r="H2555" s="78" t="b">
        <f>IF(VLOOKUP(C2555,Projetos!A:L,12,false)=TRUE,TRUE,FALSE)</f>
        <v>1</v>
      </c>
      <c r="I2555" s="68">
        <v>37.66052106481481</v>
      </c>
      <c r="J2555" s="68">
        <f t="shared" si="1"/>
        <v>0</v>
      </c>
      <c r="K2555" s="68" t="b">
        <v>1</v>
      </c>
    </row>
    <row r="2556" hidden="1">
      <c r="A2556" s="75">
        <v>2550.0</v>
      </c>
      <c r="B2556" s="62" t="s">
        <v>1306</v>
      </c>
      <c r="C2556" s="62" t="s">
        <v>138</v>
      </c>
      <c r="D2556" s="62" t="s">
        <v>1559</v>
      </c>
      <c r="E2556" s="76">
        <v>44035.0</v>
      </c>
      <c r="F2556" s="77">
        <v>0.041666666666666664</v>
      </c>
      <c r="G2556" s="62" t="b">
        <v>1</v>
      </c>
      <c r="H2556" s="78" t="b">
        <f>IF(VLOOKUP(C2556,Projetos!A:L,12,false)=TRUE,TRUE,FALSE)</f>
        <v>1</v>
      </c>
      <c r="I2556" s="68">
        <v>37.66052106481481</v>
      </c>
      <c r="J2556" s="68">
        <f t="shared" si="1"/>
        <v>37.66052106</v>
      </c>
      <c r="K2556" s="68" t="b">
        <v>1</v>
      </c>
    </row>
    <row r="2557" hidden="1">
      <c r="A2557" s="75">
        <v>2551.0</v>
      </c>
      <c r="B2557" s="62" t="s">
        <v>1306</v>
      </c>
      <c r="C2557" s="62" t="s">
        <v>90</v>
      </c>
      <c r="D2557" s="62" t="s">
        <v>417</v>
      </c>
      <c r="E2557" s="76">
        <v>44013.0</v>
      </c>
      <c r="F2557" s="77">
        <v>0.041666666666666664</v>
      </c>
      <c r="G2557" s="62" t="b">
        <v>1</v>
      </c>
      <c r="H2557" s="78" t="b">
        <f>IF(VLOOKUP(C2557,Projetos!A:L,12,false)=TRUE,TRUE,FALSE)</f>
        <v>1</v>
      </c>
      <c r="I2557" s="68">
        <v>37.66052106481481</v>
      </c>
      <c r="J2557" s="68">
        <f t="shared" si="1"/>
        <v>37.66052106</v>
      </c>
      <c r="K2557" s="68" t="b">
        <v>1</v>
      </c>
    </row>
    <row r="2558" hidden="1">
      <c r="A2558" s="75">
        <v>2552.0</v>
      </c>
      <c r="B2558" s="62" t="s">
        <v>1306</v>
      </c>
      <c r="C2558" s="62" t="s">
        <v>90</v>
      </c>
      <c r="D2558" s="62" t="s">
        <v>1563</v>
      </c>
      <c r="E2558" s="76">
        <v>44014.0</v>
      </c>
      <c r="F2558" s="77">
        <v>0.0625</v>
      </c>
      <c r="G2558" s="62" t="b">
        <v>1</v>
      </c>
      <c r="H2558" s="78" t="b">
        <f>IF(VLOOKUP(C2558,Projetos!A:L,12,false)=TRUE,TRUE,FALSE)</f>
        <v>1</v>
      </c>
      <c r="I2558" s="68">
        <v>37.66052106481481</v>
      </c>
      <c r="J2558" s="68">
        <f t="shared" si="1"/>
        <v>56.4907816</v>
      </c>
      <c r="K2558" s="68" t="b">
        <v>1</v>
      </c>
    </row>
    <row r="2559" hidden="1">
      <c r="A2559" s="75">
        <v>2553.0</v>
      </c>
      <c r="B2559" s="62" t="s">
        <v>1306</v>
      </c>
      <c r="C2559" s="62" t="s">
        <v>90</v>
      </c>
      <c r="D2559" s="62" t="s">
        <v>1564</v>
      </c>
      <c r="E2559" s="76">
        <v>44014.0</v>
      </c>
      <c r="F2559" s="77">
        <v>0.0625</v>
      </c>
      <c r="G2559" s="62" t="b">
        <v>1</v>
      </c>
      <c r="H2559" s="78" t="b">
        <f>IF(VLOOKUP(C2559,Projetos!A:L,12,false)=TRUE,TRUE,FALSE)</f>
        <v>1</v>
      </c>
      <c r="I2559" s="68">
        <v>37.66052106481481</v>
      </c>
      <c r="J2559" s="68">
        <f t="shared" si="1"/>
        <v>56.4907816</v>
      </c>
      <c r="K2559" s="68" t="b">
        <v>1</v>
      </c>
    </row>
    <row r="2560" hidden="1">
      <c r="A2560" s="75">
        <v>2554.0</v>
      </c>
      <c r="B2560" s="62" t="s">
        <v>1306</v>
      </c>
      <c r="C2560" s="62" t="s">
        <v>90</v>
      </c>
      <c r="D2560" s="62" t="s">
        <v>1565</v>
      </c>
      <c r="E2560" s="76">
        <v>44014.0</v>
      </c>
      <c r="F2560" s="77">
        <v>0.0625</v>
      </c>
      <c r="G2560" s="62" t="b">
        <v>1</v>
      </c>
      <c r="H2560" s="78" t="b">
        <f>IF(VLOOKUP(C2560,Projetos!A:L,12,false)=TRUE,TRUE,FALSE)</f>
        <v>1</v>
      </c>
      <c r="I2560" s="68">
        <v>37.66052106481481</v>
      </c>
      <c r="J2560" s="68">
        <f t="shared" si="1"/>
        <v>56.4907816</v>
      </c>
      <c r="K2560" s="68" t="b">
        <v>1</v>
      </c>
    </row>
    <row r="2561" hidden="1">
      <c r="A2561" s="75">
        <v>2555.0</v>
      </c>
      <c r="B2561" s="62" t="s">
        <v>1306</v>
      </c>
      <c r="C2561" s="62" t="s">
        <v>90</v>
      </c>
      <c r="D2561" s="62" t="s">
        <v>1566</v>
      </c>
      <c r="E2561" s="76">
        <v>44015.0</v>
      </c>
      <c r="F2561" s="77">
        <v>0.020833333333333332</v>
      </c>
      <c r="G2561" s="62" t="b">
        <v>1</v>
      </c>
      <c r="H2561" s="78" t="b">
        <f>IF(VLOOKUP(C2561,Projetos!A:L,12,false)=TRUE,TRUE,FALSE)</f>
        <v>1</v>
      </c>
      <c r="I2561" s="68">
        <v>37.66052106481481</v>
      </c>
      <c r="J2561" s="68">
        <f t="shared" si="1"/>
        <v>18.83026053</v>
      </c>
      <c r="K2561" s="68" t="b">
        <v>1</v>
      </c>
    </row>
    <row r="2562" hidden="1">
      <c r="A2562" s="75">
        <v>2556.0</v>
      </c>
      <c r="B2562" s="62" t="s">
        <v>1306</v>
      </c>
      <c r="C2562" s="62" t="s">
        <v>90</v>
      </c>
      <c r="D2562" s="62" t="s">
        <v>1567</v>
      </c>
      <c r="E2562" s="76">
        <v>44019.0</v>
      </c>
      <c r="F2562" s="77">
        <v>0.08333333333333333</v>
      </c>
      <c r="G2562" s="62" t="b">
        <v>1</v>
      </c>
      <c r="H2562" s="78" t="b">
        <f>IF(VLOOKUP(C2562,Projetos!A:L,12,false)=TRUE,TRUE,FALSE)</f>
        <v>1</v>
      </c>
      <c r="I2562" s="68">
        <v>37.66052106481481</v>
      </c>
      <c r="J2562" s="68">
        <f t="shared" si="1"/>
        <v>75.32104213</v>
      </c>
      <c r="K2562" s="68" t="b">
        <v>1</v>
      </c>
    </row>
    <row r="2563" hidden="1">
      <c r="A2563" s="75">
        <v>2557.0</v>
      </c>
      <c r="B2563" s="62" t="s">
        <v>1306</v>
      </c>
      <c r="C2563" s="62" t="s">
        <v>90</v>
      </c>
      <c r="D2563" s="62" t="s">
        <v>1568</v>
      </c>
      <c r="E2563" s="76">
        <v>44020.0</v>
      </c>
      <c r="F2563" s="77">
        <v>0.041666666666666664</v>
      </c>
      <c r="G2563" s="62" t="b">
        <v>0</v>
      </c>
      <c r="H2563" s="78" t="b">
        <f>IF(VLOOKUP(C2563,Projetos!A:L,12,false)=TRUE,TRUE,FALSE)</f>
        <v>1</v>
      </c>
      <c r="I2563" s="68">
        <v>37.66052106481481</v>
      </c>
      <c r="J2563" s="68">
        <f t="shared" si="1"/>
        <v>0</v>
      </c>
      <c r="K2563" s="68" t="b">
        <v>1</v>
      </c>
    </row>
    <row r="2564" hidden="1">
      <c r="A2564" s="75">
        <v>2558.0</v>
      </c>
      <c r="B2564" s="62" t="s">
        <v>1306</v>
      </c>
      <c r="C2564" s="62" t="s">
        <v>90</v>
      </c>
      <c r="D2564" s="62" t="s">
        <v>1569</v>
      </c>
      <c r="E2564" s="76">
        <v>44021.0</v>
      </c>
      <c r="F2564" s="77">
        <v>0.041666666666666664</v>
      </c>
      <c r="G2564" s="62" t="b">
        <v>1</v>
      </c>
      <c r="H2564" s="78" t="b">
        <f>IF(VLOOKUP(C2564,Projetos!A:L,12,false)=TRUE,TRUE,FALSE)</f>
        <v>1</v>
      </c>
      <c r="I2564" s="68">
        <v>37.66052106481481</v>
      </c>
      <c r="J2564" s="68">
        <f t="shared" si="1"/>
        <v>37.66052106</v>
      </c>
      <c r="K2564" s="68" t="b">
        <v>1</v>
      </c>
    </row>
    <row r="2565" hidden="1">
      <c r="A2565" s="75">
        <v>2559.0</v>
      </c>
      <c r="B2565" s="62" t="s">
        <v>1306</v>
      </c>
      <c r="C2565" s="62" t="s">
        <v>90</v>
      </c>
      <c r="D2565" s="62" t="s">
        <v>1570</v>
      </c>
      <c r="E2565" s="76">
        <v>44021.0</v>
      </c>
      <c r="F2565" s="77">
        <v>0.08333333333333333</v>
      </c>
      <c r="G2565" s="62" t="b">
        <v>0</v>
      </c>
      <c r="H2565" s="78" t="b">
        <f>IF(VLOOKUP(C2565,Projetos!A:L,12,false)=TRUE,TRUE,FALSE)</f>
        <v>1</v>
      </c>
      <c r="I2565" s="68">
        <v>37.66052106481481</v>
      </c>
      <c r="J2565" s="68">
        <f t="shared" si="1"/>
        <v>0</v>
      </c>
      <c r="K2565" s="68" t="b">
        <v>1</v>
      </c>
    </row>
    <row r="2566" hidden="1">
      <c r="A2566" s="75">
        <v>2560.0</v>
      </c>
      <c r="B2566" s="62" t="s">
        <v>1306</v>
      </c>
      <c r="C2566" s="62" t="s">
        <v>90</v>
      </c>
      <c r="D2566" s="62" t="s">
        <v>1571</v>
      </c>
      <c r="E2566" s="76">
        <v>44021.0</v>
      </c>
      <c r="F2566" s="77">
        <v>0.041666666666666664</v>
      </c>
      <c r="G2566" s="62" t="b">
        <v>1</v>
      </c>
      <c r="H2566" s="78" t="b">
        <f>IF(VLOOKUP(C2566,Projetos!A:L,12,false)=TRUE,TRUE,FALSE)</f>
        <v>1</v>
      </c>
      <c r="I2566" s="68">
        <v>37.66052106481481</v>
      </c>
      <c r="J2566" s="68">
        <f t="shared" si="1"/>
        <v>37.66052106</v>
      </c>
      <c r="K2566" s="68" t="b">
        <v>1</v>
      </c>
    </row>
    <row r="2567" hidden="1">
      <c r="A2567" s="75">
        <v>2561.0</v>
      </c>
      <c r="B2567" s="62" t="s">
        <v>1306</v>
      </c>
      <c r="C2567" s="62" t="s">
        <v>90</v>
      </c>
      <c r="D2567" s="62" t="s">
        <v>761</v>
      </c>
      <c r="E2567" s="76">
        <v>44021.0</v>
      </c>
      <c r="F2567" s="77">
        <v>0.0625</v>
      </c>
      <c r="G2567" s="62" t="b">
        <v>1</v>
      </c>
      <c r="H2567" s="78" t="b">
        <f>IF(VLOOKUP(C2567,Projetos!A:L,12,false)=TRUE,TRUE,FALSE)</f>
        <v>1</v>
      </c>
      <c r="I2567" s="68">
        <v>37.66052106481481</v>
      </c>
      <c r="J2567" s="68">
        <f t="shared" si="1"/>
        <v>56.4907816</v>
      </c>
      <c r="K2567" s="68" t="b">
        <v>1</v>
      </c>
    </row>
    <row r="2568" hidden="1">
      <c r="A2568" s="75">
        <v>2562.0</v>
      </c>
      <c r="B2568" s="62" t="s">
        <v>1306</v>
      </c>
      <c r="C2568" s="62" t="s">
        <v>90</v>
      </c>
      <c r="D2568" s="62" t="s">
        <v>1571</v>
      </c>
      <c r="E2568" s="76">
        <v>44022.0</v>
      </c>
      <c r="F2568" s="77">
        <v>0.08333333333333333</v>
      </c>
      <c r="G2568" s="62" t="b">
        <v>1</v>
      </c>
      <c r="H2568" s="78" t="b">
        <f>IF(VLOOKUP(C2568,Projetos!A:L,12,false)=TRUE,TRUE,FALSE)</f>
        <v>1</v>
      </c>
      <c r="I2568" s="68">
        <v>37.66052106481481</v>
      </c>
      <c r="J2568" s="68">
        <f t="shared" si="1"/>
        <v>75.32104213</v>
      </c>
      <c r="K2568" s="68" t="b">
        <v>1</v>
      </c>
    </row>
    <row r="2569" hidden="1">
      <c r="A2569" s="75">
        <v>2563.0</v>
      </c>
      <c r="B2569" s="62" t="s">
        <v>1306</v>
      </c>
      <c r="C2569" s="62" t="s">
        <v>90</v>
      </c>
      <c r="D2569" s="62" t="s">
        <v>1572</v>
      </c>
      <c r="E2569" s="76">
        <v>44022.0</v>
      </c>
      <c r="F2569" s="77">
        <v>0.0625</v>
      </c>
      <c r="G2569" s="62" t="b">
        <v>1</v>
      </c>
      <c r="H2569" s="78" t="b">
        <f>IF(VLOOKUP(C2569,Projetos!A:L,12,false)=TRUE,TRUE,FALSE)</f>
        <v>1</v>
      </c>
      <c r="I2569" s="68">
        <v>37.66052106481481</v>
      </c>
      <c r="J2569" s="68">
        <f t="shared" si="1"/>
        <v>56.4907816</v>
      </c>
      <c r="K2569" s="68" t="b">
        <v>1</v>
      </c>
    </row>
    <row r="2570" hidden="1">
      <c r="A2570" s="75">
        <v>2564.0</v>
      </c>
      <c r="B2570" s="62" t="s">
        <v>1306</v>
      </c>
      <c r="C2570" s="62" t="s">
        <v>90</v>
      </c>
      <c r="D2570" s="62" t="s">
        <v>1573</v>
      </c>
      <c r="E2570" s="76">
        <v>44025.0</v>
      </c>
      <c r="F2570" s="77">
        <v>0.03125</v>
      </c>
      <c r="G2570" s="62" t="b">
        <v>1</v>
      </c>
      <c r="H2570" s="78" t="b">
        <f>IF(VLOOKUP(C2570,Projetos!A:L,12,false)=TRUE,TRUE,FALSE)</f>
        <v>1</v>
      </c>
      <c r="I2570" s="68">
        <v>37.66052106481481</v>
      </c>
      <c r="J2570" s="68">
        <f t="shared" si="1"/>
        <v>28.2453908</v>
      </c>
      <c r="K2570" s="68" t="b">
        <v>1</v>
      </c>
    </row>
    <row r="2571" hidden="1">
      <c r="A2571" s="75">
        <v>2565.0</v>
      </c>
      <c r="B2571" s="62" t="s">
        <v>1306</v>
      </c>
      <c r="C2571" s="62" t="s">
        <v>90</v>
      </c>
      <c r="D2571" s="62" t="s">
        <v>1574</v>
      </c>
      <c r="E2571" s="76">
        <v>44027.0</v>
      </c>
      <c r="F2571" s="77">
        <v>0.0625</v>
      </c>
      <c r="G2571" s="62" t="b">
        <v>1</v>
      </c>
      <c r="H2571" s="78" t="b">
        <f>IF(VLOOKUP(C2571,Projetos!A:L,12,false)=TRUE,TRUE,FALSE)</f>
        <v>1</v>
      </c>
      <c r="I2571" s="68">
        <v>37.66052106481481</v>
      </c>
      <c r="J2571" s="68">
        <f t="shared" si="1"/>
        <v>56.4907816</v>
      </c>
      <c r="K2571" s="68" t="b">
        <v>1</v>
      </c>
    </row>
    <row r="2572" hidden="1">
      <c r="A2572" s="75">
        <v>2566.0</v>
      </c>
      <c r="B2572" s="62" t="s">
        <v>1306</v>
      </c>
      <c r="C2572" s="62" t="s">
        <v>90</v>
      </c>
      <c r="D2572" s="62" t="s">
        <v>1575</v>
      </c>
      <c r="E2572" s="76">
        <v>44028.0</v>
      </c>
      <c r="F2572" s="77">
        <v>0.08333333333333333</v>
      </c>
      <c r="G2572" s="62" t="b">
        <v>1</v>
      </c>
      <c r="H2572" s="78" t="b">
        <f>IF(VLOOKUP(C2572,Projetos!A:L,12,false)=TRUE,TRUE,FALSE)</f>
        <v>1</v>
      </c>
      <c r="I2572" s="68">
        <v>37.66052106481481</v>
      </c>
      <c r="J2572" s="68">
        <f t="shared" si="1"/>
        <v>75.32104213</v>
      </c>
      <c r="K2572" s="68" t="b">
        <v>1</v>
      </c>
    </row>
    <row r="2573" hidden="1">
      <c r="A2573" s="75">
        <v>2567.0</v>
      </c>
      <c r="B2573" s="62" t="s">
        <v>1306</v>
      </c>
      <c r="C2573" s="62" t="s">
        <v>90</v>
      </c>
      <c r="D2573" s="62" t="s">
        <v>1485</v>
      </c>
      <c r="E2573" s="76">
        <v>44028.0</v>
      </c>
      <c r="F2573" s="77">
        <v>0.041666666666666664</v>
      </c>
      <c r="G2573" s="62" t="b">
        <v>1</v>
      </c>
      <c r="H2573" s="78" t="b">
        <f>IF(VLOOKUP(C2573,Projetos!A:L,12,false)=TRUE,TRUE,FALSE)</f>
        <v>1</v>
      </c>
      <c r="I2573" s="68">
        <v>37.66052106481481</v>
      </c>
      <c r="J2573" s="68">
        <f t="shared" si="1"/>
        <v>37.66052106</v>
      </c>
      <c r="K2573" s="68" t="b">
        <v>1</v>
      </c>
    </row>
    <row r="2574" hidden="1">
      <c r="A2574" s="75">
        <v>2568.0</v>
      </c>
      <c r="B2574" s="62" t="s">
        <v>1306</v>
      </c>
      <c r="C2574" s="62" t="s">
        <v>90</v>
      </c>
      <c r="D2574" s="62" t="s">
        <v>1485</v>
      </c>
      <c r="E2574" s="76">
        <v>44028.0</v>
      </c>
      <c r="F2574" s="77">
        <v>0.041666666666666664</v>
      </c>
      <c r="G2574" s="62" t="b">
        <v>1</v>
      </c>
      <c r="H2574" s="78" t="b">
        <f>IF(VLOOKUP(C2574,Projetos!A:L,12,false)=TRUE,TRUE,FALSE)</f>
        <v>1</v>
      </c>
      <c r="I2574" s="68">
        <v>37.66052106481481</v>
      </c>
      <c r="J2574" s="68">
        <f t="shared" si="1"/>
        <v>37.66052106</v>
      </c>
      <c r="K2574" s="68" t="b">
        <v>1</v>
      </c>
    </row>
    <row r="2575" hidden="1">
      <c r="A2575" s="75">
        <v>2569.0</v>
      </c>
      <c r="B2575" s="62" t="s">
        <v>1306</v>
      </c>
      <c r="C2575" s="62" t="s">
        <v>90</v>
      </c>
      <c r="D2575" s="62" t="s">
        <v>1576</v>
      </c>
      <c r="E2575" s="76">
        <v>44028.0</v>
      </c>
      <c r="F2575" s="77">
        <v>0.05555555555555555</v>
      </c>
      <c r="G2575" s="62" t="b">
        <v>1</v>
      </c>
      <c r="H2575" s="78" t="b">
        <f>IF(VLOOKUP(C2575,Projetos!A:L,12,false)=TRUE,TRUE,FALSE)</f>
        <v>1</v>
      </c>
      <c r="I2575" s="68">
        <v>37.66052106481481</v>
      </c>
      <c r="J2575" s="68">
        <f t="shared" si="1"/>
        <v>50.21402809</v>
      </c>
      <c r="K2575" s="68" t="b">
        <v>1</v>
      </c>
    </row>
    <row r="2576" hidden="1">
      <c r="A2576" s="75">
        <v>2570.0</v>
      </c>
      <c r="B2576" s="62" t="s">
        <v>1306</v>
      </c>
      <c r="C2576" s="62" t="s">
        <v>90</v>
      </c>
      <c r="D2576" s="62" t="s">
        <v>1577</v>
      </c>
      <c r="E2576" s="76">
        <v>44028.0</v>
      </c>
      <c r="F2576" s="77">
        <v>0.03125</v>
      </c>
      <c r="G2576" s="62" t="b">
        <v>1</v>
      </c>
      <c r="H2576" s="78" t="b">
        <f>IF(VLOOKUP(C2576,Projetos!A:L,12,false)=TRUE,TRUE,FALSE)</f>
        <v>1</v>
      </c>
      <c r="I2576" s="68">
        <v>37.66052106481481</v>
      </c>
      <c r="J2576" s="68">
        <f t="shared" si="1"/>
        <v>28.2453908</v>
      </c>
      <c r="K2576" s="68" t="b">
        <v>1</v>
      </c>
    </row>
    <row r="2577" hidden="1">
      <c r="A2577" s="75">
        <v>2571.0</v>
      </c>
      <c r="B2577" s="62" t="s">
        <v>1306</v>
      </c>
      <c r="C2577" s="62" t="s">
        <v>90</v>
      </c>
      <c r="D2577" s="62" t="s">
        <v>1578</v>
      </c>
      <c r="E2577" s="76">
        <v>44029.0</v>
      </c>
      <c r="F2577" s="77">
        <v>0.041666666666666664</v>
      </c>
      <c r="G2577" s="62" t="b">
        <v>1</v>
      </c>
      <c r="H2577" s="78" t="b">
        <f>IF(VLOOKUP(C2577,Projetos!A:L,12,false)=TRUE,TRUE,FALSE)</f>
        <v>1</v>
      </c>
      <c r="I2577" s="68">
        <v>37.66052106481481</v>
      </c>
      <c r="J2577" s="68">
        <f t="shared" si="1"/>
        <v>37.66052106</v>
      </c>
      <c r="K2577" s="68" t="b">
        <v>1</v>
      </c>
    </row>
    <row r="2578" hidden="1">
      <c r="A2578" s="75">
        <v>2572.0</v>
      </c>
      <c r="B2578" s="62" t="s">
        <v>1306</v>
      </c>
      <c r="C2578" s="62" t="s">
        <v>90</v>
      </c>
      <c r="D2578" s="62" t="s">
        <v>1579</v>
      </c>
      <c r="E2578" s="76">
        <v>44029.0</v>
      </c>
      <c r="F2578" s="77">
        <v>0.041666666666666664</v>
      </c>
      <c r="G2578" s="62" t="b">
        <v>1</v>
      </c>
      <c r="H2578" s="78" t="b">
        <f>IF(VLOOKUP(C2578,Projetos!A:L,12,false)=TRUE,TRUE,FALSE)</f>
        <v>1</v>
      </c>
      <c r="I2578" s="68">
        <v>37.66052106481481</v>
      </c>
      <c r="J2578" s="68">
        <f t="shared" si="1"/>
        <v>37.66052106</v>
      </c>
      <c r="K2578" s="68" t="b">
        <v>1</v>
      </c>
    </row>
    <row r="2579" hidden="1">
      <c r="A2579" s="75">
        <v>2573.0</v>
      </c>
      <c r="B2579" s="62" t="s">
        <v>1306</v>
      </c>
      <c r="C2579" s="62" t="s">
        <v>90</v>
      </c>
      <c r="D2579" s="62" t="s">
        <v>1568</v>
      </c>
      <c r="E2579" s="76">
        <v>44032.0</v>
      </c>
      <c r="F2579" s="77">
        <v>0.03125</v>
      </c>
      <c r="G2579" s="62" t="b">
        <v>0</v>
      </c>
      <c r="H2579" s="78" t="b">
        <f>IF(VLOOKUP(C2579,Projetos!A:L,12,false)=TRUE,TRUE,FALSE)</f>
        <v>1</v>
      </c>
      <c r="I2579" s="68">
        <v>37.66052106481481</v>
      </c>
      <c r="J2579" s="68">
        <f t="shared" si="1"/>
        <v>0</v>
      </c>
      <c r="K2579" s="68" t="b">
        <v>1</v>
      </c>
    </row>
    <row r="2580" hidden="1">
      <c r="A2580" s="75">
        <v>2574.0</v>
      </c>
      <c r="B2580" s="62" t="s">
        <v>1306</v>
      </c>
      <c r="C2580" s="62" t="s">
        <v>90</v>
      </c>
      <c r="D2580" s="62" t="s">
        <v>1580</v>
      </c>
      <c r="E2580" s="76">
        <v>44032.0</v>
      </c>
      <c r="F2580" s="77">
        <v>0.125</v>
      </c>
      <c r="G2580" s="62" t="b">
        <v>1</v>
      </c>
      <c r="H2580" s="78" t="b">
        <f>IF(VLOOKUP(C2580,Projetos!A:L,12,false)=TRUE,TRUE,FALSE)</f>
        <v>1</v>
      </c>
      <c r="I2580" s="68">
        <v>37.66052106481481</v>
      </c>
      <c r="J2580" s="68">
        <f t="shared" si="1"/>
        <v>112.9815632</v>
      </c>
      <c r="K2580" s="68" t="b">
        <v>1</v>
      </c>
    </row>
    <row r="2581" hidden="1">
      <c r="A2581" s="75">
        <v>2575.0</v>
      </c>
      <c r="B2581" s="62" t="s">
        <v>1306</v>
      </c>
      <c r="C2581" s="62" t="s">
        <v>90</v>
      </c>
      <c r="D2581" s="62" t="s">
        <v>1581</v>
      </c>
      <c r="E2581" s="76">
        <v>44033.0</v>
      </c>
      <c r="F2581" s="77">
        <v>0.041666666666666664</v>
      </c>
      <c r="G2581" s="62" t="b">
        <v>1</v>
      </c>
      <c r="H2581" s="78" t="b">
        <f>IF(VLOOKUP(C2581,Projetos!A:L,12,false)=TRUE,TRUE,FALSE)</f>
        <v>1</v>
      </c>
      <c r="I2581" s="68">
        <v>37.66052106481481</v>
      </c>
      <c r="J2581" s="68">
        <f t="shared" si="1"/>
        <v>37.66052106</v>
      </c>
      <c r="K2581" s="68" t="b">
        <v>1</v>
      </c>
    </row>
    <row r="2582" hidden="1">
      <c r="A2582" s="75">
        <v>2576.0</v>
      </c>
      <c r="B2582" s="62" t="s">
        <v>1306</v>
      </c>
      <c r="C2582" s="62" t="s">
        <v>90</v>
      </c>
      <c r="D2582" s="62" t="s">
        <v>1582</v>
      </c>
      <c r="E2582" s="76">
        <v>44034.0</v>
      </c>
      <c r="F2582" s="77">
        <v>0.09375</v>
      </c>
      <c r="G2582" s="62" t="b">
        <v>1</v>
      </c>
      <c r="H2582" s="78" t="b">
        <f>IF(VLOOKUP(C2582,Projetos!A:L,12,false)=TRUE,TRUE,FALSE)</f>
        <v>1</v>
      </c>
      <c r="I2582" s="68">
        <v>37.66052106481481</v>
      </c>
      <c r="J2582" s="68">
        <f t="shared" si="1"/>
        <v>84.7361724</v>
      </c>
      <c r="K2582" s="68" t="b">
        <v>1</v>
      </c>
    </row>
    <row r="2583" hidden="1">
      <c r="A2583" s="75">
        <v>2577.0</v>
      </c>
      <c r="B2583" s="62" t="s">
        <v>1306</v>
      </c>
      <c r="C2583" s="62" t="s">
        <v>90</v>
      </c>
      <c r="D2583" s="62" t="s">
        <v>1583</v>
      </c>
      <c r="E2583" s="76">
        <v>44034.0</v>
      </c>
      <c r="F2583" s="77">
        <v>0.125</v>
      </c>
      <c r="G2583" s="62" t="b">
        <v>1</v>
      </c>
      <c r="H2583" s="78" t="b">
        <f>IF(VLOOKUP(C2583,Projetos!A:L,12,false)=TRUE,TRUE,FALSE)</f>
        <v>1</v>
      </c>
      <c r="I2583" s="68">
        <v>37.66052106481481</v>
      </c>
      <c r="J2583" s="68">
        <f t="shared" si="1"/>
        <v>112.9815632</v>
      </c>
      <c r="K2583" s="68" t="b">
        <v>1</v>
      </c>
    </row>
    <row r="2584" hidden="1">
      <c r="A2584" s="75">
        <v>2578.0</v>
      </c>
      <c r="B2584" s="62" t="s">
        <v>1306</v>
      </c>
      <c r="C2584" s="62" t="s">
        <v>90</v>
      </c>
      <c r="D2584" s="62" t="s">
        <v>1584</v>
      </c>
      <c r="E2584" s="76">
        <v>44035.0</v>
      </c>
      <c r="F2584" s="77">
        <v>0.041666666666666664</v>
      </c>
      <c r="G2584" s="62" t="b">
        <v>1</v>
      </c>
      <c r="H2584" s="78" t="b">
        <f>IF(VLOOKUP(C2584,Projetos!A:L,12,false)=TRUE,TRUE,FALSE)</f>
        <v>1</v>
      </c>
      <c r="I2584" s="68">
        <v>37.66052106481481</v>
      </c>
      <c r="J2584" s="68">
        <f t="shared" si="1"/>
        <v>37.66052106</v>
      </c>
      <c r="K2584" s="68" t="b">
        <v>1</v>
      </c>
    </row>
    <row r="2585" hidden="1">
      <c r="A2585" s="75">
        <v>2579.0</v>
      </c>
      <c r="B2585" s="62" t="s">
        <v>1306</v>
      </c>
      <c r="C2585" s="62" t="s">
        <v>90</v>
      </c>
      <c r="D2585" s="62" t="s">
        <v>1485</v>
      </c>
      <c r="E2585" s="76">
        <v>44035.0</v>
      </c>
      <c r="F2585" s="77">
        <v>0.041666666666666664</v>
      </c>
      <c r="G2585" s="62" t="b">
        <v>1</v>
      </c>
      <c r="H2585" s="78" t="b">
        <f>IF(VLOOKUP(C2585,Projetos!A:L,12,false)=TRUE,TRUE,FALSE)</f>
        <v>1</v>
      </c>
      <c r="I2585" s="68">
        <v>37.66052106481481</v>
      </c>
      <c r="J2585" s="68">
        <f t="shared" si="1"/>
        <v>37.66052106</v>
      </c>
      <c r="K2585" s="68" t="b">
        <v>1</v>
      </c>
    </row>
    <row r="2586" hidden="1">
      <c r="A2586" s="75">
        <v>2580.0</v>
      </c>
      <c r="B2586" s="62" t="s">
        <v>1306</v>
      </c>
      <c r="C2586" s="62" t="s">
        <v>90</v>
      </c>
      <c r="D2586" s="62" t="s">
        <v>1585</v>
      </c>
      <c r="E2586" s="76">
        <v>44035.0</v>
      </c>
      <c r="F2586" s="77">
        <v>0.125</v>
      </c>
      <c r="G2586" s="62" t="b">
        <v>1</v>
      </c>
      <c r="H2586" s="78" t="b">
        <f>IF(VLOOKUP(C2586,Projetos!A:L,12,false)=TRUE,TRUE,FALSE)</f>
        <v>1</v>
      </c>
      <c r="I2586" s="68">
        <v>37.66052106481481</v>
      </c>
      <c r="J2586" s="68">
        <f t="shared" si="1"/>
        <v>112.9815632</v>
      </c>
      <c r="K2586" s="68" t="b">
        <v>1</v>
      </c>
    </row>
    <row r="2587" hidden="1">
      <c r="A2587" s="75">
        <v>2581.0</v>
      </c>
      <c r="B2587" s="62" t="s">
        <v>1306</v>
      </c>
      <c r="C2587" s="62" t="s">
        <v>90</v>
      </c>
      <c r="D2587" s="62" t="s">
        <v>1566</v>
      </c>
      <c r="E2587" s="76">
        <v>44036.0</v>
      </c>
      <c r="F2587" s="77">
        <v>0.020833333333333332</v>
      </c>
      <c r="G2587" s="62" t="b">
        <v>1</v>
      </c>
      <c r="H2587" s="78" t="b">
        <f>IF(VLOOKUP(C2587,Projetos!A:L,12,false)=TRUE,TRUE,FALSE)</f>
        <v>1</v>
      </c>
      <c r="I2587" s="68">
        <v>37.66052106481481</v>
      </c>
      <c r="J2587" s="68">
        <f t="shared" si="1"/>
        <v>18.83026053</v>
      </c>
      <c r="K2587" s="68" t="b">
        <v>1</v>
      </c>
    </row>
    <row r="2588" hidden="1">
      <c r="A2588" s="75">
        <v>2582.0</v>
      </c>
      <c r="B2588" s="62" t="s">
        <v>1306</v>
      </c>
      <c r="C2588" s="62" t="s">
        <v>90</v>
      </c>
      <c r="D2588" s="62" t="s">
        <v>1586</v>
      </c>
      <c r="E2588" s="76">
        <v>44036.0</v>
      </c>
      <c r="F2588" s="77">
        <v>0.041666666666666664</v>
      </c>
      <c r="G2588" s="62" t="b">
        <v>0</v>
      </c>
      <c r="H2588" s="78" t="b">
        <f>IF(VLOOKUP(C2588,Projetos!A:L,12,false)=TRUE,TRUE,FALSE)</f>
        <v>1</v>
      </c>
      <c r="I2588" s="68">
        <v>37.66052106481481</v>
      </c>
      <c r="J2588" s="68">
        <f t="shared" si="1"/>
        <v>0</v>
      </c>
      <c r="K2588" s="68" t="b">
        <v>1</v>
      </c>
    </row>
    <row r="2589" hidden="1">
      <c r="A2589" s="75">
        <v>2583.0</v>
      </c>
      <c r="B2589" s="62" t="s">
        <v>1306</v>
      </c>
      <c r="C2589" s="62" t="s">
        <v>90</v>
      </c>
      <c r="D2589" s="62" t="s">
        <v>1587</v>
      </c>
      <c r="E2589" s="76">
        <v>44039.0</v>
      </c>
      <c r="F2589" s="77">
        <v>0.041666666666666664</v>
      </c>
      <c r="G2589" s="62" t="b">
        <v>1</v>
      </c>
      <c r="H2589" s="78" t="b">
        <f>IF(VLOOKUP(C2589,Projetos!A:L,12,false)=TRUE,TRUE,FALSE)</f>
        <v>1</v>
      </c>
      <c r="I2589" s="68">
        <v>37.66052106481481</v>
      </c>
      <c r="J2589" s="68">
        <f t="shared" si="1"/>
        <v>37.66052106</v>
      </c>
      <c r="K2589" s="68" t="b">
        <v>1</v>
      </c>
    </row>
    <row r="2590" hidden="1">
      <c r="A2590" s="75">
        <v>2584.0</v>
      </c>
      <c r="B2590" s="62" t="s">
        <v>1306</v>
      </c>
      <c r="C2590" s="62" t="s">
        <v>90</v>
      </c>
      <c r="D2590" s="62" t="s">
        <v>1588</v>
      </c>
      <c r="E2590" s="76">
        <v>44040.0</v>
      </c>
      <c r="F2590" s="77">
        <v>0.041666666666666664</v>
      </c>
      <c r="G2590" s="62" t="b">
        <v>1</v>
      </c>
      <c r="H2590" s="78" t="b">
        <f>IF(VLOOKUP(C2590,Projetos!A:L,12,false)=TRUE,TRUE,FALSE)</f>
        <v>1</v>
      </c>
      <c r="I2590" s="68">
        <v>37.66052106481481</v>
      </c>
      <c r="J2590" s="68">
        <f t="shared" si="1"/>
        <v>37.66052106</v>
      </c>
      <c r="K2590" s="68" t="b">
        <v>1</v>
      </c>
    </row>
    <row r="2591" hidden="1">
      <c r="A2591" s="75">
        <v>2585.0</v>
      </c>
      <c r="B2591" s="62" t="s">
        <v>1306</v>
      </c>
      <c r="C2591" s="62" t="s">
        <v>90</v>
      </c>
      <c r="D2591" s="62" t="s">
        <v>1485</v>
      </c>
      <c r="E2591" s="76">
        <v>44040.0</v>
      </c>
      <c r="F2591" s="77">
        <v>0.041666666666666664</v>
      </c>
      <c r="G2591" s="62" t="b">
        <v>1</v>
      </c>
      <c r="H2591" s="78" t="b">
        <f>IF(VLOOKUP(C2591,Projetos!A:L,12,false)=TRUE,TRUE,FALSE)</f>
        <v>1</v>
      </c>
      <c r="I2591" s="68">
        <v>37.66052106481481</v>
      </c>
      <c r="J2591" s="68">
        <f t="shared" si="1"/>
        <v>37.66052106</v>
      </c>
      <c r="K2591" s="68" t="b">
        <v>1</v>
      </c>
    </row>
    <row r="2592" hidden="1">
      <c r="A2592" s="75">
        <v>2586.0</v>
      </c>
      <c r="B2592" s="62" t="s">
        <v>1306</v>
      </c>
      <c r="C2592" s="62" t="s">
        <v>90</v>
      </c>
      <c r="D2592" s="62" t="s">
        <v>1589</v>
      </c>
      <c r="E2592" s="76">
        <v>44040.0</v>
      </c>
      <c r="F2592" s="77">
        <v>0.15625</v>
      </c>
      <c r="G2592" s="62" t="b">
        <v>1</v>
      </c>
      <c r="H2592" s="78" t="b">
        <f>IF(VLOOKUP(C2592,Projetos!A:L,12,false)=TRUE,TRUE,FALSE)</f>
        <v>1</v>
      </c>
      <c r="I2592" s="68">
        <v>37.66052106481481</v>
      </c>
      <c r="J2592" s="68">
        <f t="shared" si="1"/>
        <v>141.226954</v>
      </c>
      <c r="K2592" s="68" t="b">
        <v>1</v>
      </c>
    </row>
    <row r="2593" hidden="1">
      <c r="A2593" s="75">
        <v>2587.0</v>
      </c>
      <c r="B2593" s="62" t="s">
        <v>1306</v>
      </c>
      <c r="C2593" s="62" t="s">
        <v>90</v>
      </c>
      <c r="D2593" s="62" t="s">
        <v>1590</v>
      </c>
      <c r="E2593" s="76">
        <v>44041.0</v>
      </c>
      <c r="F2593" s="77">
        <v>0.16666666666666666</v>
      </c>
      <c r="G2593" s="62" t="b">
        <v>1</v>
      </c>
      <c r="H2593" s="78" t="b">
        <f>IF(VLOOKUP(C2593,Projetos!A:L,12,false)=TRUE,TRUE,FALSE)</f>
        <v>1</v>
      </c>
      <c r="I2593" s="68">
        <v>37.66052106481481</v>
      </c>
      <c r="J2593" s="68">
        <f t="shared" si="1"/>
        <v>150.6420843</v>
      </c>
      <c r="K2593" s="68" t="b">
        <v>1</v>
      </c>
    </row>
    <row r="2594" hidden="1">
      <c r="A2594" s="75">
        <v>2588.0</v>
      </c>
      <c r="B2594" s="62" t="s">
        <v>1306</v>
      </c>
      <c r="C2594" s="62" t="s">
        <v>90</v>
      </c>
      <c r="D2594" s="62" t="s">
        <v>1591</v>
      </c>
      <c r="E2594" s="76">
        <v>44042.0</v>
      </c>
      <c r="F2594" s="77">
        <v>0.125</v>
      </c>
      <c r="G2594" s="62" t="b">
        <v>1</v>
      </c>
      <c r="H2594" s="78" t="b">
        <f>IF(VLOOKUP(C2594,Projetos!A:L,12,false)=TRUE,TRUE,FALSE)</f>
        <v>1</v>
      </c>
      <c r="I2594" s="68">
        <v>37.66052106481481</v>
      </c>
      <c r="J2594" s="68">
        <f t="shared" si="1"/>
        <v>112.9815632</v>
      </c>
      <c r="K2594" s="68" t="b">
        <v>1</v>
      </c>
    </row>
    <row r="2595" hidden="1">
      <c r="A2595" s="75">
        <v>2589.0</v>
      </c>
      <c r="B2595" s="62" t="s">
        <v>1306</v>
      </c>
      <c r="C2595" s="62" t="s">
        <v>90</v>
      </c>
      <c r="D2595" s="62" t="s">
        <v>1568</v>
      </c>
      <c r="E2595" s="76">
        <v>44042.0</v>
      </c>
      <c r="F2595" s="77">
        <v>0.041666666666666664</v>
      </c>
      <c r="G2595" s="62" t="b">
        <v>0</v>
      </c>
      <c r="H2595" s="78" t="b">
        <f>IF(VLOOKUP(C2595,Projetos!A:L,12,false)=TRUE,TRUE,FALSE)</f>
        <v>1</v>
      </c>
      <c r="I2595" s="68">
        <v>37.66052106481481</v>
      </c>
      <c r="J2595" s="68">
        <f t="shared" si="1"/>
        <v>0</v>
      </c>
      <c r="K2595" s="68" t="b">
        <v>1</v>
      </c>
    </row>
    <row r="2596" hidden="1">
      <c r="A2596" s="75">
        <v>2590.0</v>
      </c>
      <c r="B2596" s="62" t="s">
        <v>1306</v>
      </c>
      <c r="C2596" s="62" t="s">
        <v>90</v>
      </c>
      <c r="D2596" s="62" t="s">
        <v>1592</v>
      </c>
      <c r="E2596" s="76">
        <v>44043.0</v>
      </c>
      <c r="F2596" s="77">
        <v>0.0625</v>
      </c>
      <c r="G2596" s="62" t="b">
        <v>0</v>
      </c>
      <c r="H2596" s="78" t="b">
        <f>IF(VLOOKUP(C2596,Projetos!A:L,12,false)=TRUE,TRUE,FALSE)</f>
        <v>1</v>
      </c>
      <c r="I2596" s="68">
        <v>37.66052106481481</v>
      </c>
      <c r="J2596" s="68">
        <f t="shared" si="1"/>
        <v>0</v>
      </c>
      <c r="K2596" s="68" t="b">
        <v>1</v>
      </c>
    </row>
    <row r="2597" hidden="1">
      <c r="A2597" s="75">
        <v>2591.0</v>
      </c>
      <c r="B2597" s="62" t="s">
        <v>1306</v>
      </c>
      <c r="C2597" s="62" t="s">
        <v>90</v>
      </c>
      <c r="D2597" s="62" t="s">
        <v>1593</v>
      </c>
      <c r="E2597" s="76">
        <v>44043.0</v>
      </c>
      <c r="F2597" s="77">
        <v>0.10416666666666667</v>
      </c>
      <c r="G2597" s="62" t="b">
        <v>1</v>
      </c>
      <c r="H2597" s="78" t="b">
        <f>IF(VLOOKUP(C2597,Projetos!A:L,12,false)=TRUE,TRUE,FALSE)</f>
        <v>1</v>
      </c>
      <c r="I2597" s="68">
        <v>37.66052106481481</v>
      </c>
      <c r="J2597" s="68">
        <f t="shared" si="1"/>
        <v>94.15130266</v>
      </c>
      <c r="K2597" s="68" t="b">
        <v>1</v>
      </c>
    </row>
    <row r="2598" hidden="1">
      <c r="A2598" s="75">
        <v>2592.0</v>
      </c>
      <c r="B2598" s="62" t="s">
        <v>1306</v>
      </c>
      <c r="C2598" s="62" t="s">
        <v>97</v>
      </c>
      <c r="D2598" s="62" t="s">
        <v>1594</v>
      </c>
      <c r="E2598" s="76">
        <v>44018.0</v>
      </c>
      <c r="F2598" s="77">
        <v>0.08333333333333333</v>
      </c>
      <c r="G2598" s="62" t="b">
        <v>1</v>
      </c>
      <c r="H2598" s="78" t="b">
        <f>IF(VLOOKUP(C2598,Projetos!A:L,12,false)=TRUE,TRUE,FALSE)</f>
        <v>1</v>
      </c>
      <c r="I2598" s="68">
        <v>37.66052106481481</v>
      </c>
      <c r="J2598" s="68">
        <f t="shared" si="1"/>
        <v>75.32104213</v>
      </c>
      <c r="K2598" s="68" t="b">
        <v>1</v>
      </c>
    </row>
    <row r="2599" hidden="1">
      <c r="A2599" s="75">
        <v>2593.0</v>
      </c>
      <c r="B2599" s="62" t="s">
        <v>1306</v>
      </c>
      <c r="C2599" s="62" t="s">
        <v>97</v>
      </c>
      <c r="D2599" s="62" t="s">
        <v>1595</v>
      </c>
      <c r="E2599" s="76">
        <v>44026.0</v>
      </c>
      <c r="F2599" s="77">
        <v>0.0625</v>
      </c>
      <c r="G2599" s="62" t="b">
        <v>1</v>
      </c>
      <c r="H2599" s="78" t="b">
        <f>IF(VLOOKUP(C2599,Projetos!A:L,12,false)=TRUE,TRUE,FALSE)</f>
        <v>1</v>
      </c>
      <c r="I2599" s="68">
        <v>37.66052106481481</v>
      </c>
      <c r="J2599" s="68">
        <f t="shared" si="1"/>
        <v>56.4907816</v>
      </c>
      <c r="K2599" s="68" t="b">
        <v>1</v>
      </c>
    </row>
    <row r="2600" hidden="1">
      <c r="A2600" s="75">
        <v>2594.0</v>
      </c>
      <c r="B2600" s="62" t="s">
        <v>1306</v>
      </c>
      <c r="C2600" s="62" t="s">
        <v>97</v>
      </c>
      <c r="D2600" s="62" t="s">
        <v>1595</v>
      </c>
      <c r="E2600" s="76">
        <v>44027.0</v>
      </c>
      <c r="F2600" s="77">
        <v>0.125</v>
      </c>
      <c r="G2600" s="62" t="b">
        <v>1</v>
      </c>
      <c r="H2600" s="78" t="b">
        <f>IF(VLOOKUP(C2600,Projetos!A:L,12,false)=TRUE,TRUE,FALSE)</f>
        <v>1</v>
      </c>
      <c r="I2600" s="68">
        <v>37.66052106481481</v>
      </c>
      <c r="J2600" s="68">
        <f t="shared" si="1"/>
        <v>112.9815632</v>
      </c>
      <c r="K2600" s="68" t="b">
        <v>1</v>
      </c>
    </row>
    <row r="2601" hidden="1">
      <c r="A2601" s="75">
        <v>2595.0</v>
      </c>
      <c r="B2601" s="62" t="s">
        <v>1306</v>
      </c>
      <c r="C2601" s="62" t="s">
        <v>97</v>
      </c>
      <c r="D2601" s="62" t="s">
        <v>1596</v>
      </c>
      <c r="E2601" s="76">
        <v>44036.0</v>
      </c>
      <c r="F2601" s="77">
        <v>0.041666666666666664</v>
      </c>
      <c r="G2601" s="62" t="b">
        <v>1</v>
      </c>
      <c r="H2601" s="78" t="b">
        <f>IF(VLOOKUP(C2601,Projetos!A:L,12,false)=TRUE,TRUE,FALSE)</f>
        <v>1</v>
      </c>
      <c r="I2601" s="68">
        <v>37.66052106481481</v>
      </c>
      <c r="J2601" s="68">
        <f t="shared" si="1"/>
        <v>37.66052106</v>
      </c>
      <c r="K2601" s="68" t="b">
        <v>1</v>
      </c>
    </row>
    <row r="2602" hidden="1">
      <c r="A2602" s="75">
        <v>2596.0</v>
      </c>
      <c r="B2602" s="62" t="s">
        <v>1306</v>
      </c>
      <c r="C2602" s="62" t="s">
        <v>98</v>
      </c>
      <c r="D2602" s="62" t="s">
        <v>1485</v>
      </c>
      <c r="E2602" s="76">
        <v>44013.0</v>
      </c>
      <c r="F2602" s="77">
        <v>0.08333333333333333</v>
      </c>
      <c r="G2602" s="62" t="b">
        <v>1</v>
      </c>
      <c r="H2602" s="78" t="b">
        <f>IF(VLOOKUP(C2602,Projetos!A:L,12,false)=TRUE,TRUE,FALSE)</f>
        <v>1</v>
      </c>
      <c r="I2602" s="68">
        <v>37.66052106481481</v>
      </c>
      <c r="J2602" s="68">
        <f t="shared" si="1"/>
        <v>75.32104213</v>
      </c>
      <c r="K2602" s="68" t="b">
        <v>1</v>
      </c>
    </row>
    <row r="2603" hidden="1">
      <c r="A2603" s="75">
        <v>2597.0</v>
      </c>
      <c r="B2603" s="62" t="s">
        <v>1306</v>
      </c>
      <c r="C2603" s="62" t="s">
        <v>100</v>
      </c>
      <c r="D2603" s="62" t="s">
        <v>1597</v>
      </c>
      <c r="E2603" s="76">
        <v>44020.0</v>
      </c>
      <c r="F2603" s="77">
        <v>0.041666666666666664</v>
      </c>
      <c r="G2603" s="62" t="b">
        <v>1</v>
      </c>
      <c r="H2603" s="78" t="b">
        <f>IF(VLOOKUP(C2603,Projetos!A:L,12,false)=TRUE,TRUE,FALSE)</f>
        <v>1</v>
      </c>
      <c r="I2603" s="68">
        <v>37.66052106481481</v>
      </c>
      <c r="J2603" s="68">
        <f t="shared" si="1"/>
        <v>37.66052106</v>
      </c>
      <c r="K2603" s="68" t="b">
        <v>1</v>
      </c>
    </row>
    <row r="2604" hidden="1">
      <c r="A2604" s="75">
        <v>2598.0</v>
      </c>
      <c r="B2604" s="62" t="s">
        <v>1306</v>
      </c>
      <c r="C2604" s="62" t="s">
        <v>100</v>
      </c>
      <c r="D2604" s="62" t="s">
        <v>1598</v>
      </c>
      <c r="E2604" s="76">
        <v>44028.0</v>
      </c>
      <c r="F2604" s="77">
        <v>0.0625</v>
      </c>
      <c r="G2604" s="62" t="b">
        <v>1</v>
      </c>
      <c r="H2604" s="78" t="b">
        <f>IF(VLOOKUP(C2604,Projetos!A:L,12,false)=TRUE,TRUE,FALSE)</f>
        <v>1</v>
      </c>
      <c r="I2604" s="68">
        <v>37.66052106481481</v>
      </c>
      <c r="J2604" s="68">
        <f t="shared" si="1"/>
        <v>56.4907816</v>
      </c>
      <c r="K2604" s="68" t="b">
        <v>1</v>
      </c>
    </row>
    <row r="2605" hidden="1">
      <c r="A2605" s="75">
        <v>2599.0</v>
      </c>
      <c r="B2605" s="62" t="s">
        <v>1306</v>
      </c>
      <c r="C2605" s="62" t="s">
        <v>100</v>
      </c>
      <c r="D2605" s="62" t="s">
        <v>1599</v>
      </c>
      <c r="E2605" s="76">
        <v>44043.0</v>
      </c>
      <c r="F2605" s="77">
        <v>0.020833333333333332</v>
      </c>
      <c r="G2605" s="62" t="b">
        <v>1</v>
      </c>
      <c r="H2605" s="78" t="b">
        <f>IF(VLOOKUP(C2605,Projetos!A:L,12,false)=TRUE,TRUE,FALSE)</f>
        <v>1</v>
      </c>
      <c r="I2605" s="68">
        <v>37.66052106481481</v>
      </c>
      <c r="J2605" s="68">
        <f t="shared" si="1"/>
        <v>18.83026053</v>
      </c>
      <c r="K2605" s="68" t="b">
        <v>1</v>
      </c>
    </row>
    <row r="2606" hidden="1">
      <c r="A2606" s="75">
        <v>2600.0</v>
      </c>
      <c r="B2606" s="62" t="s">
        <v>1306</v>
      </c>
      <c r="C2606" s="62" t="s">
        <v>102</v>
      </c>
      <c r="D2606" s="62" t="s">
        <v>1600</v>
      </c>
      <c r="E2606" s="76">
        <v>44021.0</v>
      </c>
      <c r="F2606" s="77">
        <v>0.041666666666666664</v>
      </c>
      <c r="G2606" s="62" t="b">
        <v>0</v>
      </c>
      <c r="H2606" s="78" t="b">
        <f>IF(VLOOKUP(C2606,Projetos!A:L,12,false)=TRUE,TRUE,FALSE)</f>
        <v>0</v>
      </c>
      <c r="I2606" s="68">
        <v>37.66052106481481</v>
      </c>
      <c r="J2606" s="68">
        <f t="shared" si="1"/>
        <v>0</v>
      </c>
      <c r="K2606" s="68" t="b">
        <v>0</v>
      </c>
    </row>
    <row r="2607" hidden="1">
      <c r="A2607" s="75">
        <v>2601.0</v>
      </c>
      <c r="B2607" s="62" t="s">
        <v>1306</v>
      </c>
      <c r="C2607" s="62" t="s">
        <v>102</v>
      </c>
      <c r="D2607" s="62" t="s">
        <v>1601</v>
      </c>
      <c r="E2607" s="76">
        <v>44036.0</v>
      </c>
      <c r="F2607" s="77">
        <v>0.10416666666666667</v>
      </c>
      <c r="G2607" s="62" t="b">
        <v>0</v>
      </c>
      <c r="H2607" s="78" t="b">
        <f>IF(VLOOKUP(C2607,Projetos!A:L,12,false)=TRUE,TRUE,FALSE)</f>
        <v>0</v>
      </c>
      <c r="I2607" s="68">
        <v>37.66052106481481</v>
      </c>
      <c r="J2607" s="68">
        <f t="shared" si="1"/>
        <v>0</v>
      </c>
      <c r="K2607" s="68" t="b">
        <v>0</v>
      </c>
    </row>
    <row r="2608" hidden="1">
      <c r="A2608" s="75">
        <v>2602.0</v>
      </c>
      <c r="B2608" s="62" t="s">
        <v>1306</v>
      </c>
      <c r="C2608" s="62" t="s">
        <v>102</v>
      </c>
      <c r="D2608" s="62" t="s">
        <v>1601</v>
      </c>
      <c r="E2608" s="76">
        <v>44043.0</v>
      </c>
      <c r="F2608" s="77">
        <v>0.10416666666666667</v>
      </c>
      <c r="G2608" s="62" t="b">
        <v>0</v>
      </c>
      <c r="H2608" s="78" t="b">
        <f>IF(VLOOKUP(C2608,Projetos!A:L,12,false)=TRUE,TRUE,FALSE)</f>
        <v>0</v>
      </c>
      <c r="I2608" s="68">
        <v>37.66052106481481</v>
      </c>
      <c r="J2608" s="68">
        <f t="shared" si="1"/>
        <v>0</v>
      </c>
      <c r="K2608" s="68" t="b">
        <v>0</v>
      </c>
    </row>
    <row r="2609" hidden="1">
      <c r="A2609" s="75">
        <v>2603.0</v>
      </c>
      <c r="B2609" s="62" t="s">
        <v>1306</v>
      </c>
      <c r="C2609" s="62" t="s">
        <v>103</v>
      </c>
      <c r="D2609" s="62" t="s">
        <v>1602</v>
      </c>
      <c r="E2609" s="76">
        <v>44032.0</v>
      </c>
      <c r="F2609" s="77">
        <v>0.041666666666666664</v>
      </c>
      <c r="G2609" s="62" t="b">
        <v>1</v>
      </c>
      <c r="H2609" s="78" t="b">
        <f>IF(VLOOKUP(C2609,Projetos!A:L,12,false)=TRUE,TRUE,FALSE)</f>
        <v>1</v>
      </c>
      <c r="I2609" s="68">
        <v>37.66052106481481</v>
      </c>
      <c r="J2609" s="68">
        <f t="shared" si="1"/>
        <v>37.66052106</v>
      </c>
      <c r="K2609" s="68" t="b">
        <v>1</v>
      </c>
    </row>
    <row r="2610" hidden="1">
      <c r="A2610" s="75">
        <v>2604.0</v>
      </c>
      <c r="B2610" s="62" t="s">
        <v>1306</v>
      </c>
      <c r="C2610" s="62" t="s">
        <v>103</v>
      </c>
      <c r="D2610" s="62" t="s">
        <v>1603</v>
      </c>
      <c r="E2610" s="76">
        <v>44033.0</v>
      </c>
      <c r="F2610" s="77">
        <v>0.052083333333333336</v>
      </c>
      <c r="G2610" s="62" t="b">
        <v>1</v>
      </c>
      <c r="H2610" s="78" t="b">
        <f>IF(VLOOKUP(C2610,Projetos!A:L,12,false)=TRUE,TRUE,FALSE)</f>
        <v>1</v>
      </c>
      <c r="I2610" s="68">
        <v>37.66052106481481</v>
      </c>
      <c r="J2610" s="68">
        <f t="shared" si="1"/>
        <v>47.07565133</v>
      </c>
      <c r="K2610" s="68" t="b">
        <v>1</v>
      </c>
    </row>
    <row r="2611" hidden="1">
      <c r="A2611" s="75">
        <v>2605.0</v>
      </c>
      <c r="B2611" s="62" t="s">
        <v>1306</v>
      </c>
      <c r="C2611" s="62" t="s">
        <v>103</v>
      </c>
      <c r="D2611" s="62" t="s">
        <v>1604</v>
      </c>
      <c r="E2611" s="76">
        <v>44039.0</v>
      </c>
      <c r="F2611" s="77">
        <v>0.020833333333333332</v>
      </c>
      <c r="G2611" s="62" t="b">
        <v>1</v>
      </c>
      <c r="H2611" s="78" t="b">
        <f>IF(VLOOKUP(C2611,Projetos!A:L,12,false)=TRUE,TRUE,FALSE)</f>
        <v>1</v>
      </c>
      <c r="I2611" s="68">
        <v>37.66052106481481</v>
      </c>
      <c r="J2611" s="68">
        <f t="shared" si="1"/>
        <v>18.83026053</v>
      </c>
      <c r="K2611" s="68" t="b">
        <v>1</v>
      </c>
    </row>
    <row r="2612">
      <c r="A2612" s="75">
        <v>2606.0</v>
      </c>
      <c r="B2612" s="62" t="s">
        <v>1306</v>
      </c>
      <c r="C2612" s="62" t="s">
        <v>104</v>
      </c>
      <c r="D2612" s="62" t="s">
        <v>1605</v>
      </c>
      <c r="E2612" s="76">
        <v>44019.0</v>
      </c>
      <c r="F2612" s="77">
        <v>0.041666666666666664</v>
      </c>
      <c r="G2612" s="62" t="b">
        <v>1</v>
      </c>
      <c r="H2612" s="78" t="b">
        <f>IF(VLOOKUP(C2612,Projetos!A:L,12,false)=TRUE,TRUE,FALSE)</f>
        <v>1</v>
      </c>
      <c r="I2612" s="68">
        <v>37.66052106481481</v>
      </c>
      <c r="J2612" s="68">
        <f t="shared" si="1"/>
        <v>37.66052106</v>
      </c>
      <c r="K2612" s="68" t="b">
        <v>1</v>
      </c>
    </row>
    <row r="2613">
      <c r="A2613" s="75">
        <v>2607.0</v>
      </c>
      <c r="B2613" s="62" t="s">
        <v>1306</v>
      </c>
      <c r="C2613" s="62" t="s">
        <v>104</v>
      </c>
      <c r="D2613" s="62" t="s">
        <v>1346</v>
      </c>
      <c r="E2613" s="76">
        <v>44019.0</v>
      </c>
      <c r="F2613" s="77">
        <v>0.041666666666666664</v>
      </c>
      <c r="G2613" s="62" t="b">
        <v>1</v>
      </c>
      <c r="H2613" s="78" t="b">
        <f>IF(VLOOKUP(C2613,Projetos!A:L,12,false)=TRUE,TRUE,FALSE)</f>
        <v>1</v>
      </c>
      <c r="I2613" s="68">
        <v>37.66052106481481</v>
      </c>
      <c r="J2613" s="68">
        <f t="shared" si="1"/>
        <v>37.66052106</v>
      </c>
      <c r="K2613" s="68" t="b">
        <v>1</v>
      </c>
    </row>
    <row r="2614">
      <c r="A2614" s="75">
        <v>2608.0</v>
      </c>
      <c r="B2614" s="62" t="s">
        <v>1306</v>
      </c>
      <c r="C2614" s="62" t="s">
        <v>104</v>
      </c>
      <c r="D2614" s="62" t="s">
        <v>1562</v>
      </c>
      <c r="E2614" s="76">
        <v>44022.0</v>
      </c>
      <c r="F2614" s="77">
        <v>0.11458333333333333</v>
      </c>
      <c r="G2614" s="62" t="b">
        <v>0</v>
      </c>
      <c r="H2614" s="78" t="b">
        <f>IF(VLOOKUP(C2614,Projetos!A:L,12,false)=TRUE,TRUE,FALSE)</f>
        <v>1</v>
      </c>
      <c r="I2614" s="68">
        <v>37.66052106481481</v>
      </c>
      <c r="J2614" s="68">
        <f t="shared" si="1"/>
        <v>0</v>
      </c>
      <c r="K2614" s="68" t="b">
        <v>1</v>
      </c>
    </row>
    <row r="2615">
      <c r="A2615" s="75">
        <v>2609.0</v>
      </c>
      <c r="B2615" s="62" t="s">
        <v>1306</v>
      </c>
      <c r="C2615" s="62" t="s">
        <v>104</v>
      </c>
      <c r="D2615" s="62" t="s">
        <v>1495</v>
      </c>
      <c r="E2615" s="76">
        <v>44025.0</v>
      </c>
      <c r="F2615" s="77">
        <v>0.0625</v>
      </c>
      <c r="G2615" s="62" t="b">
        <v>1</v>
      </c>
      <c r="H2615" s="78" t="b">
        <f>IF(VLOOKUP(C2615,Projetos!A:L,12,false)=TRUE,TRUE,FALSE)</f>
        <v>1</v>
      </c>
      <c r="I2615" s="68">
        <v>37.66052106481481</v>
      </c>
      <c r="J2615" s="68">
        <f t="shared" si="1"/>
        <v>56.4907816</v>
      </c>
      <c r="K2615" s="68" t="b">
        <v>1</v>
      </c>
    </row>
    <row r="2616">
      <c r="A2616" s="75">
        <v>2610.0</v>
      </c>
      <c r="B2616" s="62" t="s">
        <v>1306</v>
      </c>
      <c r="C2616" s="62" t="s">
        <v>104</v>
      </c>
      <c r="D2616" s="62" t="s">
        <v>1606</v>
      </c>
      <c r="E2616" s="76">
        <v>44025.0</v>
      </c>
      <c r="F2616" s="77">
        <v>0.041666666666666664</v>
      </c>
      <c r="G2616" s="62" t="b">
        <v>1</v>
      </c>
      <c r="H2616" s="78" t="b">
        <f>IF(VLOOKUP(C2616,Projetos!A:L,12,false)=TRUE,TRUE,FALSE)</f>
        <v>1</v>
      </c>
      <c r="I2616" s="68">
        <v>37.66052106481481</v>
      </c>
      <c r="J2616" s="68">
        <f t="shared" si="1"/>
        <v>37.66052106</v>
      </c>
      <c r="K2616" s="68" t="b">
        <v>1</v>
      </c>
    </row>
    <row r="2617">
      <c r="A2617" s="75">
        <v>2611.0</v>
      </c>
      <c r="B2617" s="62" t="s">
        <v>1306</v>
      </c>
      <c r="C2617" s="62" t="s">
        <v>104</v>
      </c>
      <c r="D2617" s="62" t="s">
        <v>1561</v>
      </c>
      <c r="E2617" s="76">
        <v>44026.0</v>
      </c>
      <c r="F2617" s="77">
        <v>0.0625</v>
      </c>
      <c r="G2617" s="62" t="b">
        <v>1</v>
      </c>
      <c r="H2617" s="78" t="b">
        <f>IF(VLOOKUP(C2617,Projetos!A:L,12,false)=TRUE,TRUE,FALSE)</f>
        <v>1</v>
      </c>
      <c r="I2617" s="68">
        <v>37.66052106481481</v>
      </c>
      <c r="J2617" s="68">
        <f t="shared" si="1"/>
        <v>56.4907816</v>
      </c>
      <c r="K2617" s="68" t="b">
        <v>1</v>
      </c>
    </row>
    <row r="2618">
      <c r="A2618" s="75">
        <v>2612.0</v>
      </c>
      <c r="B2618" s="62" t="s">
        <v>1306</v>
      </c>
      <c r="C2618" s="62" t="s">
        <v>104</v>
      </c>
      <c r="D2618" s="62" t="s">
        <v>1607</v>
      </c>
      <c r="E2618" s="76">
        <v>44042.0</v>
      </c>
      <c r="F2618" s="77">
        <v>0.020833333333333332</v>
      </c>
      <c r="G2618" s="62" t="b">
        <v>1</v>
      </c>
      <c r="H2618" s="78" t="b">
        <f>IF(VLOOKUP(C2618,Projetos!A:L,12,false)=TRUE,TRUE,FALSE)</f>
        <v>1</v>
      </c>
      <c r="I2618" s="68">
        <v>37.66052106481481</v>
      </c>
      <c r="J2618" s="68">
        <f t="shared" si="1"/>
        <v>18.83026053</v>
      </c>
      <c r="K2618" s="68" t="b">
        <v>1</v>
      </c>
    </row>
    <row r="2619" hidden="1">
      <c r="A2619" s="75">
        <v>2613.0</v>
      </c>
      <c r="B2619" s="62" t="s">
        <v>1306</v>
      </c>
      <c r="C2619" s="62" t="s">
        <v>105</v>
      </c>
      <c r="D2619" s="62" t="s">
        <v>1608</v>
      </c>
      <c r="E2619" s="76">
        <v>44015.0</v>
      </c>
      <c r="F2619" s="77">
        <v>0.10416666666666667</v>
      </c>
      <c r="G2619" s="62" t="b">
        <v>1</v>
      </c>
      <c r="H2619" s="78" t="b">
        <f>IF(VLOOKUP(C2619,Projetos!A:L,12,false)=TRUE,TRUE,FALSE)</f>
        <v>1</v>
      </c>
      <c r="I2619" s="68">
        <v>37.66052106481481</v>
      </c>
      <c r="J2619" s="68">
        <f t="shared" si="1"/>
        <v>94.15130266</v>
      </c>
      <c r="K2619" s="68" t="b">
        <v>1</v>
      </c>
    </row>
    <row r="2620" hidden="1">
      <c r="A2620" s="75">
        <v>2614.0</v>
      </c>
      <c r="B2620" s="62" t="s">
        <v>1306</v>
      </c>
      <c r="C2620" s="62" t="s">
        <v>105</v>
      </c>
      <c r="D2620" s="62" t="s">
        <v>1609</v>
      </c>
      <c r="E2620" s="76">
        <v>44032.0</v>
      </c>
      <c r="F2620" s="77">
        <v>0.0625</v>
      </c>
      <c r="G2620" s="62" t="b">
        <v>1</v>
      </c>
      <c r="H2620" s="78" t="b">
        <f>IF(VLOOKUP(C2620,Projetos!A:L,12,false)=TRUE,TRUE,FALSE)</f>
        <v>1</v>
      </c>
      <c r="I2620" s="68">
        <v>37.66052106481481</v>
      </c>
      <c r="J2620" s="68">
        <f t="shared" si="1"/>
        <v>56.4907816</v>
      </c>
      <c r="K2620" s="68" t="b">
        <v>1</v>
      </c>
    </row>
    <row r="2621" hidden="1">
      <c r="A2621" s="75">
        <v>2615.0</v>
      </c>
      <c r="B2621" s="62" t="s">
        <v>1306</v>
      </c>
      <c r="C2621" s="62" t="s">
        <v>105</v>
      </c>
      <c r="D2621" s="62" t="s">
        <v>1610</v>
      </c>
      <c r="E2621" s="76">
        <v>44032.0</v>
      </c>
      <c r="F2621" s="77">
        <v>0.10416666666666667</v>
      </c>
      <c r="G2621" s="62" t="b">
        <v>1</v>
      </c>
      <c r="H2621" s="78" t="b">
        <f>IF(VLOOKUP(C2621,Projetos!A:L,12,false)=TRUE,TRUE,FALSE)</f>
        <v>1</v>
      </c>
      <c r="I2621" s="68">
        <v>37.66052106481481</v>
      </c>
      <c r="J2621" s="68">
        <f t="shared" si="1"/>
        <v>94.15130266</v>
      </c>
      <c r="K2621" s="68" t="b">
        <v>1</v>
      </c>
    </row>
    <row r="2622" hidden="1">
      <c r="A2622" s="75">
        <v>2616.0</v>
      </c>
      <c r="B2622" s="62" t="s">
        <v>1306</v>
      </c>
      <c r="C2622" s="62" t="s">
        <v>105</v>
      </c>
      <c r="D2622" s="62" t="s">
        <v>1611</v>
      </c>
      <c r="E2622" s="76">
        <v>44033.0</v>
      </c>
      <c r="F2622" s="77">
        <v>0.0625</v>
      </c>
      <c r="G2622" s="62" t="b">
        <v>1</v>
      </c>
      <c r="H2622" s="78" t="b">
        <f>IF(VLOOKUP(C2622,Projetos!A:L,12,false)=TRUE,TRUE,FALSE)</f>
        <v>1</v>
      </c>
      <c r="I2622" s="68">
        <v>37.66052106481481</v>
      </c>
      <c r="J2622" s="68">
        <f t="shared" si="1"/>
        <v>56.4907816</v>
      </c>
      <c r="K2622" s="68" t="b">
        <v>1</v>
      </c>
    </row>
    <row r="2623" hidden="1">
      <c r="A2623" s="75">
        <v>2617.0</v>
      </c>
      <c r="B2623" s="62" t="s">
        <v>1306</v>
      </c>
      <c r="C2623" s="62" t="s">
        <v>105</v>
      </c>
      <c r="D2623" s="62" t="s">
        <v>1612</v>
      </c>
      <c r="E2623" s="76">
        <v>44033.0</v>
      </c>
      <c r="F2623" s="77">
        <v>0.08333333333333333</v>
      </c>
      <c r="G2623" s="62" t="b">
        <v>1</v>
      </c>
      <c r="H2623" s="78" t="b">
        <f>IF(VLOOKUP(C2623,Projetos!A:L,12,false)=TRUE,TRUE,FALSE)</f>
        <v>1</v>
      </c>
      <c r="I2623" s="68">
        <v>37.66052106481481</v>
      </c>
      <c r="J2623" s="68">
        <f t="shared" si="1"/>
        <v>75.32104213</v>
      </c>
      <c r="K2623" s="68" t="b">
        <v>1</v>
      </c>
    </row>
    <row r="2624" hidden="1">
      <c r="A2624" s="75">
        <v>2618.0</v>
      </c>
      <c r="B2624" s="62" t="s">
        <v>1306</v>
      </c>
      <c r="C2624" s="62" t="s">
        <v>105</v>
      </c>
      <c r="D2624" s="62" t="s">
        <v>1613</v>
      </c>
      <c r="E2624" s="76">
        <v>44034.0</v>
      </c>
      <c r="F2624" s="77">
        <v>0.14583333333333334</v>
      </c>
      <c r="G2624" s="62" t="b">
        <v>1</v>
      </c>
      <c r="H2624" s="78" t="b">
        <f>IF(VLOOKUP(C2624,Projetos!A:L,12,false)=TRUE,TRUE,FALSE)</f>
        <v>1</v>
      </c>
      <c r="I2624" s="68">
        <v>37.66052106481481</v>
      </c>
      <c r="J2624" s="68">
        <f t="shared" si="1"/>
        <v>131.8118237</v>
      </c>
      <c r="K2624" s="68" t="b">
        <v>1</v>
      </c>
    </row>
    <row r="2625" hidden="1">
      <c r="A2625" s="75">
        <v>2619.0</v>
      </c>
      <c r="B2625" s="62" t="s">
        <v>1306</v>
      </c>
      <c r="C2625" s="62" t="s">
        <v>108</v>
      </c>
      <c r="D2625" s="62" t="s">
        <v>419</v>
      </c>
      <c r="E2625" s="76">
        <v>44014.0</v>
      </c>
      <c r="F2625" s="77">
        <v>0.041666666666666664</v>
      </c>
      <c r="G2625" s="62" t="b">
        <v>0</v>
      </c>
      <c r="H2625" s="78" t="b">
        <f>IF(VLOOKUP(C2625,Projetos!A:L,12,false)=TRUE,TRUE,FALSE)</f>
        <v>1</v>
      </c>
      <c r="I2625" s="68">
        <v>37.66052106481481</v>
      </c>
      <c r="J2625" s="68">
        <f t="shared" si="1"/>
        <v>0</v>
      </c>
      <c r="K2625" s="68" t="b">
        <v>1</v>
      </c>
    </row>
    <row r="2626" hidden="1">
      <c r="A2626" s="75">
        <v>2620.0</v>
      </c>
      <c r="B2626" s="62" t="s">
        <v>1306</v>
      </c>
      <c r="C2626" s="62" t="s">
        <v>108</v>
      </c>
      <c r="D2626" s="62" t="s">
        <v>1614</v>
      </c>
      <c r="E2626" s="76">
        <v>44015.0</v>
      </c>
      <c r="F2626" s="77">
        <v>0.041666666666666664</v>
      </c>
      <c r="G2626" s="62" t="b">
        <v>0</v>
      </c>
      <c r="H2626" s="78" t="b">
        <f>IF(VLOOKUP(C2626,Projetos!A:L,12,false)=TRUE,TRUE,FALSE)</f>
        <v>1</v>
      </c>
      <c r="I2626" s="68">
        <v>37.66052106481481</v>
      </c>
      <c r="J2626" s="68">
        <f t="shared" si="1"/>
        <v>0</v>
      </c>
      <c r="K2626" s="68" t="b">
        <v>1</v>
      </c>
    </row>
    <row r="2627" hidden="1">
      <c r="A2627" s="75">
        <v>2621.0</v>
      </c>
      <c r="B2627" s="62" t="s">
        <v>1306</v>
      </c>
      <c r="C2627" s="62" t="s">
        <v>108</v>
      </c>
      <c r="D2627" s="62" t="s">
        <v>1614</v>
      </c>
      <c r="E2627" s="76">
        <v>44018.0</v>
      </c>
      <c r="F2627" s="77">
        <v>0.041666666666666664</v>
      </c>
      <c r="G2627" s="62" t="b">
        <v>0</v>
      </c>
      <c r="H2627" s="78" t="b">
        <f>IF(VLOOKUP(C2627,Projetos!A:L,12,false)=TRUE,TRUE,FALSE)</f>
        <v>1</v>
      </c>
      <c r="I2627" s="68">
        <v>37.66052106481481</v>
      </c>
      <c r="J2627" s="68">
        <f t="shared" si="1"/>
        <v>0</v>
      </c>
      <c r="K2627" s="68" t="b">
        <v>1</v>
      </c>
    </row>
    <row r="2628" hidden="1">
      <c r="A2628" s="75">
        <v>2622.0</v>
      </c>
      <c r="B2628" s="62" t="s">
        <v>1306</v>
      </c>
      <c r="C2628" s="62" t="s">
        <v>108</v>
      </c>
      <c r="D2628" s="62" t="s">
        <v>1615</v>
      </c>
      <c r="E2628" s="76">
        <v>44019.0</v>
      </c>
      <c r="F2628" s="77">
        <v>0.041666666666666664</v>
      </c>
      <c r="G2628" s="62" t="b">
        <v>0</v>
      </c>
      <c r="H2628" s="78" t="b">
        <f>IF(VLOOKUP(C2628,Projetos!A:L,12,false)=TRUE,TRUE,FALSE)</f>
        <v>1</v>
      </c>
      <c r="I2628" s="68">
        <v>37.66052106481481</v>
      </c>
      <c r="J2628" s="68">
        <f t="shared" si="1"/>
        <v>0</v>
      </c>
      <c r="K2628" s="68" t="b">
        <v>1</v>
      </c>
    </row>
    <row r="2629" hidden="1">
      <c r="A2629" s="75">
        <v>2623.0</v>
      </c>
      <c r="B2629" s="62" t="s">
        <v>1306</v>
      </c>
      <c r="C2629" s="62" t="s">
        <v>108</v>
      </c>
      <c r="D2629" s="62" t="s">
        <v>1616</v>
      </c>
      <c r="E2629" s="76">
        <v>44022.0</v>
      </c>
      <c r="F2629" s="77">
        <v>0.041666666666666664</v>
      </c>
      <c r="G2629" s="62" t="b">
        <v>0</v>
      </c>
      <c r="H2629" s="78" t="b">
        <f>IF(VLOOKUP(C2629,Projetos!A:L,12,false)=TRUE,TRUE,FALSE)</f>
        <v>1</v>
      </c>
      <c r="I2629" s="68">
        <v>37.66052106481481</v>
      </c>
      <c r="J2629" s="68">
        <f t="shared" si="1"/>
        <v>0</v>
      </c>
      <c r="K2629" s="68" t="b">
        <v>1</v>
      </c>
    </row>
    <row r="2630" hidden="1">
      <c r="A2630" s="75">
        <v>2624.0</v>
      </c>
      <c r="B2630" s="62" t="s">
        <v>1306</v>
      </c>
      <c r="C2630" s="62" t="s">
        <v>108</v>
      </c>
      <c r="D2630" s="62" t="s">
        <v>1617</v>
      </c>
      <c r="E2630" s="76">
        <v>44026.0</v>
      </c>
      <c r="F2630" s="77">
        <v>0.03125</v>
      </c>
      <c r="G2630" s="62" t="b">
        <v>0</v>
      </c>
      <c r="H2630" s="78" t="b">
        <f>IF(VLOOKUP(C2630,Projetos!A:L,12,false)=TRUE,TRUE,FALSE)</f>
        <v>1</v>
      </c>
      <c r="I2630" s="68">
        <v>37.66052106481481</v>
      </c>
      <c r="J2630" s="68">
        <f t="shared" si="1"/>
        <v>0</v>
      </c>
      <c r="K2630" s="68" t="b">
        <v>1</v>
      </c>
    </row>
    <row r="2631" hidden="1">
      <c r="A2631" s="75">
        <v>2625.0</v>
      </c>
      <c r="B2631" s="62" t="s">
        <v>1306</v>
      </c>
      <c r="C2631" s="62" t="s">
        <v>108</v>
      </c>
      <c r="D2631" s="62" t="s">
        <v>1617</v>
      </c>
      <c r="E2631" s="76">
        <v>44026.0</v>
      </c>
      <c r="F2631" s="77">
        <v>0.041666666666666664</v>
      </c>
      <c r="G2631" s="62" t="b">
        <v>0</v>
      </c>
      <c r="H2631" s="78" t="b">
        <f>IF(VLOOKUP(C2631,Projetos!A:L,12,false)=TRUE,TRUE,FALSE)</f>
        <v>1</v>
      </c>
      <c r="I2631" s="68">
        <v>37.66052106481481</v>
      </c>
      <c r="J2631" s="68">
        <f t="shared" si="1"/>
        <v>0</v>
      </c>
      <c r="K2631" s="68" t="b">
        <v>1</v>
      </c>
    </row>
    <row r="2632" hidden="1">
      <c r="A2632" s="75">
        <v>2626.0</v>
      </c>
      <c r="B2632" s="62" t="s">
        <v>1306</v>
      </c>
      <c r="C2632" s="62" t="s">
        <v>108</v>
      </c>
      <c r="D2632" s="62" t="s">
        <v>1618</v>
      </c>
      <c r="E2632" s="76">
        <v>44026.0</v>
      </c>
      <c r="F2632" s="77">
        <v>0.041666666666666664</v>
      </c>
      <c r="G2632" s="62" t="b">
        <v>0</v>
      </c>
      <c r="H2632" s="78" t="b">
        <f>IF(VLOOKUP(C2632,Projetos!A:L,12,false)=TRUE,TRUE,FALSE)</f>
        <v>1</v>
      </c>
      <c r="I2632" s="68">
        <v>37.66052106481481</v>
      </c>
      <c r="J2632" s="68">
        <f t="shared" si="1"/>
        <v>0</v>
      </c>
      <c r="K2632" s="68" t="b">
        <v>1</v>
      </c>
    </row>
    <row r="2633" hidden="1">
      <c r="A2633" s="75">
        <v>2627.0</v>
      </c>
      <c r="B2633" s="62" t="s">
        <v>1306</v>
      </c>
      <c r="C2633" s="62" t="s">
        <v>108</v>
      </c>
      <c r="D2633" s="62" t="s">
        <v>1619</v>
      </c>
      <c r="E2633" s="76">
        <v>44029.0</v>
      </c>
      <c r="F2633" s="77">
        <v>0.16666666666666666</v>
      </c>
      <c r="G2633" s="62" t="b">
        <v>0</v>
      </c>
      <c r="H2633" s="78" t="b">
        <f>IF(VLOOKUP(C2633,Projetos!A:L,12,false)=TRUE,TRUE,FALSE)</f>
        <v>1</v>
      </c>
      <c r="I2633" s="68">
        <v>37.66052106481481</v>
      </c>
      <c r="J2633" s="68">
        <f t="shared" si="1"/>
        <v>0</v>
      </c>
      <c r="K2633" s="68" t="b">
        <v>1</v>
      </c>
    </row>
    <row r="2634" hidden="1">
      <c r="A2634" s="75">
        <v>2628.0</v>
      </c>
      <c r="B2634" s="62" t="s">
        <v>1306</v>
      </c>
      <c r="C2634" s="62" t="s">
        <v>108</v>
      </c>
      <c r="D2634" s="62" t="s">
        <v>1485</v>
      </c>
      <c r="E2634" s="76">
        <v>44035.0</v>
      </c>
      <c r="F2634" s="77">
        <v>0.041666666666666664</v>
      </c>
      <c r="G2634" s="62" t="b">
        <v>0</v>
      </c>
      <c r="H2634" s="78" t="b">
        <f>IF(VLOOKUP(C2634,Projetos!A:L,12,false)=TRUE,TRUE,FALSE)</f>
        <v>1</v>
      </c>
      <c r="I2634" s="68">
        <v>37.66052106481481</v>
      </c>
      <c r="J2634" s="68">
        <f t="shared" si="1"/>
        <v>0</v>
      </c>
      <c r="K2634" s="68" t="b">
        <v>1</v>
      </c>
    </row>
    <row r="2635" hidden="1">
      <c r="A2635" s="75">
        <v>2629.0</v>
      </c>
      <c r="B2635" s="62" t="s">
        <v>1306</v>
      </c>
      <c r="C2635" s="62" t="s">
        <v>108</v>
      </c>
      <c r="D2635" s="62" t="s">
        <v>1620</v>
      </c>
      <c r="E2635" s="76">
        <v>44035.0</v>
      </c>
      <c r="F2635" s="77">
        <v>0.03125</v>
      </c>
      <c r="G2635" s="62" t="b">
        <v>0</v>
      </c>
      <c r="H2635" s="78" t="b">
        <f>IF(VLOOKUP(C2635,Projetos!A:L,12,false)=TRUE,TRUE,FALSE)</f>
        <v>1</v>
      </c>
      <c r="I2635" s="68">
        <v>37.66052106481481</v>
      </c>
      <c r="J2635" s="68">
        <f t="shared" si="1"/>
        <v>0</v>
      </c>
      <c r="K2635" s="68" t="b">
        <v>1</v>
      </c>
    </row>
    <row r="2636" hidden="1">
      <c r="A2636" s="75">
        <v>2630.0</v>
      </c>
      <c r="B2636" s="62" t="s">
        <v>1306</v>
      </c>
      <c r="C2636" s="62" t="s">
        <v>108</v>
      </c>
      <c r="D2636" s="62" t="s">
        <v>1621</v>
      </c>
      <c r="E2636" s="76">
        <v>44036.0</v>
      </c>
      <c r="F2636" s="77">
        <v>0.03125</v>
      </c>
      <c r="G2636" s="62" t="b">
        <v>0</v>
      </c>
      <c r="H2636" s="78" t="b">
        <f>IF(VLOOKUP(C2636,Projetos!A:L,12,false)=TRUE,TRUE,FALSE)</f>
        <v>1</v>
      </c>
      <c r="I2636" s="68">
        <v>37.66052106481481</v>
      </c>
      <c r="J2636" s="68">
        <f t="shared" si="1"/>
        <v>0</v>
      </c>
      <c r="K2636" s="68" t="b">
        <v>1</v>
      </c>
    </row>
    <row r="2637" hidden="1">
      <c r="A2637" s="75">
        <v>2631.0</v>
      </c>
      <c r="B2637" s="62" t="s">
        <v>1306</v>
      </c>
      <c r="C2637" s="62" t="s">
        <v>108</v>
      </c>
      <c r="D2637" s="62" t="s">
        <v>1468</v>
      </c>
      <c r="E2637" s="76">
        <v>44036.0</v>
      </c>
      <c r="F2637" s="77">
        <v>0.0625</v>
      </c>
      <c r="G2637" s="62" t="b">
        <v>0</v>
      </c>
      <c r="H2637" s="78" t="b">
        <f>IF(VLOOKUP(C2637,Projetos!A:L,12,false)=TRUE,TRUE,FALSE)</f>
        <v>1</v>
      </c>
      <c r="I2637" s="68">
        <v>37.66052106481481</v>
      </c>
      <c r="J2637" s="68">
        <f t="shared" si="1"/>
        <v>0</v>
      </c>
      <c r="K2637" s="68" t="b">
        <v>1</v>
      </c>
    </row>
    <row r="2638" hidden="1">
      <c r="A2638" s="75">
        <v>2632.0</v>
      </c>
      <c r="B2638" s="62" t="s">
        <v>1306</v>
      </c>
      <c r="C2638" s="62" t="s">
        <v>108</v>
      </c>
      <c r="D2638" s="62" t="s">
        <v>1622</v>
      </c>
      <c r="E2638" s="76">
        <v>44039.0</v>
      </c>
      <c r="F2638" s="77">
        <v>0.19791666666666666</v>
      </c>
      <c r="G2638" s="62" t="b">
        <v>0</v>
      </c>
      <c r="H2638" s="78" t="b">
        <f>IF(VLOOKUP(C2638,Projetos!A:L,12,false)=TRUE,TRUE,FALSE)</f>
        <v>1</v>
      </c>
      <c r="I2638" s="68">
        <v>37.66052106481481</v>
      </c>
      <c r="J2638" s="68">
        <f t="shared" si="1"/>
        <v>0</v>
      </c>
      <c r="K2638" s="68" t="b">
        <v>1</v>
      </c>
    </row>
    <row r="2639" hidden="1">
      <c r="A2639" s="75">
        <v>2633.0</v>
      </c>
      <c r="B2639" s="62" t="s">
        <v>1306</v>
      </c>
      <c r="C2639" s="62" t="s">
        <v>108</v>
      </c>
      <c r="D2639" s="62" t="s">
        <v>1623</v>
      </c>
      <c r="E2639" s="76">
        <v>44039.0</v>
      </c>
      <c r="F2639" s="77">
        <v>0.0625</v>
      </c>
      <c r="G2639" s="62" t="b">
        <v>0</v>
      </c>
      <c r="H2639" s="78" t="b">
        <f>IF(VLOOKUP(C2639,Projetos!A:L,12,false)=TRUE,TRUE,FALSE)</f>
        <v>1</v>
      </c>
      <c r="I2639" s="68">
        <v>37.66052106481481</v>
      </c>
      <c r="J2639" s="68">
        <f t="shared" si="1"/>
        <v>0</v>
      </c>
      <c r="K2639" s="68" t="b">
        <v>1</v>
      </c>
    </row>
    <row r="2640" hidden="1">
      <c r="A2640" s="75">
        <v>2634.0</v>
      </c>
      <c r="B2640" s="62" t="s">
        <v>1306</v>
      </c>
      <c r="C2640" s="62" t="s">
        <v>108</v>
      </c>
      <c r="D2640" s="62" t="s">
        <v>1624</v>
      </c>
      <c r="E2640" s="76">
        <v>44043.0</v>
      </c>
      <c r="F2640" s="77">
        <v>0.020833333333333332</v>
      </c>
      <c r="G2640" s="62" t="b">
        <v>0</v>
      </c>
      <c r="H2640" s="78" t="b">
        <f>IF(VLOOKUP(C2640,Projetos!A:L,12,false)=TRUE,TRUE,FALSE)</f>
        <v>1</v>
      </c>
      <c r="I2640" s="68">
        <v>37.66052106481481</v>
      </c>
      <c r="J2640" s="68">
        <f t="shared" si="1"/>
        <v>0</v>
      </c>
      <c r="K2640" s="68" t="b">
        <v>1</v>
      </c>
    </row>
    <row r="2641" hidden="1">
      <c r="A2641" s="75">
        <v>2635.0</v>
      </c>
      <c r="B2641" s="62" t="s">
        <v>1306</v>
      </c>
      <c r="C2641" s="62" t="s">
        <v>109</v>
      </c>
      <c r="D2641" s="62" t="s">
        <v>1625</v>
      </c>
      <c r="E2641" s="76">
        <v>44014.0</v>
      </c>
      <c r="F2641" s="77">
        <v>0.041666666666666664</v>
      </c>
      <c r="G2641" s="62" t="b">
        <v>0</v>
      </c>
      <c r="H2641" s="78" t="b">
        <f>IF(VLOOKUP(C2641,Projetos!A:L,12,false)=TRUE,TRUE,FALSE)</f>
        <v>0</v>
      </c>
      <c r="I2641" s="68">
        <v>37.66052106481481</v>
      </c>
      <c r="J2641" s="68">
        <f t="shared" si="1"/>
        <v>0</v>
      </c>
      <c r="K2641" s="68" t="b">
        <v>0</v>
      </c>
    </row>
    <row r="2642" hidden="1">
      <c r="A2642" s="75">
        <v>2636.0</v>
      </c>
      <c r="B2642" s="62" t="s">
        <v>1306</v>
      </c>
      <c r="C2642" s="62" t="s">
        <v>109</v>
      </c>
      <c r="D2642" s="62" t="s">
        <v>1485</v>
      </c>
      <c r="E2642" s="76">
        <v>44018.0</v>
      </c>
      <c r="F2642" s="77">
        <v>0.041666666666666664</v>
      </c>
      <c r="G2642" s="62" t="b">
        <v>0</v>
      </c>
      <c r="H2642" s="78" t="b">
        <f>IF(VLOOKUP(C2642,Projetos!A:L,12,false)=TRUE,TRUE,FALSE)</f>
        <v>0</v>
      </c>
      <c r="I2642" s="68">
        <v>37.66052106481481</v>
      </c>
      <c r="J2642" s="68">
        <f t="shared" si="1"/>
        <v>0</v>
      </c>
      <c r="K2642" s="68" t="b">
        <v>0</v>
      </c>
    </row>
    <row r="2643" hidden="1">
      <c r="A2643" s="75">
        <v>2637.0</v>
      </c>
      <c r="B2643" s="62" t="s">
        <v>1306</v>
      </c>
      <c r="C2643" s="62" t="s">
        <v>109</v>
      </c>
      <c r="D2643" s="62" t="s">
        <v>1626</v>
      </c>
      <c r="E2643" s="76">
        <v>44018.0</v>
      </c>
      <c r="F2643" s="77">
        <v>0.15625</v>
      </c>
      <c r="G2643" s="62" t="b">
        <v>0</v>
      </c>
      <c r="H2643" s="78" t="b">
        <f>IF(VLOOKUP(C2643,Projetos!A:L,12,false)=TRUE,TRUE,FALSE)</f>
        <v>0</v>
      </c>
      <c r="I2643" s="68">
        <v>37.66052106481481</v>
      </c>
      <c r="J2643" s="68">
        <f t="shared" si="1"/>
        <v>0</v>
      </c>
      <c r="K2643" s="68" t="b">
        <v>0</v>
      </c>
    </row>
    <row r="2644" hidden="1">
      <c r="A2644" s="75">
        <v>2638.0</v>
      </c>
      <c r="B2644" s="62" t="s">
        <v>1306</v>
      </c>
      <c r="C2644" s="62" t="s">
        <v>109</v>
      </c>
      <c r="D2644" s="62" t="s">
        <v>1625</v>
      </c>
      <c r="E2644" s="76">
        <v>44019.0</v>
      </c>
      <c r="F2644" s="77">
        <v>0.020833333333333332</v>
      </c>
      <c r="G2644" s="62" t="b">
        <v>0</v>
      </c>
      <c r="H2644" s="78" t="b">
        <f>IF(VLOOKUP(C2644,Projetos!A:L,12,false)=TRUE,TRUE,FALSE)</f>
        <v>0</v>
      </c>
      <c r="I2644" s="68">
        <v>37.66052106481481</v>
      </c>
      <c r="J2644" s="68">
        <f t="shared" si="1"/>
        <v>0</v>
      </c>
      <c r="K2644" s="68" t="b">
        <v>0</v>
      </c>
    </row>
    <row r="2645" hidden="1">
      <c r="A2645" s="75">
        <v>2639.0</v>
      </c>
      <c r="B2645" s="62" t="s">
        <v>1306</v>
      </c>
      <c r="C2645" s="62" t="s">
        <v>109</v>
      </c>
      <c r="D2645" s="62" t="s">
        <v>1627</v>
      </c>
      <c r="E2645" s="76">
        <v>44020.0</v>
      </c>
      <c r="F2645" s="77">
        <v>0.20833333333333334</v>
      </c>
      <c r="G2645" s="62" t="b">
        <v>0</v>
      </c>
      <c r="H2645" s="78" t="b">
        <f>IF(VLOOKUP(C2645,Projetos!A:L,12,false)=TRUE,TRUE,FALSE)</f>
        <v>0</v>
      </c>
      <c r="I2645" s="68">
        <v>37.66052106481481</v>
      </c>
      <c r="J2645" s="68">
        <f t="shared" si="1"/>
        <v>0</v>
      </c>
      <c r="K2645" s="68" t="b">
        <v>0</v>
      </c>
    </row>
    <row r="2646" hidden="1">
      <c r="A2646" s="75">
        <v>2640.0</v>
      </c>
      <c r="B2646" s="62" t="s">
        <v>1306</v>
      </c>
      <c r="C2646" s="62" t="s">
        <v>109</v>
      </c>
      <c r="D2646" s="62" t="s">
        <v>1628</v>
      </c>
      <c r="E2646" s="76">
        <v>44025.0</v>
      </c>
      <c r="F2646" s="77">
        <v>0.0625</v>
      </c>
      <c r="G2646" s="62" t="b">
        <v>0</v>
      </c>
      <c r="H2646" s="78" t="b">
        <f>IF(VLOOKUP(C2646,Projetos!A:L,12,false)=TRUE,TRUE,FALSE)</f>
        <v>0</v>
      </c>
      <c r="I2646" s="68">
        <v>37.66052106481481</v>
      </c>
      <c r="J2646" s="68">
        <f t="shared" si="1"/>
        <v>0</v>
      </c>
      <c r="K2646" s="68" t="b">
        <v>0</v>
      </c>
    </row>
    <row r="2647" hidden="1">
      <c r="A2647" s="75">
        <v>2641.0</v>
      </c>
      <c r="B2647" s="62" t="s">
        <v>1306</v>
      </c>
      <c r="C2647" s="62" t="s">
        <v>109</v>
      </c>
      <c r="D2647" s="62" t="s">
        <v>1629</v>
      </c>
      <c r="E2647" s="76">
        <v>44026.0</v>
      </c>
      <c r="F2647" s="77">
        <v>0.125</v>
      </c>
      <c r="G2647" s="62" t="b">
        <v>0</v>
      </c>
      <c r="H2647" s="78" t="b">
        <f>IF(VLOOKUP(C2647,Projetos!A:L,12,false)=TRUE,TRUE,FALSE)</f>
        <v>0</v>
      </c>
      <c r="I2647" s="68">
        <v>37.66052106481481</v>
      </c>
      <c r="J2647" s="68">
        <f t="shared" si="1"/>
        <v>0</v>
      </c>
      <c r="K2647" s="68" t="b">
        <v>0</v>
      </c>
    </row>
    <row r="2648" hidden="1">
      <c r="A2648" s="75">
        <v>2642.0</v>
      </c>
      <c r="B2648" s="62" t="s">
        <v>1306</v>
      </c>
      <c r="C2648" s="62" t="s">
        <v>109</v>
      </c>
      <c r="D2648" s="62" t="s">
        <v>1630</v>
      </c>
      <c r="E2648" s="76">
        <v>44028.0</v>
      </c>
      <c r="F2648" s="77">
        <v>0.041666666666666664</v>
      </c>
      <c r="G2648" s="62" t="b">
        <v>0</v>
      </c>
      <c r="H2648" s="78" t="b">
        <f>IF(VLOOKUP(C2648,Projetos!A:L,12,false)=TRUE,TRUE,FALSE)</f>
        <v>0</v>
      </c>
      <c r="I2648" s="68">
        <v>37.66052106481481</v>
      </c>
      <c r="J2648" s="68">
        <f t="shared" si="1"/>
        <v>0</v>
      </c>
      <c r="K2648" s="68" t="b">
        <v>0</v>
      </c>
    </row>
    <row r="2649" hidden="1">
      <c r="A2649" s="75">
        <v>2643.0</v>
      </c>
      <c r="B2649" s="62" t="s">
        <v>1306</v>
      </c>
      <c r="C2649" s="62" t="s">
        <v>109</v>
      </c>
      <c r="D2649" s="62" t="s">
        <v>1631</v>
      </c>
      <c r="E2649" s="76">
        <v>44033.0</v>
      </c>
      <c r="F2649" s="77">
        <v>0.0625</v>
      </c>
      <c r="G2649" s="62" t="b">
        <v>0</v>
      </c>
      <c r="H2649" s="78" t="b">
        <f>IF(VLOOKUP(C2649,Projetos!A:L,12,false)=TRUE,TRUE,FALSE)</f>
        <v>0</v>
      </c>
      <c r="I2649" s="68">
        <v>37.66052106481481</v>
      </c>
      <c r="J2649" s="68">
        <f t="shared" si="1"/>
        <v>0</v>
      </c>
      <c r="K2649" s="68" t="b">
        <v>0</v>
      </c>
    </row>
    <row r="2650" hidden="1">
      <c r="A2650" s="75">
        <v>2644.0</v>
      </c>
      <c r="B2650" s="62" t="s">
        <v>1306</v>
      </c>
      <c r="C2650" s="62" t="s">
        <v>109</v>
      </c>
      <c r="D2650" s="62" t="s">
        <v>1308</v>
      </c>
      <c r="E2650" s="76">
        <v>44033.0</v>
      </c>
      <c r="F2650" s="77">
        <v>0.041666666666666664</v>
      </c>
      <c r="G2650" s="62" t="b">
        <v>0</v>
      </c>
      <c r="H2650" s="78" t="b">
        <f>IF(VLOOKUP(C2650,Projetos!A:L,12,false)=TRUE,TRUE,FALSE)</f>
        <v>0</v>
      </c>
      <c r="I2650" s="68">
        <v>37.66052106481481</v>
      </c>
      <c r="J2650" s="68">
        <f t="shared" si="1"/>
        <v>0</v>
      </c>
      <c r="K2650" s="68" t="b">
        <v>0</v>
      </c>
    </row>
    <row r="2651" hidden="1">
      <c r="A2651" s="75">
        <v>2645.0</v>
      </c>
      <c r="B2651" s="62" t="s">
        <v>1306</v>
      </c>
      <c r="C2651" s="62" t="s">
        <v>109</v>
      </c>
      <c r="D2651" s="62" t="s">
        <v>1632</v>
      </c>
      <c r="E2651" s="76">
        <v>44035.0</v>
      </c>
      <c r="F2651" s="77">
        <v>0.041666666666666664</v>
      </c>
      <c r="G2651" s="62" t="b">
        <v>0</v>
      </c>
      <c r="H2651" s="78" t="b">
        <f>IF(VLOOKUP(C2651,Projetos!A:L,12,false)=TRUE,TRUE,FALSE)</f>
        <v>0</v>
      </c>
      <c r="I2651" s="68">
        <v>37.66052106481481</v>
      </c>
      <c r="J2651" s="68">
        <f t="shared" si="1"/>
        <v>0</v>
      </c>
      <c r="K2651" s="68" t="b">
        <v>0</v>
      </c>
    </row>
    <row r="2652" hidden="1">
      <c r="A2652" s="75">
        <v>2646.0</v>
      </c>
      <c r="B2652" s="62" t="s">
        <v>1306</v>
      </c>
      <c r="C2652" s="62" t="s">
        <v>109</v>
      </c>
      <c r="D2652" s="62" t="s">
        <v>1633</v>
      </c>
      <c r="E2652" s="76">
        <v>44040.0</v>
      </c>
      <c r="F2652" s="77">
        <v>0.16666666666666666</v>
      </c>
      <c r="G2652" s="62" t="b">
        <v>0</v>
      </c>
      <c r="H2652" s="78" t="b">
        <f>IF(VLOOKUP(C2652,Projetos!A:L,12,false)=TRUE,TRUE,FALSE)</f>
        <v>0</v>
      </c>
      <c r="I2652" s="68">
        <v>37.66052106481481</v>
      </c>
      <c r="J2652" s="68">
        <f t="shared" si="1"/>
        <v>0</v>
      </c>
      <c r="K2652" s="68" t="b">
        <v>0</v>
      </c>
    </row>
    <row r="2653" hidden="1">
      <c r="A2653" s="75">
        <v>2647.0</v>
      </c>
      <c r="B2653" s="62" t="s">
        <v>1306</v>
      </c>
      <c r="C2653" s="62" t="s">
        <v>109</v>
      </c>
      <c r="D2653" s="62" t="s">
        <v>1634</v>
      </c>
      <c r="E2653" s="76">
        <v>44041.0</v>
      </c>
      <c r="F2653" s="77">
        <v>0.13541666666666666</v>
      </c>
      <c r="G2653" s="62" t="b">
        <v>0</v>
      </c>
      <c r="H2653" s="78" t="b">
        <f>IF(VLOOKUP(C2653,Projetos!A:L,12,false)=TRUE,TRUE,FALSE)</f>
        <v>0</v>
      </c>
      <c r="I2653" s="68">
        <v>37.66052106481481</v>
      </c>
      <c r="J2653" s="68">
        <f t="shared" si="1"/>
        <v>0</v>
      </c>
      <c r="K2653" s="68" t="b">
        <v>0</v>
      </c>
    </row>
    <row r="2654" hidden="1">
      <c r="A2654" s="75">
        <v>2648.0</v>
      </c>
      <c r="B2654" s="62" t="s">
        <v>1306</v>
      </c>
      <c r="C2654" s="62" t="s">
        <v>109</v>
      </c>
      <c r="D2654" s="62" t="s">
        <v>1635</v>
      </c>
      <c r="E2654" s="76">
        <v>44041.0</v>
      </c>
      <c r="F2654" s="77">
        <v>0.041666666666666664</v>
      </c>
      <c r="G2654" s="62" t="b">
        <v>0</v>
      </c>
      <c r="H2654" s="78" t="b">
        <f>IF(VLOOKUP(C2654,Projetos!A:L,12,false)=TRUE,TRUE,FALSE)</f>
        <v>0</v>
      </c>
      <c r="I2654" s="68">
        <v>37.66052106481481</v>
      </c>
      <c r="J2654" s="68">
        <f t="shared" si="1"/>
        <v>0</v>
      </c>
      <c r="K2654" s="68" t="b">
        <v>0</v>
      </c>
    </row>
    <row r="2655" hidden="1">
      <c r="A2655" s="75">
        <v>2649.0</v>
      </c>
      <c r="B2655" s="62" t="s">
        <v>1306</v>
      </c>
      <c r="C2655" s="62" t="s">
        <v>109</v>
      </c>
      <c r="D2655" s="62" t="s">
        <v>1636</v>
      </c>
      <c r="E2655" s="76">
        <v>44042.0</v>
      </c>
      <c r="F2655" s="77">
        <v>0.0625</v>
      </c>
      <c r="G2655" s="62" t="b">
        <v>0</v>
      </c>
      <c r="H2655" s="78" t="b">
        <f>IF(VLOOKUP(C2655,Projetos!A:L,12,false)=TRUE,TRUE,FALSE)</f>
        <v>0</v>
      </c>
      <c r="I2655" s="68">
        <v>37.66052106481481</v>
      </c>
      <c r="J2655" s="68">
        <f t="shared" si="1"/>
        <v>0</v>
      </c>
      <c r="K2655" s="68" t="b">
        <v>0</v>
      </c>
    </row>
    <row r="2656" hidden="1">
      <c r="A2656" s="75">
        <v>2650.0</v>
      </c>
      <c r="B2656" s="62" t="s">
        <v>1306</v>
      </c>
      <c r="C2656" s="62" t="s">
        <v>110</v>
      </c>
      <c r="D2656" s="62" t="s">
        <v>1485</v>
      </c>
      <c r="E2656" s="76">
        <v>44013.0</v>
      </c>
      <c r="F2656" s="77">
        <v>0.041666666666666664</v>
      </c>
      <c r="G2656" s="62" t="b">
        <v>1</v>
      </c>
      <c r="H2656" s="78" t="b">
        <f>IF(VLOOKUP(C2656,Projetos!A:L,12,false)=TRUE,TRUE,FALSE)</f>
        <v>1</v>
      </c>
      <c r="I2656" s="68">
        <v>37.66052106481481</v>
      </c>
      <c r="J2656" s="68">
        <f t="shared" si="1"/>
        <v>37.66052106</v>
      </c>
      <c r="K2656" s="68" t="b">
        <v>1</v>
      </c>
    </row>
    <row r="2657" hidden="1">
      <c r="A2657" s="75">
        <v>2651.0</v>
      </c>
      <c r="B2657" s="62" t="s">
        <v>1306</v>
      </c>
      <c r="C2657" s="62" t="s">
        <v>110</v>
      </c>
      <c r="D2657" s="62" t="s">
        <v>1637</v>
      </c>
      <c r="E2657" s="76">
        <v>44015.0</v>
      </c>
      <c r="F2657" s="77">
        <v>0.020833333333333332</v>
      </c>
      <c r="G2657" s="62" t="b">
        <v>1</v>
      </c>
      <c r="H2657" s="78" t="b">
        <f>IF(VLOOKUP(C2657,Projetos!A:L,12,false)=TRUE,TRUE,FALSE)</f>
        <v>1</v>
      </c>
      <c r="I2657" s="68">
        <v>37.66052106481481</v>
      </c>
      <c r="J2657" s="68">
        <f t="shared" si="1"/>
        <v>18.83026053</v>
      </c>
      <c r="K2657" s="68" t="b">
        <v>1</v>
      </c>
    </row>
    <row r="2658" hidden="1">
      <c r="A2658" s="75">
        <v>2652.0</v>
      </c>
      <c r="B2658" s="62" t="s">
        <v>1306</v>
      </c>
      <c r="C2658" s="62" t="s">
        <v>110</v>
      </c>
      <c r="D2658" s="62" t="s">
        <v>1378</v>
      </c>
      <c r="E2658" s="76">
        <v>44019.0</v>
      </c>
      <c r="F2658" s="77">
        <v>0.0625</v>
      </c>
      <c r="G2658" s="62" t="b">
        <v>1</v>
      </c>
      <c r="H2658" s="78" t="b">
        <f>IF(VLOOKUP(C2658,Projetos!A:L,12,false)=TRUE,TRUE,FALSE)</f>
        <v>1</v>
      </c>
      <c r="I2658" s="68">
        <v>37.66052106481481</v>
      </c>
      <c r="J2658" s="68">
        <f t="shared" si="1"/>
        <v>56.4907816</v>
      </c>
      <c r="K2658" s="68" t="b">
        <v>1</v>
      </c>
    </row>
    <row r="2659" hidden="1">
      <c r="A2659" s="75">
        <v>2653.0</v>
      </c>
      <c r="B2659" s="62" t="s">
        <v>1306</v>
      </c>
      <c r="C2659" s="62" t="s">
        <v>110</v>
      </c>
      <c r="D2659" s="62" t="s">
        <v>1638</v>
      </c>
      <c r="E2659" s="76">
        <v>44020.0</v>
      </c>
      <c r="F2659" s="77">
        <v>0.03125</v>
      </c>
      <c r="G2659" s="62" t="b">
        <v>1</v>
      </c>
      <c r="H2659" s="78" t="b">
        <f>IF(VLOOKUP(C2659,Projetos!A:L,12,false)=TRUE,TRUE,FALSE)</f>
        <v>1</v>
      </c>
      <c r="I2659" s="68">
        <v>37.66052106481481</v>
      </c>
      <c r="J2659" s="68">
        <f t="shared" si="1"/>
        <v>28.2453908</v>
      </c>
      <c r="K2659" s="68" t="b">
        <v>1</v>
      </c>
    </row>
    <row r="2660" hidden="1">
      <c r="A2660" s="75">
        <v>2654.0</v>
      </c>
      <c r="B2660" s="62" t="s">
        <v>1306</v>
      </c>
      <c r="C2660" s="62" t="s">
        <v>110</v>
      </c>
      <c r="D2660" s="62" t="s">
        <v>1639</v>
      </c>
      <c r="E2660" s="76">
        <v>44021.0</v>
      </c>
      <c r="F2660" s="77">
        <v>0.041666666666666664</v>
      </c>
      <c r="G2660" s="62" t="b">
        <v>1</v>
      </c>
      <c r="H2660" s="78" t="b">
        <f>IF(VLOOKUP(C2660,Projetos!A:L,12,false)=TRUE,TRUE,FALSE)</f>
        <v>1</v>
      </c>
      <c r="I2660" s="68">
        <v>37.66052106481481</v>
      </c>
      <c r="J2660" s="68">
        <f t="shared" si="1"/>
        <v>37.66052106</v>
      </c>
      <c r="K2660" s="68" t="b">
        <v>1</v>
      </c>
    </row>
    <row r="2661" hidden="1">
      <c r="A2661" s="75">
        <v>2655.0</v>
      </c>
      <c r="B2661" s="62" t="s">
        <v>1306</v>
      </c>
      <c r="C2661" s="62" t="s">
        <v>110</v>
      </c>
      <c r="D2661" s="62" t="s">
        <v>1346</v>
      </c>
      <c r="E2661" s="76">
        <v>44025.0</v>
      </c>
      <c r="F2661" s="77">
        <v>0.041666666666666664</v>
      </c>
      <c r="G2661" s="62" t="b">
        <v>1</v>
      </c>
      <c r="H2661" s="78" t="b">
        <f>IF(VLOOKUP(C2661,Projetos!A:L,12,false)=TRUE,TRUE,FALSE)</f>
        <v>1</v>
      </c>
      <c r="I2661" s="68">
        <v>37.66052106481481</v>
      </c>
      <c r="J2661" s="68">
        <f t="shared" si="1"/>
        <v>37.66052106</v>
      </c>
      <c r="K2661" s="68" t="b">
        <v>1</v>
      </c>
    </row>
    <row r="2662" hidden="1">
      <c r="A2662" s="75">
        <v>2656.0</v>
      </c>
      <c r="B2662" s="62" t="s">
        <v>1306</v>
      </c>
      <c r="C2662" s="62" t="s">
        <v>110</v>
      </c>
      <c r="D2662" s="62" t="s">
        <v>1346</v>
      </c>
      <c r="E2662" s="76">
        <v>44027.0</v>
      </c>
      <c r="F2662" s="77">
        <v>0.03125</v>
      </c>
      <c r="G2662" s="62" t="b">
        <v>1</v>
      </c>
      <c r="H2662" s="78" t="b">
        <f>IF(VLOOKUP(C2662,Projetos!A:L,12,false)=TRUE,TRUE,FALSE)</f>
        <v>1</v>
      </c>
      <c r="I2662" s="68">
        <v>37.66052106481481</v>
      </c>
      <c r="J2662" s="68">
        <f t="shared" si="1"/>
        <v>28.2453908</v>
      </c>
      <c r="K2662" s="68" t="b">
        <v>1</v>
      </c>
    </row>
    <row r="2663" hidden="1">
      <c r="A2663" s="75">
        <v>2657.0</v>
      </c>
      <c r="B2663" s="62" t="s">
        <v>1306</v>
      </c>
      <c r="C2663" s="62" t="s">
        <v>110</v>
      </c>
      <c r="D2663" s="62" t="s">
        <v>1640</v>
      </c>
      <c r="E2663" s="76">
        <v>44028.0</v>
      </c>
      <c r="F2663" s="77">
        <v>0.027777777777777776</v>
      </c>
      <c r="G2663" s="62" t="b">
        <v>1</v>
      </c>
      <c r="H2663" s="78" t="b">
        <f>IF(VLOOKUP(C2663,Projetos!A:L,12,false)=TRUE,TRUE,FALSE)</f>
        <v>1</v>
      </c>
      <c r="I2663" s="68">
        <v>37.66052106481481</v>
      </c>
      <c r="J2663" s="68">
        <f t="shared" si="1"/>
        <v>25.10701404</v>
      </c>
      <c r="K2663" s="68" t="b">
        <v>1</v>
      </c>
    </row>
    <row r="2664" hidden="1">
      <c r="A2664" s="75">
        <v>2658.0</v>
      </c>
      <c r="B2664" s="62" t="s">
        <v>1306</v>
      </c>
      <c r="C2664" s="62" t="s">
        <v>110</v>
      </c>
      <c r="D2664" s="62" t="s">
        <v>1641</v>
      </c>
      <c r="E2664" s="76">
        <v>44029.0</v>
      </c>
      <c r="F2664" s="77">
        <v>0.052083333333333336</v>
      </c>
      <c r="G2664" s="62" t="b">
        <v>1</v>
      </c>
      <c r="H2664" s="78" t="b">
        <f>IF(VLOOKUP(C2664,Projetos!A:L,12,false)=TRUE,TRUE,FALSE)</f>
        <v>1</v>
      </c>
      <c r="I2664" s="68">
        <v>37.66052106481481</v>
      </c>
      <c r="J2664" s="68">
        <f t="shared" si="1"/>
        <v>47.07565133</v>
      </c>
      <c r="K2664" s="68" t="b">
        <v>1</v>
      </c>
    </row>
    <row r="2665" hidden="1">
      <c r="A2665" s="75">
        <v>2659.0</v>
      </c>
      <c r="B2665" s="62" t="s">
        <v>1306</v>
      </c>
      <c r="C2665" s="62" t="s">
        <v>110</v>
      </c>
      <c r="D2665" s="62" t="s">
        <v>1642</v>
      </c>
      <c r="E2665" s="76">
        <v>44033.0</v>
      </c>
      <c r="F2665" s="77">
        <v>0.041666666666666664</v>
      </c>
      <c r="G2665" s="62" t="b">
        <v>1</v>
      </c>
      <c r="H2665" s="78" t="b">
        <f>IF(VLOOKUP(C2665,Projetos!A:L,12,false)=TRUE,TRUE,FALSE)</f>
        <v>1</v>
      </c>
      <c r="I2665" s="68">
        <v>37.66052106481481</v>
      </c>
      <c r="J2665" s="68">
        <f t="shared" si="1"/>
        <v>37.66052106</v>
      </c>
      <c r="K2665" s="68" t="b">
        <v>1</v>
      </c>
    </row>
    <row r="2666" hidden="1">
      <c r="A2666" s="75">
        <v>2660.0</v>
      </c>
      <c r="B2666" s="62" t="s">
        <v>1306</v>
      </c>
      <c r="C2666" s="62" t="s">
        <v>110</v>
      </c>
      <c r="D2666" s="62" t="s">
        <v>1643</v>
      </c>
      <c r="E2666" s="76">
        <v>44043.0</v>
      </c>
      <c r="F2666" s="77">
        <v>0.020833333333333332</v>
      </c>
      <c r="G2666" s="62" t="b">
        <v>1</v>
      </c>
      <c r="H2666" s="78" t="b">
        <f>IF(VLOOKUP(C2666,Projetos!A:L,12,false)=TRUE,TRUE,FALSE)</f>
        <v>1</v>
      </c>
      <c r="I2666" s="68">
        <v>37.66052106481481</v>
      </c>
      <c r="J2666" s="68">
        <f t="shared" si="1"/>
        <v>18.83026053</v>
      </c>
      <c r="K2666" s="68" t="b">
        <v>1</v>
      </c>
    </row>
    <row r="2667" hidden="1">
      <c r="A2667" s="75">
        <v>2661.0</v>
      </c>
      <c r="B2667" s="62" t="s">
        <v>1306</v>
      </c>
      <c r="C2667" s="62" t="s">
        <v>111</v>
      </c>
      <c r="D2667" s="62" t="s">
        <v>1644</v>
      </c>
      <c r="E2667" s="76">
        <v>44013.0</v>
      </c>
      <c r="F2667" s="77">
        <v>0.041666666666666664</v>
      </c>
      <c r="G2667" s="62" t="b">
        <v>0</v>
      </c>
      <c r="H2667" s="78" t="b">
        <f>IF(VLOOKUP(C2667,Projetos!A:L,12,false)=TRUE,TRUE,FALSE)</f>
        <v>0</v>
      </c>
      <c r="I2667" s="68">
        <v>37.66052106481481</v>
      </c>
      <c r="J2667" s="68">
        <f t="shared" si="1"/>
        <v>0</v>
      </c>
      <c r="K2667" s="68" t="b">
        <v>0</v>
      </c>
    </row>
    <row r="2668" hidden="1">
      <c r="A2668" s="75">
        <v>2662.0</v>
      </c>
      <c r="B2668" s="62" t="s">
        <v>1306</v>
      </c>
      <c r="C2668" s="62" t="s">
        <v>111</v>
      </c>
      <c r="D2668" s="62" t="s">
        <v>1645</v>
      </c>
      <c r="E2668" s="76">
        <v>44036.0</v>
      </c>
      <c r="F2668" s="77">
        <v>0.041666666666666664</v>
      </c>
      <c r="G2668" s="62" t="b">
        <v>0</v>
      </c>
      <c r="H2668" s="78" t="b">
        <f>IF(VLOOKUP(C2668,Projetos!A:L,12,false)=TRUE,TRUE,FALSE)</f>
        <v>0</v>
      </c>
      <c r="I2668" s="68">
        <v>37.66052106481481</v>
      </c>
      <c r="J2668" s="68">
        <f t="shared" si="1"/>
        <v>0</v>
      </c>
      <c r="K2668" s="68" t="b">
        <v>0</v>
      </c>
    </row>
    <row r="2669" hidden="1">
      <c r="A2669" s="75">
        <v>2663.0</v>
      </c>
      <c r="B2669" s="62" t="s">
        <v>1306</v>
      </c>
      <c r="C2669" s="62" t="s">
        <v>116</v>
      </c>
      <c r="D2669" s="62" t="s">
        <v>1646</v>
      </c>
      <c r="E2669" s="76">
        <v>44013.0</v>
      </c>
      <c r="F2669" s="77">
        <v>0.08333333333333333</v>
      </c>
      <c r="G2669" s="62" t="b">
        <v>1</v>
      </c>
      <c r="H2669" s="78" t="b">
        <f>IF(VLOOKUP(C2669,Projetos!A:L,12,false)=TRUE,TRUE,FALSE)</f>
        <v>1</v>
      </c>
      <c r="I2669" s="68">
        <v>37.66052106481481</v>
      </c>
      <c r="J2669" s="68">
        <f t="shared" si="1"/>
        <v>75.32104213</v>
      </c>
      <c r="K2669" s="68" t="b">
        <v>1</v>
      </c>
    </row>
    <row r="2670" hidden="1">
      <c r="A2670" s="75">
        <v>2664.0</v>
      </c>
      <c r="B2670" s="62" t="s">
        <v>1306</v>
      </c>
      <c r="C2670" s="62" t="s">
        <v>116</v>
      </c>
      <c r="D2670" s="62" t="s">
        <v>1647</v>
      </c>
      <c r="E2670" s="76">
        <v>44015.0</v>
      </c>
      <c r="F2670" s="77">
        <v>0.08333333333333333</v>
      </c>
      <c r="G2670" s="62" t="b">
        <v>1</v>
      </c>
      <c r="H2670" s="78" t="b">
        <f>IF(VLOOKUP(C2670,Projetos!A:L,12,false)=TRUE,TRUE,FALSE)</f>
        <v>1</v>
      </c>
      <c r="I2670" s="68">
        <v>37.66052106481481</v>
      </c>
      <c r="J2670" s="68">
        <f t="shared" si="1"/>
        <v>75.32104213</v>
      </c>
      <c r="K2670" s="68" t="b">
        <v>1</v>
      </c>
    </row>
    <row r="2671" hidden="1">
      <c r="A2671" s="75">
        <v>2665.0</v>
      </c>
      <c r="B2671" s="62" t="s">
        <v>1306</v>
      </c>
      <c r="C2671" s="62" t="s">
        <v>116</v>
      </c>
      <c r="D2671" s="62" t="s">
        <v>1648</v>
      </c>
      <c r="E2671" s="76">
        <v>44018.0</v>
      </c>
      <c r="F2671" s="77">
        <v>0.041666666666666664</v>
      </c>
      <c r="G2671" s="62" t="b">
        <v>1</v>
      </c>
      <c r="H2671" s="78" t="b">
        <f>IF(VLOOKUP(C2671,Projetos!A:L,12,false)=TRUE,TRUE,FALSE)</f>
        <v>1</v>
      </c>
      <c r="I2671" s="68">
        <v>37.66052106481481</v>
      </c>
      <c r="J2671" s="68">
        <f t="shared" si="1"/>
        <v>37.66052106</v>
      </c>
      <c r="K2671" s="68" t="b">
        <v>1</v>
      </c>
    </row>
    <row r="2672" hidden="1">
      <c r="A2672" s="75">
        <v>2666.0</v>
      </c>
      <c r="B2672" s="62" t="s">
        <v>1306</v>
      </c>
      <c r="C2672" s="62" t="s">
        <v>116</v>
      </c>
      <c r="D2672" s="62" t="s">
        <v>1649</v>
      </c>
      <c r="E2672" s="76">
        <v>44029.0</v>
      </c>
      <c r="F2672" s="77">
        <v>0.041666666666666664</v>
      </c>
      <c r="G2672" s="62" t="b">
        <v>1</v>
      </c>
      <c r="H2672" s="78" t="b">
        <f>IF(VLOOKUP(C2672,Projetos!A:L,12,false)=TRUE,TRUE,FALSE)</f>
        <v>1</v>
      </c>
      <c r="I2672" s="68">
        <v>37.66052106481481</v>
      </c>
      <c r="J2672" s="68">
        <f t="shared" si="1"/>
        <v>37.66052106</v>
      </c>
      <c r="K2672" s="68" t="b">
        <v>1</v>
      </c>
    </row>
    <row r="2673" hidden="1">
      <c r="A2673" s="75">
        <v>2667.0</v>
      </c>
      <c r="B2673" s="62" t="s">
        <v>1306</v>
      </c>
      <c r="C2673" s="62" t="s">
        <v>138</v>
      </c>
      <c r="D2673" s="62" t="s">
        <v>1650</v>
      </c>
      <c r="E2673" s="76">
        <v>44063.0</v>
      </c>
      <c r="F2673" s="77">
        <v>0.020833333333333332</v>
      </c>
      <c r="G2673" s="62" t="b">
        <v>1</v>
      </c>
      <c r="H2673" s="78" t="b">
        <f>IF(VLOOKUP(C2673,Projetos!A:L,12,false)=TRUE,TRUE,FALSE)</f>
        <v>1</v>
      </c>
      <c r="I2673" s="68">
        <v>37.66052106481481</v>
      </c>
      <c r="J2673" s="68">
        <f t="shared" si="1"/>
        <v>18.83026053</v>
      </c>
      <c r="K2673" s="68" t="b">
        <v>1</v>
      </c>
    </row>
    <row r="2674" hidden="1">
      <c r="A2674" s="75">
        <v>2668.0</v>
      </c>
      <c r="B2674" s="62" t="s">
        <v>1306</v>
      </c>
      <c r="C2674" s="62" t="s">
        <v>138</v>
      </c>
      <c r="D2674" s="62" t="s">
        <v>1651</v>
      </c>
      <c r="E2674" s="76">
        <v>44064.0</v>
      </c>
      <c r="F2674" s="77">
        <v>0.041666666666666664</v>
      </c>
      <c r="G2674" s="62" t="b">
        <v>1</v>
      </c>
      <c r="H2674" s="78" t="b">
        <f>IF(VLOOKUP(C2674,Projetos!A:L,12,false)=TRUE,TRUE,FALSE)</f>
        <v>1</v>
      </c>
      <c r="I2674" s="68">
        <v>37.66052106481481</v>
      </c>
      <c r="J2674" s="68">
        <f t="shared" si="1"/>
        <v>37.66052106</v>
      </c>
      <c r="K2674" s="68" t="b">
        <v>1</v>
      </c>
    </row>
    <row r="2675" hidden="1">
      <c r="A2675" s="75">
        <v>2669.0</v>
      </c>
      <c r="B2675" s="62" t="s">
        <v>1306</v>
      </c>
      <c r="C2675" s="62" t="s">
        <v>138</v>
      </c>
      <c r="D2675" s="62" t="s">
        <v>1652</v>
      </c>
      <c r="E2675" s="76">
        <v>44064.0</v>
      </c>
      <c r="F2675" s="77">
        <v>0.125</v>
      </c>
      <c r="G2675" s="62" t="b">
        <v>1</v>
      </c>
      <c r="H2675" s="78" t="b">
        <f>IF(VLOOKUP(C2675,Projetos!A:L,12,false)=TRUE,TRUE,FALSE)</f>
        <v>1</v>
      </c>
      <c r="I2675" s="68">
        <v>37.66052106481481</v>
      </c>
      <c r="J2675" s="68">
        <f t="shared" si="1"/>
        <v>112.9815632</v>
      </c>
      <c r="K2675" s="68" t="b">
        <v>1</v>
      </c>
    </row>
    <row r="2676" hidden="1">
      <c r="A2676" s="75">
        <v>2670.0</v>
      </c>
      <c r="B2676" s="62" t="s">
        <v>1306</v>
      </c>
      <c r="C2676" s="62" t="s">
        <v>138</v>
      </c>
      <c r="D2676" s="62" t="s">
        <v>1653</v>
      </c>
      <c r="E2676" s="76">
        <v>44067.0</v>
      </c>
      <c r="F2676" s="77">
        <v>0.08333333333333333</v>
      </c>
      <c r="G2676" s="62" t="b">
        <v>1</v>
      </c>
      <c r="H2676" s="78" t="b">
        <f>IF(VLOOKUP(C2676,Projetos!A:L,12,false)=TRUE,TRUE,FALSE)</f>
        <v>1</v>
      </c>
      <c r="I2676" s="68">
        <v>37.66052106481481</v>
      </c>
      <c r="J2676" s="68">
        <f t="shared" si="1"/>
        <v>75.32104213</v>
      </c>
      <c r="K2676" s="68" t="b">
        <v>1</v>
      </c>
    </row>
    <row r="2677" hidden="1">
      <c r="A2677" s="75">
        <v>2671.0</v>
      </c>
      <c r="B2677" s="62" t="s">
        <v>1306</v>
      </c>
      <c r="C2677" s="62" t="s">
        <v>138</v>
      </c>
      <c r="D2677" s="62" t="s">
        <v>1654</v>
      </c>
      <c r="E2677" s="76">
        <v>44068.0</v>
      </c>
      <c r="F2677" s="77">
        <v>0.14583333333333334</v>
      </c>
      <c r="G2677" s="62" t="b">
        <v>1</v>
      </c>
      <c r="H2677" s="78" t="b">
        <f>IF(VLOOKUP(C2677,Projetos!A:L,12,false)=TRUE,TRUE,FALSE)</f>
        <v>1</v>
      </c>
      <c r="I2677" s="68">
        <v>37.66052106481481</v>
      </c>
      <c r="J2677" s="68">
        <f t="shared" si="1"/>
        <v>131.8118237</v>
      </c>
      <c r="K2677" s="68" t="b">
        <v>1</v>
      </c>
    </row>
    <row r="2678" hidden="1">
      <c r="A2678" s="75">
        <v>2672.0</v>
      </c>
      <c r="B2678" s="62" t="s">
        <v>1306</v>
      </c>
      <c r="C2678" s="62" t="s">
        <v>138</v>
      </c>
      <c r="D2678" s="62" t="s">
        <v>1655</v>
      </c>
      <c r="E2678" s="76">
        <v>44069.0</v>
      </c>
      <c r="F2678" s="77">
        <v>0.041666666666666664</v>
      </c>
      <c r="G2678" s="62" t="b">
        <v>1</v>
      </c>
      <c r="H2678" s="78" t="b">
        <f>IF(VLOOKUP(C2678,Projetos!A:L,12,false)=TRUE,TRUE,FALSE)</f>
        <v>1</v>
      </c>
      <c r="I2678" s="68">
        <v>37.66052106481481</v>
      </c>
      <c r="J2678" s="68">
        <f t="shared" si="1"/>
        <v>37.66052106</v>
      </c>
      <c r="K2678" s="68" t="b">
        <v>1</v>
      </c>
    </row>
    <row r="2679" hidden="1">
      <c r="A2679" s="75">
        <v>2673.0</v>
      </c>
      <c r="B2679" s="62" t="s">
        <v>1306</v>
      </c>
      <c r="C2679" s="62" t="s">
        <v>88</v>
      </c>
      <c r="D2679" s="62" t="s">
        <v>1656</v>
      </c>
      <c r="E2679" s="76">
        <v>44054.0</v>
      </c>
      <c r="F2679" s="77">
        <v>0.15625</v>
      </c>
      <c r="G2679" s="62" t="b">
        <v>1</v>
      </c>
      <c r="H2679" s="78" t="b">
        <f>IF(VLOOKUP(C2679,Projetos!A:L,12,false)=TRUE,TRUE,FALSE)</f>
        <v>1</v>
      </c>
      <c r="I2679" s="68">
        <v>37.66052106481481</v>
      </c>
      <c r="J2679" s="68">
        <f t="shared" si="1"/>
        <v>141.226954</v>
      </c>
      <c r="K2679" s="68" t="b">
        <v>1</v>
      </c>
    </row>
    <row r="2680" hidden="1">
      <c r="A2680" s="75">
        <v>2674.0</v>
      </c>
      <c r="B2680" s="62" t="s">
        <v>1306</v>
      </c>
      <c r="C2680" s="62" t="s">
        <v>88</v>
      </c>
      <c r="D2680" s="62" t="s">
        <v>1657</v>
      </c>
      <c r="E2680" s="76">
        <v>44060.0</v>
      </c>
      <c r="F2680" s="77">
        <v>0.10416666666666667</v>
      </c>
      <c r="G2680" s="62" t="b">
        <v>1</v>
      </c>
      <c r="H2680" s="78" t="b">
        <f>IF(VLOOKUP(C2680,Projetos!A:L,12,false)=TRUE,TRUE,FALSE)</f>
        <v>1</v>
      </c>
      <c r="I2680" s="68">
        <v>37.66052106481481</v>
      </c>
      <c r="J2680" s="68">
        <f t="shared" si="1"/>
        <v>94.15130266</v>
      </c>
      <c r="K2680" s="68" t="b">
        <v>1</v>
      </c>
    </row>
    <row r="2681" hidden="1">
      <c r="A2681" s="75">
        <v>2675.0</v>
      </c>
      <c r="B2681" s="62" t="s">
        <v>1306</v>
      </c>
      <c r="C2681" s="62" t="s">
        <v>88</v>
      </c>
      <c r="D2681" s="62" t="s">
        <v>1658</v>
      </c>
      <c r="E2681" s="76">
        <v>44061.0</v>
      </c>
      <c r="F2681" s="77">
        <v>0.08333333333333333</v>
      </c>
      <c r="G2681" s="62" t="b">
        <v>1</v>
      </c>
      <c r="H2681" s="78" t="b">
        <f>IF(VLOOKUP(C2681,Projetos!A:L,12,false)=TRUE,TRUE,FALSE)</f>
        <v>1</v>
      </c>
      <c r="I2681" s="68">
        <v>37.66052106481481</v>
      </c>
      <c r="J2681" s="68">
        <f t="shared" si="1"/>
        <v>75.32104213</v>
      </c>
      <c r="K2681" s="68" t="b">
        <v>1</v>
      </c>
    </row>
    <row r="2682" hidden="1">
      <c r="A2682" s="75">
        <v>2676.0</v>
      </c>
      <c r="B2682" s="62" t="s">
        <v>1306</v>
      </c>
      <c r="C2682" s="62" t="s">
        <v>88</v>
      </c>
      <c r="D2682" s="62" t="s">
        <v>1659</v>
      </c>
      <c r="E2682" s="76">
        <v>44061.0</v>
      </c>
      <c r="F2682" s="77">
        <v>0.0625</v>
      </c>
      <c r="G2682" s="62" t="b">
        <v>1</v>
      </c>
      <c r="H2682" s="78" t="b">
        <f>IF(VLOOKUP(C2682,Projetos!A:L,12,false)=TRUE,TRUE,FALSE)</f>
        <v>1</v>
      </c>
      <c r="I2682" s="68">
        <v>37.66052106481481</v>
      </c>
      <c r="J2682" s="68">
        <f t="shared" si="1"/>
        <v>56.4907816</v>
      </c>
      <c r="K2682" s="68" t="b">
        <v>1</v>
      </c>
    </row>
    <row r="2683" hidden="1">
      <c r="A2683" s="75">
        <v>2677.0</v>
      </c>
      <c r="B2683" s="62" t="s">
        <v>1306</v>
      </c>
      <c r="C2683" s="62" t="s">
        <v>88</v>
      </c>
      <c r="D2683" s="62" t="s">
        <v>1659</v>
      </c>
      <c r="E2683" s="76">
        <v>44068.0</v>
      </c>
      <c r="F2683" s="77">
        <v>0.041666666666666664</v>
      </c>
      <c r="G2683" s="62" t="b">
        <v>1</v>
      </c>
      <c r="H2683" s="78" t="b">
        <f>IF(VLOOKUP(C2683,Projetos!A:L,12,false)=TRUE,TRUE,FALSE)</f>
        <v>1</v>
      </c>
      <c r="I2683" s="68">
        <v>37.66052106481481</v>
      </c>
      <c r="J2683" s="68">
        <f t="shared" si="1"/>
        <v>37.66052106</v>
      </c>
      <c r="K2683" s="68" t="b">
        <v>1</v>
      </c>
    </row>
    <row r="2684" hidden="1">
      <c r="A2684" s="75">
        <v>2678.0</v>
      </c>
      <c r="B2684" s="62" t="s">
        <v>1306</v>
      </c>
      <c r="C2684" s="62" t="s">
        <v>88</v>
      </c>
      <c r="D2684" s="62" t="s">
        <v>1659</v>
      </c>
      <c r="E2684" s="76">
        <v>44071.0</v>
      </c>
      <c r="F2684" s="77">
        <v>0.041666666666666664</v>
      </c>
      <c r="G2684" s="62" t="b">
        <v>1</v>
      </c>
      <c r="H2684" s="78" t="b">
        <f>IF(VLOOKUP(C2684,Projetos!A:L,12,false)=TRUE,TRUE,FALSE)</f>
        <v>1</v>
      </c>
      <c r="I2684" s="68">
        <v>37.66052106481481</v>
      </c>
      <c r="J2684" s="68">
        <f t="shared" si="1"/>
        <v>37.66052106</v>
      </c>
      <c r="K2684" s="68" t="b">
        <v>1</v>
      </c>
    </row>
    <row r="2685" hidden="1">
      <c r="A2685" s="75">
        <v>2679.0</v>
      </c>
      <c r="B2685" s="62" t="s">
        <v>1306</v>
      </c>
      <c r="C2685" s="62" t="s">
        <v>90</v>
      </c>
      <c r="D2685" s="62" t="s">
        <v>1660</v>
      </c>
      <c r="E2685" s="76">
        <v>44046.0</v>
      </c>
      <c r="F2685" s="77">
        <v>0.041666666666666664</v>
      </c>
      <c r="G2685" s="62" t="b">
        <v>1</v>
      </c>
      <c r="H2685" s="78" t="b">
        <f>IF(VLOOKUP(C2685,Projetos!A:L,12,false)=TRUE,TRUE,FALSE)</f>
        <v>1</v>
      </c>
      <c r="I2685" s="68">
        <v>37.66052106481481</v>
      </c>
      <c r="J2685" s="68">
        <f t="shared" si="1"/>
        <v>37.66052106</v>
      </c>
      <c r="K2685" s="68" t="b">
        <v>1</v>
      </c>
    </row>
    <row r="2686" hidden="1">
      <c r="A2686" s="75">
        <v>2680.0</v>
      </c>
      <c r="B2686" s="62" t="s">
        <v>1306</v>
      </c>
      <c r="C2686" s="62" t="s">
        <v>90</v>
      </c>
      <c r="D2686" s="62" t="s">
        <v>1661</v>
      </c>
      <c r="E2686" s="76">
        <v>44047.0</v>
      </c>
      <c r="F2686" s="77">
        <v>0.010416666666666666</v>
      </c>
      <c r="G2686" s="62" t="b">
        <v>1</v>
      </c>
      <c r="H2686" s="78" t="b">
        <f>IF(VLOOKUP(C2686,Projetos!A:L,12,false)=TRUE,TRUE,FALSE)</f>
        <v>1</v>
      </c>
      <c r="I2686" s="68">
        <v>37.66052106481481</v>
      </c>
      <c r="J2686" s="68">
        <f t="shared" si="1"/>
        <v>9.415130266</v>
      </c>
      <c r="K2686" s="68" t="b">
        <v>1</v>
      </c>
    </row>
    <row r="2687" hidden="1">
      <c r="A2687" s="75">
        <v>2681.0</v>
      </c>
      <c r="B2687" s="62" t="s">
        <v>1306</v>
      </c>
      <c r="C2687" s="62" t="s">
        <v>90</v>
      </c>
      <c r="D2687" s="62" t="s">
        <v>1662</v>
      </c>
      <c r="E2687" s="76">
        <v>44048.0</v>
      </c>
      <c r="F2687" s="77">
        <v>0.0625</v>
      </c>
      <c r="G2687" s="62" t="b">
        <v>0</v>
      </c>
      <c r="H2687" s="78" t="b">
        <f>IF(VLOOKUP(C2687,Projetos!A:L,12,false)=TRUE,TRUE,FALSE)</f>
        <v>1</v>
      </c>
      <c r="I2687" s="68">
        <v>37.66052106481481</v>
      </c>
      <c r="J2687" s="68">
        <f t="shared" si="1"/>
        <v>0</v>
      </c>
      <c r="K2687" s="68" t="b">
        <v>1</v>
      </c>
    </row>
    <row r="2688" hidden="1">
      <c r="A2688" s="75">
        <v>2682.0</v>
      </c>
      <c r="B2688" s="62" t="s">
        <v>1306</v>
      </c>
      <c r="C2688" s="62" t="s">
        <v>90</v>
      </c>
      <c r="D2688" s="62" t="s">
        <v>1485</v>
      </c>
      <c r="E2688" s="76">
        <v>44048.0</v>
      </c>
      <c r="F2688" s="77">
        <v>0.041666666666666664</v>
      </c>
      <c r="G2688" s="62" t="b">
        <v>1</v>
      </c>
      <c r="H2688" s="78" t="b">
        <f>IF(VLOOKUP(C2688,Projetos!A:L,12,false)=TRUE,TRUE,FALSE)</f>
        <v>1</v>
      </c>
      <c r="I2688" s="68">
        <v>37.66052106481481</v>
      </c>
      <c r="J2688" s="68">
        <f t="shared" si="1"/>
        <v>37.66052106</v>
      </c>
      <c r="K2688" s="68" t="b">
        <v>1</v>
      </c>
    </row>
    <row r="2689" hidden="1">
      <c r="A2689" s="75">
        <v>2683.0</v>
      </c>
      <c r="B2689" s="62" t="s">
        <v>1306</v>
      </c>
      <c r="C2689" s="62" t="s">
        <v>90</v>
      </c>
      <c r="D2689" s="62" t="s">
        <v>1663</v>
      </c>
      <c r="E2689" s="76">
        <v>44048.0</v>
      </c>
      <c r="F2689" s="77">
        <v>0.0625</v>
      </c>
      <c r="G2689" s="62" t="b">
        <v>1</v>
      </c>
      <c r="H2689" s="78" t="b">
        <f>IF(VLOOKUP(C2689,Projetos!A:L,12,false)=TRUE,TRUE,FALSE)</f>
        <v>1</v>
      </c>
      <c r="I2689" s="68">
        <v>37.66052106481481</v>
      </c>
      <c r="J2689" s="68">
        <f t="shared" si="1"/>
        <v>56.4907816</v>
      </c>
      <c r="K2689" s="68" t="b">
        <v>1</v>
      </c>
    </row>
    <row r="2690" hidden="1">
      <c r="A2690" s="75">
        <v>2684.0</v>
      </c>
      <c r="B2690" s="62" t="s">
        <v>1306</v>
      </c>
      <c r="C2690" s="62" t="s">
        <v>90</v>
      </c>
      <c r="D2690" s="62" t="s">
        <v>1664</v>
      </c>
      <c r="E2690" s="76">
        <v>44050.0</v>
      </c>
      <c r="F2690" s="77">
        <v>0.020833333333333332</v>
      </c>
      <c r="G2690" s="62" t="b">
        <v>1</v>
      </c>
      <c r="H2690" s="78" t="b">
        <f>IF(VLOOKUP(C2690,Projetos!A:L,12,false)=TRUE,TRUE,FALSE)</f>
        <v>1</v>
      </c>
      <c r="I2690" s="68">
        <v>37.66052106481481</v>
      </c>
      <c r="J2690" s="68">
        <f t="shared" si="1"/>
        <v>18.83026053</v>
      </c>
      <c r="K2690" s="68" t="b">
        <v>1</v>
      </c>
    </row>
    <row r="2691" hidden="1">
      <c r="A2691" s="75">
        <v>2685.0</v>
      </c>
      <c r="B2691" s="62" t="s">
        <v>1306</v>
      </c>
      <c r="C2691" s="62" t="s">
        <v>90</v>
      </c>
      <c r="D2691" s="62" t="s">
        <v>1665</v>
      </c>
      <c r="E2691" s="76">
        <v>44053.0</v>
      </c>
      <c r="F2691" s="77">
        <v>0.125</v>
      </c>
      <c r="G2691" s="62" t="b">
        <v>1</v>
      </c>
      <c r="H2691" s="78" t="b">
        <f>IF(VLOOKUP(C2691,Projetos!A:L,12,false)=TRUE,TRUE,FALSE)</f>
        <v>1</v>
      </c>
      <c r="I2691" s="68">
        <v>37.66052106481481</v>
      </c>
      <c r="J2691" s="68">
        <f t="shared" si="1"/>
        <v>112.9815632</v>
      </c>
      <c r="K2691" s="68" t="b">
        <v>1</v>
      </c>
    </row>
    <row r="2692" hidden="1">
      <c r="A2692" s="75">
        <v>2686.0</v>
      </c>
      <c r="B2692" s="62" t="s">
        <v>1306</v>
      </c>
      <c r="C2692" s="62" t="s">
        <v>90</v>
      </c>
      <c r="D2692" s="62" t="s">
        <v>1665</v>
      </c>
      <c r="E2692" s="76">
        <v>44053.0</v>
      </c>
      <c r="F2692" s="77">
        <v>0.041666666666666664</v>
      </c>
      <c r="G2692" s="62" t="b">
        <v>1</v>
      </c>
      <c r="H2692" s="78" t="b">
        <f>IF(VLOOKUP(C2692,Projetos!A:L,12,false)=TRUE,TRUE,FALSE)</f>
        <v>1</v>
      </c>
      <c r="I2692" s="68">
        <v>37.66052106481481</v>
      </c>
      <c r="J2692" s="68">
        <f t="shared" si="1"/>
        <v>37.66052106</v>
      </c>
      <c r="K2692" s="68" t="b">
        <v>1</v>
      </c>
    </row>
    <row r="2693" hidden="1">
      <c r="A2693" s="75">
        <v>2687.0</v>
      </c>
      <c r="B2693" s="62" t="s">
        <v>1306</v>
      </c>
      <c r="C2693" s="62" t="s">
        <v>90</v>
      </c>
      <c r="D2693" s="62" t="s">
        <v>1666</v>
      </c>
      <c r="E2693" s="76">
        <v>44054.0</v>
      </c>
      <c r="F2693" s="77">
        <v>0.08333333333333333</v>
      </c>
      <c r="G2693" s="62" t="b">
        <v>0</v>
      </c>
      <c r="H2693" s="78" t="b">
        <f>IF(VLOOKUP(C2693,Projetos!A:L,12,false)=TRUE,TRUE,FALSE)</f>
        <v>1</v>
      </c>
      <c r="I2693" s="68">
        <v>37.66052106481481</v>
      </c>
      <c r="J2693" s="68">
        <f t="shared" si="1"/>
        <v>0</v>
      </c>
      <c r="K2693" s="68" t="b">
        <v>1</v>
      </c>
    </row>
    <row r="2694" hidden="1">
      <c r="A2694" s="75">
        <v>2688.0</v>
      </c>
      <c r="B2694" s="62" t="s">
        <v>1306</v>
      </c>
      <c r="C2694" s="62" t="s">
        <v>90</v>
      </c>
      <c r="D2694" s="62" t="s">
        <v>1667</v>
      </c>
      <c r="E2694" s="76">
        <v>44055.0</v>
      </c>
      <c r="F2694" s="77">
        <v>0.0625</v>
      </c>
      <c r="G2694" s="62" t="b">
        <v>1</v>
      </c>
      <c r="H2694" s="78" t="b">
        <f>IF(VLOOKUP(C2694,Projetos!A:L,12,false)=TRUE,TRUE,FALSE)</f>
        <v>1</v>
      </c>
      <c r="I2694" s="68">
        <v>37.66052106481481</v>
      </c>
      <c r="J2694" s="68">
        <f t="shared" si="1"/>
        <v>56.4907816</v>
      </c>
      <c r="K2694" s="68" t="b">
        <v>1</v>
      </c>
    </row>
    <row r="2695" hidden="1">
      <c r="A2695" s="75">
        <v>2689.0</v>
      </c>
      <c r="B2695" s="62" t="s">
        <v>1306</v>
      </c>
      <c r="C2695" s="62" t="s">
        <v>90</v>
      </c>
      <c r="D2695" s="62" t="s">
        <v>1668</v>
      </c>
      <c r="E2695" s="76">
        <v>44057.0</v>
      </c>
      <c r="F2695" s="77">
        <v>0.16666666666666666</v>
      </c>
      <c r="G2695" s="62" t="b">
        <v>1</v>
      </c>
      <c r="H2695" s="78" t="b">
        <f>IF(VLOOKUP(C2695,Projetos!A:L,12,false)=TRUE,TRUE,FALSE)</f>
        <v>1</v>
      </c>
      <c r="I2695" s="68">
        <v>37.66052106481481</v>
      </c>
      <c r="J2695" s="68">
        <f t="shared" si="1"/>
        <v>150.6420843</v>
      </c>
      <c r="K2695" s="68" t="b">
        <v>1</v>
      </c>
    </row>
    <row r="2696" hidden="1">
      <c r="A2696" s="75">
        <v>2690.0</v>
      </c>
      <c r="B2696" s="62" t="s">
        <v>1306</v>
      </c>
      <c r="C2696" s="62" t="s">
        <v>90</v>
      </c>
      <c r="D2696" s="62" t="s">
        <v>1669</v>
      </c>
      <c r="E2696" s="76">
        <v>44057.0</v>
      </c>
      <c r="F2696" s="77">
        <v>0.041666666666666664</v>
      </c>
      <c r="G2696" s="62" t="b">
        <v>1</v>
      </c>
      <c r="H2696" s="78" t="b">
        <f>IF(VLOOKUP(C2696,Projetos!A:L,12,false)=TRUE,TRUE,FALSE)</f>
        <v>1</v>
      </c>
      <c r="I2696" s="68">
        <v>37.66052106481481</v>
      </c>
      <c r="J2696" s="68">
        <f t="shared" si="1"/>
        <v>37.66052106</v>
      </c>
      <c r="K2696" s="68" t="b">
        <v>1</v>
      </c>
    </row>
    <row r="2697" hidden="1">
      <c r="A2697" s="75">
        <v>2691.0</v>
      </c>
      <c r="B2697" s="62" t="s">
        <v>1306</v>
      </c>
      <c r="C2697" s="62" t="s">
        <v>90</v>
      </c>
      <c r="D2697" s="62" t="s">
        <v>1397</v>
      </c>
      <c r="E2697" s="76">
        <v>44061.0</v>
      </c>
      <c r="F2697" s="77">
        <v>0.041666666666666664</v>
      </c>
      <c r="G2697" s="62" t="b">
        <v>1</v>
      </c>
      <c r="H2697" s="78" t="b">
        <f>IF(VLOOKUP(C2697,Projetos!A:L,12,false)=TRUE,TRUE,FALSE)</f>
        <v>1</v>
      </c>
      <c r="I2697" s="68">
        <v>37.66052106481481</v>
      </c>
      <c r="J2697" s="68">
        <f t="shared" si="1"/>
        <v>37.66052106</v>
      </c>
      <c r="K2697" s="68" t="b">
        <v>1</v>
      </c>
    </row>
    <row r="2698" hidden="1">
      <c r="A2698" s="75">
        <v>2692.0</v>
      </c>
      <c r="B2698" s="62" t="s">
        <v>1306</v>
      </c>
      <c r="C2698" s="62" t="s">
        <v>90</v>
      </c>
      <c r="D2698" s="62" t="s">
        <v>1670</v>
      </c>
      <c r="E2698" s="76">
        <v>44061.0</v>
      </c>
      <c r="F2698" s="77">
        <v>0.10416666666666667</v>
      </c>
      <c r="G2698" s="62" t="b">
        <v>1</v>
      </c>
      <c r="H2698" s="78" t="b">
        <f>IF(VLOOKUP(C2698,Projetos!A:L,12,false)=TRUE,TRUE,FALSE)</f>
        <v>1</v>
      </c>
      <c r="I2698" s="68">
        <v>37.66052106481481</v>
      </c>
      <c r="J2698" s="68">
        <f t="shared" si="1"/>
        <v>94.15130266</v>
      </c>
      <c r="K2698" s="68" t="b">
        <v>1</v>
      </c>
    </row>
    <row r="2699" hidden="1">
      <c r="A2699" s="75">
        <v>2693.0</v>
      </c>
      <c r="B2699" s="62" t="s">
        <v>1306</v>
      </c>
      <c r="C2699" s="62" t="s">
        <v>90</v>
      </c>
      <c r="D2699" s="62" t="s">
        <v>1397</v>
      </c>
      <c r="E2699" s="76">
        <v>44062.0</v>
      </c>
      <c r="F2699" s="77">
        <v>0.08333333333333333</v>
      </c>
      <c r="G2699" s="62" t="b">
        <v>1</v>
      </c>
      <c r="H2699" s="78" t="b">
        <f>IF(VLOOKUP(C2699,Projetos!A:L,12,false)=TRUE,TRUE,FALSE)</f>
        <v>1</v>
      </c>
      <c r="I2699" s="68">
        <v>37.66052106481481</v>
      </c>
      <c r="J2699" s="68">
        <f t="shared" si="1"/>
        <v>75.32104213</v>
      </c>
      <c r="K2699" s="68" t="b">
        <v>1</v>
      </c>
    </row>
    <row r="2700" hidden="1">
      <c r="A2700" s="75">
        <v>2694.0</v>
      </c>
      <c r="B2700" s="62" t="s">
        <v>1306</v>
      </c>
      <c r="C2700" s="62" t="s">
        <v>90</v>
      </c>
      <c r="D2700" s="62" t="s">
        <v>1671</v>
      </c>
      <c r="E2700" s="76">
        <v>44064.0</v>
      </c>
      <c r="F2700" s="77">
        <v>0.07291666666666667</v>
      </c>
      <c r="G2700" s="62" t="b">
        <v>1</v>
      </c>
      <c r="H2700" s="78" t="b">
        <f>IF(VLOOKUP(C2700,Projetos!A:L,12,false)=TRUE,TRUE,FALSE)</f>
        <v>1</v>
      </c>
      <c r="I2700" s="68">
        <v>37.66052106481481</v>
      </c>
      <c r="J2700" s="68">
        <f t="shared" si="1"/>
        <v>65.90591186</v>
      </c>
      <c r="K2700" s="68" t="b">
        <v>1</v>
      </c>
    </row>
    <row r="2701" hidden="1">
      <c r="A2701" s="75">
        <v>2695.0</v>
      </c>
      <c r="B2701" s="62" t="s">
        <v>1306</v>
      </c>
      <c r="C2701" s="62" t="s">
        <v>90</v>
      </c>
      <c r="D2701" s="62" t="s">
        <v>1672</v>
      </c>
      <c r="E2701" s="76">
        <v>44067.0</v>
      </c>
      <c r="F2701" s="77">
        <v>0.08333333333333333</v>
      </c>
      <c r="G2701" s="62" t="b">
        <v>1</v>
      </c>
      <c r="H2701" s="78" t="b">
        <f>IF(VLOOKUP(C2701,Projetos!A:L,12,false)=TRUE,TRUE,FALSE)</f>
        <v>1</v>
      </c>
      <c r="I2701" s="68">
        <v>37.66052106481481</v>
      </c>
      <c r="J2701" s="68">
        <f t="shared" si="1"/>
        <v>75.32104213</v>
      </c>
      <c r="K2701" s="68" t="b">
        <v>1</v>
      </c>
    </row>
    <row r="2702" hidden="1">
      <c r="A2702" s="75">
        <v>2696.0</v>
      </c>
      <c r="B2702" s="62" t="s">
        <v>1306</v>
      </c>
      <c r="C2702" s="62" t="s">
        <v>90</v>
      </c>
      <c r="D2702" s="62" t="s">
        <v>1673</v>
      </c>
      <c r="E2702" s="76">
        <v>44068.0</v>
      </c>
      <c r="F2702" s="77">
        <v>0.041666666666666664</v>
      </c>
      <c r="G2702" s="62" t="b">
        <v>1</v>
      </c>
      <c r="H2702" s="78" t="b">
        <f>IF(VLOOKUP(C2702,Projetos!A:L,12,false)=TRUE,TRUE,FALSE)</f>
        <v>1</v>
      </c>
      <c r="I2702" s="68">
        <v>37.66052106481481</v>
      </c>
      <c r="J2702" s="68">
        <f t="shared" si="1"/>
        <v>37.66052106</v>
      </c>
      <c r="K2702" s="68" t="b">
        <v>1</v>
      </c>
    </row>
    <row r="2703" hidden="1">
      <c r="A2703" s="75">
        <v>2697.0</v>
      </c>
      <c r="B2703" s="62" t="s">
        <v>1306</v>
      </c>
      <c r="C2703" s="62" t="s">
        <v>90</v>
      </c>
      <c r="D2703" s="62" t="s">
        <v>1674</v>
      </c>
      <c r="E2703" s="76">
        <v>44070.0</v>
      </c>
      <c r="F2703" s="77">
        <v>0.125</v>
      </c>
      <c r="G2703" s="62" t="b">
        <v>1</v>
      </c>
      <c r="H2703" s="78" t="b">
        <f>IF(VLOOKUP(C2703,Projetos!A:L,12,false)=TRUE,TRUE,FALSE)</f>
        <v>1</v>
      </c>
      <c r="I2703" s="68">
        <v>37.66052106481481</v>
      </c>
      <c r="J2703" s="68">
        <f t="shared" si="1"/>
        <v>112.9815632</v>
      </c>
      <c r="K2703" s="68" t="b">
        <v>1</v>
      </c>
    </row>
    <row r="2704" hidden="1">
      <c r="A2704" s="75">
        <v>2698.0</v>
      </c>
      <c r="B2704" s="62" t="s">
        <v>1306</v>
      </c>
      <c r="C2704" s="62" t="s">
        <v>90</v>
      </c>
      <c r="D2704" s="62" t="s">
        <v>971</v>
      </c>
      <c r="E2704" s="76">
        <v>44071.0</v>
      </c>
      <c r="F2704" s="77">
        <v>0.03125</v>
      </c>
      <c r="G2704" s="62" t="b">
        <v>1</v>
      </c>
      <c r="H2704" s="78" t="b">
        <f>IF(VLOOKUP(C2704,Projetos!A:L,12,false)=TRUE,TRUE,FALSE)</f>
        <v>1</v>
      </c>
      <c r="I2704" s="68">
        <v>37.66052106481481</v>
      </c>
      <c r="J2704" s="68">
        <f t="shared" si="1"/>
        <v>28.2453908</v>
      </c>
      <c r="K2704" s="68" t="b">
        <v>1</v>
      </c>
    </row>
    <row r="2705" hidden="1">
      <c r="A2705" s="75">
        <v>2699.0</v>
      </c>
      <c r="B2705" s="62" t="s">
        <v>1306</v>
      </c>
      <c r="C2705" s="62" t="s">
        <v>90</v>
      </c>
      <c r="D2705" s="62" t="s">
        <v>1675</v>
      </c>
      <c r="E2705" s="76">
        <v>44071.0</v>
      </c>
      <c r="F2705" s="77">
        <v>0.0625</v>
      </c>
      <c r="G2705" s="62" t="b">
        <v>1</v>
      </c>
      <c r="H2705" s="78" t="b">
        <f>IF(VLOOKUP(C2705,Projetos!A:L,12,false)=TRUE,TRUE,FALSE)</f>
        <v>1</v>
      </c>
      <c r="I2705" s="68">
        <v>37.66052106481481</v>
      </c>
      <c r="J2705" s="68">
        <f t="shared" si="1"/>
        <v>56.4907816</v>
      </c>
      <c r="K2705" s="68" t="b">
        <v>1</v>
      </c>
    </row>
    <row r="2706" hidden="1">
      <c r="A2706" s="75">
        <v>2700.0</v>
      </c>
      <c r="B2706" s="62" t="s">
        <v>1306</v>
      </c>
      <c r="C2706" s="62" t="s">
        <v>90</v>
      </c>
      <c r="D2706" s="62" t="s">
        <v>1676</v>
      </c>
      <c r="E2706" s="76">
        <v>44074.0</v>
      </c>
      <c r="F2706" s="77">
        <v>0.0625</v>
      </c>
      <c r="G2706" s="62" t="b">
        <v>0</v>
      </c>
      <c r="H2706" s="78" t="b">
        <f>IF(VLOOKUP(C2706,Projetos!A:L,12,false)=TRUE,TRUE,FALSE)</f>
        <v>1</v>
      </c>
      <c r="I2706" s="68">
        <v>37.66052106481481</v>
      </c>
      <c r="J2706" s="68">
        <f t="shared" si="1"/>
        <v>0</v>
      </c>
      <c r="K2706" s="68" t="b">
        <v>1</v>
      </c>
    </row>
    <row r="2707" hidden="1">
      <c r="A2707" s="75">
        <v>2701.0</v>
      </c>
      <c r="B2707" s="62" t="s">
        <v>1306</v>
      </c>
      <c r="C2707" s="62" t="s">
        <v>97</v>
      </c>
      <c r="D2707" s="62" t="s">
        <v>1677</v>
      </c>
      <c r="E2707" s="76">
        <v>44053.0</v>
      </c>
      <c r="F2707" s="77">
        <v>0.052083333333333336</v>
      </c>
      <c r="G2707" s="62" t="b">
        <v>1</v>
      </c>
      <c r="H2707" s="78" t="b">
        <f>IF(VLOOKUP(C2707,Projetos!A:L,12,false)=TRUE,TRUE,FALSE)</f>
        <v>1</v>
      </c>
      <c r="I2707" s="68">
        <v>37.66052106481481</v>
      </c>
      <c r="J2707" s="68">
        <f t="shared" si="1"/>
        <v>47.07565133</v>
      </c>
      <c r="K2707" s="68" t="b">
        <v>1</v>
      </c>
    </row>
    <row r="2708" hidden="1">
      <c r="A2708" s="75">
        <v>2702.0</v>
      </c>
      <c r="B2708" s="62" t="s">
        <v>1306</v>
      </c>
      <c r="C2708" s="62" t="s">
        <v>98</v>
      </c>
      <c r="D2708" s="62" t="s">
        <v>1678</v>
      </c>
      <c r="E2708" s="76">
        <v>44056.0</v>
      </c>
      <c r="F2708" s="77">
        <v>0.1875</v>
      </c>
      <c r="G2708" s="62" t="b">
        <v>1</v>
      </c>
      <c r="H2708" s="78" t="b">
        <f>IF(VLOOKUP(C2708,Projetos!A:L,12,false)=TRUE,TRUE,FALSE)</f>
        <v>1</v>
      </c>
      <c r="I2708" s="68">
        <v>37.66052106481481</v>
      </c>
      <c r="J2708" s="68">
        <f t="shared" si="1"/>
        <v>169.4723448</v>
      </c>
      <c r="K2708" s="68" t="b">
        <v>1</v>
      </c>
    </row>
    <row r="2709" hidden="1">
      <c r="A2709" s="75">
        <v>2703.0</v>
      </c>
      <c r="B2709" s="62" t="s">
        <v>1306</v>
      </c>
      <c r="C2709" s="62" t="s">
        <v>98</v>
      </c>
      <c r="D2709" s="62" t="s">
        <v>1679</v>
      </c>
      <c r="E2709" s="76">
        <v>44061.0</v>
      </c>
      <c r="F2709" s="77">
        <v>0.03125</v>
      </c>
      <c r="G2709" s="62" t="b">
        <v>1</v>
      </c>
      <c r="H2709" s="78" t="b">
        <f>IF(VLOOKUP(C2709,Projetos!A:L,12,false)=TRUE,TRUE,FALSE)</f>
        <v>1</v>
      </c>
      <c r="I2709" s="68">
        <v>37.66052106481481</v>
      </c>
      <c r="J2709" s="68">
        <f t="shared" si="1"/>
        <v>28.2453908</v>
      </c>
      <c r="K2709" s="68" t="b">
        <v>1</v>
      </c>
    </row>
    <row r="2710" hidden="1">
      <c r="A2710" s="75">
        <v>2704.0</v>
      </c>
      <c r="B2710" s="62" t="s">
        <v>1306</v>
      </c>
      <c r="C2710" s="62" t="s">
        <v>100</v>
      </c>
      <c r="D2710" s="62" t="s">
        <v>1423</v>
      </c>
      <c r="E2710" s="76">
        <v>44047.0</v>
      </c>
      <c r="F2710" s="77">
        <v>0.020833333333333332</v>
      </c>
      <c r="G2710" s="62" t="b">
        <v>1</v>
      </c>
      <c r="H2710" s="78" t="b">
        <f>IF(VLOOKUP(C2710,Projetos!A:L,12,false)=TRUE,TRUE,FALSE)</f>
        <v>1</v>
      </c>
      <c r="I2710" s="68">
        <v>37.66052106481481</v>
      </c>
      <c r="J2710" s="68">
        <f t="shared" si="1"/>
        <v>18.83026053</v>
      </c>
      <c r="K2710" s="68" t="b">
        <v>1</v>
      </c>
    </row>
    <row r="2711" hidden="1">
      <c r="A2711" s="75">
        <v>2705.0</v>
      </c>
      <c r="B2711" s="62" t="s">
        <v>1306</v>
      </c>
      <c r="C2711" s="62" t="s">
        <v>100</v>
      </c>
      <c r="D2711" s="62" t="s">
        <v>1508</v>
      </c>
      <c r="E2711" s="76">
        <v>44048.0</v>
      </c>
      <c r="F2711" s="77">
        <v>0.0625</v>
      </c>
      <c r="G2711" s="62" t="b">
        <v>1</v>
      </c>
      <c r="H2711" s="78" t="b">
        <f>IF(VLOOKUP(C2711,Projetos!A:L,12,false)=TRUE,TRUE,FALSE)</f>
        <v>1</v>
      </c>
      <c r="I2711" s="68">
        <v>37.66052106481481</v>
      </c>
      <c r="J2711" s="68">
        <f t="shared" si="1"/>
        <v>56.4907816</v>
      </c>
      <c r="K2711" s="68" t="b">
        <v>1</v>
      </c>
    </row>
    <row r="2712" hidden="1">
      <c r="A2712" s="75">
        <v>2706.0</v>
      </c>
      <c r="B2712" s="62" t="s">
        <v>1306</v>
      </c>
      <c r="C2712" s="62" t="s">
        <v>100</v>
      </c>
      <c r="D2712" s="62" t="s">
        <v>1680</v>
      </c>
      <c r="E2712" s="76">
        <v>44057.0</v>
      </c>
      <c r="F2712" s="77">
        <v>0.0625</v>
      </c>
      <c r="G2712" s="62" t="b">
        <v>1</v>
      </c>
      <c r="H2712" s="78" t="b">
        <f>IF(VLOOKUP(C2712,Projetos!A:L,12,false)=TRUE,TRUE,FALSE)</f>
        <v>1</v>
      </c>
      <c r="I2712" s="68">
        <v>37.66052106481481</v>
      </c>
      <c r="J2712" s="68">
        <f t="shared" si="1"/>
        <v>56.4907816</v>
      </c>
      <c r="K2712" s="68" t="b">
        <v>1</v>
      </c>
    </row>
    <row r="2713" hidden="1">
      <c r="A2713" s="75">
        <v>2707.0</v>
      </c>
      <c r="B2713" s="62" t="s">
        <v>1306</v>
      </c>
      <c r="C2713" s="62" t="s">
        <v>100</v>
      </c>
      <c r="D2713" s="62" t="s">
        <v>1308</v>
      </c>
      <c r="E2713" s="76">
        <v>44057.0</v>
      </c>
      <c r="F2713" s="77">
        <v>0.041666666666666664</v>
      </c>
      <c r="G2713" s="62" t="b">
        <v>1</v>
      </c>
      <c r="H2713" s="78" t="b">
        <f>IF(VLOOKUP(C2713,Projetos!A:L,12,false)=TRUE,TRUE,FALSE)</f>
        <v>1</v>
      </c>
      <c r="I2713" s="68">
        <v>37.66052106481481</v>
      </c>
      <c r="J2713" s="68">
        <f t="shared" si="1"/>
        <v>37.66052106</v>
      </c>
      <c r="K2713" s="68" t="b">
        <v>1</v>
      </c>
    </row>
    <row r="2714" hidden="1">
      <c r="A2714" s="75">
        <v>2708.0</v>
      </c>
      <c r="B2714" s="62" t="s">
        <v>1306</v>
      </c>
      <c r="C2714" s="62" t="s">
        <v>100</v>
      </c>
      <c r="D2714" s="62" t="s">
        <v>1681</v>
      </c>
      <c r="E2714" s="76">
        <v>44070.0</v>
      </c>
      <c r="F2714" s="77">
        <v>0.08333333333333333</v>
      </c>
      <c r="G2714" s="62" t="b">
        <v>1</v>
      </c>
      <c r="H2714" s="78" t="b">
        <f>IF(VLOOKUP(C2714,Projetos!A:L,12,false)=TRUE,TRUE,FALSE)</f>
        <v>1</v>
      </c>
      <c r="I2714" s="68">
        <v>37.66052106481481</v>
      </c>
      <c r="J2714" s="68">
        <f t="shared" si="1"/>
        <v>75.32104213</v>
      </c>
      <c r="K2714" s="68" t="b">
        <v>1</v>
      </c>
    </row>
    <row r="2715" hidden="1">
      <c r="A2715" s="75">
        <v>2709.0</v>
      </c>
      <c r="B2715" s="62" t="s">
        <v>1306</v>
      </c>
      <c r="C2715" s="62" t="s">
        <v>101</v>
      </c>
      <c r="D2715" s="62" t="s">
        <v>1682</v>
      </c>
      <c r="E2715" s="76">
        <v>44046.0</v>
      </c>
      <c r="F2715" s="77">
        <v>0.03125</v>
      </c>
      <c r="G2715" s="62" t="b">
        <v>1</v>
      </c>
      <c r="H2715" s="78" t="b">
        <f>IF(VLOOKUP(C2715,Projetos!A:L,12,false)=TRUE,TRUE,FALSE)</f>
        <v>1</v>
      </c>
      <c r="I2715" s="68">
        <v>37.66052106481481</v>
      </c>
      <c r="J2715" s="68">
        <f t="shared" si="1"/>
        <v>28.2453908</v>
      </c>
      <c r="K2715" s="68" t="b">
        <v>1</v>
      </c>
    </row>
    <row r="2716" hidden="1">
      <c r="A2716" s="75">
        <v>2710.0</v>
      </c>
      <c r="B2716" s="62" t="s">
        <v>1306</v>
      </c>
      <c r="C2716" s="62" t="s">
        <v>101</v>
      </c>
      <c r="D2716" s="62" t="s">
        <v>1683</v>
      </c>
      <c r="E2716" s="76">
        <v>44049.0</v>
      </c>
      <c r="F2716" s="77">
        <v>0.08333333333333333</v>
      </c>
      <c r="G2716" s="62" t="b">
        <v>1</v>
      </c>
      <c r="H2716" s="78" t="b">
        <f>IF(VLOOKUP(C2716,Projetos!A:L,12,false)=TRUE,TRUE,FALSE)</f>
        <v>1</v>
      </c>
      <c r="I2716" s="68">
        <v>37.66052106481481</v>
      </c>
      <c r="J2716" s="68">
        <f t="shared" si="1"/>
        <v>75.32104213</v>
      </c>
      <c r="K2716" s="68" t="b">
        <v>1</v>
      </c>
    </row>
    <row r="2717" hidden="1">
      <c r="A2717" s="75">
        <v>2711.0</v>
      </c>
      <c r="B2717" s="62" t="s">
        <v>1306</v>
      </c>
      <c r="C2717" s="62" t="s">
        <v>101</v>
      </c>
      <c r="D2717" s="62" t="s">
        <v>1684</v>
      </c>
      <c r="E2717" s="76">
        <v>44050.0</v>
      </c>
      <c r="F2717" s="77">
        <v>0.041666666666666664</v>
      </c>
      <c r="G2717" s="62" t="b">
        <v>1</v>
      </c>
      <c r="H2717" s="78" t="b">
        <f>IF(VLOOKUP(C2717,Projetos!A:L,12,false)=TRUE,TRUE,FALSE)</f>
        <v>1</v>
      </c>
      <c r="I2717" s="68">
        <v>37.66052106481481</v>
      </c>
      <c r="J2717" s="68">
        <f t="shared" si="1"/>
        <v>37.66052106</v>
      </c>
      <c r="K2717" s="68" t="b">
        <v>1</v>
      </c>
    </row>
    <row r="2718" hidden="1">
      <c r="A2718" s="75">
        <v>2712.0</v>
      </c>
      <c r="B2718" s="62" t="s">
        <v>1306</v>
      </c>
      <c r="C2718" s="62" t="s">
        <v>102</v>
      </c>
      <c r="D2718" s="62" t="s">
        <v>1685</v>
      </c>
      <c r="E2718" s="76">
        <v>44055.0</v>
      </c>
      <c r="F2718" s="77">
        <v>0.08333333333333333</v>
      </c>
      <c r="G2718" s="62" t="b">
        <v>0</v>
      </c>
      <c r="H2718" s="78" t="b">
        <f>IF(VLOOKUP(C2718,Projetos!A:L,12,false)=TRUE,TRUE,FALSE)</f>
        <v>0</v>
      </c>
      <c r="I2718" s="68">
        <v>37.66052106481481</v>
      </c>
      <c r="J2718" s="68">
        <f t="shared" si="1"/>
        <v>0</v>
      </c>
      <c r="K2718" s="68" t="b">
        <v>0</v>
      </c>
    </row>
    <row r="2719" hidden="1">
      <c r="A2719" s="75">
        <v>2713.0</v>
      </c>
      <c r="B2719" s="62" t="s">
        <v>1306</v>
      </c>
      <c r="C2719" s="62" t="s">
        <v>102</v>
      </c>
      <c r="D2719" s="62" t="s">
        <v>1686</v>
      </c>
      <c r="E2719" s="76">
        <v>44056.0</v>
      </c>
      <c r="F2719" s="77">
        <v>0.0625</v>
      </c>
      <c r="G2719" s="62" t="b">
        <v>0</v>
      </c>
      <c r="H2719" s="78" t="b">
        <f>IF(VLOOKUP(C2719,Projetos!A:L,12,false)=TRUE,TRUE,FALSE)</f>
        <v>0</v>
      </c>
      <c r="I2719" s="68">
        <v>37.66052106481481</v>
      </c>
      <c r="J2719" s="68">
        <f t="shared" si="1"/>
        <v>0</v>
      </c>
      <c r="K2719" s="68" t="b">
        <v>0</v>
      </c>
    </row>
    <row r="2720" hidden="1">
      <c r="A2720" s="75">
        <v>2714.0</v>
      </c>
      <c r="B2720" s="62" t="s">
        <v>1306</v>
      </c>
      <c r="C2720" s="62" t="s">
        <v>102</v>
      </c>
      <c r="D2720" s="62" t="s">
        <v>1687</v>
      </c>
      <c r="E2720" s="76">
        <v>44060.0</v>
      </c>
      <c r="F2720" s="77">
        <v>0.10416666666666667</v>
      </c>
      <c r="G2720" s="62" t="b">
        <v>0</v>
      </c>
      <c r="H2720" s="78" t="b">
        <f>IF(VLOOKUP(C2720,Projetos!A:L,12,false)=TRUE,TRUE,FALSE)</f>
        <v>0</v>
      </c>
      <c r="I2720" s="68">
        <v>37.66052106481481</v>
      </c>
      <c r="J2720" s="68">
        <f t="shared" si="1"/>
        <v>0</v>
      </c>
      <c r="K2720" s="68" t="b">
        <v>0</v>
      </c>
    </row>
    <row r="2721" hidden="1">
      <c r="A2721" s="75">
        <v>2715.0</v>
      </c>
      <c r="B2721" s="62" t="s">
        <v>1306</v>
      </c>
      <c r="C2721" s="62" t="s">
        <v>102</v>
      </c>
      <c r="D2721" s="62" t="s">
        <v>1678</v>
      </c>
      <c r="E2721" s="76">
        <v>44062.0</v>
      </c>
      <c r="F2721" s="77">
        <v>0.10416666666666667</v>
      </c>
      <c r="G2721" s="62" t="b">
        <v>0</v>
      </c>
      <c r="H2721" s="78" t="b">
        <f>IF(VLOOKUP(C2721,Projetos!A:L,12,false)=TRUE,TRUE,FALSE)</f>
        <v>0</v>
      </c>
      <c r="I2721" s="68">
        <v>37.66052106481481</v>
      </c>
      <c r="J2721" s="68">
        <f t="shared" si="1"/>
        <v>0</v>
      </c>
      <c r="K2721" s="68" t="b">
        <v>0</v>
      </c>
    </row>
    <row r="2722" hidden="1">
      <c r="A2722" s="75">
        <v>2716.0</v>
      </c>
      <c r="B2722" s="62" t="s">
        <v>1306</v>
      </c>
      <c r="C2722" s="62" t="s">
        <v>102</v>
      </c>
      <c r="D2722" s="62" t="s">
        <v>1688</v>
      </c>
      <c r="E2722" s="76">
        <v>44070.0</v>
      </c>
      <c r="F2722" s="77">
        <v>0.08333333333333333</v>
      </c>
      <c r="G2722" s="62" t="b">
        <v>0</v>
      </c>
      <c r="H2722" s="78" t="b">
        <f>IF(VLOOKUP(C2722,Projetos!A:L,12,false)=TRUE,TRUE,FALSE)</f>
        <v>0</v>
      </c>
      <c r="I2722" s="68">
        <v>37.66052106481481</v>
      </c>
      <c r="J2722" s="68">
        <f t="shared" si="1"/>
        <v>0</v>
      </c>
      <c r="K2722" s="68" t="b">
        <v>0</v>
      </c>
    </row>
    <row r="2723">
      <c r="A2723" s="75">
        <v>2717.0</v>
      </c>
      <c r="B2723" s="62" t="s">
        <v>1306</v>
      </c>
      <c r="C2723" s="62" t="s">
        <v>104</v>
      </c>
      <c r="D2723" s="62" t="s">
        <v>1689</v>
      </c>
      <c r="E2723" s="76">
        <v>44049.0</v>
      </c>
      <c r="F2723" s="77">
        <v>0.11458333333333333</v>
      </c>
      <c r="G2723" s="62" t="b">
        <v>1</v>
      </c>
      <c r="H2723" s="78" t="b">
        <f>IF(VLOOKUP(C2723,Projetos!A:L,12,false)=TRUE,TRUE,FALSE)</f>
        <v>1</v>
      </c>
      <c r="I2723" s="68">
        <v>37.66052106481481</v>
      </c>
      <c r="J2723" s="68">
        <f t="shared" si="1"/>
        <v>103.5664329</v>
      </c>
      <c r="K2723" s="68" t="b">
        <v>1</v>
      </c>
    </row>
    <row r="2724">
      <c r="A2724" s="75">
        <v>2718.0</v>
      </c>
      <c r="B2724" s="62" t="s">
        <v>1306</v>
      </c>
      <c r="C2724" s="62" t="s">
        <v>104</v>
      </c>
      <c r="D2724" s="62" t="s">
        <v>1690</v>
      </c>
      <c r="E2724" s="76">
        <v>44053.0</v>
      </c>
      <c r="F2724" s="77">
        <v>0.0625</v>
      </c>
      <c r="G2724" s="62" t="b">
        <v>1</v>
      </c>
      <c r="H2724" s="78" t="b">
        <f>IF(VLOOKUP(C2724,Projetos!A:L,12,false)=TRUE,TRUE,FALSE)</f>
        <v>1</v>
      </c>
      <c r="I2724" s="68">
        <v>37.66052106481481</v>
      </c>
      <c r="J2724" s="68">
        <f t="shared" si="1"/>
        <v>56.4907816</v>
      </c>
      <c r="K2724" s="68" t="b">
        <v>1</v>
      </c>
    </row>
    <row r="2725">
      <c r="A2725" s="75">
        <v>2719.0</v>
      </c>
      <c r="B2725" s="62" t="s">
        <v>1306</v>
      </c>
      <c r="C2725" s="62" t="s">
        <v>104</v>
      </c>
      <c r="D2725" s="62" t="s">
        <v>1691</v>
      </c>
      <c r="E2725" s="76">
        <v>44055.0</v>
      </c>
      <c r="F2725" s="77">
        <v>0.08333333333333333</v>
      </c>
      <c r="G2725" s="62" t="b">
        <v>1</v>
      </c>
      <c r="H2725" s="78" t="b">
        <f>IF(VLOOKUP(C2725,Projetos!A:L,12,false)=TRUE,TRUE,FALSE)</f>
        <v>1</v>
      </c>
      <c r="I2725" s="68">
        <v>37.66052106481481</v>
      </c>
      <c r="J2725" s="68">
        <f t="shared" si="1"/>
        <v>75.32104213</v>
      </c>
      <c r="K2725" s="68" t="b">
        <v>1</v>
      </c>
    </row>
    <row r="2726">
      <c r="A2726" s="75">
        <v>2720.0</v>
      </c>
      <c r="B2726" s="62" t="s">
        <v>1306</v>
      </c>
      <c r="C2726" s="62" t="s">
        <v>104</v>
      </c>
      <c r="D2726" s="62" t="s">
        <v>1692</v>
      </c>
      <c r="E2726" s="76">
        <v>44060.0</v>
      </c>
      <c r="F2726" s="77">
        <v>0.0625</v>
      </c>
      <c r="G2726" s="62" t="b">
        <v>1</v>
      </c>
      <c r="H2726" s="78" t="b">
        <f>IF(VLOOKUP(C2726,Projetos!A:L,12,false)=TRUE,TRUE,FALSE)</f>
        <v>1</v>
      </c>
      <c r="I2726" s="68">
        <v>37.66052106481481</v>
      </c>
      <c r="J2726" s="68">
        <f t="shared" si="1"/>
        <v>56.4907816</v>
      </c>
      <c r="K2726" s="68" t="b">
        <v>1</v>
      </c>
    </row>
    <row r="2727">
      <c r="A2727" s="75">
        <v>2721.0</v>
      </c>
      <c r="B2727" s="62" t="s">
        <v>1306</v>
      </c>
      <c r="C2727" s="62" t="s">
        <v>104</v>
      </c>
      <c r="D2727" s="62" t="s">
        <v>1693</v>
      </c>
      <c r="E2727" s="76">
        <v>44061.0</v>
      </c>
      <c r="F2727" s="77">
        <v>0.041666666666666664</v>
      </c>
      <c r="G2727" s="62" t="b">
        <v>1</v>
      </c>
      <c r="H2727" s="78" t="b">
        <f>IF(VLOOKUP(C2727,Projetos!A:L,12,false)=TRUE,TRUE,FALSE)</f>
        <v>1</v>
      </c>
      <c r="I2727" s="68">
        <v>37.66052106481481</v>
      </c>
      <c r="J2727" s="68">
        <f t="shared" si="1"/>
        <v>37.66052106</v>
      </c>
      <c r="K2727" s="68" t="b">
        <v>1</v>
      </c>
    </row>
    <row r="2728">
      <c r="A2728" s="75">
        <v>2722.0</v>
      </c>
      <c r="B2728" s="62" t="s">
        <v>1306</v>
      </c>
      <c r="C2728" s="62" t="s">
        <v>104</v>
      </c>
      <c r="D2728" s="62" t="s">
        <v>1689</v>
      </c>
      <c r="E2728" s="76">
        <v>44063.0</v>
      </c>
      <c r="F2728" s="77">
        <v>0.03125</v>
      </c>
      <c r="G2728" s="62" t="b">
        <v>1</v>
      </c>
      <c r="H2728" s="78" t="b">
        <f>IF(VLOOKUP(C2728,Projetos!A:L,12,false)=TRUE,TRUE,FALSE)</f>
        <v>1</v>
      </c>
      <c r="I2728" s="68">
        <v>37.66052106481481</v>
      </c>
      <c r="J2728" s="68">
        <f t="shared" si="1"/>
        <v>28.2453908</v>
      </c>
      <c r="K2728" s="68" t="b">
        <v>1</v>
      </c>
    </row>
    <row r="2729">
      <c r="A2729" s="75">
        <v>2723.0</v>
      </c>
      <c r="B2729" s="62" t="s">
        <v>1306</v>
      </c>
      <c r="C2729" s="62" t="s">
        <v>104</v>
      </c>
      <c r="D2729" s="62" t="s">
        <v>1694</v>
      </c>
      <c r="E2729" s="76">
        <v>44063.0</v>
      </c>
      <c r="F2729" s="77">
        <v>0.041666666666666664</v>
      </c>
      <c r="G2729" s="62" t="b">
        <v>1</v>
      </c>
      <c r="H2729" s="78" t="b">
        <f>IF(VLOOKUP(C2729,Projetos!A:L,12,false)=TRUE,TRUE,FALSE)</f>
        <v>1</v>
      </c>
      <c r="I2729" s="68">
        <v>37.66052106481481</v>
      </c>
      <c r="J2729" s="68">
        <f t="shared" si="1"/>
        <v>37.66052106</v>
      </c>
      <c r="K2729" s="68" t="b">
        <v>1</v>
      </c>
    </row>
    <row r="2730" hidden="1">
      <c r="A2730" s="75">
        <v>2724.0</v>
      </c>
      <c r="B2730" s="62" t="s">
        <v>1306</v>
      </c>
      <c r="C2730" s="62" t="s">
        <v>105</v>
      </c>
      <c r="D2730" s="62" t="s">
        <v>1695</v>
      </c>
      <c r="E2730" s="76">
        <v>44054.0</v>
      </c>
      <c r="F2730" s="77">
        <v>0.041666666666666664</v>
      </c>
      <c r="G2730" s="62" t="b">
        <v>0</v>
      </c>
      <c r="H2730" s="78" t="b">
        <f>IF(VLOOKUP(C2730,Projetos!A:L,12,false)=TRUE,TRUE,FALSE)</f>
        <v>1</v>
      </c>
      <c r="I2730" s="68">
        <v>37.66052106481481</v>
      </c>
      <c r="J2730" s="68">
        <f t="shared" si="1"/>
        <v>0</v>
      </c>
      <c r="K2730" s="68" t="b">
        <v>1</v>
      </c>
    </row>
    <row r="2731" hidden="1">
      <c r="A2731" s="75">
        <v>2725.0</v>
      </c>
      <c r="B2731" s="62" t="s">
        <v>1306</v>
      </c>
      <c r="C2731" s="62" t="s">
        <v>105</v>
      </c>
      <c r="D2731" s="62" t="s">
        <v>1695</v>
      </c>
      <c r="E2731" s="76">
        <v>44055.0</v>
      </c>
      <c r="F2731" s="77">
        <v>0.03125</v>
      </c>
      <c r="G2731" s="62" t="b">
        <v>0</v>
      </c>
      <c r="H2731" s="78" t="b">
        <f>IF(VLOOKUP(C2731,Projetos!A:L,12,false)=TRUE,TRUE,FALSE)</f>
        <v>1</v>
      </c>
      <c r="I2731" s="68">
        <v>37.66052106481481</v>
      </c>
      <c r="J2731" s="68">
        <f t="shared" si="1"/>
        <v>0</v>
      </c>
      <c r="K2731" s="68" t="b">
        <v>1</v>
      </c>
    </row>
    <row r="2732" hidden="1">
      <c r="A2732" s="75">
        <v>2726.0</v>
      </c>
      <c r="B2732" s="62" t="s">
        <v>1306</v>
      </c>
      <c r="C2732" s="62" t="s">
        <v>105</v>
      </c>
      <c r="D2732" s="62" t="s">
        <v>1696</v>
      </c>
      <c r="E2732" s="76">
        <v>44063.0</v>
      </c>
      <c r="F2732" s="77">
        <v>0.041666666666666664</v>
      </c>
      <c r="G2732" s="62" t="b">
        <v>1</v>
      </c>
      <c r="H2732" s="78" t="b">
        <f>IF(VLOOKUP(C2732,Projetos!A:L,12,false)=TRUE,TRUE,FALSE)</f>
        <v>1</v>
      </c>
      <c r="I2732" s="68">
        <v>37.66052106481481</v>
      </c>
      <c r="J2732" s="68">
        <f t="shared" si="1"/>
        <v>37.66052106</v>
      </c>
      <c r="K2732" s="68" t="b">
        <v>1</v>
      </c>
    </row>
    <row r="2733" hidden="1">
      <c r="A2733" s="75">
        <v>2727.0</v>
      </c>
      <c r="B2733" s="62" t="s">
        <v>1306</v>
      </c>
      <c r="C2733" s="62" t="s">
        <v>105</v>
      </c>
      <c r="D2733" s="62" t="s">
        <v>1697</v>
      </c>
      <c r="E2733" s="76">
        <v>44067.0</v>
      </c>
      <c r="F2733" s="77">
        <v>0.0625</v>
      </c>
      <c r="G2733" s="62" t="b">
        <v>1</v>
      </c>
      <c r="H2733" s="78" t="b">
        <f>IF(VLOOKUP(C2733,Projetos!A:L,12,false)=TRUE,TRUE,FALSE)</f>
        <v>1</v>
      </c>
      <c r="I2733" s="68">
        <v>37.66052106481481</v>
      </c>
      <c r="J2733" s="68">
        <f t="shared" si="1"/>
        <v>56.4907816</v>
      </c>
      <c r="K2733" s="68" t="b">
        <v>1</v>
      </c>
    </row>
    <row r="2734" hidden="1">
      <c r="A2734" s="75">
        <v>2728.0</v>
      </c>
      <c r="B2734" s="62" t="s">
        <v>1306</v>
      </c>
      <c r="C2734" s="62" t="s">
        <v>108</v>
      </c>
      <c r="D2734" s="62" t="s">
        <v>1698</v>
      </c>
      <c r="E2734" s="76">
        <v>44046.0</v>
      </c>
      <c r="F2734" s="77">
        <v>0.08333333333333333</v>
      </c>
      <c r="G2734" s="62" t="b">
        <v>0</v>
      </c>
      <c r="H2734" s="78" t="b">
        <f>IF(VLOOKUP(C2734,Projetos!A:L,12,false)=TRUE,TRUE,FALSE)</f>
        <v>1</v>
      </c>
      <c r="I2734" s="68">
        <v>37.66052106481481</v>
      </c>
      <c r="J2734" s="68">
        <f t="shared" si="1"/>
        <v>0</v>
      </c>
      <c r="K2734" s="68" t="b">
        <v>1</v>
      </c>
    </row>
    <row r="2735" hidden="1">
      <c r="A2735" s="75">
        <v>2729.0</v>
      </c>
      <c r="B2735" s="62" t="s">
        <v>1306</v>
      </c>
      <c r="C2735" s="62" t="s">
        <v>108</v>
      </c>
      <c r="D2735" s="62" t="s">
        <v>1699</v>
      </c>
      <c r="E2735" s="76">
        <v>44046.0</v>
      </c>
      <c r="F2735" s="77">
        <v>0.0625</v>
      </c>
      <c r="G2735" s="62" t="b">
        <v>0</v>
      </c>
      <c r="H2735" s="78" t="b">
        <f>IF(VLOOKUP(C2735,Projetos!A:L,12,false)=TRUE,TRUE,FALSE)</f>
        <v>1</v>
      </c>
      <c r="I2735" s="68">
        <v>37.66052106481481</v>
      </c>
      <c r="J2735" s="68">
        <f t="shared" si="1"/>
        <v>0</v>
      </c>
      <c r="K2735" s="68" t="b">
        <v>1</v>
      </c>
    </row>
    <row r="2736" hidden="1">
      <c r="A2736" s="75">
        <v>2730.0</v>
      </c>
      <c r="B2736" s="62" t="s">
        <v>1306</v>
      </c>
      <c r="C2736" s="62" t="s">
        <v>108</v>
      </c>
      <c r="D2736" s="62" t="s">
        <v>1700</v>
      </c>
      <c r="E2736" s="76">
        <v>44047.0</v>
      </c>
      <c r="F2736" s="77">
        <v>0.15625</v>
      </c>
      <c r="G2736" s="62" t="b">
        <v>0</v>
      </c>
      <c r="H2736" s="78" t="b">
        <f>IF(VLOOKUP(C2736,Projetos!A:L,12,false)=TRUE,TRUE,FALSE)</f>
        <v>1</v>
      </c>
      <c r="I2736" s="68">
        <v>37.66052106481481</v>
      </c>
      <c r="J2736" s="68">
        <f t="shared" si="1"/>
        <v>0</v>
      </c>
      <c r="K2736" s="68" t="b">
        <v>1</v>
      </c>
    </row>
    <row r="2737" hidden="1">
      <c r="A2737" s="75">
        <v>2731.0</v>
      </c>
      <c r="B2737" s="62" t="s">
        <v>1306</v>
      </c>
      <c r="C2737" s="62" t="s">
        <v>108</v>
      </c>
      <c r="D2737" s="62" t="s">
        <v>1699</v>
      </c>
      <c r="E2737" s="76">
        <v>44048.0</v>
      </c>
      <c r="F2737" s="77">
        <v>0.09375</v>
      </c>
      <c r="G2737" s="62" t="b">
        <v>0</v>
      </c>
      <c r="H2737" s="78" t="b">
        <f>IF(VLOOKUP(C2737,Projetos!A:L,12,false)=TRUE,TRUE,FALSE)</f>
        <v>1</v>
      </c>
      <c r="I2737" s="68">
        <v>37.66052106481481</v>
      </c>
      <c r="J2737" s="68">
        <f t="shared" si="1"/>
        <v>0</v>
      </c>
      <c r="K2737" s="68" t="b">
        <v>1</v>
      </c>
    </row>
    <row r="2738" hidden="1">
      <c r="A2738" s="75">
        <v>2732.0</v>
      </c>
      <c r="B2738" s="62" t="s">
        <v>1306</v>
      </c>
      <c r="C2738" s="62" t="s">
        <v>108</v>
      </c>
      <c r="D2738" s="62" t="s">
        <v>1701</v>
      </c>
      <c r="E2738" s="76">
        <v>44049.0</v>
      </c>
      <c r="F2738" s="77">
        <v>0.14583333333333334</v>
      </c>
      <c r="G2738" s="62" t="b">
        <v>0</v>
      </c>
      <c r="H2738" s="78" t="b">
        <f>IF(VLOOKUP(C2738,Projetos!A:L,12,false)=TRUE,TRUE,FALSE)</f>
        <v>1</v>
      </c>
      <c r="I2738" s="68">
        <v>37.66052106481481</v>
      </c>
      <c r="J2738" s="68">
        <f t="shared" si="1"/>
        <v>0</v>
      </c>
      <c r="K2738" s="68" t="b">
        <v>1</v>
      </c>
    </row>
    <row r="2739" hidden="1">
      <c r="A2739" s="75">
        <v>2733.0</v>
      </c>
      <c r="B2739" s="62" t="s">
        <v>1306</v>
      </c>
      <c r="C2739" s="62" t="s">
        <v>108</v>
      </c>
      <c r="D2739" s="62" t="s">
        <v>1702</v>
      </c>
      <c r="E2739" s="76">
        <v>44049.0</v>
      </c>
      <c r="F2739" s="77">
        <v>0.020833333333333332</v>
      </c>
      <c r="G2739" s="62" t="b">
        <v>0</v>
      </c>
      <c r="H2739" s="78" t="b">
        <f>IF(VLOOKUP(C2739,Projetos!A:L,12,false)=TRUE,TRUE,FALSE)</f>
        <v>1</v>
      </c>
      <c r="I2739" s="68">
        <v>37.66052106481481</v>
      </c>
      <c r="J2739" s="68">
        <f t="shared" si="1"/>
        <v>0</v>
      </c>
      <c r="K2739" s="68" t="b">
        <v>1</v>
      </c>
    </row>
    <row r="2740" hidden="1">
      <c r="A2740" s="75">
        <v>2734.0</v>
      </c>
      <c r="B2740" s="62" t="s">
        <v>1306</v>
      </c>
      <c r="C2740" s="62" t="s">
        <v>108</v>
      </c>
      <c r="D2740" s="62" t="s">
        <v>1701</v>
      </c>
      <c r="E2740" s="76">
        <v>44050.0</v>
      </c>
      <c r="F2740" s="77">
        <v>0.08333333333333333</v>
      </c>
      <c r="G2740" s="62" t="b">
        <v>0</v>
      </c>
      <c r="H2740" s="78" t="b">
        <f>IF(VLOOKUP(C2740,Projetos!A:L,12,false)=TRUE,TRUE,FALSE)</f>
        <v>1</v>
      </c>
      <c r="I2740" s="68">
        <v>37.66052106481481</v>
      </c>
      <c r="J2740" s="68">
        <f t="shared" si="1"/>
        <v>0</v>
      </c>
      <c r="K2740" s="68" t="b">
        <v>1</v>
      </c>
    </row>
    <row r="2741" hidden="1">
      <c r="A2741" s="75">
        <v>2735.0</v>
      </c>
      <c r="B2741" s="62" t="s">
        <v>1306</v>
      </c>
      <c r="C2741" s="62" t="s">
        <v>108</v>
      </c>
      <c r="D2741" s="62" t="s">
        <v>1703</v>
      </c>
      <c r="E2741" s="76">
        <v>44050.0</v>
      </c>
      <c r="F2741" s="77">
        <v>0.20833333333333334</v>
      </c>
      <c r="G2741" s="62" t="b">
        <v>0</v>
      </c>
      <c r="H2741" s="78" t="b">
        <f>IF(VLOOKUP(C2741,Projetos!A:L,12,false)=TRUE,TRUE,FALSE)</f>
        <v>1</v>
      </c>
      <c r="I2741" s="68">
        <v>37.66052106481481</v>
      </c>
      <c r="J2741" s="68">
        <f t="shared" si="1"/>
        <v>0</v>
      </c>
      <c r="K2741" s="68" t="b">
        <v>1</v>
      </c>
    </row>
    <row r="2742" hidden="1">
      <c r="A2742" s="75">
        <v>2736.0</v>
      </c>
      <c r="B2742" s="62" t="s">
        <v>1306</v>
      </c>
      <c r="C2742" s="62" t="s">
        <v>108</v>
      </c>
      <c r="D2742" s="62" t="s">
        <v>1704</v>
      </c>
      <c r="E2742" s="76">
        <v>44054.0</v>
      </c>
      <c r="F2742" s="77">
        <v>0.041666666666666664</v>
      </c>
      <c r="G2742" s="62" t="b">
        <v>0</v>
      </c>
      <c r="H2742" s="78" t="b">
        <f>IF(VLOOKUP(C2742,Projetos!A:L,12,false)=TRUE,TRUE,FALSE)</f>
        <v>1</v>
      </c>
      <c r="I2742" s="68">
        <v>37.66052106481481</v>
      </c>
      <c r="J2742" s="68">
        <f t="shared" si="1"/>
        <v>0</v>
      </c>
      <c r="K2742" s="68" t="b">
        <v>1</v>
      </c>
    </row>
    <row r="2743" hidden="1">
      <c r="A2743" s="75">
        <v>2737.0</v>
      </c>
      <c r="B2743" s="62" t="s">
        <v>1306</v>
      </c>
      <c r="C2743" s="62" t="s">
        <v>108</v>
      </c>
      <c r="D2743" s="62" t="s">
        <v>1705</v>
      </c>
      <c r="E2743" s="76">
        <v>44056.0</v>
      </c>
      <c r="F2743" s="77">
        <v>0.11458333333333333</v>
      </c>
      <c r="G2743" s="62" t="b">
        <v>0</v>
      </c>
      <c r="H2743" s="78" t="b">
        <f>IF(VLOOKUP(C2743,Projetos!A:L,12,false)=TRUE,TRUE,FALSE)</f>
        <v>1</v>
      </c>
      <c r="I2743" s="68">
        <v>37.66052106481481</v>
      </c>
      <c r="J2743" s="68">
        <f t="shared" si="1"/>
        <v>0</v>
      </c>
      <c r="K2743" s="68" t="b">
        <v>1</v>
      </c>
    </row>
    <row r="2744" hidden="1">
      <c r="A2744" s="75">
        <v>2738.0</v>
      </c>
      <c r="B2744" s="62" t="s">
        <v>1306</v>
      </c>
      <c r="C2744" s="62" t="s">
        <v>108</v>
      </c>
      <c r="D2744" s="62" t="s">
        <v>1706</v>
      </c>
      <c r="E2744" s="76">
        <v>44062.0</v>
      </c>
      <c r="F2744" s="77">
        <v>0.07291666666666667</v>
      </c>
      <c r="G2744" s="62" t="b">
        <v>0</v>
      </c>
      <c r="H2744" s="78" t="b">
        <f>IF(VLOOKUP(C2744,Projetos!A:L,12,false)=TRUE,TRUE,FALSE)</f>
        <v>1</v>
      </c>
      <c r="I2744" s="68">
        <v>37.66052106481481</v>
      </c>
      <c r="J2744" s="68">
        <f t="shared" si="1"/>
        <v>0</v>
      </c>
      <c r="K2744" s="68" t="b">
        <v>1</v>
      </c>
    </row>
    <row r="2745" hidden="1">
      <c r="A2745" s="75">
        <v>2739.0</v>
      </c>
      <c r="B2745" s="62" t="s">
        <v>1306</v>
      </c>
      <c r="C2745" s="62" t="s">
        <v>108</v>
      </c>
      <c r="D2745" s="62" t="s">
        <v>1707</v>
      </c>
      <c r="E2745" s="76">
        <v>44062.0</v>
      </c>
      <c r="F2745" s="77">
        <v>0.10416666666666667</v>
      </c>
      <c r="G2745" s="62" t="b">
        <v>0</v>
      </c>
      <c r="H2745" s="78" t="b">
        <f>IF(VLOOKUP(C2745,Projetos!A:L,12,false)=TRUE,TRUE,FALSE)</f>
        <v>1</v>
      </c>
      <c r="I2745" s="68">
        <v>37.66052106481481</v>
      </c>
      <c r="J2745" s="68">
        <f t="shared" si="1"/>
        <v>0</v>
      </c>
      <c r="K2745" s="68" t="b">
        <v>1</v>
      </c>
    </row>
    <row r="2746" hidden="1">
      <c r="A2746" s="75">
        <v>2740.0</v>
      </c>
      <c r="B2746" s="62" t="s">
        <v>1306</v>
      </c>
      <c r="C2746" s="62" t="s">
        <v>108</v>
      </c>
      <c r="D2746" s="62" t="s">
        <v>1708</v>
      </c>
      <c r="E2746" s="76">
        <v>44063.0</v>
      </c>
      <c r="F2746" s="77">
        <v>0.10416666666666667</v>
      </c>
      <c r="G2746" s="62" t="b">
        <v>0</v>
      </c>
      <c r="H2746" s="78" t="b">
        <f>IF(VLOOKUP(C2746,Projetos!A:L,12,false)=TRUE,TRUE,FALSE)</f>
        <v>1</v>
      </c>
      <c r="I2746" s="68">
        <v>37.66052106481481</v>
      </c>
      <c r="J2746" s="68">
        <f t="shared" si="1"/>
        <v>0</v>
      </c>
      <c r="K2746" s="68" t="b">
        <v>1</v>
      </c>
    </row>
    <row r="2747" hidden="1">
      <c r="A2747" s="75">
        <v>2741.0</v>
      </c>
      <c r="B2747" s="62" t="s">
        <v>1306</v>
      </c>
      <c r="C2747" s="62" t="s">
        <v>108</v>
      </c>
      <c r="D2747" s="62" t="s">
        <v>1709</v>
      </c>
      <c r="E2747" s="76">
        <v>44063.0</v>
      </c>
      <c r="F2747" s="77">
        <v>0.041666666666666664</v>
      </c>
      <c r="G2747" s="62" t="b">
        <v>0</v>
      </c>
      <c r="H2747" s="78" t="b">
        <f>IF(VLOOKUP(C2747,Projetos!A:L,12,false)=TRUE,TRUE,FALSE)</f>
        <v>1</v>
      </c>
      <c r="I2747" s="68">
        <v>37.66052106481481</v>
      </c>
      <c r="J2747" s="68">
        <f t="shared" si="1"/>
        <v>0</v>
      </c>
      <c r="K2747" s="68" t="b">
        <v>1</v>
      </c>
    </row>
    <row r="2748" hidden="1">
      <c r="A2748" s="75">
        <v>2742.0</v>
      </c>
      <c r="B2748" s="62" t="s">
        <v>1306</v>
      </c>
      <c r="C2748" s="62" t="s">
        <v>108</v>
      </c>
      <c r="D2748" s="62" t="s">
        <v>1707</v>
      </c>
      <c r="E2748" s="76">
        <v>44064.0</v>
      </c>
      <c r="F2748" s="77">
        <v>0.041666666666666664</v>
      </c>
      <c r="G2748" s="62" t="b">
        <v>0</v>
      </c>
      <c r="H2748" s="78" t="b">
        <f>IF(VLOOKUP(C2748,Projetos!A:L,12,false)=TRUE,TRUE,FALSE)</f>
        <v>1</v>
      </c>
      <c r="I2748" s="68">
        <v>37.66052106481481</v>
      </c>
      <c r="J2748" s="68">
        <f t="shared" si="1"/>
        <v>0</v>
      </c>
      <c r="K2748" s="68" t="b">
        <v>1</v>
      </c>
    </row>
    <row r="2749" hidden="1">
      <c r="A2749" s="75">
        <v>2743.0</v>
      </c>
      <c r="B2749" s="62" t="s">
        <v>1306</v>
      </c>
      <c r="C2749" s="62" t="s">
        <v>108</v>
      </c>
      <c r="D2749" s="62" t="s">
        <v>1710</v>
      </c>
      <c r="E2749" s="76">
        <v>44064.0</v>
      </c>
      <c r="F2749" s="77">
        <v>0.10416666666666667</v>
      </c>
      <c r="G2749" s="62" t="b">
        <v>0</v>
      </c>
      <c r="H2749" s="78" t="b">
        <f>IF(VLOOKUP(C2749,Projetos!A:L,12,false)=TRUE,TRUE,FALSE)</f>
        <v>1</v>
      </c>
      <c r="I2749" s="68">
        <v>37.66052106481481</v>
      </c>
      <c r="J2749" s="68">
        <f t="shared" si="1"/>
        <v>0</v>
      </c>
      <c r="K2749" s="68" t="b">
        <v>1</v>
      </c>
    </row>
    <row r="2750" hidden="1">
      <c r="A2750" s="75">
        <v>2744.0</v>
      </c>
      <c r="B2750" s="62" t="s">
        <v>1306</v>
      </c>
      <c r="C2750" s="62" t="s">
        <v>108</v>
      </c>
      <c r="D2750" s="62" t="s">
        <v>1711</v>
      </c>
      <c r="E2750" s="76">
        <v>44068.0</v>
      </c>
      <c r="F2750" s="77">
        <v>0.020833333333333332</v>
      </c>
      <c r="G2750" s="62" t="b">
        <v>0</v>
      </c>
      <c r="H2750" s="78" t="b">
        <f>IF(VLOOKUP(C2750,Projetos!A:L,12,false)=TRUE,TRUE,FALSE)</f>
        <v>1</v>
      </c>
      <c r="I2750" s="68">
        <v>37.66052106481481</v>
      </c>
      <c r="J2750" s="68">
        <f t="shared" si="1"/>
        <v>0</v>
      </c>
      <c r="K2750" s="68" t="b">
        <v>1</v>
      </c>
    </row>
    <row r="2751" hidden="1">
      <c r="A2751" s="75">
        <v>2745.0</v>
      </c>
      <c r="B2751" s="62" t="s">
        <v>1306</v>
      </c>
      <c r="C2751" s="62" t="s">
        <v>108</v>
      </c>
      <c r="D2751" s="62" t="s">
        <v>1712</v>
      </c>
      <c r="E2751" s="76">
        <v>44068.0</v>
      </c>
      <c r="F2751" s="77">
        <v>0.041666666666666664</v>
      </c>
      <c r="G2751" s="62" t="b">
        <v>0</v>
      </c>
      <c r="H2751" s="78" t="b">
        <f>IF(VLOOKUP(C2751,Projetos!A:L,12,false)=TRUE,TRUE,FALSE)</f>
        <v>1</v>
      </c>
      <c r="I2751" s="68">
        <v>37.66052106481481</v>
      </c>
      <c r="J2751" s="68">
        <f t="shared" si="1"/>
        <v>0</v>
      </c>
      <c r="K2751" s="68" t="b">
        <v>1</v>
      </c>
    </row>
    <row r="2752" hidden="1">
      <c r="A2752" s="75">
        <v>2746.0</v>
      </c>
      <c r="B2752" s="62" t="s">
        <v>1306</v>
      </c>
      <c r="C2752" s="62" t="s">
        <v>108</v>
      </c>
      <c r="D2752" s="62" t="s">
        <v>1713</v>
      </c>
      <c r="E2752" s="76">
        <v>44070.0</v>
      </c>
      <c r="F2752" s="77">
        <v>0.03125</v>
      </c>
      <c r="G2752" s="62" t="b">
        <v>0</v>
      </c>
      <c r="H2752" s="78" t="b">
        <f>IF(VLOOKUP(C2752,Projetos!A:L,12,false)=TRUE,TRUE,FALSE)</f>
        <v>1</v>
      </c>
      <c r="I2752" s="68">
        <v>37.66052106481481</v>
      </c>
      <c r="J2752" s="68">
        <f t="shared" si="1"/>
        <v>0</v>
      </c>
      <c r="K2752" s="68" t="b">
        <v>1</v>
      </c>
    </row>
    <row r="2753" hidden="1">
      <c r="A2753" s="75">
        <v>2747.0</v>
      </c>
      <c r="B2753" s="62" t="s">
        <v>1306</v>
      </c>
      <c r="C2753" s="62" t="s">
        <v>108</v>
      </c>
      <c r="D2753" s="62" t="s">
        <v>1714</v>
      </c>
      <c r="E2753" s="76">
        <v>44070.0</v>
      </c>
      <c r="F2753" s="77">
        <v>0.020833333333333332</v>
      </c>
      <c r="G2753" s="62" t="b">
        <v>0</v>
      </c>
      <c r="H2753" s="78" t="b">
        <f>IF(VLOOKUP(C2753,Projetos!A:L,12,false)=TRUE,TRUE,FALSE)</f>
        <v>1</v>
      </c>
      <c r="I2753" s="68">
        <v>37.66052106481481</v>
      </c>
      <c r="J2753" s="68">
        <f t="shared" si="1"/>
        <v>0</v>
      </c>
      <c r="K2753" s="68" t="b">
        <v>1</v>
      </c>
    </row>
    <row r="2754" hidden="1">
      <c r="A2754" s="75">
        <v>2748.0</v>
      </c>
      <c r="B2754" s="62" t="s">
        <v>1306</v>
      </c>
      <c r="C2754" s="62" t="s">
        <v>108</v>
      </c>
      <c r="D2754" s="62" t="s">
        <v>1715</v>
      </c>
      <c r="E2754" s="76">
        <v>44071.0</v>
      </c>
      <c r="F2754" s="77">
        <v>0.125</v>
      </c>
      <c r="G2754" s="62" t="b">
        <v>0</v>
      </c>
      <c r="H2754" s="78" t="b">
        <f>IF(VLOOKUP(C2754,Projetos!A:L,12,false)=TRUE,TRUE,FALSE)</f>
        <v>1</v>
      </c>
      <c r="I2754" s="68">
        <v>37.66052106481481</v>
      </c>
      <c r="J2754" s="68">
        <f t="shared" si="1"/>
        <v>0</v>
      </c>
      <c r="K2754" s="68" t="b">
        <v>1</v>
      </c>
    </row>
    <row r="2755" hidden="1">
      <c r="A2755" s="75">
        <v>2749.0</v>
      </c>
      <c r="B2755" s="62" t="s">
        <v>1306</v>
      </c>
      <c r="C2755" s="62" t="s">
        <v>108</v>
      </c>
      <c r="D2755" s="62" t="s">
        <v>1716</v>
      </c>
      <c r="E2755" s="76">
        <v>44074.0</v>
      </c>
      <c r="F2755" s="77">
        <v>0.07291666666666667</v>
      </c>
      <c r="G2755" s="62" t="b">
        <v>0</v>
      </c>
      <c r="H2755" s="78" t="b">
        <f>IF(VLOOKUP(C2755,Projetos!A:L,12,false)=TRUE,TRUE,FALSE)</f>
        <v>1</v>
      </c>
      <c r="I2755" s="68">
        <v>37.66052106481481</v>
      </c>
      <c r="J2755" s="68">
        <f t="shared" si="1"/>
        <v>0</v>
      </c>
      <c r="K2755" s="68" t="b">
        <v>1</v>
      </c>
    </row>
    <row r="2756" hidden="1">
      <c r="A2756" s="75">
        <v>2750.0</v>
      </c>
      <c r="B2756" s="62" t="s">
        <v>1306</v>
      </c>
      <c r="C2756" s="62" t="s">
        <v>108</v>
      </c>
      <c r="D2756" s="62" t="s">
        <v>1717</v>
      </c>
      <c r="E2756" s="76">
        <v>44074.0</v>
      </c>
      <c r="F2756" s="77">
        <v>0.0625</v>
      </c>
      <c r="G2756" s="62" t="b">
        <v>0</v>
      </c>
      <c r="H2756" s="78" t="b">
        <f>IF(VLOOKUP(C2756,Projetos!A:L,12,false)=TRUE,TRUE,FALSE)</f>
        <v>1</v>
      </c>
      <c r="I2756" s="68">
        <v>37.66052106481481</v>
      </c>
      <c r="J2756" s="68">
        <f t="shared" si="1"/>
        <v>0</v>
      </c>
      <c r="K2756" s="68" t="b">
        <v>1</v>
      </c>
    </row>
    <row r="2757" hidden="1">
      <c r="A2757" s="75">
        <v>2751.0</v>
      </c>
      <c r="B2757" s="62" t="s">
        <v>1306</v>
      </c>
      <c r="C2757" s="62" t="s">
        <v>108</v>
      </c>
      <c r="D2757" s="62" t="s">
        <v>1718</v>
      </c>
      <c r="E2757" s="76">
        <v>44074.0</v>
      </c>
      <c r="F2757" s="77">
        <v>0.041666666666666664</v>
      </c>
      <c r="G2757" s="62" t="b">
        <v>0</v>
      </c>
      <c r="H2757" s="78" t="b">
        <f>IF(VLOOKUP(C2757,Projetos!A:L,12,false)=TRUE,TRUE,FALSE)</f>
        <v>1</v>
      </c>
      <c r="I2757" s="68">
        <v>37.66052106481481</v>
      </c>
      <c r="J2757" s="68">
        <f t="shared" si="1"/>
        <v>0</v>
      </c>
      <c r="K2757" s="68" t="b">
        <v>1</v>
      </c>
    </row>
    <row r="2758" hidden="1">
      <c r="A2758" s="75">
        <v>2752.0</v>
      </c>
      <c r="B2758" s="62" t="s">
        <v>1306</v>
      </c>
      <c r="C2758" s="62" t="s">
        <v>109</v>
      </c>
      <c r="D2758" s="62" t="s">
        <v>1719</v>
      </c>
      <c r="E2758" s="76">
        <v>44067.0</v>
      </c>
      <c r="F2758" s="77">
        <v>0.052083333333333336</v>
      </c>
      <c r="G2758" s="62" t="b">
        <v>0</v>
      </c>
      <c r="H2758" s="78" t="b">
        <f>IF(VLOOKUP(C2758,Projetos!A:L,12,false)=TRUE,TRUE,FALSE)</f>
        <v>0</v>
      </c>
      <c r="I2758" s="68">
        <v>37.66052106481481</v>
      </c>
      <c r="J2758" s="68">
        <f t="shared" si="1"/>
        <v>0</v>
      </c>
      <c r="K2758" s="68" t="b">
        <v>0</v>
      </c>
    </row>
    <row r="2759" hidden="1">
      <c r="A2759" s="75">
        <v>2753.0</v>
      </c>
      <c r="B2759" s="62" t="s">
        <v>1306</v>
      </c>
      <c r="C2759" s="62" t="s">
        <v>109</v>
      </c>
      <c r="D2759" s="62" t="s">
        <v>1719</v>
      </c>
      <c r="E2759" s="76">
        <v>44067.0</v>
      </c>
      <c r="F2759" s="77">
        <v>0.041666666666666664</v>
      </c>
      <c r="G2759" s="62" t="b">
        <v>0</v>
      </c>
      <c r="H2759" s="78" t="b">
        <f>IF(VLOOKUP(C2759,Projetos!A:L,12,false)=TRUE,TRUE,FALSE)</f>
        <v>0</v>
      </c>
      <c r="I2759" s="68">
        <v>37.66052106481481</v>
      </c>
      <c r="J2759" s="68">
        <f t="shared" si="1"/>
        <v>0</v>
      </c>
      <c r="K2759" s="68" t="b">
        <v>0</v>
      </c>
    </row>
    <row r="2760" hidden="1">
      <c r="A2760" s="75">
        <v>2754.0</v>
      </c>
      <c r="B2760" s="62" t="s">
        <v>1306</v>
      </c>
      <c r="C2760" s="62" t="s">
        <v>109</v>
      </c>
      <c r="D2760" s="62" t="s">
        <v>1720</v>
      </c>
      <c r="E2760" s="76">
        <v>44069.0</v>
      </c>
      <c r="F2760" s="77">
        <v>0.041666666666666664</v>
      </c>
      <c r="G2760" s="62" t="b">
        <v>0</v>
      </c>
      <c r="H2760" s="78" t="b">
        <f>IF(VLOOKUP(C2760,Projetos!A:L,12,false)=TRUE,TRUE,FALSE)</f>
        <v>0</v>
      </c>
      <c r="I2760" s="68">
        <v>37.66052106481481</v>
      </c>
      <c r="J2760" s="68">
        <f t="shared" si="1"/>
        <v>0</v>
      </c>
      <c r="K2760" s="68" t="b">
        <v>0</v>
      </c>
    </row>
    <row r="2761" hidden="1">
      <c r="A2761" s="75">
        <v>2755.0</v>
      </c>
      <c r="B2761" s="62" t="s">
        <v>1306</v>
      </c>
      <c r="C2761" s="62" t="s">
        <v>109</v>
      </c>
      <c r="D2761" s="62" t="s">
        <v>1721</v>
      </c>
      <c r="E2761" s="76">
        <v>44070.0</v>
      </c>
      <c r="F2761" s="77">
        <v>0.020833333333333332</v>
      </c>
      <c r="G2761" s="62" t="b">
        <v>0</v>
      </c>
      <c r="H2761" s="78" t="b">
        <f>IF(VLOOKUP(C2761,Projetos!A:L,12,false)=TRUE,TRUE,FALSE)</f>
        <v>0</v>
      </c>
      <c r="I2761" s="68">
        <v>37.66052106481481</v>
      </c>
      <c r="J2761" s="68">
        <f t="shared" si="1"/>
        <v>0</v>
      </c>
      <c r="K2761" s="68" t="b">
        <v>0</v>
      </c>
    </row>
    <row r="2762" hidden="1">
      <c r="A2762" s="75">
        <v>2756.0</v>
      </c>
      <c r="B2762" s="62" t="s">
        <v>1306</v>
      </c>
      <c r="C2762" s="62" t="s">
        <v>109</v>
      </c>
      <c r="D2762" s="62" t="s">
        <v>1722</v>
      </c>
      <c r="E2762" s="76">
        <v>44071.0</v>
      </c>
      <c r="F2762" s="77">
        <v>0.10416666666666667</v>
      </c>
      <c r="G2762" s="62" t="b">
        <v>0</v>
      </c>
      <c r="H2762" s="78" t="b">
        <f>IF(VLOOKUP(C2762,Projetos!A:L,12,false)=TRUE,TRUE,FALSE)</f>
        <v>0</v>
      </c>
      <c r="I2762" s="68">
        <v>37.66052106481481</v>
      </c>
      <c r="J2762" s="68">
        <f t="shared" si="1"/>
        <v>0</v>
      </c>
      <c r="K2762" s="68" t="b">
        <v>0</v>
      </c>
    </row>
    <row r="2763" hidden="1">
      <c r="A2763" s="75">
        <v>2757.0</v>
      </c>
      <c r="B2763" s="62" t="s">
        <v>1306</v>
      </c>
      <c r="C2763" s="62" t="s">
        <v>110</v>
      </c>
      <c r="D2763" s="62" t="s">
        <v>1723</v>
      </c>
      <c r="E2763" s="76">
        <v>44047.0</v>
      </c>
      <c r="F2763" s="77">
        <v>0.010416666666666666</v>
      </c>
      <c r="G2763" s="62" t="b">
        <v>1</v>
      </c>
      <c r="H2763" s="78" t="b">
        <f>IF(VLOOKUP(C2763,Projetos!A:L,12,false)=TRUE,TRUE,FALSE)</f>
        <v>1</v>
      </c>
      <c r="I2763" s="68">
        <v>37.66052106481481</v>
      </c>
      <c r="J2763" s="68">
        <f t="shared" si="1"/>
        <v>9.415130266</v>
      </c>
      <c r="K2763" s="68" t="b">
        <v>1</v>
      </c>
    </row>
    <row r="2764" hidden="1">
      <c r="A2764" s="75">
        <v>2758.0</v>
      </c>
      <c r="B2764" s="62" t="s">
        <v>1306</v>
      </c>
      <c r="C2764" s="62" t="s">
        <v>110</v>
      </c>
      <c r="D2764" s="62" t="s">
        <v>1723</v>
      </c>
      <c r="E2764" s="76">
        <v>44047.0</v>
      </c>
      <c r="F2764" s="77">
        <v>0.041666666666666664</v>
      </c>
      <c r="G2764" s="62" t="b">
        <v>1</v>
      </c>
      <c r="H2764" s="78" t="b">
        <f>IF(VLOOKUP(C2764,Projetos!A:L,12,false)=TRUE,TRUE,FALSE)</f>
        <v>1</v>
      </c>
      <c r="I2764" s="68">
        <v>37.66052106481481</v>
      </c>
      <c r="J2764" s="68">
        <f t="shared" si="1"/>
        <v>37.66052106</v>
      </c>
      <c r="K2764" s="68" t="b">
        <v>1</v>
      </c>
    </row>
    <row r="2765" hidden="1">
      <c r="A2765" s="75">
        <v>2759.0</v>
      </c>
      <c r="B2765" s="62" t="s">
        <v>1306</v>
      </c>
      <c r="C2765" s="62" t="s">
        <v>110</v>
      </c>
      <c r="D2765" s="62" t="s">
        <v>1724</v>
      </c>
      <c r="E2765" s="76">
        <v>44048.0</v>
      </c>
      <c r="F2765" s="77">
        <v>0.041666666666666664</v>
      </c>
      <c r="G2765" s="62" t="b">
        <v>1</v>
      </c>
      <c r="H2765" s="78" t="b">
        <f>IF(VLOOKUP(C2765,Projetos!A:L,12,false)=TRUE,TRUE,FALSE)</f>
        <v>1</v>
      </c>
      <c r="I2765" s="68">
        <v>37.66052106481481</v>
      </c>
      <c r="J2765" s="68">
        <f t="shared" si="1"/>
        <v>37.66052106</v>
      </c>
      <c r="K2765" s="68" t="b">
        <v>1</v>
      </c>
    </row>
    <row r="2766" hidden="1">
      <c r="A2766" s="75">
        <v>2760.0</v>
      </c>
      <c r="B2766" s="62" t="s">
        <v>1306</v>
      </c>
      <c r="C2766" s="62" t="s">
        <v>110</v>
      </c>
      <c r="D2766" s="62" t="s">
        <v>243</v>
      </c>
      <c r="E2766" s="76">
        <v>44053.0</v>
      </c>
      <c r="F2766" s="77">
        <v>0.08333333333333333</v>
      </c>
      <c r="G2766" s="62" t="b">
        <v>1</v>
      </c>
      <c r="H2766" s="78" t="b">
        <f>IF(VLOOKUP(C2766,Projetos!A:L,12,false)=TRUE,TRUE,FALSE)</f>
        <v>1</v>
      </c>
      <c r="I2766" s="68">
        <v>37.66052106481481</v>
      </c>
      <c r="J2766" s="68">
        <f t="shared" si="1"/>
        <v>75.32104213</v>
      </c>
      <c r="K2766" s="68" t="b">
        <v>1</v>
      </c>
    </row>
    <row r="2767" hidden="1">
      <c r="A2767" s="75">
        <v>2761.0</v>
      </c>
      <c r="B2767" s="62" t="s">
        <v>1306</v>
      </c>
      <c r="C2767" s="62" t="s">
        <v>110</v>
      </c>
      <c r="D2767" s="62" t="s">
        <v>1695</v>
      </c>
      <c r="E2767" s="76">
        <v>44054.0</v>
      </c>
      <c r="F2767" s="77">
        <v>0.041666666666666664</v>
      </c>
      <c r="G2767" s="62" t="b">
        <v>0</v>
      </c>
      <c r="H2767" s="78" t="b">
        <f>IF(VLOOKUP(C2767,Projetos!A:L,12,false)=TRUE,TRUE,FALSE)</f>
        <v>1</v>
      </c>
      <c r="I2767" s="68">
        <v>37.66052106481481</v>
      </c>
      <c r="J2767" s="68">
        <f t="shared" si="1"/>
        <v>0</v>
      </c>
      <c r="K2767" s="68" t="b">
        <v>1</v>
      </c>
    </row>
    <row r="2768" hidden="1">
      <c r="A2768" s="75">
        <v>2762.0</v>
      </c>
      <c r="B2768" s="62" t="s">
        <v>1306</v>
      </c>
      <c r="C2768" s="62" t="s">
        <v>110</v>
      </c>
      <c r="D2768" s="62" t="s">
        <v>1725</v>
      </c>
      <c r="E2768" s="76">
        <v>44055.0</v>
      </c>
      <c r="F2768" s="77">
        <v>0.125</v>
      </c>
      <c r="G2768" s="62" t="b">
        <v>1</v>
      </c>
      <c r="H2768" s="78" t="b">
        <f>IF(VLOOKUP(C2768,Projetos!A:L,12,false)=TRUE,TRUE,FALSE)</f>
        <v>1</v>
      </c>
      <c r="I2768" s="68">
        <v>37.66052106481481</v>
      </c>
      <c r="J2768" s="68">
        <f t="shared" si="1"/>
        <v>112.9815632</v>
      </c>
      <c r="K2768" s="68" t="b">
        <v>1</v>
      </c>
    </row>
    <row r="2769" hidden="1">
      <c r="A2769" s="75">
        <v>2763.0</v>
      </c>
      <c r="B2769" s="62" t="s">
        <v>1306</v>
      </c>
      <c r="C2769" s="62" t="s">
        <v>110</v>
      </c>
      <c r="D2769" s="62" t="s">
        <v>1723</v>
      </c>
      <c r="E2769" s="76">
        <v>44060.0</v>
      </c>
      <c r="F2769" s="77">
        <v>0.041666666666666664</v>
      </c>
      <c r="G2769" s="62" t="b">
        <v>1</v>
      </c>
      <c r="H2769" s="78" t="b">
        <f>IF(VLOOKUP(C2769,Projetos!A:L,12,false)=TRUE,TRUE,FALSE)</f>
        <v>1</v>
      </c>
      <c r="I2769" s="68">
        <v>37.66052106481481</v>
      </c>
      <c r="J2769" s="68">
        <f t="shared" si="1"/>
        <v>37.66052106</v>
      </c>
      <c r="K2769" s="68" t="b">
        <v>1</v>
      </c>
    </row>
    <row r="2770" hidden="1">
      <c r="A2770" s="75">
        <v>2764.0</v>
      </c>
      <c r="B2770" s="62" t="s">
        <v>1306</v>
      </c>
      <c r="C2770" s="62" t="s">
        <v>110</v>
      </c>
      <c r="D2770" s="62" t="s">
        <v>1726</v>
      </c>
      <c r="E2770" s="76">
        <v>44063.0</v>
      </c>
      <c r="F2770" s="77">
        <v>0.08333333333333333</v>
      </c>
      <c r="G2770" s="62" t="b">
        <v>1</v>
      </c>
      <c r="H2770" s="78" t="b">
        <f>IF(VLOOKUP(C2770,Projetos!A:L,12,false)=TRUE,TRUE,FALSE)</f>
        <v>1</v>
      </c>
      <c r="I2770" s="68">
        <v>37.66052106481481</v>
      </c>
      <c r="J2770" s="68">
        <f t="shared" si="1"/>
        <v>75.32104213</v>
      </c>
      <c r="K2770" s="68" t="b">
        <v>1</v>
      </c>
    </row>
    <row r="2771" hidden="1">
      <c r="A2771" s="75">
        <v>2765.0</v>
      </c>
      <c r="B2771" s="62" t="s">
        <v>1306</v>
      </c>
      <c r="C2771" s="62" t="s">
        <v>110</v>
      </c>
      <c r="D2771" s="62" t="s">
        <v>1727</v>
      </c>
      <c r="E2771" s="76">
        <v>44069.0</v>
      </c>
      <c r="F2771" s="77">
        <v>0.10416666666666667</v>
      </c>
      <c r="G2771" s="62" t="b">
        <v>1</v>
      </c>
      <c r="H2771" s="78" t="b">
        <f>IF(VLOOKUP(C2771,Projetos!A:L,12,false)=TRUE,TRUE,FALSE)</f>
        <v>1</v>
      </c>
      <c r="I2771" s="68">
        <v>37.66052106481481</v>
      </c>
      <c r="J2771" s="68">
        <f t="shared" si="1"/>
        <v>94.15130266</v>
      </c>
      <c r="K2771" s="68" t="b">
        <v>1</v>
      </c>
    </row>
    <row r="2772" hidden="1">
      <c r="A2772" s="75">
        <v>2766.0</v>
      </c>
      <c r="B2772" s="62" t="s">
        <v>1306</v>
      </c>
      <c r="C2772" s="62" t="s">
        <v>110</v>
      </c>
      <c r="D2772" s="62" t="s">
        <v>1728</v>
      </c>
      <c r="E2772" s="76">
        <v>44069.0</v>
      </c>
      <c r="F2772" s="77">
        <v>0.125</v>
      </c>
      <c r="G2772" s="62" t="b">
        <v>1</v>
      </c>
      <c r="H2772" s="78" t="b">
        <f>IF(VLOOKUP(C2772,Projetos!A:L,12,false)=TRUE,TRUE,FALSE)</f>
        <v>1</v>
      </c>
      <c r="I2772" s="68">
        <v>37.66052106481481</v>
      </c>
      <c r="J2772" s="68">
        <f t="shared" si="1"/>
        <v>112.9815632</v>
      </c>
      <c r="K2772" s="68" t="b">
        <v>1</v>
      </c>
    </row>
    <row r="2773" hidden="1">
      <c r="A2773" s="75">
        <v>2767.0</v>
      </c>
      <c r="B2773" s="62" t="s">
        <v>1306</v>
      </c>
      <c r="C2773" s="62" t="s">
        <v>110</v>
      </c>
      <c r="D2773" s="62" t="s">
        <v>1729</v>
      </c>
      <c r="E2773" s="76">
        <v>44074.0</v>
      </c>
      <c r="F2773" s="77">
        <v>0.041666666666666664</v>
      </c>
      <c r="G2773" s="62" t="b">
        <v>1</v>
      </c>
      <c r="H2773" s="78" t="b">
        <f>IF(VLOOKUP(C2773,Projetos!A:L,12,false)=TRUE,TRUE,FALSE)</f>
        <v>1</v>
      </c>
      <c r="I2773" s="68">
        <v>37.66052106481481</v>
      </c>
      <c r="J2773" s="68">
        <f t="shared" si="1"/>
        <v>37.66052106</v>
      </c>
      <c r="K2773" s="68" t="b">
        <v>1</v>
      </c>
    </row>
    <row r="2774" hidden="1">
      <c r="A2774" s="75">
        <v>2768.0</v>
      </c>
      <c r="B2774" s="62" t="s">
        <v>1306</v>
      </c>
      <c r="C2774" s="62" t="s">
        <v>111</v>
      </c>
      <c r="D2774" s="62" t="s">
        <v>1730</v>
      </c>
      <c r="E2774" s="76">
        <v>44046.0</v>
      </c>
      <c r="F2774" s="77">
        <v>0.10416666666666667</v>
      </c>
      <c r="G2774" s="62" t="b">
        <v>0</v>
      </c>
      <c r="H2774" s="78" t="b">
        <f>IF(VLOOKUP(C2774,Projetos!A:L,12,false)=TRUE,TRUE,FALSE)</f>
        <v>0</v>
      </c>
      <c r="I2774" s="68">
        <v>37.66052106481481</v>
      </c>
      <c r="J2774" s="68">
        <f t="shared" si="1"/>
        <v>0</v>
      </c>
      <c r="K2774" s="68" t="b">
        <v>0</v>
      </c>
    </row>
    <row r="2775" hidden="1">
      <c r="A2775" s="75">
        <v>2769.0</v>
      </c>
      <c r="B2775" s="62" t="s">
        <v>1306</v>
      </c>
      <c r="C2775" s="62" t="s">
        <v>111</v>
      </c>
      <c r="D2775" s="62" t="s">
        <v>1731</v>
      </c>
      <c r="E2775" s="76">
        <v>44047.0</v>
      </c>
      <c r="F2775" s="77">
        <v>0.08333333333333333</v>
      </c>
      <c r="G2775" s="62" t="b">
        <v>0</v>
      </c>
      <c r="H2775" s="78" t="b">
        <f>IF(VLOOKUP(C2775,Projetos!A:L,12,false)=TRUE,TRUE,FALSE)</f>
        <v>0</v>
      </c>
      <c r="I2775" s="68">
        <v>37.66052106481481</v>
      </c>
      <c r="J2775" s="68">
        <f t="shared" si="1"/>
        <v>0</v>
      </c>
      <c r="K2775" s="68" t="b">
        <v>0</v>
      </c>
    </row>
    <row r="2776" hidden="1">
      <c r="A2776" s="75">
        <v>2770.0</v>
      </c>
      <c r="B2776" s="62" t="s">
        <v>1306</v>
      </c>
      <c r="C2776" s="62" t="s">
        <v>111</v>
      </c>
      <c r="D2776" s="62" t="s">
        <v>1732</v>
      </c>
      <c r="E2776" s="76">
        <v>44067.0</v>
      </c>
      <c r="F2776" s="77">
        <v>0.041666666666666664</v>
      </c>
      <c r="G2776" s="62" t="b">
        <v>0</v>
      </c>
      <c r="H2776" s="78" t="b">
        <f>IF(VLOOKUP(C2776,Projetos!A:L,12,false)=TRUE,TRUE,FALSE)</f>
        <v>0</v>
      </c>
      <c r="I2776" s="68">
        <v>37.66052106481481</v>
      </c>
      <c r="J2776" s="68">
        <f t="shared" si="1"/>
        <v>0</v>
      </c>
      <c r="K2776" s="68" t="b">
        <v>0</v>
      </c>
    </row>
    <row r="2777" hidden="1">
      <c r="A2777" s="75">
        <v>2771.0</v>
      </c>
      <c r="B2777" s="62" t="s">
        <v>1306</v>
      </c>
      <c r="C2777" s="62" t="s">
        <v>111</v>
      </c>
      <c r="D2777" s="62" t="s">
        <v>1733</v>
      </c>
      <c r="E2777" s="76">
        <v>44068.0</v>
      </c>
      <c r="F2777" s="77">
        <v>0.041666666666666664</v>
      </c>
      <c r="G2777" s="62" t="b">
        <v>0</v>
      </c>
      <c r="H2777" s="78" t="b">
        <f>IF(VLOOKUP(C2777,Projetos!A:L,12,false)=TRUE,TRUE,FALSE)</f>
        <v>0</v>
      </c>
      <c r="I2777" s="68">
        <v>37.66052106481481</v>
      </c>
      <c r="J2777" s="68">
        <f t="shared" si="1"/>
        <v>0</v>
      </c>
      <c r="K2777" s="68" t="b">
        <v>0</v>
      </c>
    </row>
    <row r="2778" hidden="1">
      <c r="A2778" s="75">
        <v>2772.0</v>
      </c>
      <c r="B2778" s="62" t="s">
        <v>1306</v>
      </c>
      <c r="C2778" s="62" t="s">
        <v>111</v>
      </c>
      <c r="D2778" s="62" t="s">
        <v>1734</v>
      </c>
      <c r="E2778" s="76">
        <v>44069.0</v>
      </c>
      <c r="F2778" s="77">
        <v>0.052083333333333336</v>
      </c>
      <c r="G2778" s="62" t="b">
        <v>0</v>
      </c>
      <c r="H2778" s="78" t="b">
        <f>IF(VLOOKUP(C2778,Projetos!A:L,12,false)=TRUE,TRUE,FALSE)</f>
        <v>0</v>
      </c>
      <c r="I2778" s="68">
        <v>37.66052106481481</v>
      </c>
      <c r="J2778" s="68">
        <f t="shared" si="1"/>
        <v>0</v>
      </c>
      <c r="K2778" s="68" t="b">
        <v>0</v>
      </c>
    </row>
    <row r="2779" hidden="1">
      <c r="A2779" s="75">
        <v>2773.0</v>
      </c>
      <c r="B2779" s="62" t="s">
        <v>1306</v>
      </c>
      <c r="C2779" s="62" t="s">
        <v>115</v>
      </c>
      <c r="D2779" s="62" t="s">
        <v>1735</v>
      </c>
      <c r="E2779" s="76">
        <v>44068.0</v>
      </c>
      <c r="F2779" s="77">
        <v>0.041666666666666664</v>
      </c>
      <c r="G2779" s="62" t="b">
        <v>1</v>
      </c>
      <c r="H2779" s="78" t="b">
        <f>IF(VLOOKUP(C2779,Projetos!A:L,12,false)=TRUE,TRUE,FALSE)</f>
        <v>1</v>
      </c>
      <c r="I2779" s="68">
        <v>37.66052106481481</v>
      </c>
      <c r="J2779" s="68">
        <f t="shared" si="1"/>
        <v>37.66052106</v>
      </c>
      <c r="K2779" s="68" t="b">
        <v>1</v>
      </c>
    </row>
    <row r="2780" hidden="1">
      <c r="A2780" s="75">
        <v>2774.0</v>
      </c>
      <c r="B2780" s="62" t="s">
        <v>1306</v>
      </c>
      <c r="C2780" s="62" t="s">
        <v>116</v>
      </c>
      <c r="D2780" s="62" t="s">
        <v>1736</v>
      </c>
      <c r="E2780" s="76">
        <v>44047.0</v>
      </c>
      <c r="F2780" s="77">
        <v>0.041666666666666664</v>
      </c>
      <c r="G2780" s="62" t="b">
        <v>1</v>
      </c>
      <c r="H2780" s="78" t="b">
        <f>IF(VLOOKUP(C2780,Projetos!A:L,12,false)=TRUE,TRUE,FALSE)</f>
        <v>1</v>
      </c>
      <c r="I2780" s="68">
        <v>37.66052106481481</v>
      </c>
      <c r="J2780" s="68">
        <f t="shared" si="1"/>
        <v>37.66052106</v>
      </c>
      <c r="K2780" s="68" t="b">
        <v>1</v>
      </c>
    </row>
    <row r="2781" hidden="1">
      <c r="A2781" s="75">
        <v>2775.0</v>
      </c>
      <c r="B2781" s="62" t="s">
        <v>1306</v>
      </c>
      <c r="C2781" s="62" t="s">
        <v>116</v>
      </c>
      <c r="D2781" s="62" t="s">
        <v>1737</v>
      </c>
      <c r="E2781" s="76">
        <v>44074.0</v>
      </c>
      <c r="F2781" s="77">
        <v>0.041666666666666664</v>
      </c>
      <c r="G2781" s="62" t="b">
        <v>1</v>
      </c>
      <c r="H2781" s="78" t="b">
        <f>IF(VLOOKUP(C2781,Projetos!A:L,12,false)=TRUE,TRUE,FALSE)</f>
        <v>1</v>
      </c>
      <c r="I2781" s="68">
        <v>37.66052106481481</v>
      </c>
      <c r="J2781" s="68">
        <f t="shared" si="1"/>
        <v>37.66052106</v>
      </c>
      <c r="K2781" s="68" t="b">
        <v>1</v>
      </c>
    </row>
    <row r="2782" hidden="1">
      <c r="A2782" s="75">
        <v>2776.0</v>
      </c>
      <c r="B2782" s="62" t="s">
        <v>1306</v>
      </c>
      <c r="C2782" s="62" t="s">
        <v>138</v>
      </c>
      <c r="D2782" s="62" t="s">
        <v>1738</v>
      </c>
      <c r="E2782" s="76">
        <v>44076.0</v>
      </c>
      <c r="F2782" s="77">
        <v>0.0625</v>
      </c>
      <c r="G2782" s="62" t="b">
        <v>1</v>
      </c>
      <c r="H2782" s="78" t="b">
        <f>IF(VLOOKUP(C2782,Projetos!A:L,12,false)=TRUE,TRUE,FALSE)</f>
        <v>1</v>
      </c>
      <c r="I2782" s="68">
        <v>40.77871333218548</v>
      </c>
      <c r="J2782" s="68">
        <f t="shared" si="1"/>
        <v>61.16807</v>
      </c>
      <c r="K2782" s="68" t="b">
        <v>1</v>
      </c>
    </row>
    <row r="2783" hidden="1">
      <c r="A2783" s="75">
        <v>2777.0</v>
      </c>
      <c r="B2783" s="62" t="s">
        <v>1306</v>
      </c>
      <c r="C2783" s="62" t="s">
        <v>138</v>
      </c>
      <c r="D2783" s="62" t="s">
        <v>1739</v>
      </c>
      <c r="E2783" s="76">
        <v>44078.0</v>
      </c>
      <c r="F2783" s="77">
        <v>0.041666666666666664</v>
      </c>
      <c r="G2783" s="62" t="b">
        <v>1</v>
      </c>
      <c r="H2783" s="78" t="b">
        <f>IF(VLOOKUP(C2783,Projetos!A:L,12,false)=TRUE,TRUE,FALSE)</f>
        <v>1</v>
      </c>
      <c r="I2783" s="68">
        <v>40.77871333218548</v>
      </c>
      <c r="J2783" s="68">
        <f t="shared" si="1"/>
        <v>40.77871333</v>
      </c>
      <c r="K2783" s="68" t="b">
        <v>1</v>
      </c>
    </row>
    <row r="2784" hidden="1">
      <c r="A2784" s="75">
        <v>2778.0</v>
      </c>
      <c r="B2784" s="62" t="s">
        <v>1306</v>
      </c>
      <c r="C2784" s="62" t="s">
        <v>138</v>
      </c>
      <c r="D2784" s="62" t="s">
        <v>1740</v>
      </c>
      <c r="E2784" s="76">
        <v>44083.0</v>
      </c>
      <c r="F2784" s="77">
        <v>0.052083333333333336</v>
      </c>
      <c r="G2784" s="62" t="b">
        <v>1</v>
      </c>
      <c r="H2784" s="78" t="b">
        <f>IF(VLOOKUP(C2784,Projetos!A:L,12,false)=TRUE,TRUE,FALSE)</f>
        <v>1</v>
      </c>
      <c r="I2784" s="68">
        <v>40.77871333218548</v>
      </c>
      <c r="J2784" s="68">
        <f t="shared" si="1"/>
        <v>50.97339167</v>
      </c>
      <c r="K2784" s="68" t="b">
        <v>1</v>
      </c>
    </row>
    <row r="2785" hidden="1">
      <c r="A2785" s="75">
        <v>2779.0</v>
      </c>
      <c r="B2785" s="62" t="s">
        <v>1306</v>
      </c>
      <c r="C2785" s="62" t="s">
        <v>138</v>
      </c>
      <c r="D2785" s="62" t="s">
        <v>1559</v>
      </c>
      <c r="E2785" s="76">
        <v>44085.0</v>
      </c>
      <c r="F2785" s="77">
        <v>0.041666666666666664</v>
      </c>
      <c r="G2785" s="62" t="b">
        <v>1</v>
      </c>
      <c r="H2785" s="78" t="b">
        <f>IF(VLOOKUP(C2785,Projetos!A:L,12,false)=TRUE,TRUE,FALSE)</f>
        <v>1</v>
      </c>
      <c r="I2785" s="68">
        <v>40.77871333218548</v>
      </c>
      <c r="J2785" s="68">
        <f t="shared" si="1"/>
        <v>40.77871333</v>
      </c>
      <c r="K2785" s="68" t="b">
        <v>1</v>
      </c>
    </row>
    <row r="2786" hidden="1">
      <c r="A2786" s="75">
        <v>2780.0</v>
      </c>
      <c r="B2786" s="62" t="s">
        <v>1306</v>
      </c>
      <c r="C2786" s="62" t="s">
        <v>138</v>
      </c>
      <c r="D2786" s="62" t="s">
        <v>1739</v>
      </c>
      <c r="E2786" s="76">
        <v>44088.0</v>
      </c>
      <c r="F2786" s="77">
        <v>0.0625</v>
      </c>
      <c r="G2786" s="62" t="b">
        <v>1</v>
      </c>
      <c r="H2786" s="78" t="b">
        <f>IF(VLOOKUP(C2786,Projetos!A:L,12,false)=TRUE,TRUE,FALSE)</f>
        <v>1</v>
      </c>
      <c r="I2786" s="68">
        <v>40.77871333218548</v>
      </c>
      <c r="J2786" s="68">
        <f t="shared" si="1"/>
        <v>61.16807</v>
      </c>
      <c r="K2786" s="68" t="b">
        <v>1</v>
      </c>
    </row>
    <row r="2787" hidden="1">
      <c r="A2787" s="75">
        <v>2781.0</v>
      </c>
      <c r="B2787" s="62" t="s">
        <v>1306</v>
      </c>
      <c r="C2787" s="62" t="s">
        <v>138</v>
      </c>
      <c r="D2787" s="62" t="s">
        <v>1559</v>
      </c>
      <c r="E2787" s="76">
        <v>44090.0</v>
      </c>
      <c r="F2787" s="77">
        <v>0.041666666666666664</v>
      </c>
      <c r="G2787" s="62" t="b">
        <v>1</v>
      </c>
      <c r="H2787" s="78" t="b">
        <f>IF(VLOOKUP(C2787,Projetos!A:L,12,false)=TRUE,TRUE,FALSE)</f>
        <v>1</v>
      </c>
      <c r="I2787" s="68">
        <v>40.77871333218548</v>
      </c>
      <c r="J2787" s="68">
        <f t="shared" si="1"/>
        <v>40.77871333</v>
      </c>
      <c r="K2787" s="68" t="b">
        <v>1</v>
      </c>
    </row>
    <row r="2788" hidden="1">
      <c r="A2788" s="75">
        <v>2782.0</v>
      </c>
      <c r="B2788" s="62" t="s">
        <v>1306</v>
      </c>
      <c r="C2788" s="62" t="s">
        <v>138</v>
      </c>
      <c r="D2788" s="62" t="s">
        <v>1741</v>
      </c>
      <c r="E2788" s="76">
        <v>44091.0</v>
      </c>
      <c r="F2788" s="77">
        <v>0.041666666666666664</v>
      </c>
      <c r="G2788" s="62" t="b">
        <v>1</v>
      </c>
      <c r="H2788" s="78" t="b">
        <f>IF(VLOOKUP(C2788,Projetos!A:L,12,false)=TRUE,TRUE,FALSE)</f>
        <v>1</v>
      </c>
      <c r="I2788" s="68">
        <v>40.77871333218548</v>
      </c>
      <c r="J2788" s="68">
        <f t="shared" si="1"/>
        <v>40.77871333</v>
      </c>
      <c r="K2788" s="68" t="b">
        <v>1</v>
      </c>
    </row>
    <row r="2789" hidden="1">
      <c r="A2789" s="75">
        <v>2783.0</v>
      </c>
      <c r="B2789" s="62" t="s">
        <v>1306</v>
      </c>
      <c r="C2789" s="62" t="s">
        <v>88</v>
      </c>
      <c r="D2789" s="62" t="s">
        <v>1742</v>
      </c>
      <c r="E2789" s="76">
        <v>44084.0</v>
      </c>
      <c r="F2789" s="77">
        <v>0.08333333333333333</v>
      </c>
      <c r="G2789" s="62" t="b">
        <v>1</v>
      </c>
      <c r="H2789" s="78" t="b">
        <f>IF(VLOOKUP(C2789,Projetos!A:L,12,false)=TRUE,TRUE,FALSE)</f>
        <v>1</v>
      </c>
      <c r="I2789" s="68">
        <v>40.77871333218548</v>
      </c>
      <c r="J2789" s="68">
        <f t="shared" si="1"/>
        <v>81.55742666</v>
      </c>
      <c r="K2789" s="68" t="b">
        <v>1</v>
      </c>
    </row>
    <row r="2790" hidden="1">
      <c r="A2790" s="75">
        <v>2784.0</v>
      </c>
      <c r="B2790" s="62" t="s">
        <v>1306</v>
      </c>
      <c r="C2790" s="62" t="s">
        <v>88</v>
      </c>
      <c r="D2790" s="62" t="s">
        <v>1742</v>
      </c>
      <c r="E2790" s="76">
        <v>44085.0</v>
      </c>
      <c r="F2790" s="77">
        <v>0.052083333333333336</v>
      </c>
      <c r="G2790" s="62" t="b">
        <v>1</v>
      </c>
      <c r="H2790" s="78" t="b">
        <f>IF(VLOOKUP(C2790,Projetos!A:L,12,false)=TRUE,TRUE,FALSE)</f>
        <v>1</v>
      </c>
      <c r="I2790" s="68">
        <v>40.77871333218548</v>
      </c>
      <c r="J2790" s="68">
        <f t="shared" si="1"/>
        <v>50.97339167</v>
      </c>
      <c r="K2790" s="68" t="b">
        <v>1</v>
      </c>
    </row>
    <row r="2791" hidden="1">
      <c r="A2791" s="75">
        <v>2785.0</v>
      </c>
      <c r="B2791" s="62" t="s">
        <v>1306</v>
      </c>
      <c r="C2791" s="62" t="s">
        <v>88</v>
      </c>
      <c r="D2791" s="62" t="s">
        <v>1743</v>
      </c>
      <c r="E2791" s="76">
        <v>44085.0</v>
      </c>
      <c r="F2791" s="77">
        <v>0.125</v>
      </c>
      <c r="G2791" s="62" t="b">
        <v>1</v>
      </c>
      <c r="H2791" s="78" t="b">
        <f>IF(VLOOKUP(C2791,Projetos!A:L,12,false)=TRUE,TRUE,FALSE)</f>
        <v>1</v>
      </c>
      <c r="I2791" s="68">
        <v>40.77871333218548</v>
      </c>
      <c r="J2791" s="68">
        <f t="shared" si="1"/>
        <v>122.33614</v>
      </c>
      <c r="K2791" s="68" t="b">
        <v>1</v>
      </c>
    </row>
    <row r="2792" hidden="1">
      <c r="A2792" s="75">
        <v>2786.0</v>
      </c>
      <c r="B2792" s="62" t="s">
        <v>1306</v>
      </c>
      <c r="C2792" s="62" t="s">
        <v>88</v>
      </c>
      <c r="D2792" s="62" t="s">
        <v>1744</v>
      </c>
      <c r="E2792" s="76">
        <v>44090.0</v>
      </c>
      <c r="F2792" s="77">
        <v>0.16666666666666666</v>
      </c>
      <c r="G2792" s="62" t="b">
        <v>1</v>
      </c>
      <c r="H2792" s="78" t="b">
        <f>IF(VLOOKUP(C2792,Projetos!A:L,12,false)=TRUE,TRUE,FALSE)</f>
        <v>1</v>
      </c>
      <c r="I2792" s="68">
        <v>40.77871333218548</v>
      </c>
      <c r="J2792" s="68">
        <f t="shared" si="1"/>
        <v>163.1148533</v>
      </c>
      <c r="K2792" s="68" t="b">
        <v>1</v>
      </c>
    </row>
    <row r="2793" hidden="1">
      <c r="A2793" s="75">
        <v>2787.0</v>
      </c>
      <c r="B2793" s="62" t="s">
        <v>1306</v>
      </c>
      <c r="C2793" s="62" t="s">
        <v>88</v>
      </c>
      <c r="D2793" s="62" t="s">
        <v>1745</v>
      </c>
      <c r="E2793" s="76">
        <v>44092.0</v>
      </c>
      <c r="F2793" s="77">
        <v>0.041666666666666664</v>
      </c>
      <c r="G2793" s="62" t="b">
        <v>1</v>
      </c>
      <c r="H2793" s="78" t="b">
        <f>IF(VLOOKUP(C2793,Projetos!A:L,12,false)=TRUE,TRUE,FALSE)</f>
        <v>1</v>
      </c>
      <c r="I2793" s="68">
        <v>40.77871333218548</v>
      </c>
      <c r="J2793" s="68">
        <f t="shared" si="1"/>
        <v>40.77871333</v>
      </c>
      <c r="K2793" s="68" t="b">
        <v>1</v>
      </c>
    </row>
    <row r="2794" hidden="1">
      <c r="A2794" s="75">
        <v>2788.0</v>
      </c>
      <c r="B2794" s="62" t="s">
        <v>1306</v>
      </c>
      <c r="C2794" s="62" t="s">
        <v>88</v>
      </c>
      <c r="D2794" s="62" t="s">
        <v>1746</v>
      </c>
      <c r="E2794" s="76">
        <v>44096.0</v>
      </c>
      <c r="F2794" s="77">
        <v>0.041666666666666664</v>
      </c>
      <c r="G2794" s="62" t="b">
        <v>1</v>
      </c>
      <c r="H2794" s="78" t="b">
        <f>IF(VLOOKUP(C2794,Projetos!A:L,12,false)=TRUE,TRUE,FALSE)</f>
        <v>1</v>
      </c>
      <c r="I2794" s="68">
        <v>40.77871333218548</v>
      </c>
      <c r="J2794" s="68">
        <f t="shared" si="1"/>
        <v>40.77871333</v>
      </c>
      <c r="K2794" s="68" t="b">
        <v>1</v>
      </c>
    </row>
    <row r="2795" hidden="1">
      <c r="A2795" s="75">
        <v>2789.0</v>
      </c>
      <c r="B2795" s="62" t="s">
        <v>1306</v>
      </c>
      <c r="C2795" s="62" t="s">
        <v>88</v>
      </c>
      <c r="D2795" s="62" t="s">
        <v>1747</v>
      </c>
      <c r="E2795" s="76">
        <v>44102.0</v>
      </c>
      <c r="F2795" s="77">
        <v>0.020833333333333332</v>
      </c>
      <c r="G2795" s="62" t="b">
        <v>0</v>
      </c>
      <c r="H2795" s="78" t="b">
        <f>IF(VLOOKUP(C2795,Projetos!A:L,12,false)=TRUE,TRUE,FALSE)</f>
        <v>1</v>
      </c>
      <c r="I2795" s="68">
        <v>40.77871333218548</v>
      </c>
      <c r="J2795" s="68">
        <f t="shared" si="1"/>
        <v>0</v>
      </c>
      <c r="K2795" s="68" t="b">
        <v>1</v>
      </c>
    </row>
    <row r="2796" hidden="1">
      <c r="A2796" s="75">
        <v>2790.0</v>
      </c>
      <c r="B2796" s="62" t="s">
        <v>1306</v>
      </c>
      <c r="C2796" s="62" t="s">
        <v>88</v>
      </c>
      <c r="D2796" s="62" t="s">
        <v>1748</v>
      </c>
      <c r="E2796" s="76">
        <v>44103.0</v>
      </c>
      <c r="F2796" s="77">
        <v>0.09375</v>
      </c>
      <c r="G2796" s="62" t="b">
        <v>1</v>
      </c>
      <c r="H2796" s="78" t="b">
        <f>IF(VLOOKUP(C2796,Projetos!A:L,12,false)=TRUE,TRUE,FALSE)</f>
        <v>1</v>
      </c>
      <c r="I2796" s="68">
        <v>40.77871333218548</v>
      </c>
      <c r="J2796" s="68">
        <f t="shared" si="1"/>
        <v>91.752105</v>
      </c>
      <c r="K2796" s="68" t="b">
        <v>1</v>
      </c>
    </row>
    <row r="2797" hidden="1">
      <c r="A2797" s="75">
        <v>2791.0</v>
      </c>
      <c r="B2797" s="62" t="s">
        <v>1306</v>
      </c>
      <c r="C2797" s="62" t="s">
        <v>90</v>
      </c>
      <c r="D2797" s="62" t="s">
        <v>1749</v>
      </c>
      <c r="E2797" s="76">
        <v>44075.0</v>
      </c>
      <c r="F2797" s="77">
        <v>0.041666666666666664</v>
      </c>
      <c r="G2797" s="62" t="b">
        <v>1</v>
      </c>
      <c r="H2797" s="78" t="b">
        <f>IF(VLOOKUP(C2797,Projetos!A:L,12,false)=TRUE,TRUE,FALSE)</f>
        <v>1</v>
      </c>
      <c r="I2797" s="68">
        <v>40.77871333218548</v>
      </c>
      <c r="J2797" s="68">
        <f t="shared" si="1"/>
        <v>40.77871333</v>
      </c>
      <c r="K2797" s="68" t="b">
        <v>1</v>
      </c>
    </row>
    <row r="2798" hidden="1">
      <c r="A2798" s="75">
        <v>2792.0</v>
      </c>
      <c r="B2798" s="62" t="s">
        <v>1306</v>
      </c>
      <c r="C2798" s="62" t="s">
        <v>90</v>
      </c>
      <c r="D2798" s="62" t="s">
        <v>1750</v>
      </c>
      <c r="E2798" s="76">
        <v>44078.0</v>
      </c>
      <c r="F2798" s="77">
        <v>0.020833333333333332</v>
      </c>
      <c r="G2798" s="62" t="b">
        <v>1</v>
      </c>
      <c r="H2798" s="78" t="b">
        <f>IF(VLOOKUP(C2798,Projetos!A:L,12,false)=TRUE,TRUE,FALSE)</f>
        <v>1</v>
      </c>
      <c r="I2798" s="68">
        <v>40.77871333218548</v>
      </c>
      <c r="J2798" s="68">
        <f t="shared" si="1"/>
        <v>20.38935667</v>
      </c>
      <c r="K2798" s="68" t="b">
        <v>1</v>
      </c>
    </row>
    <row r="2799" hidden="1">
      <c r="A2799" s="75">
        <v>2793.0</v>
      </c>
      <c r="B2799" s="62" t="s">
        <v>1306</v>
      </c>
      <c r="C2799" s="62" t="s">
        <v>90</v>
      </c>
      <c r="D2799" s="62" t="s">
        <v>1751</v>
      </c>
      <c r="E2799" s="76">
        <v>44078.0</v>
      </c>
      <c r="F2799" s="77">
        <v>0.041666666666666664</v>
      </c>
      <c r="G2799" s="62" t="b">
        <v>1</v>
      </c>
      <c r="H2799" s="78" t="b">
        <f>IF(VLOOKUP(C2799,Projetos!A:L,12,false)=TRUE,TRUE,FALSE)</f>
        <v>1</v>
      </c>
      <c r="I2799" s="68">
        <v>40.77871333218548</v>
      </c>
      <c r="J2799" s="68">
        <f t="shared" si="1"/>
        <v>40.77871333</v>
      </c>
      <c r="K2799" s="68" t="b">
        <v>1</v>
      </c>
    </row>
    <row r="2800" hidden="1">
      <c r="A2800" s="75">
        <v>2794.0</v>
      </c>
      <c r="B2800" s="62" t="s">
        <v>1306</v>
      </c>
      <c r="C2800" s="62" t="s">
        <v>90</v>
      </c>
      <c r="D2800" s="62" t="s">
        <v>1752</v>
      </c>
      <c r="E2800" s="76">
        <v>44078.0</v>
      </c>
      <c r="F2800" s="77">
        <v>0.041666666666666664</v>
      </c>
      <c r="G2800" s="62" t="b">
        <v>1</v>
      </c>
      <c r="H2800" s="78" t="b">
        <f>IF(VLOOKUP(C2800,Projetos!A:L,12,false)=TRUE,TRUE,FALSE)</f>
        <v>1</v>
      </c>
      <c r="I2800" s="68">
        <v>40.77871333218548</v>
      </c>
      <c r="J2800" s="68">
        <f t="shared" si="1"/>
        <v>40.77871333</v>
      </c>
      <c r="K2800" s="68" t="b">
        <v>1</v>
      </c>
    </row>
    <row r="2801" hidden="1">
      <c r="A2801" s="75">
        <v>2795.0</v>
      </c>
      <c r="B2801" s="62" t="s">
        <v>1306</v>
      </c>
      <c r="C2801" s="62" t="s">
        <v>90</v>
      </c>
      <c r="D2801" s="62" t="s">
        <v>243</v>
      </c>
      <c r="E2801" s="76">
        <v>44088.0</v>
      </c>
      <c r="F2801" s="77">
        <v>0.10416666666666667</v>
      </c>
      <c r="G2801" s="62" t="b">
        <v>1</v>
      </c>
      <c r="H2801" s="78" t="b">
        <f>IF(VLOOKUP(C2801,Projetos!A:L,12,false)=TRUE,TRUE,FALSE)</f>
        <v>1</v>
      </c>
      <c r="I2801" s="68">
        <v>40.77871333218548</v>
      </c>
      <c r="J2801" s="68">
        <f t="shared" si="1"/>
        <v>101.9467833</v>
      </c>
      <c r="K2801" s="68" t="b">
        <v>1</v>
      </c>
    </row>
    <row r="2802" hidden="1">
      <c r="A2802" s="75">
        <v>2796.0</v>
      </c>
      <c r="B2802" s="62" t="s">
        <v>1306</v>
      </c>
      <c r="C2802" s="62" t="s">
        <v>90</v>
      </c>
      <c r="D2802" s="62" t="s">
        <v>1753</v>
      </c>
      <c r="E2802" s="76">
        <v>44089.0</v>
      </c>
      <c r="F2802" s="77">
        <v>0.041666666666666664</v>
      </c>
      <c r="G2802" s="62" t="b">
        <v>1</v>
      </c>
      <c r="H2802" s="78" t="b">
        <f>IF(VLOOKUP(C2802,Projetos!A:L,12,false)=TRUE,TRUE,FALSE)</f>
        <v>1</v>
      </c>
      <c r="I2802" s="68">
        <v>40.77871333218548</v>
      </c>
      <c r="J2802" s="68">
        <f t="shared" si="1"/>
        <v>40.77871333</v>
      </c>
      <c r="K2802" s="68" t="b">
        <v>1</v>
      </c>
    </row>
    <row r="2803" hidden="1">
      <c r="A2803" s="75">
        <v>2797.0</v>
      </c>
      <c r="B2803" s="62" t="s">
        <v>1306</v>
      </c>
      <c r="C2803" s="62" t="s">
        <v>90</v>
      </c>
      <c r="D2803" s="62" t="s">
        <v>1754</v>
      </c>
      <c r="E2803" s="76">
        <v>44089.0</v>
      </c>
      <c r="F2803" s="77">
        <v>0.041666666666666664</v>
      </c>
      <c r="G2803" s="62" t="b">
        <v>1</v>
      </c>
      <c r="H2803" s="78" t="b">
        <f>IF(VLOOKUP(C2803,Projetos!A:L,12,false)=TRUE,TRUE,FALSE)</f>
        <v>1</v>
      </c>
      <c r="I2803" s="68">
        <v>40.77871333218548</v>
      </c>
      <c r="J2803" s="68">
        <f t="shared" si="1"/>
        <v>40.77871333</v>
      </c>
      <c r="K2803" s="68" t="b">
        <v>1</v>
      </c>
    </row>
    <row r="2804" hidden="1">
      <c r="A2804" s="75">
        <v>2798.0</v>
      </c>
      <c r="B2804" s="62" t="s">
        <v>1306</v>
      </c>
      <c r="C2804" s="62" t="s">
        <v>90</v>
      </c>
      <c r="D2804" s="62" t="s">
        <v>1755</v>
      </c>
      <c r="E2804" s="76">
        <v>44089.0</v>
      </c>
      <c r="F2804" s="77">
        <v>0.041666666666666664</v>
      </c>
      <c r="G2804" s="62" t="b">
        <v>1</v>
      </c>
      <c r="H2804" s="78" t="b">
        <f>IF(VLOOKUP(C2804,Projetos!A:L,12,false)=TRUE,TRUE,FALSE)</f>
        <v>1</v>
      </c>
      <c r="I2804" s="68">
        <v>40.77871333218548</v>
      </c>
      <c r="J2804" s="68">
        <f t="shared" si="1"/>
        <v>40.77871333</v>
      </c>
      <c r="K2804" s="68" t="b">
        <v>1</v>
      </c>
    </row>
    <row r="2805" hidden="1">
      <c r="A2805" s="75">
        <v>2799.0</v>
      </c>
      <c r="B2805" s="62" t="s">
        <v>1306</v>
      </c>
      <c r="C2805" s="62" t="s">
        <v>90</v>
      </c>
      <c r="D2805" s="62" t="s">
        <v>1756</v>
      </c>
      <c r="E2805" s="76">
        <v>44090.0</v>
      </c>
      <c r="F2805" s="77">
        <v>0.041666666666666664</v>
      </c>
      <c r="G2805" s="62" t="b">
        <v>1</v>
      </c>
      <c r="H2805" s="78" t="b">
        <f>IF(VLOOKUP(C2805,Projetos!A:L,12,false)=TRUE,TRUE,FALSE)</f>
        <v>1</v>
      </c>
      <c r="I2805" s="68">
        <v>40.77871333218548</v>
      </c>
      <c r="J2805" s="68">
        <f t="shared" si="1"/>
        <v>40.77871333</v>
      </c>
      <c r="K2805" s="68" t="b">
        <v>1</v>
      </c>
    </row>
    <row r="2806" hidden="1">
      <c r="A2806" s="75">
        <v>2800.0</v>
      </c>
      <c r="B2806" s="62" t="s">
        <v>1306</v>
      </c>
      <c r="C2806" s="62" t="s">
        <v>90</v>
      </c>
      <c r="D2806" s="62" t="s">
        <v>1757</v>
      </c>
      <c r="E2806" s="76">
        <v>44091.0</v>
      </c>
      <c r="F2806" s="77">
        <v>0.0625</v>
      </c>
      <c r="G2806" s="62" t="b">
        <v>1</v>
      </c>
      <c r="H2806" s="78" t="b">
        <f>IF(VLOOKUP(C2806,Projetos!A:L,12,false)=TRUE,TRUE,FALSE)</f>
        <v>1</v>
      </c>
      <c r="I2806" s="68">
        <v>40.77871333218548</v>
      </c>
      <c r="J2806" s="68">
        <f t="shared" si="1"/>
        <v>61.16807</v>
      </c>
      <c r="K2806" s="68" t="b">
        <v>1</v>
      </c>
    </row>
    <row r="2807" hidden="1">
      <c r="A2807" s="75">
        <v>2801.0</v>
      </c>
      <c r="B2807" s="62" t="s">
        <v>1306</v>
      </c>
      <c r="C2807" s="62" t="s">
        <v>90</v>
      </c>
      <c r="D2807" s="62" t="s">
        <v>1758</v>
      </c>
      <c r="E2807" s="76">
        <v>44091.0</v>
      </c>
      <c r="F2807" s="77">
        <v>0.0625</v>
      </c>
      <c r="G2807" s="62" t="b">
        <v>1</v>
      </c>
      <c r="H2807" s="78" t="b">
        <f>IF(VLOOKUP(C2807,Projetos!A:L,12,false)=TRUE,TRUE,FALSE)</f>
        <v>1</v>
      </c>
      <c r="I2807" s="68">
        <v>40.77871333218548</v>
      </c>
      <c r="J2807" s="68">
        <f t="shared" si="1"/>
        <v>61.16807</v>
      </c>
      <c r="K2807" s="68" t="b">
        <v>1</v>
      </c>
    </row>
    <row r="2808" hidden="1">
      <c r="A2808" s="75">
        <v>2802.0</v>
      </c>
      <c r="B2808" s="62" t="s">
        <v>1306</v>
      </c>
      <c r="C2808" s="62" t="s">
        <v>90</v>
      </c>
      <c r="D2808" s="62" t="s">
        <v>971</v>
      </c>
      <c r="E2808" s="76">
        <v>44092.0</v>
      </c>
      <c r="F2808" s="77">
        <v>0.020833333333333332</v>
      </c>
      <c r="G2808" s="62" t="b">
        <v>1</v>
      </c>
      <c r="H2808" s="78" t="b">
        <f>IF(VLOOKUP(C2808,Projetos!A:L,12,false)=TRUE,TRUE,FALSE)</f>
        <v>1</v>
      </c>
      <c r="I2808" s="68">
        <v>40.77871333218548</v>
      </c>
      <c r="J2808" s="68">
        <f t="shared" si="1"/>
        <v>20.38935667</v>
      </c>
      <c r="K2808" s="68" t="b">
        <v>1</v>
      </c>
    </row>
    <row r="2809" hidden="1">
      <c r="A2809" s="75">
        <v>2803.0</v>
      </c>
      <c r="B2809" s="62" t="s">
        <v>1306</v>
      </c>
      <c r="C2809" s="62" t="s">
        <v>90</v>
      </c>
      <c r="D2809" s="62" t="s">
        <v>1759</v>
      </c>
      <c r="E2809" s="76">
        <v>44095.0</v>
      </c>
      <c r="F2809" s="77">
        <v>0.21875</v>
      </c>
      <c r="G2809" s="62" t="b">
        <v>1</v>
      </c>
      <c r="H2809" s="78" t="b">
        <f>IF(VLOOKUP(C2809,Projetos!A:L,12,false)=TRUE,TRUE,FALSE)</f>
        <v>1</v>
      </c>
      <c r="I2809" s="68">
        <v>40.77871333218548</v>
      </c>
      <c r="J2809" s="68">
        <f t="shared" si="1"/>
        <v>214.088245</v>
      </c>
      <c r="K2809" s="68" t="b">
        <v>1</v>
      </c>
    </row>
    <row r="2810" hidden="1">
      <c r="A2810" s="75">
        <v>2804.0</v>
      </c>
      <c r="B2810" s="62" t="s">
        <v>1306</v>
      </c>
      <c r="C2810" s="62" t="s">
        <v>90</v>
      </c>
      <c r="D2810" s="62" t="s">
        <v>1760</v>
      </c>
      <c r="E2810" s="76">
        <v>44097.0</v>
      </c>
      <c r="F2810" s="77">
        <v>0.041666666666666664</v>
      </c>
      <c r="G2810" s="62" t="b">
        <v>1</v>
      </c>
      <c r="H2810" s="78" t="b">
        <f>IF(VLOOKUP(C2810,Projetos!A:L,12,false)=TRUE,TRUE,FALSE)</f>
        <v>1</v>
      </c>
      <c r="I2810" s="68">
        <v>40.77871333218548</v>
      </c>
      <c r="J2810" s="68">
        <f t="shared" si="1"/>
        <v>40.77871333</v>
      </c>
      <c r="K2810" s="68" t="b">
        <v>1</v>
      </c>
    </row>
    <row r="2811" hidden="1">
      <c r="A2811" s="75">
        <v>2805.0</v>
      </c>
      <c r="B2811" s="62" t="s">
        <v>1306</v>
      </c>
      <c r="C2811" s="62" t="s">
        <v>90</v>
      </c>
      <c r="D2811" s="62" t="s">
        <v>1761</v>
      </c>
      <c r="E2811" s="76">
        <v>44097.0</v>
      </c>
      <c r="F2811" s="77">
        <v>0.0625</v>
      </c>
      <c r="G2811" s="62" t="b">
        <v>1</v>
      </c>
      <c r="H2811" s="78" t="b">
        <f>IF(VLOOKUP(C2811,Projetos!A:L,12,false)=TRUE,TRUE,FALSE)</f>
        <v>1</v>
      </c>
      <c r="I2811" s="68">
        <v>40.77871333218548</v>
      </c>
      <c r="J2811" s="68">
        <f t="shared" si="1"/>
        <v>61.16807</v>
      </c>
      <c r="K2811" s="68" t="b">
        <v>1</v>
      </c>
    </row>
    <row r="2812" hidden="1">
      <c r="A2812" s="75">
        <v>2806.0</v>
      </c>
      <c r="B2812" s="62" t="s">
        <v>1306</v>
      </c>
      <c r="C2812" s="62" t="s">
        <v>90</v>
      </c>
      <c r="D2812" s="62" t="s">
        <v>1762</v>
      </c>
      <c r="E2812" s="76">
        <v>44098.0</v>
      </c>
      <c r="F2812" s="77">
        <v>0.09375</v>
      </c>
      <c r="G2812" s="62" t="b">
        <v>1</v>
      </c>
      <c r="H2812" s="78" t="b">
        <f>IF(VLOOKUP(C2812,Projetos!A:L,12,false)=TRUE,TRUE,FALSE)</f>
        <v>1</v>
      </c>
      <c r="I2812" s="68">
        <v>40.77871333218548</v>
      </c>
      <c r="J2812" s="68">
        <f t="shared" si="1"/>
        <v>91.752105</v>
      </c>
      <c r="K2812" s="68" t="b">
        <v>1</v>
      </c>
    </row>
    <row r="2813" hidden="1">
      <c r="A2813" s="75">
        <v>2807.0</v>
      </c>
      <c r="B2813" s="62" t="s">
        <v>1306</v>
      </c>
      <c r="C2813" s="62" t="s">
        <v>90</v>
      </c>
      <c r="D2813" s="62" t="s">
        <v>1763</v>
      </c>
      <c r="E2813" s="76">
        <v>44098.0</v>
      </c>
      <c r="F2813" s="77">
        <v>0.020833333333333332</v>
      </c>
      <c r="G2813" s="62" t="b">
        <v>1</v>
      </c>
      <c r="H2813" s="78" t="b">
        <f>IF(VLOOKUP(C2813,Projetos!A:L,12,false)=TRUE,TRUE,FALSE)</f>
        <v>1</v>
      </c>
      <c r="I2813" s="68">
        <v>40.77871333218548</v>
      </c>
      <c r="J2813" s="68">
        <f t="shared" si="1"/>
        <v>20.38935667</v>
      </c>
      <c r="K2813" s="68" t="b">
        <v>1</v>
      </c>
    </row>
    <row r="2814" hidden="1">
      <c r="A2814" s="75">
        <v>2808.0</v>
      </c>
      <c r="B2814" s="62" t="s">
        <v>1306</v>
      </c>
      <c r="C2814" s="62" t="s">
        <v>90</v>
      </c>
      <c r="D2814" s="62" t="s">
        <v>1764</v>
      </c>
      <c r="E2814" s="76">
        <v>44099.0</v>
      </c>
      <c r="F2814" s="77">
        <v>0.10416666666666667</v>
      </c>
      <c r="G2814" s="62" t="b">
        <v>1</v>
      </c>
      <c r="H2814" s="78" t="b">
        <f>IF(VLOOKUP(C2814,Projetos!A:L,12,false)=TRUE,TRUE,FALSE)</f>
        <v>1</v>
      </c>
      <c r="I2814" s="68">
        <v>40.77871333218548</v>
      </c>
      <c r="J2814" s="68">
        <f t="shared" si="1"/>
        <v>101.9467833</v>
      </c>
      <c r="K2814" s="68" t="b">
        <v>1</v>
      </c>
    </row>
    <row r="2815" hidden="1">
      <c r="A2815" s="75">
        <v>2809.0</v>
      </c>
      <c r="B2815" s="62" t="s">
        <v>1306</v>
      </c>
      <c r="C2815" s="62" t="s">
        <v>90</v>
      </c>
      <c r="D2815" s="62" t="s">
        <v>1765</v>
      </c>
      <c r="E2815" s="76">
        <v>44102.0</v>
      </c>
      <c r="F2815" s="77">
        <v>0.052083333333333336</v>
      </c>
      <c r="G2815" s="62" t="b">
        <v>1</v>
      </c>
      <c r="H2815" s="78" t="b">
        <f>IF(VLOOKUP(C2815,Projetos!A:L,12,false)=TRUE,TRUE,FALSE)</f>
        <v>1</v>
      </c>
      <c r="I2815" s="68">
        <v>40.77871333218548</v>
      </c>
      <c r="J2815" s="68">
        <f t="shared" si="1"/>
        <v>50.97339167</v>
      </c>
      <c r="K2815" s="68" t="b">
        <v>1</v>
      </c>
    </row>
    <row r="2816" hidden="1">
      <c r="A2816" s="75">
        <v>2810.0</v>
      </c>
      <c r="B2816" s="62" t="s">
        <v>1306</v>
      </c>
      <c r="C2816" s="62" t="s">
        <v>90</v>
      </c>
      <c r="D2816" s="62" t="s">
        <v>1766</v>
      </c>
      <c r="E2816" s="76">
        <v>44104.0</v>
      </c>
      <c r="F2816" s="77">
        <v>0.09375</v>
      </c>
      <c r="G2816" s="62" t="b">
        <v>1</v>
      </c>
      <c r="H2816" s="78" t="b">
        <f>IF(VLOOKUP(C2816,Projetos!A:L,12,false)=TRUE,TRUE,FALSE)</f>
        <v>1</v>
      </c>
      <c r="I2816" s="68">
        <v>40.77871333218548</v>
      </c>
      <c r="J2816" s="68">
        <f t="shared" si="1"/>
        <v>91.752105</v>
      </c>
      <c r="K2816" s="68" t="b">
        <v>1</v>
      </c>
    </row>
    <row r="2817" hidden="1">
      <c r="A2817" s="75">
        <v>2811.0</v>
      </c>
      <c r="B2817" s="62" t="s">
        <v>1306</v>
      </c>
      <c r="C2817" s="62" t="s">
        <v>90</v>
      </c>
      <c r="D2817" s="62" t="s">
        <v>1767</v>
      </c>
      <c r="E2817" s="76">
        <v>44104.0</v>
      </c>
      <c r="F2817" s="77">
        <v>0.08333333333333333</v>
      </c>
      <c r="G2817" s="62" t="b">
        <v>1</v>
      </c>
      <c r="H2817" s="78" t="b">
        <f>IF(VLOOKUP(C2817,Projetos!A:L,12,false)=TRUE,TRUE,FALSE)</f>
        <v>1</v>
      </c>
      <c r="I2817" s="68">
        <v>40.77871333218548</v>
      </c>
      <c r="J2817" s="68">
        <f t="shared" si="1"/>
        <v>81.55742666</v>
      </c>
      <c r="K2817" s="68" t="b">
        <v>1</v>
      </c>
    </row>
    <row r="2818" hidden="1">
      <c r="A2818" s="75">
        <v>2812.0</v>
      </c>
      <c r="B2818" s="62" t="s">
        <v>1306</v>
      </c>
      <c r="C2818" s="62" t="s">
        <v>90</v>
      </c>
      <c r="D2818" s="62" t="s">
        <v>1446</v>
      </c>
      <c r="E2818" s="76">
        <v>44104.0</v>
      </c>
      <c r="F2818" s="77">
        <v>0.041666666666666664</v>
      </c>
      <c r="G2818" s="62" t="b">
        <v>1</v>
      </c>
      <c r="H2818" s="78" t="b">
        <f>IF(VLOOKUP(C2818,Projetos!A:L,12,false)=TRUE,TRUE,FALSE)</f>
        <v>1</v>
      </c>
      <c r="I2818" s="68">
        <v>40.77871333218548</v>
      </c>
      <c r="J2818" s="68">
        <f t="shared" si="1"/>
        <v>40.77871333</v>
      </c>
      <c r="K2818" s="68" t="b">
        <v>1</v>
      </c>
    </row>
    <row r="2819" hidden="1">
      <c r="A2819" s="75">
        <v>2813.0</v>
      </c>
      <c r="B2819" s="62" t="s">
        <v>1306</v>
      </c>
      <c r="C2819" s="62" t="s">
        <v>97</v>
      </c>
      <c r="D2819" s="62" t="s">
        <v>1746</v>
      </c>
      <c r="E2819" s="76">
        <v>44096.0</v>
      </c>
      <c r="F2819" s="77">
        <v>0.020833333333333332</v>
      </c>
      <c r="G2819" s="62" t="b">
        <v>1</v>
      </c>
      <c r="H2819" s="78" t="b">
        <f>IF(VLOOKUP(C2819,Projetos!A:L,12,false)=TRUE,TRUE,FALSE)</f>
        <v>1</v>
      </c>
      <c r="I2819" s="68">
        <v>40.77871333218548</v>
      </c>
      <c r="J2819" s="68">
        <f t="shared" si="1"/>
        <v>20.38935667</v>
      </c>
      <c r="K2819" s="68" t="b">
        <v>1</v>
      </c>
    </row>
    <row r="2820" hidden="1">
      <c r="A2820" s="75">
        <v>2814.0</v>
      </c>
      <c r="B2820" s="62" t="s">
        <v>1306</v>
      </c>
      <c r="C2820" s="62" t="s">
        <v>97</v>
      </c>
      <c r="D2820" s="62" t="s">
        <v>1768</v>
      </c>
      <c r="E2820" s="76">
        <v>44097.0</v>
      </c>
      <c r="F2820" s="77">
        <v>0.0625</v>
      </c>
      <c r="G2820" s="62" t="b">
        <v>0</v>
      </c>
      <c r="H2820" s="78" t="b">
        <f>IF(VLOOKUP(C2820,Projetos!A:L,12,false)=TRUE,TRUE,FALSE)</f>
        <v>1</v>
      </c>
      <c r="I2820" s="68">
        <v>40.77871333218548</v>
      </c>
      <c r="J2820" s="68">
        <f t="shared" si="1"/>
        <v>0</v>
      </c>
      <c r="K2820" s="68" t="b">
        <v>1</v>
      </c>
    </row>
    <row r="2821" hidden="1">
      <c r="A2821" s="75">
        <v>2815.0</v>
      </c>
      <c r="B2821" s="62" t="s">
        <v>1306</v>
      </c>
      <c r="C2821" s="62" t="s">
        <v>98</v>
      </c>
      <c r="D2821" s="62" t="s">
        <v>1346</v>
      </c>
      <c r="E2821" s="76">
        <v>44075.0</v>
      </c>
      <c r="F2821" s="77">
        <v>0.041666666666666664</v>
      </c>
      <c r="G2821" s="62" t="b">
        <v>1</v>
      </c>
      <c r="H2821" s="78" t="b">
        <f>IF(VLOOKUP(C2821,Projetos!A:L,12,false)=TRUE,TRUE,FALSE)</f>
        <v>1</v>
      </c>
      <c r="I2821" s="68">
        <v>40.77871333218548</v>
      </c>
      <c r="J2821" s="68">
        <f t="shared" si="1"/>
        <v>40.77871333</v>
      </c>
      <c r="K2821" s="68" t="b">
        <v>1</v>
      </c>
    </row>
    <row r="2822" hidden="1">
      <c r="A2822" s="75">
        <v>2816.0</v>
      </c>
      <c r="B2822" s="62" t="s">
        <v>1306</v>
      </c>
      <c r="C2822" s="62" t="s">
        <v>98</v>
      </c>
      <c r="D2822" s="62" t="s">
        <v>1769</v>
      </c>
      <c r="E2822" s="76">
        <v>44084.0</v>
      </c>
      <c r="F2822" s="77">
        <v>0.020833333333333332</v>
      </c>
      <c r="G2822" s="62" t="b">
        <v>1</v>
      </c>
      <c r="H2822" s="78" t="b">
        <f>IF(VLOOKUP(C2822,Projetos!A:L,12,false)=TRUE,TRUE,FALSE)</f>
        <v>1</v>
      </c>
      <c r="I2822" s="68">
        <v>40.77871333218548</v>
      </c>
      <c r="J2822" s="68">
        <f t="shared" si="1"/>
        <v>20.38935667</v>
      </c>
      <c r="K2822" s="68" t="b">
        <v>1</v>
      </c>
    </row>
    <row r="2823" hidden="1">
      <c r="A2823" s="75">
        <v>2817.0</v>
      </c>
      <c r="B2823" s="62" t="s">
        <v>1306</v>
      </c>
      <c r="C2823" s="62" t="s">
        <v>100</v>
      </c>
      <c r="D2823" s="62" t="s">
        <v>1770</v>
      </c>
      <c r="E2823" s="76">
        <v>44092.0</v>
      </c>
      <c r="F2823" s="77">
        <v>0.0625</v>
      </c>
      <c r="G2823" s="62" t="b">
        <v>1</v>
      </c>
      <c r="H2823" s="78" t="b">
        <f>IF(VLOOKUP(C2823,Projetos!A:L,12,false)=TRUE,TRUE,FALSE)</f>
        <v>1</v>
      </c>
      <c r="I2823" s="68">
        <v>40.77871333218548</v>
      </c>
      <c r="J2823" s="68">
        <f t="shared" si="1"/>
        <v>61.16807</v>
      </c>
      <c r="K2823" s="68" t="b">
        <v>1</v>
      </c>
    </row>
    <row r="2824" hidden="1">
      <c r="A2824" s="75">
        <v>2818.0</v>
      </c>
      <c r="B2824" s="62" t="s">
        <v>1306</v>
      </c>
      <c r="C2824" s="62" t="s">
        <v>100</v>
      </c>
      <c r="D2824" s="62" t="s">
        <v>1746</v>
      </c>
      <c r="E2824" s="76">
        <v>44096.0</v>
      </c>
      <c r="F2824" s="77">
        <v>0.041666666666666664</v>
      </c>
      <c r="G2824" s="62" t="b">
        <v>1</v>
      </c>
      <c r="H2824" s="78" t="b">
        <f>IF(VLOOKUP(C2824,Projetos!A:L,12,false)=TRUE,TRUE,FALSE)</f>
        <v>1</v>
      </c>
      <c r="I2824" s="68">
        <v>40.77871333218548</v>
      </c>
      <c r="J2824" s="68">
        <f t="shared" si="1"/>
        <v>40.77871333</v>
      </c>
      <c r="K2824" s="68" t="b">
        <v>1</v>
      </c>
    </row>
    <row r="2825" hidden="1">
      <c r="A2825" s="75">
        <v>2819.0</v>
      </c>
      <c r="B2825" s="62" t="s">
        <v>1306</v>
      </c>
      <c r="C2825" s="62" t="s">
        <v>100</v>
      </c>
      <c r="D2825" s="62" t="s">
        <v>1771</v>
      </c>
      <c r="E2825" s="76">
        <v>44096.0</v>
      </c>
      <c r="F2825" s="77">
        <v>0.020833333333333332</v>
      </c>
      <c r="G2825" s="62" t="b">
        <v>1</v>
      </c>
      <c r="H2825" s="78" t="b">
        <f>IF(VLOOKUP(C2825,Projetos!A:L,12,false)=TRUE,TRUE,FALSE)</f>
        <v>1</v>
      </c>
      <c r="I2825" s="68">
        <v>40.77871333218548</v>
      </c>
      <c r="J2825" s="68">
        <f t="shared" si="1"/>
        <v>20.38935667</v>
      </c>
      <c r="K2825" s="68" t="b">
        <v>1</v>
      </c>
    </row>
    <row r="2826" hidden="1">
      <c r="A2826" s="75">
        <v>2820.0</v>
      </c>
      <c r="B2826" s="62" t="s">
        <v>1306</v>
      </c>
      <c r="C2826" s="62" t="s">
        <v>100</v>
      </c>
      <c r="D2826" s="62" t="s">
        <v>1772</v>
      </c>
      <c r="E2826" s="76">
        <v>44099.0</v>
      </c>
      <c r="F2826" s="77">
        <v>0.07291666666666667</v>
      </c>
      <c r="G2826" s="62" t="b">
        <v>1</v>
      </c>
      <c r="H2826" s="78" t="b">
        <f>IF(VLOOKUP(C2826,Projetos!A:L,12,false)=TRUE,TRUE,FALSE)</f>
        <v>1</v>
      </c>
      <c r="I2826" s="68">
        <v>40.77871333218548</v>
      </c>
      <c r="J2826" s="68">
        <f t="shared" si="1"/>
        <v>71.36274833</v>
      </c>
      <c r="K2826" s="68" t="b">
        <v>1</v>
      </c>
    </row>
    <row r="2827" hidden="1">
      <c r="A2827" s="75">
        <v>2821.0</v>
      </c>
      <c r="B2827" s="62" t="s">
        <v>1306</v>
      </c>
      <c r="C2827" s="62" t="s">
        <v>102</v>
      </c>
      <c r="D2827" s="62" t="s">
        <v>1773</v>
      </c>
      <c r="E2827" s="76">
        <v>44091.0</v>
      </c>
      <c r="F2827" s="77">
        <v>0.041666666666666664</v>
      </c>
      <c r="G2827" s="62" t="b">
        <v>0</v>
      </c>
      <c r="H2827" s="78" t="b">
        <f>IF(VLOOKUP(C2827,Projetos!A:L,12,false)=TRUE,TRUE,FALSE)</f>
        <v>0</v>
      </c>
      <c r="I2827" s="68">
        <v>40.77871333218548</v>
      </c>
      <c r="J2827" s="68">
        <f t="shared" si="1"/>
        <v>0</v>
      </c>
      <c r="K2827" s="68" t="b">
        <v>0</v>
      </c>
    </row>
    <row r="2828" hidden="1">
      <c r="A2828" s="75">
        <v>2822.0</v>
      </c>
      <c r="B2828" s="62" t="s">
        <v>1306</v>
      </c>
      <c r="C2828" s="62" t="s">
        <v>102</v>
      </c>
      <c r="D2828" s="62" t="s">
        <v>1774</v>
      </c>
      <c r="E2828" s="76">
        <v>44104.0</v>
      </c>
      <c r="F2828" s="77">
        <v>0.020833333333333332</v>
      </c>
      <c r="G2828" s="62" t="b">
        <v>0</v>
      </c>
      <c r="H2828" s="78" t="b">
        <f>IF(VLOOKUP(C2828,Projetos!A:L,12,false)=TRUE,TRUE,FALSE)</f>
        <v>0</v>
      </c>
      <c r="I2828" s="68">
        <v>40.77871333218548</v>
      </c>
      <c r="J2828" s="68">
        <f t="shared" si="1"/>
        <v>0</v>
      </c>
      <c r="K2828" s="68" t="b">
        <v>0</v>
      </c>
    </row>
    <row r="2829" hidden="1">
      <c r="A2829" s="75">
        <v>2823.0</v>
      </c>
      <c r="B2829" s="62" t="s">
        <v>1306</v>
      </c>
      <c r="C2829" s="62" t="s">
        <v>103</v>
      </c>
      <c r="D2829" s="62" t="s">
        <v>1775</v>
      </c>
      <c r="E2829" s="76">
        <v>44090.0</v>
      </c>
      <c r="F2829" s="77">
        <v>0.010416666666666666</v>
      </c>
      <c r="G2829" s="62" t="b">
        <v>1</v>
      </c>
      <c r="H2829" s="78" t="b">
        <f>IF(VLOOKUP(C2829,Projetos!A:L,12,false)=TRUE,TRUE,FALSE)</f>
        <v>1</v>
      </c>
      <c r="I2829" s="68">
        <v>40.77871333218548</v>
      </c>
      <c r="J2829" s="68">
        <f t="shared" si="1"/>
        <v>10.19467833</v>
      </c>
      <c r="K2829" s="68" t="b">
        <v>1</v>
      </c>
    </row>
    <row r="2830">
      <c r="A2830" s="75">
        <v>2824.0</v>
      </c>
      <c r="B2830" s="62" t="s">
        <v>1306</v>
      </c>
      <c r="C2830" s="62" t="s">
        <v>104</v>
      </c>
      <c r="D2830" s="62" t="s">
        <v>1750</v>
      </c>
      <c r="E2830" s="76">
        <v>44077.0</v>
      </c>
      <c r="F2830" s="77">
        <v>0.041666666666666664</v>
      </c>
      <c r="G2830" s="62" t="b">
        <v>1</v>
      </c>
      <c r="H2830" s="78" t="b">
        <f>IF(VLOOKUP(C2830,Projetos!A:L,12,false)=TRUE,TRUE,FALSE)</f>
        <v>1</v>
      </c>
      <c r="I2830" s="68">
        <v>40.77871333218548</v>
      </c>
      <c r="J2830" s="68">
        <f t="shared" si="1"/>
        <v>40.77871333</v>
      </c>
      <c r="K2830" s="68" t="b">
        <v>1</v>
      </c>
    </row>
    <row r="2831">
      <c r="A2831" s="75">
        <v>2825.0</v>
      </c>
      <c r="B2831" s="62" t="s">
        <v>1306</v>
      </c>
      <c r="C2831" s="62" t="s">
        <v>104</v>
      </c>
      <c r="D2831" s="62" t="s">
        <v>1776</v>
      </c>
      <c r="E2831" s="76">
        <v>44089.0</v>
      </c>
      <c r="F2831" s="77">
        <v>0.0625</v>
      </c>
      <c r="G2831" s="62" t="b">
        <v>1</v>
      </c>
      <c r="H2831" s="78" t="b">
        <f>IF(VLOOKUP(C2831,Projetos!A:L,12,false)=TRUE,TRUE,FALSE)</f>
        <v>1</v>
      </c>
      <c r="I2831" s="68">
        <v>40.77871333218548</v>
      </c>
      <c r="J2831" s="68">
        <f t="shared" si="1"/>
        <v>61.16807</v>
      </c>
      <c r="K2831" s="68" t="b">
        <v>1</v>
      </c>
    </row>
    <row r="2832">
      <c r="A2832" s="75">
        <v>2826.0</v>
      </c>
      <c r="B2832" s="62" t="s">
        <v>1306</v>
      </c>
      <c r="C2832" s="62" t="s">
        <v>104</v>
      </c>
      <c r="D2832" s="62" t="s">
        <v>1747</v>
      </c>
      <c r="E2832" s="76">
        <v>44102.0</v>
      </c>
      <c r="F2832" s="77">
        <v>0.020833333333333332</v>
      </c>
      <c r="G2832" s="62" t="b">
        <v>0</v>
      </c>
      <c r="H2832" s="78" t="b">
        <f>IF(VLOOKUP(C2832,Projetos!A:L,12,false)=TRUE,TRUE,FALSE)</f>
        <v>1</v>
      </c>
      <c r="I2832" s="68">
        <v>40.77871333218548</v>
      </c>
      <c r="J2832" s="68">
        <f t="shared" si="1"/>
        <v>0</v>
      </c>
      <c r="K2832" s="68" t="b">
        <v>1</v>
      </c>
    </row>
    <row r="2833" hidden="1">
      <c r="A2833" s="75">
        <v>2827.0</v>
      </c>
      <c r="B2833" s="62" t="s">
        <v>1306</v>
      </c>
      <c r="C2833" s="62" t="s">
        <v>105</v>
      </c>
      <c r="D2833" s="62" t="s">
        <v>1777</v>
      </c>
      <c r="E2833" s="76">
        <v>44084.0</v>
      </c>
      <c r="F2833" s="77">
        <v>0.03125</v>
      </c>
      <c r="G2833" s="62" t="b">
        <v>1</v>
      </c>
      <c r="H2833" s="78" t="b">
        <f>IF(VLOOKUP(C2833,Projetos!A:L,12,false)=TRUE,TRUE,FALSE)</f>
        <v>1</v>
      </c>
      <c r="I2833" s="68">
        <v>40.77871333218548</v>
      </c>
      <c r="J2833" s="68">
        <f t="shared" si="1"/>
        <v>30.584035</v>
      </c>
      <c r="K2833" s="68" t="b">
        <v>1</v>
      </c>
    </row>
    <row r="2834" hidden="1">
      <c r="A2834" s="75">
        <v>2828.0</v>
      </c>
      <c r="B2834" s="62" t="s">
        <v>1306</v>
      </c>
      <c r="C2834" s="62" t="s">
        <v>105</v>
      </c>
      <c r="D2834" s="62" t="s">
        <v>1778</v>
      </c>
      <c r="E2834" s="76">
        <v>44084.0</v>
      </c>
      <c r="F2834" s="77">
        <v>0.020833333333333332</v>
      </c>
      <c r="G2834" s="62" t="b">
        <v>1</v>
      </c>
      <c r="H2834" s="78" t="b">
        <f>IF(VLOOKUP(C2834,Projetos!A:L,12,false)=TRUE,TRUE,FALSE)</f>
        <v>1</v>
      </c>
      <c r="I2834" s="68">
        <v>40.77871333218548</v>
      </c>
      <c r="J2834" s="68">
        <f t="shared" si="1"/>
        <v>20.38935667</v>
      </c>
      <c r="K2834" s="68" t="b">
        <v>1</v>
      </c>
    </row>
    <row r="2835" hidden="1">
      <c r="A2835" s="75">
        <v>2829.0</v>
      </c>
      <c r="B2835" s="62" t="s">
        <v>1306</v>
      </c>
      <c r="C2835" s="62" t="s">
        <v>105</v>
      </c>
      <c r="D2835" s="62" t="s">
        <v>1779</v>
      </c>
      <c r="E2835" s="76">
        <v>44104.0</v>
      </c>
      <c r="F2835" s="77">
        <v>0.0625</v>
      </c>
      <c r="G2835" s="62" t="b">
        <v>1</v>
      </c>
      <c r="H2835" s="78" t="b">
        <f>IF(VLOOKUP(C2835,Projetos!A:L,12,false)=TRUE,TRUE,FALSE)</f>
        <v>1</v>
      </c>
      <c r="I2835" s="68">
        <v>40.77871333218548</v>
      </c>
      <c r="J2835" s="68">
        <f t="shared" si="1"/>
        <v>61.16807</v>
      </c>
      <c r="K2835" s="68" t="b">
        <v>1</v>
      </c>
    </row>
    <row r="2836" hidden="1">
      <c r="A2836" s="75">
        <v>2830.0</v>
      </c>
      <c r="B2836" s="62" t="s">
        <v>1306</v>
      </c>
      <c r="C2836" s="62" t="s">
        <v>108</v>
      </c>
      <c r="D2836" s="62" t="s">
        <v>1780</v>
      </c>
      <c r="E2836" s="76">
        <v>44075.0</v>
      </c>
      <c r="F2836" s="77">
        <v>0.07291666666666667</v>
      </c>
      <c r="G2836" s="62" t="b">
        <v>0</v>
      </c>
      <c r="H2836" s="78" t="b">
        <f>IF(VLOOKUP(C2836,Projetos!A:L,12,false)=TRUE,TRUE,FALSE)</f>
        <v>1</v>
      </c>
      <c r="I2836" s="68">
        <v>40.77871333218548</v>
      </c>
      <c r="J2836" s="68">
        <f t="shared" si="1"/>
        <v>0</v>
      </c>
      <c r="K2836" s="68" t="b">
        <v>1</v>
      </c>
    </row>
    <row r="2837" hidden="1">
      <c r="A2837" s="75">
        <v>2831.0</v>
      </c>
      <c r="B2837" s="62" t="s">
        <v>1306</v>
      </c>
      <c r="C2837" s="62" t="s">
        <v>108</v>
      </c>
      <c r="D2837" s="62" t="s">
        <v>1781</v>
      </c>
      <c r="E2837" s="76">
        <v>44075.0</v>
      </c>
      <c r="F2837" s="77">
        <v>0.0625</v>
      </c>
      <c r="G2837" s="62" t="b">
        <v>0</v>
      </c>
      <c r="H2837" s="78" t="b">
        <f>IF(VLOOKUP(C2837,Projetos!A:L,12,false)=TRUE,TRUE,FALSE)</f>
        <v>1</v>
      </c>
      <c r="I2837" s="68">
        <v>40.77871333218548</v>
      </c>
      <c r="J2837" s="68">
        <f t="shared" si="1"/>
        <v>0</v>
      </c>
      <c r="K2837" s="68" t="b">
        <v>1</v>
      </c>
    </row>
    <row r="2838" hidden="1">
      <c r="A2838" s="75">
        <v>2832.0</v>
      </c>
      <c r="B2838" s="62" t="s">
        <v>1306</v>
      </c>
      <c r="C2838" s="62" t="s">
        <v>108</v>
      </c>
      <c r="D2838" s="62" t="s">
        <v>1782</v>
      </c>
      <c r="E2838" s="76">
        <v>44075.0</v>
      </c>
      <c r="F2838" s="77">
        <v>0.08333333333333333</v>
      </c>
      <c r="G2838" s="62" t="b">
        <v>0</v>
      </c>
      <c r="H2838" s="78" t="b">
        <f>IF(VLOOKUP(C2838,Projetos!A:L,12,false)=TRUE,TRUE,FALSE)</f>
        <v>1</v>
      </c>
      <c r="I2838" s="68">
        <v>40.77871333218548</v>
      </c>
      <c r="J2838" s="68">
        <f t="shared" si="1"/>
        <v>0</v>
      </c>
      <c r="K2838" s="68" t="b">
        <v>1</v>
      </c>
    </row>
    <row r="2839" hidden="1">
      <c r="A2839" s="75">
        <v>2833.0</v>
      </c>
      <c r="B2839" s="62" t="s">
        <v>1306</v>
      </c>
      <c r="C2839" s="62" t="s">
        <v>108</v>
      </c>
      <c r="D2839" s="62" t="s">
        <v>1781</v>
      </c>
      <c r="E2839" s="76">
        <v>44076.0</v>
      </c>
      <c r="F2839" s="77">
        <v>0.0625</v>
      </c>
      <c r="G2839" s="62" t="b">
        <v>0</v>
      </c>
      <c r="H2839" s="78" t="b">
        <f>IF(VLOOKUP(C2839,Projetos!A:L,12,false)=TRUE,TRUE,FALSE)</f>
        <v>1</v>
      </c>
      <c r="I2839" s="68">
        <v>40.77871333218548</v>
      </c>
      <c r="J2839" s="68">
        <f t="shared" si="1"/>
        <v>0</v>
      </c>
      <c r="K2839" s="68" t="b">
        <v>1</v>
      </c>
    </row>
    <row r="2840" hidden="1">
      <c r="A2840" s="75">
        <v>2834.0</v>
      </c>
      <c r="B2840" s="62" t="s">
        <v>1306</v>
      </c>
      <c r="C2840" s="62" t="s">
        <v>108</v>
      </c>
      <c r="D2840" s="62" t="s">
        <v>1783</v>
      </c>
      <c r="E2840" s="76">
        <v>44076.0</v>
      </c>
      <c r="F2840" s="77">
        <v>0.08333333333333333</v>
      </c>
      <c r="G2840" s="62" t="b">
        <v>0</v>
      </c>
      <c r="H2840" s="78" t="b">
        <f>IF(VLOOKUP(C2840,Projetos!A:L,12,false)=TRUE,TRUE,FALSE)</f>
        <v>1</v>
      </c>
      <c r="I2840" s="68">
        <v>40.77871333218548</v>
      </c>
      <c r="J2840" s="68">
        <f t="shared" si="1"/>
        <v>0</v>
      </c>
      <c r="K2840" s="68" t="b">
        <v>1</v>
      </c>
    </row>
    <row r="2841" hidden="1">
      <c r="A2841" s="75">
        <v>2835.0</v>
      </c>
      <c r="B2841" s="62" t="s">
        <v>1306</v>
      </c>
      <c r="C2841" s="62" t="s">
        <v>108</v>
      </c>
      <c r="D2841" s="62" t="s">
        <v>1784</v>
      </c>
      <c r="E2841" s="76">
        <v>44077.0</v>
      </c>
      <c r="F2841" s="77">
        <v>0.052083333333333336</v>
      </c>
      <c r="G2841" s="62" t="b">
        <v>0</v>
      </c>
      <c r="H2841" s="78" t="b">
        <f>IF(VLOOKUP(C2841,Projetos!A:L,12,false)=TRUE,TRUE,FALSE)</f>
        <v>1</v>
      </c>
      <c r="I2841" s="68">
        <v>40.77871333218548</v>
      </c>
      <c r="J2841" s="68">
        <f t="shared" si="1"/>
        <v>0</v>
      </c>
      <c r="K2841" s="68" t="b">
        <v>1</v>
      </c>
    </row>
    <row r="2842" hidden="1">
      <c r="A2842" s="75">
        <v>2836.0</v>
      </c>
      <c r="B2842" s="62" t="s">
        <v>1306</v>
      </c>
      <c r="C2842" s="62" t="s">
        <v>108</v>
      </c>
      <c r="D2842" s="62" t="s">
        <v>1446</v>
      </c>
      <c r="E2842" s="76">
        <v>44078.0</v>
      </c>
      <c r="F2842" s="77">
        <v>0.041666666666666664</v>
      </c>
      <c r="G2842" s="62" t="b">
        <v>0</v>
      </c>
      <c r="H2842" s="78" t="b">
        <f>IF(VLOOKUP(C2842,Projetos!A:L,12,false)=TRUE,TRUE,FALSE)</f>
        <v>1</v>
      </c>
      <c r="I2842" s="68">
        <v>40.77871333218548</v>
      </c>
      <c r="J2842" s="68">
        <f t="shared" si="1"/>
        <v>0</v>
      </c>
      <c r="K2842" s="68" t="b">
        <v>1</v>
      </c>
    </row>
    <row r="2843" hidden="1">
      <c r="A2843" s="75">
        <v>2837.0</v>
      </c>
      <c r="B2843" s="62" t="s">
        <v>1306</v>
      </c>
      <c r="C2843" s="62" t="s">
        <v>108</v>
      </c>
      <c r="D2843" s="62" t="s">
        <v>1785</v>
      </c>
      <c r="E2843" s="76">
        <v>44078.0</v>
      </c>
      <c r="F2843" s="77">
        <v>0.08333333333333333</v>
      </c>
      <c r="G2843" s="62" t="b">
        <v>0</v>
      </c>
      <c r="H2843" s="78" t="b">
        <f>IF(VLOOKUP(C2843,Projetos!A:L,12,false)=TRUE,TRUE,FALSE)</f>
        <v>1</v>
      </c>
      <c r="I2843" s="68">
        <v>40.77871333218548</v>
      </c>
      <c r="J2843" s="68">
        <f t="shared" si="1"/>
        <v>0</v>
      </c>
      <c r="K2843" s="68" t="b">
        <v>1</v>
      </c>
    </row>
    <row r="2844" hidden="1">
      <c r="A2844" s="75">
        <v>2838.0</v>
      </c>
      <c r="B2844" s="62" t="s">
        <v>1306</v>
      </c>
      <c r="C2844" s="62" t="s">
        <v>108</v>
      </c>
      <c r="D2844" s="62" t="s">
        <v>1786</v>
      </c>
      <c r="E2844" s="76">
        <v>44083.0</v>
      </c>
      <c r="F2844" s="77">
        <v>0.10416666666666667</v>
      </c>
      <c r="G2844" s="62" t="b">
        <v>0</v>
      </c>
      <c r="H2844" s="78" t="b">
        <f>IF(VLOOKUP(C2844,Projetos!A:L,12,false)=TRUE,TRUE,FALSE)</f>
        <v>1</v>
      </c>
      <c r="I2844" s="68">
        <v>40.77871333218548</v>
      </c>
      <c r="J2844" s="68">
        <f t="shared" si="1"/>
        <v>0</v>
      </c>
      <c r="K2844" s="68" t="b">
        <v>1</v>
      </c>
    </row>
    <row r="2845" hidden="1">
      <c r="A2845" s="75">
        <v>2839.0</v>
      </c>
      <c r="B2845" s="62" t="s">
        <v>1306</v>
      </c>
      <c r="C2845" s="62" t="s">
        <v>108</v>
      </c>
      <c r="D2845" s="62" t="s">
        <v>1787</v>
      </c>
      <c r="E2845" s="76">
        <v>44083.0</v>
      </c>
      <c r="F2845" s="77">
        <v>0.20833333333333334</v>
      </c>
      <c r="G2845" s="62" t="b">
        <v>0</v>
      </c>
      <c r="H2845" s="78" t="b">
        <f>IF(VLOOKUP(C2845,Projetos!A:L,12,false)=TRUE,TRUE,FALSE)</f>
        <v>1</v>
      </c>
      <c r="I2845" s="68">
        <v>40.77871333218548</v>
      </c>
      <c r="J2845" s="68">
        <f t="shared" si="1"/>
        <v>0</v>
      </c>
      <c r="K2845" s="68" t="b">
        <v>1</v>
      </c>
    </row>
    <row r="2846" hidden="1">
      <c r="A2846" s="75">
        <v>2840.0</v>
      </c>
      <c r="B2846" s="62" t="s">
        <v>1306</v>
      </c>
      <c r="C2846" s="62" t="s">
        <v>108</v>
      </c>
      <c r="D2846" s="62" t="s">
        <v>1787</v>
      </c>
      <c r="E2846" s="76">
        <v>44084.0</v>
      </c>
      <c r="F2846" s="77">
        <v>0.08333333333333333</v>
      </c>
      <c r="G2846" s="62" t="b">
        <v>0</v>
      </c>
      <c r="H2846" s="78" t="b">
        <f>IF(VLOOKUP(C2846,Projetos!A:L,12,false)=TRUE,TRUE,FALSE)</f>
        <v>1</v>
      </c>
      <c r="I2846" s="68">
        <v>40.77871333218548</v>
      </c>
      <c r="J2846" s="68">
        <f t="shared" si="1"/>
        <v>0</v>
      </c>
      <c r="K2846" s="68" t="b">
        <v>1</v>
      </c>
    </row>
    <row r="2847" hidden="1">
      <c r="A2847" s="75">
        <v>2841.0</v>
      </c>
      <c r="B2847" s="62" t="s">
        <v>1306</v>
      </c>
      <c r="C2847" s="62" t="s">
        <v>108</v>
      </c>
      <c r="D2847" s="62" t="s">
        <v>1788</v>
      </c>
      <c r="E2847" s="76">
        <v>44084.0</v>
      </c>
      <c r="F2847" s="77">
        <v>0.041666666666666664</v>
      </c>
      <c r="G2847" s="62" t="b">
        <v>0</v>
      </c>
      <c r="H2847" s="78" t="b">
        <f>IF(VLOOKUP(C2847,Projetos!A:L,12,false)=TRUE,TRUE,FALSE)</f>
        <v>1</v>
      </c>
      <c r="I2847" s="68">
        <v>40.77871333218548</v>
      </c>
      <c r="J2847" s="68">
        <f t="shared" si="1"/>
        <v>0</v>
      </c>
      <c r="K2847" s="68" t="b">
        <v>1</v>
      </c>
    </row>
    <row r="2848" hidden="1">
      <c r="A2848" s="75">
        <v>2842.0</v>
      </c>
      <c r="B2848" s="62" t="s">
        <v>1306</v>
      </c>
      <c r="C2848" s="62" t="s">
        <v>108</v>
      </c>
      <c r="D2848" s="62" t="s">
        <v>1787</v>
      </c>
      <c r="E2848" s="76">
        <v>44085.0</v>
      </c>
      <c r="F2848" s="77">
        <v>0.0625</v>
      </c>
      <c r="G2848" s="62" t="b">
        <v>0</v>
      </c>
      <c r="H2848" s="78" t="b">
        <f>IF(VLOOKUP(C2848,Projetos!A:L,12,false)=TRUE,TRUE,FALSE)</f>
        <v>1</v>
      </c>
      <c r="I2848" s="68">
        <v>40.77871333218548</v>
      </c>
      <c r="J2848" s="68">
        <f t="shared" si="1"/>
        <v>0</v>
      </c>
      <c r="K2848" s="68" t="b">
        <v>1</v>
      </c>
    </row>
    <row r="2849" hidden="1">
      <c r="A2849" s="75">
        <v>2843.0</v>
      </c>
      <c r="B2849" s="62" t="s">
        <v>1306</v>
      </c>
      <c r="C2849" s="62" t="s">
        <v>108</v>
      </c>
      <c r="D2849" s="62" t="s">
        <v>1540</v>
      </c>
      <c r="E2849" s="76">
        <v>44085.0</v>
      </c>
      <c r="F2849" s="77">
        <v>0.08333333333333333</v>
      </c>
      <c r="G2849" s="62" t="b">
        <v>0</v>
      </c>
      <c r="H2849" s="78" t="b">
        <f>IF(VLOOKUP(C2849,Projetos!A:L,12,false)=TRUE,TRUE,FALSE)</f>
        <v>1</v>
      </c>
      <c r="I2849" s="68">
        <v>40.77871333218548</v>
      </c>
      <c r="J2849" s="68">
        <f t="shared" si="1"/>
        <v>0</v>
      </c>
      <c r="K2849" s="68" t="b">
        <v>1</v>
      </c>
    </row>
    <row r="2850" hidden="1">
      <c r="A2850" s="75">
        <v>2844.0</v>
      </c>
      <c r="B2850" s="62" t="s">
        <v>1306</v>
      </c>
      <c r="C2850" s="62" t="s">
        <v>108</v>
      </c>
      <c r="D2850" s="62" t="s">
        <v>1789</v>
      </c>
      <c r="E2850" s="76">
        <v>44088.0</v>
      </c>
      <c r="F2850" s="77">
        <v>0.010416666666666666</v>
      </c>
      <c r="G2850" s="62" t="b">
        <v>0</v>
      </c>
      <c r="H2850" s="78" t="b">
        <f>IF(VLOOKUP(C2850,Projetos!A:L,12,false)=TRUE,TRUE,FALSE)</f>
        <v>1</v>
      </c>
      <c r="I2850" s="68">
        <v>40.77871333218548</v>
      </c>
      <c r="J2850" s="68">
        <f t="shared" si="1"/>
        <v>0</v>
      </c>
      <c r="K2850" s="68" t="b">
        <v>1</v>
      </c>
    </row>
    <row r="2851" hidden="1">
      <c r="A2851" s="75">
        <v>2845.0</v>
      </c>
      <c r="B2851" s="62" t="s">
        <v>1306</v>
      </c>
      <c r="C2851" s="62" t="s">
        <v>108</v>
      </c>
      <c r="D2851" s="62" t="s">
        <v>1790</v>
      </c>
      <c r="E2851" s="76">
        <v>44088.0</v>
      </c>
      <c r="F2851" s="77">
        <v>0.041666666666666664</v>
      </c>
      <c r="G2851" s="62" t="b">
        <v>0</v>
      </c>
      <c r="H2851" s="78" t="b">
        <f>IF(VLOOKUP(C2851,Projetos!A:L,12,false)=TRUE,TRUE,FALSE)</f>
        <v>1</v>
      </c>
      <c r="I2851" s="68">
        <v>40.77871333218548</v>
      </c>
      <c r="J2851" s="68">
        <f t="shared" si="1"/>
        <v>0</v>
      </c>
      <c r="K2851" s="68" t="b">
        <v>1</v>
      </c>
    </row>
    <row r="2852" hidden="1">
      <c r="A2852" s="75">
        <v>2846.0</v>
      </c>
      <c r="B2852" s="62" t="s">
        <v>1306</v>
      </c>
      <c r="C2852" s="62" t="s">
        <v>108</v>
      </c>
      <c r="D2852" s="62" t="s">
        <v>1618</v>
      </c>
      <c r="E2852" s="76">
        <v>44088.0</v>
      </c>
      <c r="F2852" s="77">
        <v>0.0625</v>
      </c>
      <c r="G2852" s="62" t="b">
        <v>0</v>
      </c>
      <c r="H2852" s="78" t="b">
        <f>IF(VLOOKUP(C2852,Projetos!A:L,12,false)=TRUE,TRUE,FALSE)</f>
        <v>1</v>
      </c>
      <c r="I2852" s="68">
        <v>40.77871333218548</v>
      </c>
      <c r="J2852" s="68">
        <f t="shared" si="1"/>
        <v>0</v>
      </c>
      <c r="K2852" s="68" t="b">
        <v>1</v>
      </c>
    </row>
    <row r="2853" hidden="1">
      <c r="A2853" s="75">
        <v>2847.0</v>
      </c>
      <c r="B2853" s="62" t="s">
        <v>1306</v>
      </c>
      <c r="C2853" s="62" t="s">
        <v>108</v>
      </c>
      <c r="D2853" s="62" t="s">
        <v>1791</v>
      </c>
      <c r="E2853" s="76">
        <v>44089.0</v>
      </c>
      <c r="F2853" s="77">
        <v>0.041666666666666664</v>
      </c>
      <c r="G2853" s="62" t="b">
        <v>0</v>
      </c>
      <c r="H2853" s="78" t="b">
        <f>IF(VLOOKUP(C2853,Projetos!A:L,12,false)=TRUE,TRUE,FALSE)</f>
        <v>1</v>
      </c>
      <c r="I2853" s="68">
        <v>40.77871333218548</v>
      </c>
      <c r="J2853" s="68">
        <f t="shared" si="1"/>
        <v>0</v>
      </c>
      <c r="K2853" s="68" t="b">
        <v>1</v>
      </c>
    </row>
    <row r="2854" hidden="1">
      <c r="A2854" s="75">
        <v>2848.0</v>
      </c>
      <c r="B2854" s="62" t="s">
        <v>1306</v>
      </c>
      <c r="C2854" s="62" t="s">
        <v>108</v>
      </c>
      <c r="D2854" s="62" t="s">
        <v>1792</v>
      </c>
      <c r="E2854" s="76">
        <v>44089.0</v>
      </c>
      <c r="F2854" s="77">
        <v>0.020833333333333332</v>
      </c>
      <c r="G2854" s="62" t="b">
        <v>0</v>
      </c>
      <c r="H2854" s="78" t="b">
        <f>IF(VLOOKUP(C2854,Projetos!A:L,12,false)=TRUE,TRUE,FALSE)</f>
        <v>1</v>
      </c>
      <c r="I2854" s="68">
        <v>40.77871333218548</v>
      </c>
      <c r="J2854" s="68">
        <f t="shared" si="1"/>
        <v>0</v>
      </c>
      <c r="K2854" s="68" t="b">
        <v>1</v>
      </c>
    </row>
    <row r="2855" hidden="1">
      <c r="A2855" s="75">
        <v>2849.0</v>
      </c>
      <c r="B2855" s="62" t="s">
        <v>1306</v>
      </c>
      <c r="C2855" s="62" t="s">
        <v>108</v>
      </c>
      <c r="D2855" s="62" t="s">
        <v>1793</v>
      </c>
      <c r="E2855" s="76">
        <v>44089.0</v>
      </c>
      <c r="F2855" s="77">
        <v>0.0625</v>
      </c>
      <c r="G2855" s="62" t="b">
        <v>0</v>
      </c>
      <c r="H2855" s="78" t="b">
        <f>IF(VLOOKUP(C2855,Projetos!A:L,12,false)=TRUE,TRUE,FALSE)</f>
        <v>1</v>
      </c>
      <c r="I2855" s="68">
        <v>40.77871333218548</v>
      </c>
      <c r="J2855" s="68">
        <f t="shared" si="1"/>
        <v>0</v>
      </c>
      <c r="K2855" s="68" t="b">
        <v>1</v>
      </c>
    </row>
    <row r="2856" hidden="1">
      <c r="A2856" s="75">
        <v>2850.0</v>
      </c>
      <c r="B2856" s="62" t="s">
        <v>1306</v>
      </c>
      <c r="C2856" s="62" t="s">
        <v>108</v>
      </c>
      <c r="D2856" s="62" t="s">
        <v>1446</v>
      </c>
      <c r="E2856" s="76">
        <v>44090.0</v>
      </c>
      <c r="F2856" s="77">
        <v>0.0625</v>
      </c>
      <c r="G2856" s="62" t="b">
        <v>0</v>
      </c>
      <c r="H2856" s="78" t="b">
        <f>IF(VLOOKUP(C2856,Projetos!A:L,12,false)=TRUE,TRUE,FALSE)</f>
        <v>1</v>
      </c>
      <c r="I2856" s="68">
        <v>40.77871333218548</v>
      </c>
      <c r="J2856" s="68">
        <f t="shared" si="1"/>
        <v>0</v>
      </c>
      <c r="K2856" s="68" t="b">
        <v>1</v>
      </c>
    </row>
    <row r="2857" hidden="1">
      <c r="A2857" s="75">
        <v>2851.0</v>
      </c>
      <c r="B2857" s="62" t="s">
        <v>1306</v>
      </c>
      <c r="C2857" s="62" t="s">
        <v>108</v>
      </c>
      <c r="D2857" s="62" t="s">
        <v>1794</v>
      </c>
      <c r="E2857" s="76">
        <v>44091.0</v>
      </c>
      <c r="F2857" s="77">
        <v>0.11458333333333333</v>
      </c>
      <c r="G2857" s="62" t="b">
        <v>0</v>
      </c>
      <c r="H2857" s="78" t="b">
        <f>IF(VLOOKUP(C2857,Projetos!A:L,12,false)=TRUE,TRUE,FALSE)</f>
        <v>1</v>
      </c>
      <c r="I2857" s="68">
        <v>40.77871333218548</v>
      </c>
      <c r="J2857" s="68">
        <f t="shared" si="1"/>
        <v>0</v>
      </c>
      <c r="K2857" s="68" t="b">
        <v>1</v>
      </c>
    </row>
    <row r="2858" hidden="1">
      <c r="A2858" s="75">
        <v>2852.0</v>
      </c>
      <c r="B2858" s="62" t="s">
        <v>1306</v>
      </c>
      <c r="C2858" s="62" t="s">
        <v>108</v>
      </c>
      <c r="D2858" s="62" t="s">
        <v>1781</v>
      </c>
      <c r="E2858" s="76">
        <v>44091.0</v>
      </c>
      <c r="F2858" s="77">
        <v>0.041666666666666664</v>
      </c>
      <c r="G2858" s="62" t="b">
        <v>1</v>
      </c>
      <c r="H2858" s="78" t="b">
        <f>IF(VLOOKUP(C2858,Projetos!A:L,12,false)=TRUE,TRUE,FALSE)</f>
        <v>1</v>
      </c>
      <c r="I2858" s="68">
        <v>40.77871333218548</v>
      </c>
      <c r="J2858" s="68">
        <f t="shared" si="1"/>
        <v>40.77871333</v>
      </c>
      <c r="K2858" s="68" t="b">
        <v>1</v>
      </c>
    </row>
    <row r="2859" hidden="1">
      <c r="A2859" s="75">
        <v>2853.0</v>
      </c>
      <c r="B2859" s="62" t="s">
        <v>1306</v>
      </c>
      <c r="C2859" s="62" t="s">
        <v>108</v>
      </c>
      <c r="D2859" s="62" t="s">
        <v>1795</v>
      </c>
      <c r="E2859" s="76">
        <v>44092.0</v>
      </c>
      <c r="F2859" s="77">
        <v>0.041666666666666664</v>
      </c>
      <c r="G2859" s="62" t="b">
        <v>1</v>
      </c>
      <c r="H2859" s="78" t="b">
        <f>IF(VLOOKUP(C2859,Projetos!A:L,12,false)=TRUE,TRUE,FALSE)</f>
        <v>1</v>
      </c>
      <c r="I2859" s="68">
        <v>40.77871333218548</v>
      </c>
      <c r="J2859" s="68">
        <f t="shared" si="1"/>
        <v>40.77871333</v>
      </c>
      <c r="K2859" s="68" t="b">
        <v>1</v>
      </c>
    </row>
    <row r="2860" hidden="1">
      <c r="A2860" s="75">
        <v>2854.0</v>
      </c>
      <c r="B2860" s="62" t="s">
        <v>1306</v>
      </c>
      <c r="C2860" s="62" t="s">
        <v>108</v>
      </c>
      <c r="D2860" s="62" t="s">
        <v>1796</v>
      </c>
      <c r="E2860" s="76">
        <v>44092.0</v>
      </c>
      <c r="F2860" s="77">
        <v>0.1875</v>
      </c>
      <c r="G2860" s="62" t="b">
        <v>1</v>
      </c>
      <c r="H2860" s="78" t="b">
        <f>IF(VLOOKUP(C2860,Projetos!A:L,12,false)=TRUE,TRUE,FALSE)</f>
        <v>1</v>
      </c>
      <c r="I2860" s="68">
        <v>40.77871333218548</v>
      </c>
      <c r="J2860" s="68">
        <f t="shared" si="1"/>
        <v>183.50421</v>
      </c>
      <c r="K2860" s="68" t="b">
        <v>1</v>
      </c>
    </row>
    <row r="2861" hidden="1">
      <c r="A2861" s="75">
        <v>2855.0</v>
      </c>
      <c r="B2861" s="62" t="s">
        <v>1306</v>
      </c>
      <c r="C2861" s="62" t="s">
        <v>108</v>
      </c>
      <c r="D2861" s="62" t="s">
        <v>1781</v>
      </c>
      <c r="E2861" s="76">
        <v>44095.0</v>
      </c>
      <c r="F2861" s="77">
        <v>0.041666666666666664</v>
      </c>
      <c r="G2861" s="62" t="b">
        <v>0</v>
      </c>
      <c r="H2861" s="78" t="b">
        <f>IF(VLOOKUP(C2861,Projetos!A:L,12,false)=TRUE,TRUE,FALSE)</f>
        <v>1</v>
      </c>
      <c r="I2861" s="68">
        <v>40.77871333218548</v>
      </c>
      <c r="J2861" s="68">
        <f t="shared" si="1"/>
        <v>0</v>
      </c>
      <c r="K2861" s="68" t="b">
        <v>1</v>
      </c>
    </row>
    <row r="2862" hidden="1">
      <c r="A2862" s="75">
        <v>2856.0</v>
      </c>
      <c r="B2862" s="62" t="s">
        <v>1306</v>
      </c>
      <c r="C2862" s="62" t="s">
        <v>108</v>
      </c>
      <c r="D2862" s="62" t="s">
        <v>1308</v>
      </c>
      <c r="E2862" s="76">
        <v>44096.0</v>
      </c>
      <c r="F2862" s="77">
        <v>0.041666666666666664</v>
      </c>
      <c r="G2862" s="62" t="b">
        <v>0</v>
      </c>
      <c r="H2862" s="78" t="b">
        <f>IF(VLOOKUP(C2862,Projetos!A:L,12,false)=TRUE,TRUE,FALSE)</f>
        <v>1</v>
      </c>
      <c r="I2862" s="68">
        <v>40.77871333218548</v>
      </c>
      <c r="J2862" s="68">
        <f t="shared" si="1"/>
        <v>0</v>
      </c>
      <c r="K2862" s="68" t="b">
        <v>1</v>
      </c>
    </row>
    <row r="2863" hidden="1">
      <c r="A2863" s="75">
        <v>2857.0</v>
      </c>
      <c r="B2863" s="62" t="s">
        <v>1306</v>
      </c>
      <c r="C2863" s="62" t="s">
        <v>108</v>
      </c>
      <c r="D2863" s="62" t="s">
        <v>1797</v>
      </c>
      <c r="E2863" s="76">
        <v>44096.0</v>
      </c>
      <c r="F2863" s="77">
        <v>0.10416666666666667</v>
      </c>
      <c r="G2863" s="62" t="b">
        <v>0</v>
      </c>
      <c r="H2863" s="78" t="b">
        <f>IF(VLOOKUP(C2863,Projetos!A:L,12,false)=TRUE,TRUE,FALSE)</f>
        <v>1</v>
      </c>
      <c r="I2863" s="68">
        <v>40.77871333218548</v>
      </c>
      <c r="J2863" s="68">
        <f t="shared" si="1"/>
        <v>0</v>
      </c>
      <c r="K2863" s="68" t="b">
        <v>1</v>
      </c>
    </row>
    <row r="2864" hidden="1">
      <c r="A2864" s="75">
        <v>2858.0</v>
      </c>
      <c r="B2864" s="62" t="s">
        <v>1306</v>
      </c>
      <c r="C2864" s="62" t="s">
        <v>108</v>
      </c>
      <c r="D2864" s="62" t="s">
        <v>1485</v>
      </c>
      <c r="E2864" s="76">
        <v>44097.0</v>
      </c>
      <c r="F2864" s="77">
        <v>0.0625</v>
      </c>
      <c r="G2864" s="62" t="b">
        <v>0</v>
      </c>
      <c r="H2864" s="78" t="b">
        <f>IF(VLOOKUP(C2864,Projetos!A:L,12,false)=TRUE,TRUE,FALSE)</f>
        <v>1</v>
      </c>
      <c r="I2864" s="68">
        <v>40.77871333218548</v>
      </c>
      <c r="J2864" s="68">
        <f t="shared" si="1"/>
        <v>0</v>
      </c>
      <c r="K2864" s="68" t="b">
        <v>1</v>
      </c>
    </row>
    <row r="2865" hidden="1">
      <c r="A2865" s="75">
        <v>2859.0</v>
      </c>
      <c r="B2865" s="62" t="s">
        <v>1306</v>
      </c>
      <c r="C2865" s="62" t="s">
        <v>108</v>
      </c>
      <c r="D2865" s="62" t="s">
        <v>1798</v>
      </c>
      <c r="E2865" s="76">
        <v>44097.0</v>
      </c>
      <c r="F2865" s="77">
        <v>0.10416666666666667</v>
      </c>
      <c r="G2865" s="62" t="b">
        <v>0</v>
      </c>
      <c r="H2865" s="78" t="b">
        <f>IF(VLOOKUP(C2865,Projetos!A:L,12,false)=TRUE,TRUE,FALSE)</f>
        <v>1</v>
      </c>
      <c r="I2865" s="68">
        <v>40.77871333218548</v>
      </c>
      <c r="J2865" s="68">
        <f t="shared" si="1"/>
        <v>0</v>
      </c>
      <c r="K2865" s="68" t="b">
        <v>1</v>
      </c>
    </row>
    <row r="2866" hidden="1">
      <c r="A2866" s="75">
        <v>2860.0</v>
      </c>
      <c r="B2866" s="62" t="s">
        <v>1306</v>
      </c>
      <c r="C2866" s="62" t="s">
        <v>108</v>
      </c>
      <c r="D2866" s="62" t="s">
        <v>1799</v>
      </c>
      <c r="E2866" s="76">
        <v>44098.0</v>
      </c>
      <c r="F2866" s="77">
        <v>0.125</v>
      </c>
      <c r="G2866" s="62" t="b">
        <v>1</v>
      </c>
      <c r="H2866" s="78" t="b">
        <f>IF(VLOOKUP(C2866,Projetos!A:L,12,false)=TRUE,TRUE,FALSE)</f>
        <v>1</v>
      </c>
      <c r="I2866" s="68">
        <v>40.77871333218548</v>
      </c>
      <c r="J2866" s="68">
        <f t="shared" si="1"/>
        <v>122.33614</v>
      </c>
      <c r="K2866" s="68" t="b">
        <v>1</v>
      </c>
    </row>
    <row r="2867" hidden="1">
      <c r="A2867" s="75">
        <v>2861.0</v>
      </c>
      <c r="B2867" s="62" t="s">
        <v>1306</v>
      </c>
      <c r="C2867" s="62" t="s">
        <v>108</v>
      </c>
      <c r="D2867" s="62" t="s">
        <v>1800</v>
      </c>
      <c r="E2867" s="76">
        <v>44099.0</v>
      </c>
      <c r="F2867" s="77">
        <v>0.125</v>
      </c>
      <c r="G2867" s="62" t="b">
        <v>0</v>
      </c>
      <c r="H2867" s="78" t="b">
        <f>IF(VLOOKUP(C2867,Projetos!A:L,12,false)=TRUE,TRUE,FALSE)</f>
        <v>1</v>
      </c>
      <c r="I2867" s="68">
        <v>40.77871333218548</v>
      </c>
      <c r="J2867" s="68">
        <f t="shared" si="1"/>
        <v>0</v>
      </c>
      <c r="K2867" s="68" t="b">
        <v>1</v>
      </c>
    </row>
    <row r="2868" hidden="1">
      <c r="A2868" s="75">
        <v>2862.0</v>
      </c>
      <c r="B2868" s="62" t="s">
        <v>1306</v>
      </c>
      <c r="C2868" s="62" t="s">
        <v>108</v>
      </c>
      <c r="D2868" s="62" t="s">
        <v>1801</v>
      </c>
      <c r="E2868" s="76">
        <v>44102.0</v>
      </c>
      <c r="F2868" s="77">
        <v>0.041666666666666664</v>
      </c>
      <c r="G2868" s="62" t="b">
        <v>0</v>
      </c>
      <c r="H2868" s="78" t="b">
        <f>IF(VLOOKUP(C2868,Projetos!A:L,12,false)=TRUE,TRUE,FALSE)</f>
        <v>1</v>
      </c>
      <c r="I2868" s="68">
        <v>40.77871333218548</v>
      </c>
      <c r="J2868" s="68">
        <f t="shared" si="1"/>
        <v>0</v>
      </c>
      <c r="K2868" s="68" t="b">
        <v>1</v>
      </c>
    </row>
    <row r="2869" hidden="1">
      <c r="A2869" s="75">
        <v>2863.0</v>
      </c>
      <c r="B2869" s="62" t="s">
        <v>1306</v>
      </c>
      <c r="C2869" s="62" t="s">
        <v>108</v>
      </c>
      <c r="D2869" s="62" t="s">
        <v>1802</v>
      </c>
      <c r="E2869" s="76">
        <v>44102.0</v>
      </c>
      <c r="F2869" s="77">
        <v>0.041666666666666664</v>
      </c>
      <c r="G2869" s="62" t="b">
        <v>0</v>
      </c>
      <c r="H2869" s="78" t="b">
        <f>IF(VLOOKUP(C2869,Projetos!A:L,12,false)=TRUE,TRUE,FALSE)</f>
        <v>1</v>
      </c>
      <c r="I2869" s="68">
        <v>40.77871333218548</v>
      </c>
      <c r="J2869" s="68">
        <f t="shared" si="1"/>
        <v>0</v>
      </c>
      <c r="K2869" s="68" t="b">
        <v>1</v>
      </c>
    </row>
    <row r="2870" hidden="1">
      <c r="A2870" s="75">
        <v>2864.0</v>
      </c>
      <c r="B2870" s="62" t="s">
        <v>1306</v>
      </c>
      <c r="C2870" s="62" t="s">
        <v>108</v>
      </c>
      <c r="D2870" s="62" t="s">
        <v>1803</v>
      </c>
      <c r="E2870" s="76">
        <v>44103.0</v>
      </c>
      <c r="F2870" s="77">
        <v>0.10416666666666667</v>
      </c>
      <c r="G2870" s="62" t="b">
        <v>0</v>
      </c>
      <c r="H2870" s="78" t="b">
        <f>IF(VLOOKUP(C2870,Projetos!A:L,12,false)=TRUE,TRUE,FALSE)</f>
        <v>1</v>
      </c>
      <c r="I2870" s="68">
        <v>40.77871333218548</v>
      </c>
      <c r="J2870" s="68">
        <f t="shared" si="1"/>
        <v>0</v>
      </c>
      <c r="K2870" s="68" t="b">
        <v>1</v>
      </c>
    </row>
    <row r="2871" hidden="1">
      <c r="A2871" s="75">
        <v>2865.0</v>
      </c>
      <c r="B2871" s="62" t="s">
        <v>1306</v>
      </c>
      <c r="C2871" s="62" t="s">
        <v>108</v>
      </c>
      <c r="D2871" s="62" t="s">
        <v>1346</v>
      </c>
      <c r="E2871" s="76">
        <v>44104.0</v>
      </c>
      <c r="F2871" s="77">
        <v>0.041666666666666664</v>
      </c>
      <c r="G2871" s="62" t="b">
        <v>0</v>
      </c>
      <c r="H2871" s="78" t="b">
        <f>IF(VLOOKUP(C2871,Projetos!A:L,12,false)=TRUE,TRUE,FALSE)</f>
        <v>1</v>
      </c>
      <c r="I2871" s="68">
        <v>40.77871333218548</v>
      </c>
      <c r="J2871" s="68">
        <f t="shared" si="1"/>
        <v>0</v>
      </c>
      <c r="K2871" s="68" t="b">
        <v>1</v>
      </c>
    </row>
    <row r="2872" hidden="1">
      <c r="A2872" s="75">
        <v>2866.0</v>
      </c>
      <c r="B2872" s="62" t="s">
        <v>1306</v>
      </c>
      <c r="C2872" s="62" t="s">
        <v>109</v>
      </c>
      <c r="D2872" s="62" t="s">
        <v>1485</v>
      </c>
      <c r="E2872" s="76">
        <v>44089.0</v>
      </c>
      <c r="F2872" s="77">
        <v>0.041666666666666664</v>
      </c>
      <c r="G2872" s="62" t="b">
        <v>0</v>
      </c>
      <c r="H2872" s="78" t="b">
        <f>IF(VLOOKUP(C2872,Projetos!A:L,12,false)=TRUE,TRUE,FALSE)</f>
        <v>0</v>
      </c>
      <c r="I2872" s="68">
        <v>40.77871333218548</v>
      </c>
      <c r="J2872" s="68">
        <f t="shared" si="1"/>
        <v>0</v>
      </c>
      <c r="K2872" s="68" t="b">
        <v>0</v>
      </c>
    </row>
    <row r="2873" hidden="1">
      <c r="A2873" s="75">
        <v>2867.0</v>
      </c>
      <c r="B2873" s="62" t="s">
        <v>1306</v>
      </c>
      <c r="C2873" s="62" t="s">
        <v>109</v>
      </c>
      <c r="D2873" s="62" t="s">
        <v>1804</v>
      </c>
      <c r="E2873" s="76">
        <v>44102.0</v>
      </c>
      <c r="F2873" s="77">
        <v>0.041666666666666664</v>
      </c>
      <c r="G2873" s="62" t="b">
        <v>0</v>
      </c>
      <c r="H2873" s="78" t="b">
        <f>IF(VLOOKUP(C2873,Projetos!A:L,12,false)=TRUE,TRUE,FALSE)</f>
        <v>0</v>
      </c>
      <c r="I2873" s="68">
        <v>40.77871333218548</v>
      </c>
      <c r="J2873" s="68">
        <f t="shared" si="1"/>
        <v>0</v>
      </c>
      <c r="K2873" s="68" t="b">
        <v>0</v>
      </c>
    </row>
    <row r="2874" hidden="1">
      <c r="A2874" s="75">
        <v>2868.0</v>
      </c>
      <c r="B2874" s="62" t="s">
        <v>1306</v>
      </c>
      <c r="C2874" s="62" t="s">
        <v>109</v>
      </c>
      <c r="D2874" s="62" t="s">
        <v>1747</v>
      </c>
      <c r="E2874" s="76">
        <v>44102.0</v>
      </c>
      <c r="F2874" s="77">
        <v>0.020833333333333332</v>
      </c>
      <c r="G2874" s="62" t="b">
        <v>0</v>
      </c>
      <c r="H2874" s="78" t="b">
        <f>IF(VLOOKUP(C2874,Projetos!A:L,12,false)=TRUE,TRUE,FALSE)</f>
        <v>0</v>
      </c>
      <c r="I2874" s="68">
        <v>40.77871333218548</v>
      </c>
      <c r="J2874" s="68">
        <f t="shared" si="1"/>
        <v>0</v>
      </c>
      <c r="K2874" s="68" t="b">
        <v>0</v>
      </c>
    </row>
    <row r="2875" hidden="1">
      <c r="A2875" s="75">
        <v>2869.0</v>
      </c>
      <c r="B2875" s="62" t="s">
        <v>1306</v>
      </c>
      <c r="C2875" s="62" t="s">
        <v>109</v>
      </c>
      <c r="D2875" s="62" t="s">
        <v>1805</v>
      </c>
      <c r="E2875" s="76">
        <v>44103.0</v>
      </c>
      <c r="F2875" s="77">
        <v>0.10416666666666667</v>
      </c>
      <c r="G2875" s="62" t="b">
        <v>0</v>
      </c>
      <c r="H2875" s="78" t="b">
        <f>IF(VLOOKUP(C2875,Projetos!A:L,12,false)=TRUE,TRUE,FALSE)</f>
        <v>0</v>
      </c>
      <c r="I2875" s="68">
        <v>40.77871333218548</v>
      </c>
      <c r="J2875" s="68">
        <f t="shared" si="1"/>
        <v>0</v>
      </c>
      <c r="K2875" s="68" t="b">
        <v>0</v>
      </c>
    </row>
    <row r="2876" hidden="1">
      <c r="A2876" s="75">
        <v>2870.0</v>
      </c>
      <c r="B2876" s="62" t="s">
        <v>1306</v>
      </c>
      <c r="C2876" s="62" t="s">
        <v>110</v>
      </c>
      <c r="D2876" s="62" t="s">
        <v>1446</v>
      </c>
      <c r="E2876" s="76">
        <v>44075.0</v>
      </c>
      <c r="F2876" s="77">
        <v>0.0625</v>
      </c>
      <c r="G2876" s="62" t="b">
        <v>1</v>
      </c>
      <c r="H2876" s="78" t="b">
        <f>IF(VLOOKUP(C2876,Projetos!A:L,12,false)=TRUE,TRUE,FALSE)</f>
        <v>1</v>
      </c>
      <c r="I2876" s="68">
        <v>40.77871333218548</v>
      </c>
      <c r="J2876" s="68">
        <f t="shared" si="1"/>
        <v>61.16807</v>
      </c>
      <c r="K2876" s="68" t="b">
        <v>1</v>
      </c>
    </row>
    <row r="2877" hidden="1">
      <c r="A2877" s="75">
        <v>2871.0</v>
      </c>
      <c r="B2877" s="62" t="s">
        <v>1306</v>
      </c>
      <c r="C2877" s="62" t="s">
        <v>110</v>
      </c>
      <c r="D2877" s="62" t="s">
        <v>1423</v>
      </c>
      <c r="E2877" s="76">
        <v>44076.0</v>
      </c>
      <c r="F2877" s="77">
        <v>0.07291666666666667</v>
      </c>
      <c r="G2877" s="62" t="b">
        <v>1</v>
      </c>
      <c r="H2877" s="78" t="b">
        <f>IF(VLOOKUP(C2877,Projetos!A:L,12,false)=TRUE,TRUE,FALSE)</f>
        <v>1</v>
      </c>
      <c r="I2877" s="68">
        <v>40.77871333218548</v>
      </c>
      <c r="J2877" s="68">
        <f t="shared" si="1"/>
        <v>71.36274833</v>
      </c>
      <c r="K2877" s="68" t="b">
        <v>1</v>
      </c>
    </row>
    <row r="2878" hidden="1">
      <c r="A2878" s="75">
        <v>2872.0</v>
      </c>
      <c r="B2878" s="62" t="s">
        <v>1306</v>
      </c>
      <c r="C2878" s="62" t="s">
        <v>110</v>
      </c>
      <c r="D2878" s="62" t="s">
        <v>1446</v>
      </c>
      <c r="E2878" s="76">
        <v>44076.0</v>
      </c>
      <c r="F2878" s="77">
        <v>0.041666666666666664</v>
      </c>
      <c r="G2878" s="62" t="b">
        <v>1</v>
      </c>
      <c r="H2878" s="78" t="b">
        <f>IF(VLOOKUP(C2878,Projetos!A:L,12,false)=TRUE,TRUE,FALSE)</f>
        <v>1</v>
      </c>
      <c r="I2878" s="68">
        <v>40.77871333218548</v>
      </c>
      <c r="J2878" s="68">
        <f t="shared" si="1"/>
        <v>40.77871333</v>
      </c>
      <c r="K2878" s="68" t="b">
        <v>1</v>
      </c>
    </row>
    <row r="2879" hidden="1">
      <c r="A2879" s="75">
        <v>2873.0</v>
      </c>
      <c r="B2879" s="62" t="s">
        <v>1306</v>
      </c>
      <c r="C2879" s="62" t="s">
        <v>110</v>
      </c>
      <c r="D2879" s="62" t="s">
        <v>1806</v>
      </c>
      <c r="E2879" s="76">
        <v>44076.0</v>
      </c>
      <c r="F2879" s="77">
        <v>0.041666666666666664</v>
      </c>
      <c r="G2879" s="62" t="b">
        <v>1</v>
      </c>
      <c r="H2879" s="78" t="b">
        <f>IF(VLOOKUP(C2879,Projetos!A:L,12,false)=TRUE,TRUE,FALSE)</f>
        <v>1</v>
      </c>
      <c r="I2879" s="68">
        <v>40.77871333218548</v>
      </c>
      <c r="J2879" s="68">
        <f t="shared" si="1"/>
        <v>40.77871333</v>
      </c>
      <c r="K2879" s="68" t="b">
        <v>1</v>
      </c>
    </row>
    <row r="2880" hidden="1">
      <c r="A2880" s="75">
        <v>2874.0</v>
      </c>
      <c r="B2880" s="62" t="s">
        <v>1306</v>
      </c>
      <c r="C2880" s="62" t="s">
        <v>110</v>
      </c>
      <c r="D2880" s="62" t="s">
        <v>1807</v>
      </c>
      <c r="E2880" s="76">
        <v>44078.0</v>
      </c>
      <c r="F2880" s="77">
        <v>0.08333333333333333</v>
      </c>
      <c r="G2880" s="62" t="b">
        <v>1</v>
      </c>
      <c r="H2880" s="78" t="b">
        <f>IF(VLOOKUP(C2880,Projetos!A:L,12,false)=TRUE,TRUE,FALSE)</f>
        <v>1</v>
      </c>
      <c r="I2880" s="68">
        <v>40.77871333218548</v>
      </c>
      <c r="J2880" s="68">
        <f t="shared" si="1"/>
        <v>81.55742666</v>
      </c>
      <c r="K2880" s="68" t="b">
        <v>1</v>
      </c>
    </row>
    <row r="2881" hidden="1">
      <c r="A2881" s="75">
        <v>2875.0</v>
      </c>
      <c r="B2881" s="62" t="s">
        <v>1306</v>
      </c>
      <c r="C2881" s="62" t="s">
        <v>110</v>
      </c>
      <c r="D2881" s="62" t="s">
        <v>1808</v>
      </c>
      <c r="E2881" s="76">
        <v>44084.0</v>
      </c>
      <c r="F2881" s="77">
        <v>0.041666666666666664</v>
      </c>
      <c r="G2881" s="62" t="b">
        <v>1</v>
      </c>
      <c r="H2881" s="78" t="b">
        <f>IF(VLOOKUP(C2881,Projetos!A:L,12,false)=TRUE,TRUE,FALSE)</f>
        <v>1</v>
      </c>
      <c r="I2881" s="68">
        <v>40.77871333218548</v>
      </c>
      <c r="J2881" s="68">
        <f t="shared" si="1"/>
        <v>40.77871333</v>
      </c>
      <c r="K2881" s="68" t="b">
        <v>1</v>
      </c>
    </row>
    <row r="2882" hidden="1">
      <c r="A2882" s="75">
        <v>2876.0</v>
      </c>
      <c r="B2882" s="62" t="s">
        <v>1306</v>
      </c>
      <c r="C2882" s="62" t="s">
        <v>110</v>
      </c>
      <c r="D2882" s="62" t="s">
        <v>1751</v>
      </c>
      <c r="E2882" s="76">
        <v>44084.0</v>
      </c>
      <c r="F2882" s="77">
        <v>0.041666666666666664</v>
      </c>
      <c r="G2882" s="62" t="b">
        <v>1</v>
      </c>
      <c r="H2882" s="78" t="b">
        <f>IF(VLOOKUP(C2882,Projetos!A:L,12,false)=TRUE,TRUE,FALSE)</f>
        <v>1</v>
      </c>
      <c r="I2882" s="68">
        <v>40.77871333218548</v>
      </c>
      <c r="J2882" s="68">
        <f t="shared" si="1"/>
        <v>40.77871333</v>
      </c>
      <c r="K2882" s="68" t="b">
        <v>1</v>
      </c>
    </row>
    <row r="2883" hidden="1">
      <c r="A2883" s="75">
        <v>2877.0</v>
      </c>
      <c r="B2883" s="62" t="s">
        <v>1306</v>
      </c>
      <c r="C2883" s="62" t="s">
        <v>110</v>
      </c>
      <c r="D2883" s="62" t="s">
        <v>1809</v>
      </c>
      <c r="E2883" s="76">
        <v>44088.0</v>
      </c>
      <c r="F2883" s="77">
        <v>0.041666666666666664</v>
      </c>
      <c r="G2883" s="62" t="b">
        <v>1</v>
      </c>
      <c r="H2883" s="78" t="b">
        <f>IF(VLOOKUP(C2883,Projetos!A:L,12,false)=TRUE,TRUE,FALSE)</f>
        <v>1</v>
      </c>
      <c r="I2883" s="68">
        <v>40.77871333218548</v>
      </c>
      <c r="J2883" s="68">
        <f t="shared" si="1"/>
        <v>40.77871333</v>
      </c>
      <c r="K2883" s="68" t="b">
        <v>1</v>
      </c>
    </row>
    <row r="2884" hidden="1">
      <c r="A2884" s="75">
        <v>2878.0</v>
      </c>
      <c r="B2884" s="62" t="s">
        <v>1306</v>
      </c>
      <c r="C2884" s="62" t="s">
        <v>110</v>
      </c>
      <c r="D2884" s="62" t="s">
        <v>1495</v>
      </c>
      <c r="E2884" s="76">
        <v>44090.0</v>
      </c>
      <c r="F2884" s="77">
        <v>0.041666666666666664</v>
      </c>
      <c r="G2884" s="62" t="b">
        <v>1</v>
      </c>
      <c r="H2884" s="78" t="b">
        <f>IF(VLOOKUP(C2884,Projetos!A:L,12,false)=TRUE,TRUE,FALSE)</f>
        <v>1</v>
      </c>
      <c r="I2884" s="68">
        <v>40.77871333218548</v>
      </c>
      <c r="J2884" s="68">
        <f t="shared" si="1"/>
        <v>40.77871333</v>
      </c>
      <c r="K2884" s="68" t="b">
        <v>1</v>
      </c>
    </row>
    <row r="2885" hidden="1">
      <c r="A2885" s="75">
        <v>2879.0</v>
      </c>
      <c r="B2885" s="62" t="s">
        <v>1306</v>
      </c>
      <c r="C2885" s="62" t="s">
        <v>110</v>
      </c>
      <c r="D2885" s="62" t="s">
        <v>1746</v>
      </c>
      <c r="E2885" s="76">
        <v>44096.0</v>
      </c>
      <c r="F2885" s="77">
        <v>0.041666666666666664</v>
      </c>
      <c r="G2885" s="62" t="b">
        <v>1</v>
      </c>
      <c r="H2885" s="78" t="b">
        <f>IF(VLOOKUP(C2885,Projetos!A:L,12,false)=TRUE,TRUE,FALSE)</f>
        <v>1</v>
      </c>
      <c r="I2885" s="68">
        <v>40.77871333218548</v>
      </c>
      <c r="J2885" s="68">
        <f t="shared" si="1"/>
        <v>40.77871333</v>
      </c>
      <c r="K2885" s="68" t="b">
        <v>1</v>
      </c>
    </row>
    <row r="2886" hidden="1">
      <c r="A2886" s="75">
        <v>2880.0</v>
      </c>
      <c r="B2886" s="62" t="s">
        <v>1306</v>
      </c>
      <c r="C2886" s="62" t="s">
        <v>110</v>
      </c>
      <c r="D2886" s="62" t="s">
        <v>1810</v>
      </c>
      <c r="E2886" s="76">
        <v>44097.0</v>
      </c>
      <c r="F2886" s="77">
        <v>0.03125</v>
      </c>
      <c r="G2886" s="62" t="b">
        <v>1</v>
      </c>
      <c r="H2886" s="78" t="b">
        <f>IF(VLOOKUP(C2886,Projetos!A:L,12,false)=TRUE,TRUE,FALSE)</f>
        <v>1</v>
      </c>
      <c r="I2886" s="68">
        <v>40.77871333218548</v>
      </c>
      <c r="J2886" s="68">
        <f t="shared" si="1"/>
        <v>30.584035</v>
      </c>
      <c r="K2886" s="68" t="b">
        <v>1</v>
      </c>
    </row>
    <row r="2887" hidden="1">
      <c r="A2887" s="75">
        <v>2881.0</v>
      </c>
      <c r="B2887" s="62" t="s">
        <v>1306</v>
      </c>
      <c r="C2887" s="62" t="s">
        <v>110</v>
      </c>
      <c r="D2887" s="62" t="s">
        <v>1810</v>
      </c>
      <c r="E2887" s="76">
        <v>44098.0</v>
      </c>
      <c r="F2887" s="77">
        <v>0.041666666666666664</v>
      </c>
      <c r="G2887" s="62" t="b">
        <v>1</v>
      </c>
      <c r="H2887" s="78" t="b">
        <f>IF(VLOOKUP(C2887,Projetos!A:L,12,false)=TRUE,TRUE,FALSE)</f>
        <v>1</v>
      </c>
      <c r="I2887" s="68">
        <v>40.77871333218548</v>
      </c>
      <c r="J2887" s="68">
        <f t="shared" si="1"/>
        <v>40.77871333</v>
      </c>
      <c r="K2887" s="68" t="b">
        <v>1</v>
      </c>
    </row>
    <row r="2888" hidden="1">
      <c r="A2888" s="75">
        <v>2882.0</v>
      </c>
      <c r="B2888" s="62" t="s">
        <v>1306</v>
      </c>
      <c r="C2888" s="62" t="s">
        <v>110</v>
      </c>
      <c r="D2888" s="62" t="s">
        <v>1747</v>
      </c>
      <c r="E2888" s="76">
        <v>44102.0</v>
      </c>
      <c r="F2888" s="77">
        <v>0.041666666666666664</v>
      </c>
      <c r="G2888" s="62" t="b">
        <v>0</v>
      </c>
      <c r="H2888" s="78" t="b">
        <f>IF(VLOOKUP(C2888,Projetos!A:L,12,false)=TRUE,TRUE,FALSE)</f>
        <v>1</v>
      </c>
      <c r="I2888" s="68">
        <v>40.77871333218548</v>
      </c>
      <c r="J2888" s="68">
        <f t="shared" si="1"/>
        <v>0</v>
      </c>
      <c r="K2888" s="68" t="b">
        <v>1</v>
      </c>
    </row>
    <row r="2889" hidden="1">
      <c r="A2889" s="75">
        <v>2883.0</v>
      </c>
      <c r="B2889" s="62" t="s">
        <v>1306</v>
      </c>
      <c r="C2889" s="62" t="s">
        <v>116</v>
      </c>
      <c r="D2889" s="62" t="s">
        <v>1756</v>
      </c>
      <c r="E2889" s="76">
        <v>44088.0</v>
      </c>
      <c r="F2889" s="77">
        <v>0.041666666666666664</v>
      </c>
      <c r="G2889" s="62" t="b">
        <v>1</v>
      </c>
      <c r="H2889" s="78" t="b">
        <f>IF(VLOOKUP(C2889,Projetos!A:L,12,false)=TRUE,TRUE,FALSE)</f>
        <v>1</v>
      </c>
      <c r="I2889" s="68">
        <v>40.77871333218548</v>
      </c>
      <c r="J2889" s="68">
        <f t="shared" si="1"/>
        <v>40.77871333</v>
      </c>
      <c r="K2889" s="68" t="b">
        <v>1</v>
      </c>
    </row>
    <row r="2890" hidden="1">
      <c r="A2890" s="75">
        <v>2884.0</v>
      </c>
      <c r="B2890" s="62" t="s">
        <v>1306</v>
      </c>
      <c r="C2890" s="62" t="s">
        <v>116</v>
      </c>
      <c r="D2890" s="62" t="s">
        <v>1811</v>
      </c>
      <c r="E2890" s="76">
        <v>44095.0</v>
      </c>
      <c r="F2890" s="77">
        <v>0.10416666666666667</v>
      </c>
      <c r="G2890" s="62" t="b">
        <v>1</v>
      </c>
      <c r="H2890" s="78" t="b">
        <f>IF(VLOOKUP(C2890,Projetos!A:L,12,false)=TRUE,TRUE,FALSE)</f>
        <v>1</v>
      </c>
      <c r="I2890" s="68">
        <v>40.77871333218548</v>
      </c>
      <c r="J2890" s="68">
        <f t="shared" si="1"/>
        <v>101.9467833</v>
      </c>
      <c r="K2890" s="68" t="b">
        <v>1</v>
      </c>
    </row>
    <row r="2891" hidden="1">
      <c r="A2891" s="75">
        <v>2885.0</v>
      </c>
      <c r="B2891" s="62" t="s">
        <v>1306</v>
      </c>
      <c r="C2891" s="62" t="s">
        <v>116</v>
      </c>
      <c r="D2891" s="62" t="s">
        <v>1308</v>
      </c>
      <c r="E2891" s="76">
        <v>44096.0</v>
      </c>
      <c r="F2891" s="77">
        <v>0.052083333333333336</v>
      </c>
      <c r="G2891" s="62" t="b">
        <v>1</v>
      </c>
      <c r="H2891" s="78" t="b">
        <f>IF(VLOOKUP(C2891,Projetos!A:L,12,false)=TRUE,TRUE,FALSE)</f>
        <v>1</v>
      </c>
      <c r="I2891" s="68">
        <v>40.77871333218548</v>
      </c>
      <c r="J2891" s="68">
        <f t="shared" si="1"/>
        <v>50.97339167</v>
      </c>
      <c r="K2891" s="68" t="b">
        <v>1</v>
      </c>
    </row>
    <row r="2892" hidden="1">
      <c r="A2892" s="75">
        <v>2886.0</v>
      </c>
      <c r="B2892" s="62" t="s">
        <v>1306</v>
      </c>
      <c r="C2892" s="62" t="s">
        <v>116</v>
      </c>
      <c r="D2892" s="62" t="s">
        <v>1812</v>
      </c>
      <c r="E2892" s="76">
        <v>44098.0</v>
      </c>
      <c r="F2892" s="77">
        <v>0.08333333333333333</v>
      </c>
      <c r="G2892" s="62" t="b">
        <v>1</v>
      </c>
      <c r="H2892" s="78" t="b">
        <f>IF(VLOOKUP(C2892,Projetos!A:L,12,false)=TRUE,TRUE,FALSE)</f>
        <v>1</v>
      </c>
      <c r="I2892" s="68">
        <v>40.77871333218548</v>
      </c>
      <c r="J2892" s="68">
        <f t="shared" si="1"/>
        <v>81.55742666</v>
      </c>
      <c r="K2892" s="68" t="b">
        <v>1</v>
      </c>
    </row>
    <row r="2893" hidden="1">
      <c r="A2893" s="75">
        <v>2887.0</v>
      </c>
      <c r="B2893" s="62" t="s">
        <v>1306</v>
      </c>
      <c r="C2893" s="62" t="s">
        <v>116</v>
      </c>
      <c r="D2893" s="62" t="s">
        <v>1813</v>
      </c>
      <c r="E2893" s="76">
        <v>44099.0</v>
      </c>
      <c r="F2893" s="77">
        <v>0.0625</v>
      </c>
      <c r="G2893" s="62" t="b">
        <v>1</v>
      </c>
      <c r="H2893" s="78" t="b">
        <f>IF(VLOOKUP(C2893,Projetos!A:L,12,false)=TRUE,TRUE,FALSE)</f>
        <v>1</v>
      </c>
      <c r="I2893" s="68">
        <v>40.77871333218548</v>
      </c>
      <c r="J2893" s="68">
        <f t="shared" si="1"/>
        <v>61.16807</v>
      </c>
      <c r="K2893" s="68" t="b">
        <v>1</v>
      </c>
    </row>
    <row r="2894" hidden="1">
      <c r="A2894" s="75">
        <v>2888.0</v>
      </c>
      <c r="B2894" s="62" t="s">
        <v>1306</v>
      </c>
      <c r="C2894" s="62" t="s">
        <v>116</v>
      </c>
      <c r="D2894" s="62" t="s">
        <v>1814</v>
      </c>
      <c r="E2894" s="76">
        <v>44102.0</v>
      </c>
      <c r="F2894" s="77">
        <v>0.08333333333333333</v>
      </c>
      <c r="G2894" s="62" t="b">
        <v>1</v>
      </c>
      <c r="H2894" s="78" t="b">
        <f>IF(VLOOKUP(C2894,Projetos!A:L,12,false)=TRUE,TRUE,FALSE)</f>
        <v>1</v>
      </c>
      <c r="I2894" s="68">
        <v>40.77871333218548</v>
      </c>
      <c r="J2894" s="68">
        <f t="shared" si="1"/>
        <v>81.55742666</v>
      </c>
      <c r="K2894" s="68" t="b">
        <v>1</v>
      </c>
    </row>
    <row r="2895" hidden="1">
      <c r="A2895" s="75">
        <v>2889.0</v>
      </c>
      <c r="B2895" s="62" t="s">
        <v>1306</v>
      </c>
      <c r="C2895" s="62" t="s">
        <v>116</v>
      </c>
      <c r="D2895" s="62" t="s">
        <v>1815</v>
      </c>
      <c r="E2895" s="76">
        <v>44103.0</v>
      </c>
      <c r="F2895" s="77">
        <v>0.0625</v>
      </c>
      <c r="G2895" s="62" t="b">
        <v>1</v>
      </c>
      <c r="H2895" s="78" t="b">
        <f>IF(VLOOKUP(C2895,Projetos!A:L,12,false)=TRUE,TRUE,FALSE)</f>
        <v>1</v>
      </c>
      <c r="I2895" s="68">
        <v>40.77871333218548</v>
      </c>
      <c r="J2895" s="68">
        <f t="shared" si="1"/>
        <v>61.16807</v>
      </c>
      <c r="K2895" s="68" t="b">
        <v>1</v>
      </c>
    </row>
    <row r="2896" hidden="1">
      <c r="A2896" s="75">
        <v>2890.0</v>
      </c>
      <c r="B2896" s="62" t="s">
        <v>1306</v>
      </c>
      <c r="C2896" s="62" t="s">
        <v>116</v>
      </c>
      <c r="D2896" s="62" t="s">
        <v>1816</v>
      </c>
      <c r="E2896" s="76">
        <v>44104.0</v>
      </c>
      <c r="F2896" s="77">
        <v>0.020833333333333332</v>
      </c>
      <c r="G2896" s="62" t="b">
        <v>1</v>
      </c>
      <c r="H2896" s="78" t="b">
        <f>IF(VLOOKUP(C2896,Projetos!A:L,12,false)=TRUE,TRUE,FALSE)</f>
        <v>1</v>
      </c>
      <c r="I2896" s="68">
        <v>40.77871333218548</v>
      </c>
      <c r="J2896" s="68">
        <f t="shared" si="1"/>
        <v>20.38935667</v>
      </c>
      <c r="K2896" s="68" t="b">
        <v>1</v>
      </c>
    </row>
    <row r="2897" hidden="1">
      <c r="A2897" s="75">
        <v>2891.0</v>
      </c>
      <c r="B2897" s="62" t="s">
        <v>1306</v>
      </c>
      <c r="C2897" s="62" t="s">
        <v>138</v>
      </c>
      <c r="D2897" s="62" t="s">
        <v>1485</v>
      </c>
      <c r="E2897" s="76">
        <v>44111.0</v>
      </c>
      <c r="F2897" s="77">
        <v>0.08333333333333333</v>
      </c>
      <c r="G2897" s="62" t="b">
        <v>1</v>
      </c>
      <c r="H2897" s="78" t="b">
        <f>IF(VLOOKUP(C2897,Projetos!A:L,12,false)=TRUE,TRUE,FALSE)</f>
        <v>1</v>
      </c>
      <c r="I2897" s="68">
        <v>42.72055682419432</v>
      </c>
      <c r="J2897" s="68">
        <f t="shared" si="1"/>
        <v>85.44111365</v>
      </c>
      <c r="K2897" s="68" t="b">
        <v>1</v>
      </c>
    </row>
    <row r="2898" hidden="1">
      <c r="A2898" s="75">
        <v>2892.0</v>
      </c>
      <c r="B2898" s="62" t="s">
        <v>1306</v>
      </c>
      <c r="C2898" s="62" t="s">
        <v>138</v>
      </c>
      <c r="D2898" s="62" t="s">
        <v>1652</v>
      </c>
      <c r="E2898" s="76">
        <v>44111.0</v>
      </c>
      <c r="F2898" s="77">
        <v>0.041666666666666664</v>
      </c>
      <c r="G2898" s="62" t="b">
        <v>1</v>
      </c>
      <c r="H2898" s="78" t="b">
        <f>IF(VLOOKUP(C2898,Projetos!A:L,12,false)=TRUE,TRUE,FALSE)</f>
        <v>1</v>
      </c>
      <c r="I2898" s="68">
        <v>42.72055682419432</v>
      </c>
      <c r="J2898" s="68">
        <f t="shared" si="1"/>
        <v>42.72055682</v>
      </c>
      <c r="K2898" s="68" t="b">
        <v>1</v>
      </c>
    </row>
    <row r="2899" hidden="1">
      <c r="A2899" s="75">
        <v>2893.0</v>
      </c>
      <c r="B2899" s="62" t="s">
        <v>1306</v>
      </c>
      <c r="C2899" s="62" t="s">
        <v>138</v>
      </c>
      <c r="D2899" s="62" t="s">
        <v>1817</v>
      </c>
      <c r="E2899" s="76">
        <v>44112.0</v>
      </c>
      <c r="F2899" s="77">
        <v>0.09375</v>
      </c>
      <c r="G2899" s="62" t="b">
        <v>1</v>
      </c>
      <c r="H2899" s="78" t="b">
        <f>IF(VLOOKUP(C2899,Projetos!A:L,12,false)=TRUE,TRUE,FALSE)</f>
        <v>1</v>
      </c>
      <c r="I2899" s="68">
        <v>42.72055682419432</v>
      </c>
      <c r="J2899" s="68">
        <f t="shared" si="1"/>
        <v>96.12125285</v>
      </c>
      <c r="K2899" s="68" t="b">
        <v>1</v>
      </c>
    </row>
    <row r="2900" hidden="1">
      <c r="A2900" s="75">
        <v>2894.0</v>
      </c>
      <c r="B2900" s="62" t="s">
        <v>1306</v>
      </c>
      <c r="C2900" s="62" t="s">
        <v>138</v>
      </c>
      <c r="D2900" s="62" t="s">
        <v>1818</v>
      </c>
      <c r="E2900" s="76">
        <v>44130.0</v>
      </c>
      <c r="F2900" s="77">
        <v>0.041666666666666664</v>
      </c>
      <c r="G2900" s="62" t="b">
        <v>1</v>
      </c>
      <c r="H2900" s="78" t="b">
        <f>IF(VLOOKUP(C2900,Projetos!A:L,12,false)=TRUE,TRUE,FALSE)</f>
        <v>1</v>
      </c>
      <c r="I2900" s="68">
        <v>42.72055682419432</v>
      </c>
      <c r="J2900" s="68">
        <f t="shared" si="1"/>
        <v>42.72055682</v>
      </c>
      <c r="K2900" s="68" t="b">
        <v>1</v>
      </c>
    </row>
    <row r="2901" hidden="1">
      <c r="A2901" s="75">
        <v>2895.0</v>
      </c>
      <c r="B2901" s="62" t="s">
        <v>1306</v>
      </c>
      <c r="C2901" s="62" t="s">
        <v>88</v>
      </c>
      <c r="D2901" s="62" t="s">
        <v>1816</v>
      </c>
      <c r="E2901" s="76">
        <v>44105.0</v>
      </c>
      <c r="F2901" s="77">
        <v>0.041666666666666664</v>
      </c>
      <c r="G2901" s="62" t="b">
        <v>1</v>
      </c>
      <c r="H2901" s="78" t="b">
        <f>IF(VLOOKUP(C2901,Projetos!A:L,12,false)=TRUE,TRUE,FALSE)</f>
        <v>1</v>
      </c>
      <c r="I2901" s="68">
        <v>42.72055682419432</v>
      </c>
      <c r="J2901" s="68">
        <f t="shared" si="1"/>
        <v>42.72055682</v>
      </c>
      <c r="K2901" s="68" t="b">
        <v>1</v>
      </c>
    </row>
    <row r="2902" hidden="1">
      <c r="A2902" s="75">
        <v>2896.0</v>
      </c>
      <c r="B2902" s="62" t="s">
        <v>1306</v>
      </c>
      <c r="C2902" s="62" t="s">
        <v>88</v>
      </c>
      <c r="D2902" s="62" t="s">
        <v>1819</v>
      </c>
      <c r="E2902" s="76">
        <v>44106.0</v>
      </c>
      <c r="F2902" s="77">
        <v>0.041666666666666664</v>
      </c>
      <c r="G2902" s="62" t="b">
        <v>1</v>
      </c>
      <c r="H2902" s="78" t="b">
        <f>IF(VLOOKUP(C2902,Projetos!A:L,12,false)=TRUE,TRUE,FALSE)</f>
        <v>1</v>
      </c>
      <c r="I2902" s="68">
        <v>42.72055682419432</v>
      </c>
      <c r="J2902" s="68">
        <f t="shared" si="1"/>
        <v>42.72055682</v>
      </c>
      <c r="K2902" s="68" t="b">
        <v>1</v>
      </c>
    </row>
    <row r="2903" hidden="1">
      <c r="A2903" s="75">
        <v>2897.0</v>
      </c>
      <c r="B2903" s="62" t="s">
        <v>1306</v>
      </c>
      <c r="C2903" s="62" t="s">
        <v>88</v>
      </c>
      <c r="D2903" s="62" t="s">
        <v>1816</v>
      </c>
      <c r="E2903" s="76">
        <v>44113.0</v>
      </c>
      <c r="F2903" s="77">
        <v>0.020833333333333332</v>
      </c>
      <c r="G2903" s="62" t="b">
        <v>1</v>
      </c>
      <c r="H2903" s="78" t="b">
        <f>IF(VLOOKUP(C2903,Projetos!A:L,12,false)=TRUE,TRUE,FALSE)</f>
        <v>1</v>
      </c>
      <c r="I2903" s="68">
        <v>42.72055682419432</v>
      </c>
      <c r="J2903" s="68">
        <f t="shared" si="1"/>
        <v>21.36027841</v>
      </c>
      <c r="K2903" s="68" t="b">
        <v>1</v>
      </c>
    </row>
    <row r="2904" hidden="1">
      <c r="A2904" s="75">
        <v>2898.0</v>
      </c>
      <c r="B2904" s="62" t="s">
        <v>1306</v>
      </c>
      <c r="C2904" s="62" t="s">
        <v>88</v>
      </c>
      <c r="D2904" s="62" t="s">
        <v>1819</v>
      </c>
      <c r="E2904" s="76">
        <v>44120.0</v>
      </c>
      <c r="F2904" s="77">
        <v>0.041666666666666664</v>
      </c>
      <c r="G2904" s="62" t="b">
        <v>1</v>
      </c>
      <c r="H2904" s="78" t="b">
        <f>IF(VLOOKUP(C2904,Projetos!A:L,12,false)=TRUE,TRUE,FALSE)</f>
        <v>1</v>
      </c>
      <c r="I2904" s="68">
        <v>42.72055682419432</v>
      </c>
      <c r="J2904" s="68">
        <f t="shared" si="1"/>
        <v>42.72055682</v>
      </c>
      <c r="K2904" s="68" t="b">
        <v>1</v>
      </c>
    </row>
    <row r="2905" hidden="1">
      <c r="A2905" s="75">
        <v>2899.0</v>
      </c>
      <c r="B2905" s="62" t="s">
        <v>1306</v>
      </c>
      <c r="C2905" s="62" t="s">
        <v>88</v>
      </c>
      <c r="D2905" s="62" t="s">
        <v>1813</v>
      </c>
      <c r="E2905" s="76">
        <v>44127.0</v>
      </c>
      <c r="F2905" s="77">
        <v>0.041666666666666664</v>
      </c>
      <c r="G2905" s="62" t="b">
        <v>1</v>
      </c>
      <c r="H2905" s="78" t="b">
        <f>IF(VLOOKUP(C2905,Projetos!A:L,12,false)=TRUE,TRUE,FALSE)</f>
        <v>1</v>
      </c>
      <c r="I2905" s="68">
        <v>42.72055682419432</v>
      </c>
      <c r="J2905" s="68">
        <f t="shared" si="1"/>
        <v>42.72055682</v>
      </c>
      <c r="K2905" s="68" t="b">
        <v>1</v>
      </c>
    </row>
    <row r="2906" hidden="1">
      <c r="A2906" s="75">
        <v>2900.0</v>
      </c>
      <c r="B2906" s="62" t="s">
        <v>1306</v>
      </c>
      <c r="C2906" s="62" t="s">
        <v>88</v>
      </c>
      <c r="D2906" s="62" t="s">
        <v>1813</v>
      </c>
      <c r="E2906" s="76">
        <v>44130.0</v>
      </c>
      <c r="F2906" s="77">
        <v>0.0625</v>
      </c>
      <c r="G2906" s="62" t="b">
        <v>1</v>
      </c>
      <c r="H2906" s="78" t="b">
        <f>IF(VLOOKUP(C2906,Projetos!A:L,12,false)=TRUE,TRUE,FALSE)</f>
        <v>1</v>
      </c>
      <c r="I2906" s="68">
        <v>42.72055682419432</v>
      </c>
      <c r="J2906" s="68">
        <f t="shared" si="1"/>
        <v>64.08083524</v>
      </c>
      <c r="K2906" s="68" t="b">
        <v>1</v>
      </c>
    </row>
    <row r="2907" hidden="1">
      <c r="A2907" s="75">
        <v>2901.0</v>
      </c>
      <c r="B2907" s="62" t="s">
        <v>1306</v>
      </c>
      <c r="C2907" s="62" t="s">
        <v>88</v>
      </c>
      <c r="D2907" s="62" t="s">
        <v>1820</v>
      </c>
      <c r="E2907" s="76">
        <v>44133.0</v>
      </c>
      <c r="F2907" s="77">
        <v>0.16666666666666666</v>
      </c>
      <c r="G2907" s="62" t="b">
        <v>1</v>
      </c>
      <c r="H2907" s="78" t="b">
        <f>IF(VLOOKUP(C2907,Projetos!A:L,12,false)=TRUE,TRUE,FALSE)</f>
        <v>1</v>
      </c>
      <c r="I2907" s="68">
        <v>42.72055682419432</v>
      </c>
      <c r="J2907" s="68">
        <f t="shared" si="1"/>
        <v>170.8822273</v>
      </c>
      <c r="K2907" s="68" t="b">
        <v>1</v>
      </c>
    </row>
    <row r="2908" hidden="1">
      <c r="A2908" s="75">
        <v>2902.0</v>
      </c>
      <c r="B2908" s="62" t="s">
        <v>1306</v>
      </c>
      <c r="C2908" s="62" t="s">
        <v>88</v>
      </c>
      <c r="D2908" s="62" t="s">
        <v>1821</v>
      </c>
      <c r="E2908" s="76">
        <v>44134.0</v>
      </c>
      <c r="F2908" s="77">
        <v>0.11458333333333333</v>
      </c>
      <c r="G2908" s="62" t="b">
        <v>1</v>
      </c>
      <c r="H2908" s="78" t="b">
        <f>IF(VLOOKUP(C2908,Projetos!A:L,12,false)=TRUE,TRUE,FALSE)</f>
        <v>1</v>
      </c>
      <c r="I2908" s="68">
        <v>42.72055682419432</v>
      </c>
      <c r="J2908" s="68">
        <f t="shared" si="1"/>
        <v>117.4815313</v>
      </c>
      <c r="K2908" s="68" t="b">
        <v>1</v>
      </c>
    </row>
    <row r="2909" hidden="1">
      <c r="A2909" s="75">
        <v>2903.0</v>
      </c>
      <c r="B2909" s="62" t="s">
        <v>1306</v>
      </c>
      <c r="C2909" s="62" t="s">
        <v>90</v>
      </c>
      <c r="D2909" s="62" t="s">
        <v>1822</v>
      </c>
      <c r="E2909" s="76">
        <v>44105.0</v>
      </c>
      <c r="F2909" s="77">
        <v>0.125</v>
      </c>
      <c r="G2909" s="62" t="b">
        <v>1</v>
      </c>
      <c r="H2909" s="78" t="b">
        <f>IF(VLOOKUP(C2909,Projetos!A:L,12,false)=TRUE,TRUE,FALSE)</f>
        <v>1</v>
      </c>
      <c r="I2909" s="68">
        <v>42.72055682419432</v>
      </c>
      <c r="J2909" s="68">
        <f t="shared" si="1"/>
        <v>128.1616705</v>
      </c>
      <c r="K2909" s="68" t="b">
        <v>1</v>
      </c>
    </row>
    <row r="2910" hidden="1">
      <c r="A2910" s="75">
        <v>2904.0</v>
      </c>
      <c r="B2910" s="62" t="s">
        <v>1306</v>
      </c>
      <c r="C2910" s="62" t="s">
        <v>90</v>
      </c>
      <c r="D2910" s="62" t="s">
        <v>781</v>
      </c>
      <c r="E2910" s="76">
        <v>44106.0</v>
      </c>
      <c r="F2910" s="77">
        <v>0.020833333333333332</v>
      </c>
      <c r="G2910" s="62" t="b">
        <v>1</v>
      </c>
      <c r="H2910" s="78" t="b">
        <f>IF(VLOOKUP(C2910,Projetos!A:L,12,false)=TRUE,TRUE,FALSE)</f>
        <v>1</v>
      </c>
      <c r="I2910" s="68">
        <v>42.72055682419432</v>
      </c>
      <c r="J2910" s="68">
        <f t="shared" si="1"/>
        <v>21.36027841</v>
      </c>
      <c r="K2910" s="68" t="b">
        <v>1</v>
      </c>
    </row>
    <row r="2911" hidden="1">
      <c r="A2911" s="75">
        <v>2905.0</v>
      </c>
      <c r="B2911" s="62" t="s">
        <v>1306</v>
      </c>
      <c r="C2911" s="62" t="s">
        <v>90</v>
      </c>
      <c r="D2911" s="62" t="s">
        <v>1823</v>
      </c>
      <c r="E2911" s="76">
        <v>44106.0</v>
      </c>
      <c r="F2911" s="77">
        <v>0.041666666666666664</v>
      </c>
      <c r="G2911" s="62" t="b">
        <v>1</v>
      </c>
      <c r="H2911" s="78" t="b">
        <f>IF(VLOOKUP(C2911,Projetos!A:L,12,false)=TRUE,TRUE,FALSE)</f>
        <v>1</v>
      </c>
      <c r="I2911" s="68">
        <v>42.72055682419432</v>
      </c>
      <c r="J2911" s="68">
        <f t="shared" si="1"/>
        <v>42.72055682</v>
      </c>
      <c r="K2911" s="68" t="b">
        <v>1</v>
      </c>
    </row>
    <row r="2912" hidden="1">
      <c r="A2912" s="75">
        <v>2906.0</v>
      </c>
      <c r="B2912" s="62" t="s">
        <v>1306</v>
      </c>
      <c r="C2912" s="62" t="s">
        <v>90</v>
      </c>
      <c r="D2912" s="62" t="s">
        <v>1824</v>
      </c>
      <c r="E2912" s="76">
        <v>44109.0</v>
      </c>
      <c r="F2912" s="77">
        <v>0.041666666666666664</v>
      </c>
      <c r="G2912" s="62" t="b">
        <v>1</v>
      </c>
      <c r="H2912" s="78" t="b">
        <f>IF(VLOOKUP(C2912,Projetos!A:L,12,false)=TRUE,TRUE,FALSE)</f>
        <v>1</v>
      </c>
      <c r="I2912" s="68">
        <v>42.72055682419432</v>
      </c>
      <c r="J2912" s="68">
        <f t="shared" si="1"/>
        <v>42.72055682</v>
      </c>
      <c r="K2912" s="68" t="b">
        <v>1</v>
      </c>
    </row>
    <row r="2913" hidden="1">
      <c r="A2913" s="75">
        <v>2907.0</v>
      </c>
      <c r="B2913" s="62" t="s">
        <v>1306</v>
      </c>
      <c r="C2913" s="62" t="s">
        <v>90</v>
      </c>
      <c r="D2913" s="62" t="s">
        <v>1825</v>
      </c>
      <c r="E2913" s="76">
        <v>44110.0</v>
      </c>
      <c r="F2913" s="77">
        <v>0.041666666666666664</v>
      </c>
      <c r="G2913" s="62" t="b">
        <v>1</v>
      </c>
      <c r="H2913" s="78" t="b">
        <f>IF(VLOOKUP(C2913,Projetos!A:L,12,false)=TRUE,TRUE,FALSE)</f>
        <v>1</v>
      </c>
      <c r="I2913" s="68">
        <v>42.72055682419432</v>
      </c>
      <c r="J2913" s="68">
        <f t="shared" si="1"/>
        <v>42.72055682</v>
      </c>
      <c r="K2913" s="68" t="b">
        <v>1</v>
      </c>
    </row>
    <row r="2914" hidden="1">
      <c r="A2914" s="75">
        <v>2908.0</v>
      </c>
      <c r="B2914" s="62" t="s">
        <v>1306</v>
      </c>
      <c r="C2914" s="62" t="s">
        <v>90</v>
      </c>
      <c r="D2914" s="62" t="s">
        <v>1826</v>
      </c>
      <c r="E2914" s="76">
        <v>44110.0</v>
      </c>
      <c r="F2914" s="77">
        <v>0.10416666666666667</v>
      </c>
      <c r="G2914" s="62" t="b">
        <v>1</v>
      </c>
      <c r="H2914" s="78" t="b">
        <f>IF(VLOOKUP(C2914,Projetos!A:L,12,false)=TRUE,TRUE,FALSE)</f>
        <v>1</v>
      </c>
      <c r="I2914" s="68">
        <v>42.72055682419432</v>
      </c>
      <c r="J2914" s="68">
        <f t="shared" si="1"/>
        <v>106.8013921</v>
      </c>
      <c r="K2914" s="68" t="b">
        <v>1</v>
      </c>
    </row>
    <row r="2915" hidden="1">
      <c r="A2915" s="75">
        <v>2909.0</v>
      </c>
      <c r="B2915" s="62" t="s">
        <v>1306</v>
      </c>
      <c r="C2915" s="62" t="s">
        <v>90</v>
      </c>
      <c r="D2915" s="62" t="s">
        <v>1827</v>
      </c>
      <c r="E2915" s="76">
        <v>44111.0</v>
      </c>
      <c r="F2915" s="77">
        <v>0.03125</v>
      </c>
      <c r="G2915" s="62" t="b">
        <v>1</v>
      </c>
      <c r="H2915" s="78" t="b">
        <f>IF(VLOOKUP(C2915,Projetos!A:L,12,false)=TRUE,TRUE,FALSE)</f>
        <v>1</v>
      </c>
      <c r="I2915" s="68">
        <v>42.72055682419432</v>
      </c>
      <c r="J2915" s="68">
        <f t="shared" si="1"/>
        <v>32.04041762</v>
      </c>
      <c r="K2915" s="68" t="b">
        <v>1</v>
      </c>
    </row>
    <row r="2916" hidden="1">
      <c r="A2916" s="75">
        <v>2910.0</v>
      </c>
      <c r="B2916" s="62" t="s">
        <v>1306</v>
      </c>
      <c r="C2916" s="62" t="s">
        <v>90</v>
      </c>
      <c r="D2916" s="62" t="s">
        <v>1828</v>
      </c>
      <c r="E2916" s="76">
        <v>44112.0</v>
      </c>
      <c r="F2916" s="77">
        <v>0.041666666666666664</v>
      </c>
      <c r="G2916" s="62" t="b">
        <v>1</v>
      </c>
      <c r="H2916" s="78" t="b">
        <f>IF(VLOOKUP(C2916,Projetos!A:L,12,false)=TRUE,TRUE,FALSE)</f>
        <v>1</v>
      </c>
      <c r="I2916" s="68">
        <v>42.72055682419432</v>
      </c>
      <c r="J2916" s="68">
        <f t="shared" si="1"/>
        <v>42.72055682</v>
      </c>
      <c r="K2916" s="68" t="b">
        <v>1</v>
      </c>
    </row>
    <row r="2917" hidden="1">
      <c r="A2917" s="75">
        <v>2911.0</v>
      </c>
      <c r="B2917" s="62" t="s">
        <v>1306</v>
      </c>
      <c r="C2917" s="62" t="s">
        <v>90</v>
      </c>
      <c r="D2917" s="62" t="s">
        <v>1829</v>
      </c>
      <c r="E2917" s="76">
        <v>44112.0</v>
      </c>
      <c r="F2917" s="77">
        <v>0.08333333333333333</v>
      </c>
      <c r="G2917" s="62" t="b">
        <v>1</v>
      </c>
      <c r="H2917" s="78" t="b">
        <f>IF(VLOOKUP(C2917,Projetos!A:L,12,false)=TRUE,TRUE,FALSE)</f>
        <v>1</v>
      </c>
      <c r="I2917" s="68">
        <v>42.72055682419432</v>
      </c>
      <c r="J2917" s="68">
        <f t="shared" si="1"/>
        <v>85.44111365</v>
      </c>
      <c r="K2917" s="68" t="b">
        <v>1</v>
      </c>
    </row>
    <row r="2918" hidden="1">
      <c r="A2918" s="75">
        <v>2912.0</v>
      </c>
      <c r="B2918" s="62" t="s">
        <v>1306</v>
      </c>
      <c r="C2918" s="62" t="s">
        <v>90</v>
      </c>
      <c r="D2918" s="62" t="s">
        <v>1830</v>
      </c>
      <c r="E2918" s="76">
        <v>44117.0</v>
      </c>
      <c r="F2918" s="77">
        <v>0.08333333333333333</v>
      </c>
      <c r="G2918" s="62" t="b">
        <v>1</v>
      </c>
      <c r="H2918" s="78" t="b">
        <f>IF(VLOOKUP(C2918,Projetos!A:L,12,false)=TRUE,TRUE,FALSE)</f>
        <v>1</v>
      </c>
      <c r="I2918" s="68">
        <v>42.72055682419432</v>
      </c>
      <c r="J2918" s="68">
        <f t="shared" si="1"/>
        <v>85.44111365</v>
      </c>
      <c r="K2918" s="68" t="b">
        <v>1</v>
      </c>
    </row>
    <row r="2919" hidden="1">
      <c r="A2919" s="75">
        <v>2913.0</v>
      </c>
      <c r="B2919" s="62" t="s">
        <v>1306</v>
      </c>
      <c r="C2919" s="62" t="s">
        <v>90</v>
      </c>
      <c r="D2919" s="62" t="s">
        <v>1831</v>
      </c>
      <c r="E2919" s="76">
        <v>44118.0</v>
      </c>
      <c r="F2919" s="77">
        <v>0.10416666666666667</v>
      </c>
      <c r="G2919" s="62" t="b">
        <v>0</v>
      </c>
      <c r="H2919" s="78" t="b">
        <f>IF(VLOOKUP(C2919,Projetos!A:L,12,false)=TRUE,TRUE,FALSE)</f>
        <v>1</v>
      </c>
      <c r="I2919" s="68">
        <v>42.72055682419432</v>
      </c>
      <c r="J2919" s="68">
        <f t="shared" si="1"/>
        <v>0</v>
      </c>
      <c r="K2919" s="68" t="b">
        <v>1</v>
      </c>
    </row>
    <row r="2920" hidden="1">
      <c r="A2920" s="75">
        <v>2914.0</v>
      </c>
      <c r="B2920" s="62" t="s">
        <v>1306</v>
      </c>
      <c r="C2920" s="62" t="s">
        <v>90</v>
      </c>
      <c r="D2920" s="62" t="s">
        <v>1832</v>
      </c>
      <c r="E2920" s="76">
        <v>44118.0</v>
      </c>
      <c r="F2920" s="77">
        <v>0.041666666666666664</v>
      </c>
      <c r="G2920" s="62" t="b">
        <v>1</v>
      </c>
      <c r="H2920" s="78" t="b">
        <f>IF(VLOOKUP(C2920,Projetos!A:L,12,false)=TRUE,TRUE,FALSE)</f>
        <v>1</v>
      </c>
      <c r="I2920" s="68">
        <v>42.72055682419432</v>
      </c>
      <c r="J2920" s="68">
        <f t="shared" si="1"/>
        <v>42.72055682</v>
      </c>
      <c r="K2920" s="68" t="b">
        <v>1</v>
      </c>
    </row>
    <row r="2921" hidden="1">
      <c r="A2921" s="75">
        <v>2915.0</v>
      </c>
      <c r="B2921" s="62" t="s">
        <v>1306</v>
      </c>
      <c r="C2921" s="62" t="s">
        <v>90</v>
      </c>
      <c r="D2921" s="62" t="s">
        <v>1833</v>
      </c>
      <c r="E2921" s="76">
        <v>44119.0</v>
      </c>
      <c r="F2921" s="77">
        <v>0.16666666666666666</v>
      </c>
      <c r="G2921" s="62" t="b">
        <v>1</v>
      </c>
      <c r="H2921" s="78" t="b">
        <f>IF(VLOOKUP(C2921,Projetos!A:L,12,false)=TRUE,TRUE,FALSE)</f>
        <v>1</v>
      </c>
      <c r="I2921" s="68">
        <v>42.72055682419432</v>
      </c>
      <c r="J2921" s="68">
        <f t="shared" si="1"/>
        <v>170.8822273</v>
      </c>
      <c r="K2921" s="68" t="b">
        <v>1</v>
      </c>
    </row>
    <row r="2922" hidden="1">
      <c r="A2922" s="75">
        <v>2916.0</v>
      </c>
      <c r="B2922" s="62" t="s">
        <v>1306</v>
      </c>
      <c r="C2922" s="62" t="s">
        <v>90</v>
      </c>
      <c r="D2922" s="62" t="s">
        <v>1834</v>
      </c>
      <c r="E2922" s="76">
        <v>44120.0</v>
      </c>
      <c r="F2922" s="77">
        <v>0.03125</v>
      </c>
      <c r="G2922" s="62" t="b">
        <v>1</v>
      </c>
      <c r="H2922" s="78" t="b">
        <f>IF(VLOOKUP(C2922,Projetos!A:L,12,false)=TRUE,TRUE,FALSE)</f>
        <v>1</v>
      </c>
      <c r="I2922" s="68">
        <v>42.72055682419432</v>
      </c>
      <c r="J2922" s="68">
        <f t="shared" si="1"/>
        <v>32.04041762</v>
      </c>
      <c r="K2922" s="68" t="b">
        <v>1</v>
      </c>
    </row>
    <row r="2923" hidden="1">
      <c r="A2923" s="75">
        <v>2917.0</v>
      </c>
      <c r="B2923" s="62" t="s">
        <v>1306</v>
      </c>
      <c r="C2923" s="62" t="s">
        <v>90</v>
      </c>
      <c r="D2923" s="62" t="s">
        <v>1835</v>
      </c>
      <c r="E2923" s="76">
        <v>44120.0</v>
      </c>
      <c r="F2923" s="77">
        <v>0.041666666666666664</v>
      </c>
      <c r="G2923" s="62" t="b">
        <v>0</v>
      </c>
      <c r="H2923" s="78" t="b">
        <f>IF(VLOOKUP(C2923,Projetos!A:L,12,false)=TRUE,TRUE,FALSE)</f>
        <v>1</v>
      </c>
      <c r="I2923" s="68">
        <v>42.72055682419432</v>
      </c>
      <c r="J2923" s="68">
        <f t="shared" si="1"/>
        <v>0</v>
      </c>
      <c r="K2923" s="68" t="b">
        <v>1</v>
      </c>
    </row>
    <row r="2924" hidden="1">
      <c r="A2924" s="75">
        <v>2918.0</v>
      </c>
      <c r="B2924" s="62" t="s">
        <v>1306</v>
      </c>
      <c r="C2924" s="62" t="s">
        <v>90</v>
      </c>
      <c r="D2924" s="62" t="s">
        <v>1836</v>
      </c>
      <c r="E2924" s="76">
        <v>44120.0</v>
      </c>
      <c r="F2924" s="77">
        <v>0.08333333333333333</v>
      </c>
      <c r="G2924" s="62" t="b">
        <v>1</v>
      </c>
      <c r="H2924" s="78" t="b">
        <f>IF(VLOOKUP(C2924,Projetos!A:L,12,false)=TRUE,TRUE,FALSE)</f>
        <v>1</v>
      </c>
      <c r="I2924" s="68">
        <v>42.72055682419432</v>
      </c>
      <c r="J2924" s="68">
        <f t="shared" si="1"/>
        <v>85.44111365</v>
      </c>
      <c r="K2924" s="68" t="b">
        <v>1</v>
      </c>
    </row>
    <row r="2925" hidden="1">
      <c r="A2925" s="75">
        <v>2919.0</v>
      </c>
      <c r="B2925" s="62" t="s">
        <v>1306</v>
      </c>
      <c r="C2925" s="62" t="s">
        <v>90</v>
      </c>
      <c r="D2925" s="62" t="s">
        <v>1837</v>
      </c>
      <c r="E2925" s="76">
        <v>44123.0</v>
      </c>
      <c r="F2925" s="77">
        <v>0.041666666666666664</v>
      </c>
      <c r="G2925" s="62" t="b">
        <v>1</v>
      </c>
      <c r="H2925" s="78" t="b">
        <f>IF(VLOOKUP(C2925,Projetos!A:L,12,false)=TRUE,TRUE,FALSE)</f>
        <v>1</v>
      </c>
      <c r="I2925" s="68">
        <v>42.72055682419432</v>
      </c>
      <c r="J2925" s="68">
        <f t="shared" si="1"/>
        <v>42.72055682</v>
      </c>
      <c r="K2925" s="68" t="b">
        <v>1</v>
      </c>
    </row>
    <row r="2926" hidden="1">
      <c r="A2926" s="75">
        <v>2920.0</v>
      </c>
      <c r="B2926" s="62" t="s">
        <v>1306</v>
      </c>
      <c r="C2926" s="62" t="s">
        <v>90</v>
      </c>
      <c r="D2926" s="62" t="s">
        <v>1838</v>
      </c>
      <c r="E2926" s="76">
        <v>44132.0</v>
      </c>
      <c r="F2926" s="77">
        <v>0.11458333333333333</v>
      </c>
      <c r="G2926" s="62" t="b">
        <v>1</v>
      </c>
      <c r="H2926" s="78" t="b">
        <f>IF(VLOOKUP(C2926,Projetos!A:L,12,false)=TRUE,TRUE,FALSE)</f>
        <v>1</v>
      </c>
      <c r="I2926" s="68">
        <v>42.72055682419432</v>
      </c>
      <c r="J2926" s="68">
        <f t="shared" si="1"/>
        <v>117.4815313</v>
      </c>
      <c r="K2926" s="68" t="b">
        <v>1</v>
      </c>
    </row>
    <row r="2927" hidden="1">
      <c r="A2927" s="75">
        <v>2921.0</v>
      </c>
      <c r="B2927" s="62" t="s">
        <v>1306</v>
      </c>
      <c r="C2927" s="62" t="s">
        <v>90</v>
      </c>
      <c r="D2927" s="62" t="s">
        <v>1839</v>
      </c>
      <c r="E2927" s="76">
        <v>44133.0</v>
      </c>
      <c r="F2927" s="77">
        <v>0.10416666666666667</v>
      </c>
      <c r="G2927" s="62" t="b">
        <v>1</v>
      </c>
      <c r="H2927" s="78" t="b">
        <f>IF(VLOOKUP(C2927,Projetos!A:L,12,false)=TRUE,TRUE,FALSE)</f>
        <v>1</v>
      </c>
      <c r="I2927" s="68">
        <v>42.72055682419432</v>
      </c>
      <c r="J2927" s="68">
        <f t="shared" si="1"/>
        <v>106.8013921</v>
      </c>
      <c r="K2927" s="68" t="b">
        <v>1</v>
      </c>
    </row>
    <row r="2928" hidden="1">
      <c r="A2928" s="75">
        <v>2922.0</v>
      </c>
      <c r="B2928" s="62" t="s">
        <v>1306</v>
      </c>
      <c r="C2928" s="62" t="s">
        <v>90</v>
      </c>
      <c r="D2928" s="62" t="s">
        <v>1840</v>
      </c>
      <c r="E2928" s="76">
        <v>44134.0</v>
      </c>
      <c r="F2928" s="77">
        <v>0.0625</v>
      </c>
      <c r="G2928" s="62" t="b">
        <v>1</v>
      </c>
      <c r="H2928" s="78" t="b">
        <f>IF(VLOOKUP(C2928,Projetos!A:L,12,false)=TRUE,TRUE,FALSE)</f>
        <v>1</v>
      </c>
      <c r="I2928" s="68">
        <v>42.72055682419432</v>
      </c>
      <c r="J2928" s="68">
        <f t="shared" si="1"/>
        <v>64.08083524</v>
      </c>
      <c r="K2928" s="68" t="b">
        <v>1</v>
      </c>
    </row>
    <row r="2929" hidden="1">
      <c r="A2929" s="75">
        <v>2923.0</v>
      </c>
      <c r="B2929" s="62" t="s">
        <v>1306</v>
      </c>
      <c r="C2929" s="62" t="s">
        <v>97</v>
      </c>
      <c r="D2929" s="62" t="s">
        <v>1841</v>
      </c>
      <c r="E2929" s="76">
        <v>44110.0</v>
      </c>
      <c r="F2929" s="77">
        <v>0.041666666666666664</v>
      </c>
      <c r="G2929" s="62" t="b">
        <v>0</v>
      </c>
      <c r="H2929" s="78" t="b">
        <f>IF(VLOOKUP(C2929,Projetos!A:L,12,false)=TRUE,TRUE,FALSE)</f>
        <v>1</v>
      </c>
      <c r="I2929" s="68">
        <v>42.72055682419432</v>
      </c>
      <c r="J2929" s="68">
        <f t="shared" si="1"/>
        <v>0</v>
      </c>
      <c r="K2929" s="68" t="b">
        <v>1</v>
      </c>
    </row>
    <row r="2930" hidden="1">
      <c r="A2930" s="75">
        <v>2924.0</v>
      </c>
      <c r="B2930" s="62" t="s">
        <v>1306</v>
      </c>
      <c r="C2930" s="62" t="s">
        <v>103</v>
      </c>
      <c r="D2930" s="62" t="s">
        <v>1842</v>
      </c>
      <c r="E2930" s="76">
        <v>44117.0</v>
      </c>
      <c r="F2930" s="77">
        <v>0.08333333333333333</v>
      </c>
      <c r="G2930" s="62" t="b">
        <v>1</v>
      </c>
      <c r="H2930" s="78" t="b">
        <f>IF(VLOOKUP(C2930,Projetos!A:L,12,false)=TRUE,TRUE,FALSE)</f>
        <v>1</v>
      </c>
      <c r="I2930" s="68">
        <v>42.72055682419432</v>
      </c>
      <c r="J2930" s="68">
        <f t="shared" si="1"/>
        <v>85.44111365</v>
      </c>
      <c r="K2930" s="68" t="b">
        <v>1</v>
      </c>
    </row>
    <row r="2931" hidden="1">
      <c r="A2931" s="75">
        <v>2925.0</v>
      </c>
      <c r="B2931" s="62" t="s">
        <v>1306</v>
      </c>
      <c r="C2931" s="62" t="s">
        <v>103</v>
      </c>
      <c r="D2931" s="62" t="s">
        <v>1843</v>
      </c>
      <c r="E2931" s="76">
        <v>44123.0</v>
      </c>
      <c r="F2931" s="77">
        <v>0.0625</v>
      </c>
      <c r="G2931" s="62" t="b">
        <v>0</v>
      </c>
      <c r="H2931" s="78" t="b">
        <f>IF(VLOOKUP(C2931,Projetos!A:L,12,false)=TRUE,TRUE,FALSE)</f>
        <v>1</v>
      </c>
      <c r="I2931" s="68">
        <v>42.72055682419432</v>
      </c>
      <c r="J2931" s="68">
        <f t="shared" si="1"/>
        <v>0</v>
      </c>
      <c r="K2931" s="68" t="b">
        <v>1</v>
      </c>
    </row>
    <row r="2932">
      <c r="A2932" s="75">
        <v>2926.0</v>
      </c>
      <c r="B2932" s="62" t="s">
        <v>1306</v>
      </c>
      <c r="C2932" s="62" t="s">
        <v>104</v>
      </c>
      <c r="D2932" s="62" t="s">
        <v>1844</v>
      </c>
      <c r="E2932" s="76">
        <v>44117.0</v>
      </c>
      <c r="F2932" s="77">
        <v>0.041666666666666664</v>
      </c>
      <c r="G2932" s="62" t="b">
        <v>0</v>
      </c>
      <c r="H2932" s="78" t="b">
        <f>IF(VLOOKUP(C2932,Projetos!A:L,12,false)=TRUE,TRUE,FALSE)</f>
        <v>1</v>
      </c>
      <c r="I2932" s="68">
        <v>42.72055682419432</v>
      </c>
      <c r="J2932" s="68">
        <f t="shared" si="1"/>
        <v>0</v>
      </c>
      <c r="K2932" s="68" t="b">
        <v>1</v>
      </c>
    </row>
    <row r="2933">
      <c r="A2933" s="75">
        <v>2927.0</v>
      </c>
      <c r="B2933" s="62" t="s">
        <v>1306</v>
      </c>
      <c r="C2933" s="62" t="s">
        <v>104</v>
      </c>
      <c r="D2933" s="62" t="s">
        <v>1845</v>
      </c>
      <c r="E2933" s="76">
        <v>44118.0</v>
      </c>
      <c r="F2933" s="77">
        <v>0.010416666666666666</v>
      </c>
      <c r="G2933" s="62" t="b">
        <v>1</v>
      </c>
      <c r="H2933" s="78" t="b">
        <f>IF(VLOOKUP(C2933,Projetos!A:L,12,false)=TRUE,TRUE,FALSE)</f>
        <v>1</v>
      </c>
      <c r="I2933" s="68">
        <v>42.72055682419432</v>
      </c>
      <c r="J2933" s="68">
        <f t="shared" si="1"/>
        <v>10.68013921</v>
      </c>
      <c r="K2933" s="68" t="b">
        <v>1</v>
      </c>
    </row>
    <row r="2934" hidden="1">
      <c r="A2934" s="75">
        <v>2928.0</v>
      </c>
      <c r="B2934" s="62" t="s">
        <v>1306</v>
      </c>
      <c r="C2934" s="62" t="s">
        <v>105</v>
      </c>
      <c r="D2934" s="62" t="s">
        <v>1846</v>
      </c>
      <c r="E2934" s="76">
        <v>44132.0</v>
      </c>
      <c r="F2934" s="77">
        <v>0.041666666666666664</v>
      </c>
      <c r="G2934" s="62" t="b">
        <v>0</v>
      </c>
      <c r="H2934" s="78" t="b">
        <f>IF(VLOOKUP(C2934,Projetos!A:L,12,false)=TRUE,TRUE,FALSE)</f>
        <v>1</v>
      </c>
      <c r="I2934" s="68">
        <v>42.72055682419432</v>
      </c>
      <c r="J2934" s="68">
        <f t="shared" si="1"/>
        <v>0</v>
      </c>
      <c r="K2934" s="68" t="b">
        <v>1</v>
      </c>
    </row>
    <row r="2935" hidden="1">
      <c r="A2935" s="75">
        <v>2929.0</v>
      </c>
      <c r="B2935" s="62" t="s">
        <v>1306</v>
      </c>
      <c r="C2935" s="62" t="s">
        <v>108</v>
      </c>
      <c r="D2935" s="62" t="s">
        <v>1847</v>
      </c>
      <c r="E2935" s="76">
        <v>44105.0</v>
      </c>
      <c r="F2935" s="77">
        <v>0.09375</v>
      </c>
      <c r="G2935" s="62" t="b">
        <v>0</v>
      </c>
      <c r="H2935" s="78" t="b">
        <f>IF(VLOOKUP(C2935,Projetos!A:L,12,false)=TRUE,TRUE,FALSE)</f>
        <v>1</v>
      </c>
      <c r="I2935" s="68">
        <v>42.72055682419432</v>
      </c>
      <c r="J2935" s="68">
        <f t="shared" si="1"/>
        <v>0</v>
      </c>
      <c r="K2935" s="68" t="b">
        <v>1</v>
      </c>
    </row>
    <row r="2936" hidden="1">
      <c r="A2936" s="75">
        <v>2930.0</v>
      </c>
      <c r="B2936" s="62" t="s">
        <v>1306</v>
      </c>
      <c r="C2936" s="62" t="s">
        <v>108</v>
      </c>
      <c r="D2936" s="62" t="s">
        <v>1848</v>
      </c>
      <c r="E2936" s="76">
        <v>44105.0</v>
      </c>
      <c r="F2936" s="77">
        <v>0.041666666666666664</v>
      </c>
      <c r="G2936" s="62" t="b">
        <v>0</v>
      </c>
      <c r="H2936" s="78" t="b">
        <f>IF(VLOOKUP(C2936,Projetos!A:L,12,false)=TRUE,TRUE,FALSE)</f>
        <v>1</v>
      </c>
      <c r="I2936" s="68">
        <v>42.72055682419432</v>
      </c>
      <c r="J2936" s="68">
        <f t="shared" si="1"/>
        <v>0</v>
      </c>
      <c r="K2936" s="68" t="b">
        <v>1</v>
      </c>
    </row>
    <row r="2937" hidden="1">
      <c r="A2937" s="75">
        <v>2931.0</v>
      </c>
      <c r="B2937" s="62" t="s">
        <v>1306</v>
      </c>
      <c r="C2937" s="62" t="s">
        <v>108</v>
      </c>
      <c r="D2937" s="62" t="s">
        <v>1849</v>
      </c>
      <c r="E2937" s="76">
        <v>44105.0</v>
      </c>
      <c r="F2937" s="77">
        <v>0.0625</v>
      </c>
      <c r="G2937" s="62" t="b">
        <v>0</v>
      </c>
      <c r="H2937" s="78" t="b">
        <f>IF(VLOOKUP(C2937,Projetos!A:L,12,false)=TRUE,TRUE,FALSE)</f>
        <v>1</v>
      </c>
      <c r="I2937" s="68">
        <v>42.72055682419432</v>
      </c>
      <c r="J2937" s="68">
        <f t="shared" si="1"/>
        <v>0</v>
      </c>
      <c r="K2937" s="68" t="b">
        <v>1</v>
      </c>
    </row>
    <row r="2938" hidden="1">
      <c r="A2938" s="75">
        <v>2932.0</v>
      </c>
      <c r="B2938" s="62" t="s">
        <v>1306</v>
      </c>
      <c r="C2938" s="62" t="s">
        <v>108</v>
      </c>
      <c r="D2938" s="62" t="s">
        <v>1850</v>
      </c>
      <c r="E2938" s="76">
        <v>44106.0</v>
      </c>
      <c r="F2938" s="77">
        <v>0.125</v>
      </c>
      <c r="G2938" s="62" t="b">
        <v>0</v>
      </c>
      <c r="H2938" s="78" t="b">
        <f>IF(VLOOKUP(C2938,Projetos!A:L,12,false)=TRUE,TRUE,FALSE)</f>
        <v>1</v>
      </c>
      <c r="I2938" s="68">
        <v>42.72055682419432</v>
      </c>
      <c r="J2938" s="68">
        <f t="shared" si="1"/>
        <v>0</v>
      </c>
      <c r="K2938" s="68" t="b">
        <v>1</v>
      </c>
    </row>
    <row r="2939" hidden="1">
      <c r="A2939" s="75">
        <v>2933.0</v>
      </c>
      <c r="B2939" s="62" t="s">
        <v>1306</v>
      </c>
      <c r="C2939" s="62" t="s">
        <v>108</v>
      </c>
      <c r="D2939" s="62" t="s">
        <v>1851</v>
      </c>
      <c r="E2939" s="76">
        <v>44106.0</v>
      </c>
      <c r="F2939" s="77">
        <v>0.16666666666666666</v>
      </c>
      <c r="G2939" s="62" t="b">
        <v>0</v>
      </c>
      <c r="H2939" s="78" t="b">
        <f>IF(VLOOKUP(C2939,Projetos!A:L,12,false)=TRUE,TRUE,FALSE)</f>
        <v>1</v>
      </c>
      <c r="I2939" s="68">
        <v>42.72055682419432</v>
      </c>
      <c r="J2939" s="68">
        <f t="shared" si="1"/>
        <v>0</v>
      </c>
      <c r="K2939" s="68" t="b">
        <v>1</v>
      </c>
    </row>
    <row r="2940" hidden="1">
      <c r="A2940" s="75">
        <v>2934.0</v>
      </c>
      <c r="B2940" s="62" t="s">
        <v>1306</v>
      </c>
      <c r="C2940" s="62" t="s">
        <v>108</v>
      </c>
      <c r="D2940" s="62" t="s">
        <v>1852</v>
      </c>
      <c r="E2940" s="76">
        <v>44109.0</v>
      </c>
      <c r="F2940" s="77">
        <v>0.0625</v>
      </c>
      <c r="G2940" s="62" t="b">
        <v>0</v>
      </c>
      <c r="H2940" s="78" t="b">
        <f>IF(VLOOKUP(C2940,Projetos!A:L,12,false)=TRUE,TRUE,FALSE)</f>
        <v>1</v>
      </c>
      <c r="I2940" s="68">
        <v>42.72055682419432</v>
      </c>
      <c r="J2940" s="68">
        <f t="shared" si="1"/>
        <v>0</v>
      </c>
      <c r="K2940" s="68" t="b">
        <v>1</v>
      </c>
    </row>
    <row r="2941" hidden="1">
      <c r="A2941" s="75">
        <v>2935.0</v>
      </c>
      <c r="B2941" s="62" t="s">
        <v>1306</v>
      </c>
      <c r="C2941" s="62" t="s">
        <v>108</v>
      </c>
      <c r="D2941" s="62" t="s">
        <v>1346</v>
      </c>
      <c r="E2941" s="76">
        <v>44109.0</v>
      </c>
      <c r="F2941" s="77">
        <v>0.020833333333333332</v>
      </c>
      <c r="G2941" s="62" t="b">
        <v>0</v>
      </c>
      <c r="H2941" s="78" t="b">
        <f>IF(VLOOKUP(C2941,Projetos!A:L,12,false)=TRUE,TRUE,FALSE)</f>
        <v>1</v>
      </c>
      <c r="I2941" s="68">
        <v>42.72055682419432</v>
      </c>
      <c r="J2941" s="68">
        <f t="shared" si="1"/>
        <v>0</v>
      </c>
      <c r="K2941" s="68" t="b">
        <v>1</v>
      </c>
    </row>
    <row r="2942" hidden="1">
      <c r="A2942" s="75">
        <v>2936.0</v>
      </c>
      <c r="B2942" s="62" t="s">
        <v>1306</v>
      </c>
      <c r="C2942" s="62" t="s">
        <v>108</v>
      </c>
      <c r="D2942" s="62" t="s">
        <v>1853</v>
      </c>
      <c r="E2942" s="76">
        <v>44109.0</v>
      </c>
      <c r="F2942" s="77">
        <v>0.10416666666666667</v>
      </c>
      <c r="G2942" s="62" t="b">
        <v>0</v>
      </c>
      <c r="H2942" s="78" t="b">
        <f>IF(VLOOKUP(C2942,Projetos!A:L,12,false)=TRUE,TRUE,FALSE)</f>
        <v>1</v>
      </c>
      <c r="I2942" s="68">
        <v>42.72055682419432</v>
      </c>
      <c r="J2942" s="68">
        <f t="shared" si="1"/>
        <v>0</v>
      </c>
      <c r="K2942" s="68" t="b">
        <v>1</v>
      </c>
    </row>
    <row r="2943" hidden="1">
      <c r="A2943" s="75">
        <v>2937.0</v>
      </c>
      <c r="B2943" s="62" t="s">
        <v>1306</v>
      </c>
      <c r="C2943" s="62" t="s">
        <v>108</v>
      </c>
      <c r="D2943" s="62" t="s">
        <v>1849</v>
      </c>
      <c r="E2943" s="76">
        <v>44110.0</v>
      </c>
      <c r="F2943" s="77">
        <v>0.03125</v>
      </c>
      <c r="G2943" s="62" t="b">
        <v>1</v>
      </c>
      <c r="H2943" s="78" t="b">
        <f>IF(VLOOKUP(C2943,Projetos!A:L,12,false)=TRUE,TRUE,FALSE)</f>
        <v>1</v>
      </c>
      <c r="I2943" s="68">
        <v>42.72055682419432</v>
      </c>
      <c r="J2943" s="68">
        <f t="shared" si="1"/>
        <v>32.04041762</v>
      </c>
      <c r="K2943" s="68" t="b">
        <v>1</v>
      </c>
    </row>
    <row r="2944" hidden="1">
      <c r="A2944" s="75">
        <v>2938.0</v>
      </c>
      <c r="B2944" s="62" t="s">
        <v>1306</v>
      </c>
      <c r="C2944" s="62" t="s">
        <v>108</v>
      </c>
      <c r="D2944" s="62" t="s">
        <v>1849</v>
      </c>
      <c r="E2944" s="76">
        <v>44110.0</v>
      </c>
      <c r="F2944" s="77">
        <v>0.041666666666666664</v>
      </c>
      <c r="G2944" s="62" t="b">
        <v>1</v>
      </c>
      <c r="H2944" s="78" t="b">
        <f>IF(VLOOKUP(C2944,Projetos!A:L,12,false)=TRUE,TRUE,FALSE)</f>
        <v>1</v>
      </c>
      <c r="I2944" s="68">
        <v>42.72055682419432</v>
      </c>
      <c r="J2944" s="68">
        <f t="shared" si="1"/>
        <v>42.72055682</v>
      </c>
      <c r="K2944" s="68" t="b">
        <v>1</v>
      </c>
    </row>
    <row r="2945" hidden="1">
      <c r="A2945" s="75">
        <v>2939.0</v>
      </c>
      <c r="B2945" s="62" t="s">
        <v>1306</v>
      </c>
      <c r="C2945" s="62" t="s">
        <v>108</v>
      </c>
      <c r="D2945" s="62" t="s">
        <v>1854</v>
      </c>
      <c r="E2945" s="76">
        <v>44110.0</v>
      </c>
      <c r="F2945" s="77">
        <v>0.08333333333333333</v>
      </c>
      <c r="G2945" s="62" t="b">
        <v>0</v>
      </c>
      <c r="H2945" s="78" t="b">
        <f>IF(VLOOKUP(C2945,Projetos!A:L,12,false)=TRUE,TRUE,FALSE)</f>
        <v>1</v>
      </c>
      <c r="I2945" s="68">
        <v>42.72055682419432</v>
      </c>
      <c r="J2945" s="68">
        <f t="shared" si="1"/>
        <v>0</v>
      </c>
      <c r="K2945" s="68" t="b">
        <v>1</v>
      </c>
    </row>
    <row r="2946" hidden="1">
      <c r="A2946" s="75">
        <v>2940.0</v>
      </c>
      <c r="B2946" s="62" t="s">
        <v>1306</v>
      </c>
      <c r="C2946" s="62" t="s">
        <v>108</v>
      </c>
      <c r="D2946" s="62" t="s">
        <v>1855</v>
      </c>
      <c r="E2946" s="76">
        <v>44111.0</v>
      </c>
      <c r="F2946" s="77">
        <v>0.041666666666666664</v>
      </c>
      <c r="G2946" s="62" t="b">
        <v>0</v>
      </c>
      <c r="H2946" s="78" t="b">
        <f>IF(VLOOKUP(C2946,Projetos!A:L,12,false)=TRUE,TRUE,FALSE)</f>
        <v>1</v>
      </c>
      <c r="I2946" s="68">
        <v>42.72055682419432</v>
      </c>
      <c r="J2946" s="68">
        <f t="shared" si="1"/>
        <v>0</v>
      </c>
      <c r="K2946" s="68" t="b">
        <v>1</v>
      </c>
    </row>
    <row r="2947" hidden="1">
      <c r="A2947" s="75">
        <v>2941.0</v>
      </c>
      <c r="B2947" s="62" t="s">
        <v>1306</v>
      </c>
      <c r="C2947" s="62" t="s">
        <v>108</v>
      </c>
      <c r="D2947" s="62" t="s">
        <v>1856</v>
      </c>
      <c r="E2947" s="76">
        <v>44111.0</v>
      </c>
      <c r="F2947" s="77">
        <v>0.16666666666666666</v>
      </c>
      <c r="G2947" s="62" t="b">
        <v>1</v>
      </c>
      <c r="H2947" s="78" t="b">
        <f>IF(VLOOKUP(C2947,Projetos!A:L,12,false)=TRUE,TRUE,FALSE)</f>
        <v>1</v>
      </c>
      <c r="I2947" s="68">
        <v>42.72055682419432</v>
      </c>
      <c r="J2947" s="68">
        <f t="shared" si="1"/>
        <v>170.8822273</v>
      </c>
      <c r="K2947" s="68" t="b">
        <v>1</v>
      </c>
    </row>
    <row r="2948" hidden="1">
      <c r="A2948" s="75">
        <v>2942.0</v>
      </c>
      <c r="B2948" s="62" t="s">
        <v>1306</v>
      </c>
      <c r="C2948" s="62" t="s">
        <v>108</v>
      </c>
      <c r="D2948" s="62" t="s">
        <v>1857</v>
      </c>
      <c r="E2948" s="76">
        <v>44112.0</v>
      </c>
      <c r="F2948" s="77">
        <v>0.10416666666666667</v>
      </c>
      <c r="G2948" s="62" t="b">
        <v>1</v>
      </c>
      <c r="H2948" s="78" t="b">
        <f>IF(VLOOKUP(C2948,Projetos!A:L,12,false)=TRUE,TRUE,FALSE)</f>
        <v>1</v>
      </c>
      <c r="I2948" s="68">
        <v>42.72055682419432</v>
      </c>
      <c r="J2948" s="68">
        <f t="shared" si="1"/>
        <v>106.8013921</v>
      </c>
      <c r="K2948" s="68" t="b">
        <v>1</v>
      </c>
    </row>
    <row r="2949" hidden="1">
      <c r="A2949" s="75">
        <v>2943.0</v>
      </c>
      <c r="B2949" s="62" t="s">
        <v>1306</v>
      </c>
      <c r="C2949" s="62" t="s">
        <v>108</v>
      </c>
      <c r="D2949" s="62" t="s">
        <v>1849</v>
      </c>
      <c r="E2949" s="76">
        <v>44112.0</v>
      </c>
      <c r="F2949" s="77">
        <v>0.041666666666666664</v>
      </c>
      <c r="G2949" s="62" t="b">
        <v>1</v>
      </c>
      <c r="H2949" s="78" t="b">
        <f>IF(VLOOKUP(C2949,Projetos!A:L,12,false)=TRUE,TRUE,FALSE)</f>
        <v>1</v>
      </c>
      <c r="I2949" s="68">
        <v>42.72055682419432</v>
      </c>
      <c r="J2949" s="68">
        <f t="shared" si="1"/>
        <v>42.72055682</v>
      </c>
      <c r="K2949" s="68" t="b">
        <v>1</v>
      </c>
    </row>
    <row r="2950" hidden="1">
      <c r="A2950" s="75">
        <v>2944.0</v>
      </c>
      <c r="B2950" s="62" t="s">
        <v>1306</v>
      </c>
      <c r="C2950" s="62" t="s">
        <v>108</v>
      </c>
      <c r="D2950" s="62" t="s">
        <v>1849</v>
      </c>
      <c r="E2950" s="76">
        <v>44113.0</v>
      </c>
      <c r="F2950" s="77">
        <v>0.041666666666666664</v>
      </c>
      <c r="G2950" s="62" t="b">
        <v>1</v>
      </c>
      <c r="H2950" s="78" t="b">
        <f>IF(VLOOKUP(C2950,Projetos!A:L,12,false)=TRUE,TRUE,FALSE)</f>
        <v>1</v>
      </c>
      <c r="I2950" s="68">
        <v>42.72055682419432</v>
      </c>
      <c r="J2950" s="68">
        <f t="shared" si="1"/>
        <v>42.72055682</v>
      </c>
      <c r="K2950" s="68" t="b">
        <v>1</v>
      </c>
    </row>
    <row r="2951" hidden="1">
      <c r="A2951" s="75">
        <v>2945.0</v>
      </c>
      <c r="B2951" s="62" t="s">
        <v>1306</v>
      </c>
      <c r="C2951" s="62" t="s">
        <v>108</v>
      </c>
      <c r="D2951" s="62" t="s">
        <v>1858</v>
      </c>
      <c r="E2951" s="76">
        <v>44113.0</v>
      </c>
      <c r="F2951" s="77">
        <v>0.20833333333333334</v>
      </c>
      <c r="G2951" s="62" t="b">
        <v>0</v>
      </c>
      <c r="H2951" s="78" t="b">
        <f>IF(VLOOKUP(C2951,Projetos!A:L,12,false)=TRUE,TRUE,FALSE)</f>
        <v>1</v>
      </c>
      <c r="I2951" s="68">
        <v>42.72055682419432</v>
      </c>
      <c r="J2951" s="68">
        <f t="shared" si="1"/>
        <v>0</v>
      </c>
      <c r="K2951" s="68" t="b">
        <v>1</v>
      </c>
    </row>
    <row r="2952" hidden="1">
      <c r="A2952" s="75">
        <v>2946.0</v>
      </c>
      <c r="B2952" s="62" t="s">
        <v>1306</v>
      </c>
      <c r="C2952" s="62" t="s">
        <v>108</v>
      </c>
      <c r="D2952" s="62" t="s">
        <v>1859</v>
      </c>
      <c r="E2952" s="76">
        <v>44117.0</v>
      </c>
      <c r="F2952" s="77">
        <v>0.07291666666666667</v>
      </c>
      <c r="G2952" s="62" t="b">
        <v>0</v>
      </c>
      <c r="H2952" s="78" t="b">
        <f>IF(VLOOKUP(C2952,Projetos!A:L,12,false)=TRUE,TRUE,FALSE)</f>
        <v>1</v>
      </c>
      <c r="I2952" s="68">
        <v>42.72055682419432</v>
      </c>
      <c r="J2952" s="68">
        <f t="shared" si="1"/>
        <v>0</v>
      </c>
      <c r="K2952" s="68" t="b">
        <v>1</v>
      </c>
    </row>
    <row r="2953" hidden="1">
      <c r="A2953" s="75">
        <v>2947.0</v>
      </c>
      <c r="B2953" s="62" t="s">
        <v>1306</v>
      </c>
      <c r="C2953" s="62" t="s">
        <v>108</v>
      </c>
      <c r="D2953" s="62" t="s">
        <v>1849</v>
      </c>
      <c r="E2953" s="76">
        <v>44118.0</v>
      </c>
      <c r="F2953" s="77">
        <v>0.052083333333333336</v>
      </c>
      <c r="G2953" s="62" t="b">
        <v>1</v>
      </c>
      <c r="H2953" s="78" t="b">
        <f>IF(VLOOKUP(C2953,Projetos!A:L,12,false)=TRUE,TRUE,FALSE)</f>
        <v>1</v>
      </c>
      <c r="I2953" s="68">
        <v>42.72055682419432</v>
      </c>
      <c r="J2953" s="68">
        <f t="shared" si="1"/>
        <v>53.40069603</v>
      </c>
      <c r="K2953" s="68" t="b">
        <v>1</v>
      </c>
    </row>
    <row r="2954" hidden="1">
      <c r="A2954" s="75">
        <v>2948.0</v>
      </c>
      <c r="B2954" s="62" t="s">
        <v>1306</v>
      </c>
      <c r="C2954" s="62" t="s">
        <v>108</v>
      </c>
      <c r="D2954" s="62" t="s">
        <v>1849</v>
      </c>
      <c r="E2954" s="76">
        <v>44118.0</v>
      </c>
      <c r="F2954" s="77">
        <v>0.08333333333333333</v>
      </c>
      <c r="G2954" s="62" t="b">
        <v>1</v>
      </c>
      <c r="H2954" s="78" t="b">
        <f>IF(VLOOKUP(C2954,Projetos!A:L,12,false)=TRUE,TRUE,FALSE)</f>
        <v>1</v>
      </c>
      <c r="I2954" s="68">
        <v>42.72055682419432</v>
      </c>
      <c r="J2954" s="68">
        <f t="shared" si="1"/>
        <v>85.44111365</v>
      </c>
      <c r="K2954" s="68" t="b">
        <v>1</v>
      </c>
    </row>
    <row r="2955" hidden="1">
      <c r="A2955" s="75">
        <v>2949.0</v>
      </c>
      <c r="B2955" s="62" t="s">
        <v>1306</v>
      </c>
      <c r="C2955" s="62" t="s">
        <v>108</v>
      </c>
      <c r="D2955" s="62" t="s">
        <v>1849</v>
      </c>
      <c r="E2955" s="76">
        <v>44118.0</v>
      </c>
      <c r="F2955" s="77">
        <v>0.07291666666666667</v>
      </c>
      <c r="G2955" s="62" t="b">
        <v>1</v>
      </c>
      <c r="H2955" s="78" t="b">
        <f>IF(VLOOKUP(C2955,Projetos!A:L,12,false)=TRUE,TRUE,FALSE)</f>
        <v>1</v>
      </c>
      <c r="I2955" s="68">
        <v>42.72055682419432</v>
      </c>
      <c r="J2955" s="68">
        <f t="shared" si="1"/>
        <v>74.76097444</v>
      </c>
      <c r="K2955" s="68" t="b">
        <v>1</v>
      </c>
    </row>
    <row r="2956" hidden="1">
      <c r="A2956" s="75">
        <v>2950.0</v>
      </c>
      <c r="B2956" s="62" t="s">
        <v>1306</v>
      </c>
      <c r="C2956" s="62" t="s">
        <v>108</v>
      </c>
      <c r="D2956" s="62" t="s">
        <v>1860</v>
      </c>
      <c r="E2956" s="76">
        <v>44119.0</v>
      </c>
      <c r="F2956" s="77">
        <v>0.1875</v>
      </c>
      <c r="G2956" s="62" t="b">
        <v>1</v>
      </c>
      <c r="H2956" s="78" t="b">
        <f>IF(VLOOKUP(C2956,Projetos!A:L,12,false)=TRUE,TRUE,FALSE)</f>
        <v>1</v>
      </c>
      <c r="I2956" s="68">
        <v>42.72055682419432</v>
      </c>
      <c r="J2956" s="68">
        <f t="shared" si="1"/>
        <v>192.2425057</v>
      </c>
      <c r="K2956" s="68" t="b">
        <v>1</v>
      </c>
    </row>
    <row r="2957" hidden="1">
      <c r="A2957" s="75">
        <v>2951.0</v>
      </c>
      <c r="B2957" s="62" t="s">
        <v>1306</v>
      </c>
      <c r="C2957" s="62" t="s">
        <v>108</v>
      </c>
      <c r="D2957" s="62" t="s">
        <v>1849</v>
      </c>
      <c r="E2957" s="76">
        <v>44120.0</v>
      </c>
      <c r="F2957" s="77">
        <v>0.20833333333333334</v>
      </c>
      <c r="G2957" s="62" t="b">
        <v>1</v>
      </c>
      <c r="H2957" s="78" t="b">
        <f>IF(VLOOKUP(C2957,Projetos!A:L,12,false)=TRUE,TRUE,FALSE)</f>
        <v>1</v>
      </c>
      <c r="I2957" s="68">
        <v>42.72055682419432</v>
      </c>
      <c r="J2957" s="68">
        <f t="shared" si="1"/>
        <v>213.6027841</v>
      </c>
      <c r="K2957" s="68" t="b">
        <v>1</v>
      </c>
    </row>
    <row r="2958" hidden="1">
      <c r="A2958" s="75">
        <v>2952.0</v>
      </c>
      <c r="B2958" s="62" t="s">
        <v>1306</v>
      </c>
      <c r="C2958" s="62" t="s">
        <v>108</v>
      </c>
      <c r="D2958" s="62" t="s">
        <v>1861</v>
      </c>
      <c r="E2958" s="76">
        <v>44123.0</v>
      </c>
      <c r="F2958" s="77">
        <v>0.03125</v>
      </c>
      <c r="G2958" s="62" t="b">
        <v>1</v>
      </c>
      <c r="H2958" s="78" t="b">
        <f>IF(VLOOKUP(C2958,Projetos!A:L,12,false)=TRUE,TRUE,FALSE)</f>
        <v>1</v>
      </c>
      <c r="I2958" s="68">
        <v>42.72055682419432</v>
      </c>
      <c r="J2958" s="68">
        <f t="shared" si="1"/>
        <v>32.04041762</v>
      </c>
      <c r="K2958" s="68" t="b">
        <v>1</v>
      </c>
    </row>
    <row r="2959" hidden="1">
      <c r="A2959" s="75">
        <v>2953.0</v>
      </c>
      <c r="B2959" s="62" t="s">
        <v>1306</v>
      </c>
      <c r="C2959" s="62" t="s">
        <v>108</v>
      </c>
      <c r="D2959" s="62" t="s">
        <v>1861</v>
      </c>
      <c r="E2959" s="76">
        <v>44123.0</v>
      </c>
      <c r="F2959" s="77">
        <v>0.10416666666666667</v>
      </c>
      <c r="G2959" s="62" t="b">
        <v>1</v>
      </c>
      <c r="H2959" s="78" t="b">
        <f>IF(VLOOKUP(C2959,Projetos!A:L,12,false)=TRUE,TRUE,FALSE)</f>
        <v>1</v>
      </c>
      <c r="I2959" s="68">
        <v>42.72055682419432</v>
      </c>
      <c r="J2959" s="68">
        <f t="shared" si="1"/>
        <v>106.8013921</v>
      </c>
      <c r="K2959" s="68" t="b">
        <v>1</v>
      </c>
    </row>
    <row r="2960" hidden="1">
      <c r="A2960" s="75">
        <v>2954.0</v>
      </c>
      <c r="B2960" s="62" t="s">
        <v>1306</v>
      </c>
      <c r="C2960" s="62" t="s">
        <v>108</v>
      </c>
      <c r="D2960" s="62" t="s">
        <v>1862</v>
      </c>
      <c r="E2960" s="76">
        <v>44123.0</v>
      </c>
      <c r="F2960" s="77">
        <v>0.3333333333333333</v>
      </c>
      <c r="G2960" s="62" t="b">
        <v>1</v>
      </c>
      <c r="H2960" s="78" t="b">
        <f>IF(VLOOKUP(C2960,Projetos!A:L,12,false)=TRUE,TRUE,FALSE)</f>
        <v>1</v>
      </c>
      <c r="I2960" s="68">
        <v>42.72055682419432</v>
      </c>
      <c r="J2960" s="68">
        <f t="shared" si="1"/>
        <v>341.7644546</v>
      </c>
      <c r="K2960" s="68" t="b">
        <v>1</v>
      </c>
    </row>
    <row r="2961" hidden="1">
      <c r="A2961" s="75">
        <v>2955.0</v>
      </c>
      <c r="B2961" s="62" t="s">
        <v>1306</v>
      </c>
      <c r="C2961" s="62" t="s">
        <v>108</v>
      </c>
      <c r="D2961" s="62" t="s">
        <v>475</v>
      </c>
      <c r="E2961" s="76">
        <v>44124.0</v>
      </c>
      <c r="F2961" s="77">
        <v>0.4166666666666667</v>
      </c>
      <c r="G2961" s="62" t="b">
        <v>1</v>
      </c>
      <c r="H2961" s="78" t="b">
        <f>IF(VLOOKUP(C2961,Projetos!A:L,12,false)=TRUE,TRUE,FALSE)</f>
        <v>1</v>
      </c>
      <c r="I2961" s="68">
        <v>42.72055682419432</v>
      </c>
      <c r="J2961" s="68">
        <f t="shared" si="1"/>
        <v>427.2055682</v>
      </c>
      <c r="K2961" s="68" t="b">
        <v>1</v>
      </c>
    </row>
    <row r="2962" hidden="1">
      <c r="A2962" s="75">
        <v>2956.0</v>
      </c>
      <c r="B2962" s="62" t="s">
        <v>1306</v>
      </c>
      <c r="C2962" s="62" t="s">
        <v>108</v>
      </c>
      <c r="D2962" s="62" t="s">
        <v>475</v>
      </c>
      <c r="E2962" s="76">
        <v>44125.0</v>
      </c>
      <c r="F2962" s="77">
        <v>0.4166666666666667</v>
      </c>
      <c r="G2962" s="62" t="b">
        <v>1</v>
      </c>
      <c r="H2962" s="78" t="b">
        <f>IF(VLOOKUP(C2962,Projetos!A:L,12,false)=TRUE,TRUE,FALSE)</f>
        <v>1</v>
      </c>
      <c r="I2962" s="68">
        <v>42.72055682419432</v>
      </c>
      <c r="J2962" s="68">
        <f t="shared" si="1"/>
        <v>427.2055682</v>
      </c>
      <c r="K2962" s="68" t="b">
        <v>1</v>
      </c>
    </row>
    <row r="2963" hidden="1">
      <c r="A2963" s="75">
        <v>2957.0</v>
      </c>
      <c r="B2963" s="62" t="s">
        <v>1306</v>
      </c>
      <c r="C2963" s="62" t="s">
        <v>108</v>
      </c>
      <c r="D2963" s="62" t="s">
        <v>475</v>
      </c>
      <c r="E2963" s="76">
        <v>44126.0</v>
      </c>
      <c r="F2963" s="77">
        <v>0.625</v>
      </c>
      <c r="G2963" s="62" t="b">
        <v>1</v>
      </c>
      <c r="H2963" s="78" t="b">
        <f>IF(VLOOKUP(C2963,Projetos!A:L,12,false)=TRUE,TRUE,FALSE)</f>
        <v>1</v>
      </c>
      <c r="I2963" s="68">
        <v>42.72055682419432</v>
      </c>
      <c r="J2963" s="68">
        <f t="shared" si="1"/>
        <v>640.8083524</v>
      </c>
      <c r="K2963" s="68" t="b">
        <v>1</v>
      </c>
    </row>
    <row r="2964" hidden="1">
      <c r="A2964" s="75">
        <v>2958.0</v>
      </c>
      <c r="B2964" s="62" t="s">
        <v>1306</v>
      </c>
      <c r="C2964" s="62" t="s">
        <v>108</v>
      </c>
      <c r="D2964" s="62" t="s">
        <v>1863</v>
      </c>
      <c r="E2964" s="76">
        <v>44127.0</v>
      </c>
      <c r="F2964" s="77">
        <v>0.08333333333333333</v>
      </c>
      <c r="G2964" s="62" t="b">
        <v>0</v>
      </c>
      <c r="H2964" s="78" t="b">
        <f>IF(VLOOKUP(C2964,Projetos!A:L,12,false)=TRUE,TRUE,FALSE)</f>
        <v>1</v>
      </c>
      <c r="I2964" s="68">
        <v>42.72055682419432</v>
      </c>
      <c r="J2964" s="68">
        <f t="shared" si="1"/>
        <v>0</v>
      </c>
      <c r="K2964" s="68" t="b">
        <v>1</v>
      </c>
    </row>
    <row r="2965" hidden="1">
      <c r="A2965" s="75">
        <v>2959.0</v>
      </c>
      <c r="B2965" s="62" t="s">
        <v>1306</v>
      </c>
      <c r="C2965" s="62" t="s">
        <v>108</v>
      </c>
      <c r="D2965" s="62" t="s">
        <v>1864</v>
      </c>
      <c r="E2965" s="76">
        <v>44127.0</v>
      </c>
      <c r="F2965" s="77">
        <v>0.14583333333333334</v>
      </c>
      <c r="G2965" s="62" t="b">
        <v>1</v>
      </c>
      <c r="H2965" s="78" t="b">
        <f>IF(VLOOKUP(C2965,Projetos!A:L,12,false)=TRUE,TRUE,FALSE)</f>
        <v>1</v>
      </c>
      <c r="I2965" s="68">
        <v>42.72055682419432</v>
      </c>
      <c r="J2965" s="68">
        <f t="shared" si="1"/>
        <v>149.5219489</v>
      </c>
      <c r="K2965" s="68" t="b">
        <v>1</v>
      </c>
    </row>
    <row r="2966" hidden="1">
      <c r="A2966" s="75">
        <v>2960.0</v>
      </c>
      <c r="B2966" s="62" t="s">
        <v>1306</v>
      </c>
      <c r="C2966" s="62" t="s">
        <v>108</v>
      </c>
      <c r="D2966" s="62" t="s">
        <v>1865</v>
      </c>
      <c r="E2966" s="76">
        <v>44130.0</v>
      </c>
      <c r="F2966" s="77">
        <v>0.041666666666666664</v>
      </c>
      <c r="G2966" s="62" t="b">
        <v>0</v>
      </c>
      <c r="H2966" s="78" t="b">
        <f>IF(VLOOKUP(C2966,Projetos!A:L,12,false)=TRUE,TRUE,FALSE)</f>
        <v>1</v>
      </c>
      <c r="I2966" s="68">
        <v>42.72055682419432</v>
      </c>
      <c r="J2966" s="68">
        <f t="shared" si="1"/>
        <v>0</v>
      </c>
      <c r="K2966" s="68" t="b">
        <v>1</v>
      </c>
    </row>
    <row r="2967" hidden="1">
      <c r="A2967" s="75">
        <v>2961.0</v>
      </c>
      <c r="B2967" s="62" t="s">
        <v>1306</v>
      </c>
      <c r="C2967" s="62" t="s">
        <v>108</v>
      </c>
      <c r="D2967" s="62" t="s">
        <v>1866</v>
      </c>
      <c r="E2967" s="76">
        <v>44130.0</v>
      </c>
      <c r="F2967" s="77">
        <v>0.16666666666666666</v>
      </c>
      <c r="G2967" s="62" t="b">
        <v>0</v>
      </c>
      <c r="H2967" s="78" t="b">
        <f>IF(VLOOKUP(C2967,Projetos!A:L,12,false)=TRUE,TRUE,FALSE)</f>
        <v>1</v>
      </c>
      <c r="I2967" s="68">
        <v>42.72055682419432</v>
      </c>
      <c r="J2967" s="68">
        <f t="shared" si="1"/>
        <v>0</v>
      </c>
      <c r="K2967" s="68" t="b">
        <v>1</v>
      </c>
    </row>
    <row r="2968" hidden="1">
      <c r="A2968" s="75">
        <v>2962.0</v>
      </c>
      <c r="B2968" s="62" t="s">
        <v>1306</v>
      </c>
      <c r="C2968" s="62" t="s">
        <v>108</v>
      </c>
      <c r="D2968" s="62" t="s">
        <v>1867</v>
      </c>
      <c r="E2968" s="76">
        <v>44131.0</v>
      </c>
      <c r="F2968" s="77">
        <v>0.21875</v>
      </c>
      <c r="G2968" s="62" t="b">
        <v>0</v>
      </c>
      <c r="H2968" s="78" t="b">
        <f>IF(VLOOKUP(C2968,Projetos!A:L,12,false)=TRUE,TRUE,FALSE)</f>
        <v>1</v>
      </c>
      <c r="I2968" s="68">
        <v>42.72055682419432</v>
      </c>
      <c r="J2968" s="68">
        <f t="shared" si="1"/>
        <v>0</v>
      </c>
      <c r="K2968" s="68" t="b">
        <v>1</v>
      </c>
    </row>
    <row r="2969" hidden="1">
      <c r="A2969" s="75">
        <v>2963.0</v>
      </c>
      <c r="B2969" s="62" t="s">
        <v>1306</v>
      </c>
      <c r="C2969" s="62" t="s">
        <v>108</v>
      </c>
      <c r="D2969" s="62" t="s">
        <v>1866</v>
      </c>
      <c r="E2969" s="76">
        <v>44131.0</v>
      </c>
      <c r="F2969" s="77">
        <v>0.14583333333333334</v>
      </c>
      <c r="G2969" s="62" t="b">
        <v>0</v>
      </c>
      <c r="H2969" s="78" t="b">
        <f>IF(VLOOKUP(C2969,Projetos!A:L,12,false)=TRUE,TRUE,FALSE)</f>
        <v>1</v>
      </c>
      <c r="I2969" s="68">
        <v>42.72055682419432</v>
      </c>
      <c r="J2969" s="68">
        <f t="shared" si="1"/>
        <v>0</v>
      </c>
      <c r="K2969" s="68" t="b">
        <v>1</v>
      </c>
    </row>
    <row r="2970" hidden="1">
      <c r="A2970" s="75">
        <v>2964.0</v>
      </c>
      <c r="B2970" s="62" t="s">
        <v>1306</v>
      </c>
      <c r="C2970" s="62" t="s">
        <v>108</v>
      </c>
      <c r="D2970" s="62" t="s">
        <v>1868</v>
      </c>
      <c r="E2970" s="76">
        <v>44132.0</v>
      </c>
      <c r="F2970" s="77">
        <v>0.20833333333333334</v>
      </c>
      <c r="G2970" s="62" t="b">
        <v>1</v>
      </c>
      <c r="H2970" s="78" t="b">
        <f>IF(VLOOKUP(C2970,Projetos!A:L,12,false)=TRUE,TRUE,FALSE)</f>
        <v>1</v>
      </c>
      <c r="I2970" s="68">
        <v>42.72055682419432</v>
      </c>
      <c r="J2970" s="68">
        <f t="shared" si="1"/>
        <v>213.6027841</v>
      </c>
      <c r="K2970" s="68" t="b">
        <v>1</v>
      </c>
    </row>
    <row r="2971" hidden="1">
      <c r="A2971" s="75">
        <v>2965.0</v>
      </c>
      <c r="B2971" s="62" t="s">
        <v>1306</v>
      </c>
      <c r="C2971" s="62" t="s">
        <v>108</v>
      </c>
      <c r="D2971" s="62" t="s">
        <v>1869</v>
      </c>
      <c r="E2971" s="76">
        <v>44133.0</v>
      </c>
      <c r="F2971" s="77">
        <v>0.052083333333333336</v>
      </c>
      <c r="G2971" s="62" t="b">
        <v>0</v>
      </c>
      <c r="H2971" s="78" t="b">
        <f>IF(VLOOKUP(C2971,Projetos!A:L,12,false)=TRUE,TRUE,FALSE)</f>
        <v>1</v>
      </c>
      <c r="I2971" s="68">
        <v>42.72055682419432</v>
      </c>
      <c r="J2971" s="68">
        <f t="shared" si="1"/>
        <v>0</v>
      </c>
      <c r="K2971" s="68" t="b">
        <v>1</v>
      </c>
    </row>
    <row r="2972" hidden="1">
      <c r="A2972" s="75">
        <v>2966.0</v>
      </c>
      <c r="B2972" s="62" t="s">
        <v>1306</v>
      </c>
      <c r="C2972" s="62" t="s">
        <v>108</v>
      </c>
      <c r="D2972" s="62" t="s">
        <v>1870</v>
      </c>
      <c r="E2972" s="76">
        <v>44133.0</v>
      </c>
      <c r="F2972" s="77">
        <v>0.041666666666666664</v>
      </c>
      <c r="G2972" s="62" t="b">
        <v>0</v>
      </c>
      <c r="H2972" s="78" t="b">
        <f>IF(VLOOKUP(C2972,Projetos!A:L,12,false)=TRUE,TRUE,FALSE)</f>
        <v>1</v>
      </c>
      <c r="I2972" s="68">
        <v>42.72055682419432</v>
      </c>
      <c r="J2972" s="68">
        <f t="shared" si="1"/>
        <v>0</v>
      </c>
      <c r="K2972" s="68" t="b">
        <v>1</v>
      </c>
    </row>
    <row r="2973" hidden="1">
      <c r="A2973" s="75">
        <v>2967.0</v>
      </c>
      <c r="B2973" s="62" t="s">
        <v>1306</v>
      </c>
      <c r="C2973" s="62" t="s">
        <v>108</v>
      </c>
      <c r="D2973" s="62" t="s">
        <v>1871</v>
      </c>
      <c r="E2973" s="76">
        <v>44134.0</v>
      </c>
      <c r="F2973" s="77">
        <v>0.0625</v>
      </c>
      <c r="G2973" s="62" t="b">
        <v>0</v>
      </c>
      <c r="H2973" s="78" t="b">
        <f>IF(VLOOKUP(C2973,Projetos!A:L,12,false)=TRUE,TRUE,FALSE)</f>
        <v>1</v>
      </c>
      <c r="I2973" s="68">
        <v>42.72055682419432</v>
      </c>
      <c r="J2973" s="68">
        <f t="shared" si="1"/>
        <v>0</v>
      </c>
      <c r="K2973" s="68" t="b">
        <v>1</v>
      </c>
    </row>
    <row r="2974" hidden="1">
      <c r="A2974" s="75">
        <v>2968.0</v>
      </c>
      <c r="B2974" s="62" t="s">
        <v>1306</v>
      </c>
      <c r="C2974" s="62" t="s">
        <v>108</v>
      </c>
      <c r="D2974" s="62" t="s">
        <v>1868</v>
      </c>
      <c r="E2974" s="76">
        <v>44134.0</v>
      </c>
      <c r="F2974" s="77">
        <v>0.125</v>
      </c>
      <c r="G2974" s="62" t="b">
        <v>0</v>
      </c>
      <c r="H2974" s="78" t="b">
        <f>IF(VLOOKUP(C2974,Projetos!A:L,12,false)=TRUE,TRUE,FALSE)</f>
        <v>1</v>
      </c>
      <c r="I2974" s="68">
        <v>42.72055682419432</v>
      </c>
      <c r="J2974" s="68">
        <f t="shared" si="1"/>
        <v>0</v>
      </c>
      <c r="K2974" s="68" t="b">
        <v>1</v>
      </c>
    </row>
    <row r="2975" hidden="1">
      <c r="A2975" s="75">
        <v>2969.0</v>
      </c>
      <c r="B2975" s="62" t="s">
        <v>1306</v>
      </c>
      <c r="C2975" s="62" t="s">
        <v>109</v>
      </c>
      <c r="D2975" s="62" t="s">
        <v>1872</v>
      </c>
      <c r="E2975" s="76">
        <v>44109.0</v>
      </c>
      <c r="F2975" s="77">
        <v>0.020833333333333332</v>
      </c>
      <c r="G2975" s="62" t="b">
        <v>0</v>
      </c>
      <c r="H2975" s="78" t="b">
        <f>IF(VLOOKUP(C2975,Projetos!A:L,12,false)=TRUE,TRUE,FALSE)</f>
        <v>0</v>
      </c>
      <c r="I2975" s="68">
        <v>42.72055682419432</v>
      </c>
      <c r="J2975" s="68">
        <f t="shared" si="1"/>
        <v>0</v>
      </c>
      <c r="K2975" s="68" t="b">
        <v>0</v>
      </c>
    </row>
    <row r="2976" hidden="1">
      <c r="A2976" s="75">
        <v>2970.0</v>
      </c>
      <c r="B2976" s="62" t="s">
        <v>1306</v>
      </c>
      <c r="C2976" s="62" t="s">
        <v>109</v>
      </c>
      <c r="D2976" s="62" t="s">
        <v>1873</v>
      </c>
      <c r="E2976" s="76">
        <v>44109.0</v>
      </c>
      <c r="F2976" s="77">
        <v>0.020833333333333332</v>
      </c>
      <c r="G2976" s="62" t="b">
        <v>0</v>
      </c>
      <c r="H2976" s="78" t="b">
        <f>IF(VLOOKUP(C2976,Projetos!A:L,12,false)=TRUE,TRUE,FALSE)</f>
        <v>0</v>
      </c>
      <c r="I2976" s="68">
        <v>42.72055682419432</v>
      </c>
      <c r="J2976" s="68">
        <f t="shared" si="1"/>
        <v>0</v>
      </c>
      <c r="K2976" s="68" t="b">
        <v>0</v>
      </c>
    </row>
    <row r="2977" hidden="1">
      <c r="A2977" s="75">
        <v>2971.0</v>
      </c>
      <c r="B2977" s="62" t="s">
        <v>1306</v>
      </c>
      <c r="C2977" s="62" t="s">
        <v>109</v>
      </c>
      <c r="D2977" s="62" t="s">
        <v>1874</v>
      </c>
      <c r="E2977" s="76">
        <v>44117.0</v>
      </c>
      <c r="F2977" s="77">
        <v>0.041666666666666664</v>
      </c>
      <c r="G2977" s="62" t="b">
        <v>0</v>
      </c>
      <c r="H2977" s="78" t="b">
        <f>IF(VLOOKUP(C2977,Projetos!A:L,12,false)=TRUE,TRUE,FALSE)</f>
        <v>0</v>
      </c>
      <c r="I2977" s="68">
        <v>42.72055682419432</v>
      </c>
      <c r="J2977" s="68">
        <f t="shared" si="1"/>
        <v>0</v>
      </c>
      <c r="K2977" s="68" t="b">
        <v>0</v>
      </c>
    </row>
    <row r="2978" hidden="1">
      <c r="A2978" s="75">
        <v>2972.0</v>
      </c>
      <c r="B2978" s="62" t="s">
        <v>1306</v>
      </c>
      <c r="C2978" s="62" t="s">
        <v>110</v>
      </c>
      <c r="D2978" s="62" t="s">
        <v>1875</v>
      </c>
      <c r="E2978" s="76">
        <v>44109.0</v>
      </c>
      <c r="F2978" s="77">
        <v>0.041666666666666664</v>
      </c>
      <c r="G2978" s="62" t="b">
        <v>1</v>
      </c>
      <c r="H2978" s="78" t="b">
        <f>IF(VLOOKUP(C2978,Projetos!A:L,12,false)=TRUE,TRUE,FALSE)</f>
        <v>1</v>
      </c>
      <c r="I2978" s="68">
        <v>42.72055682419432</v>
      </c>
      <c r="J2978" s="68">
        <f t="shared" si="1"/>
        <v>42.72055682</v>
      </c>
      <c r="K2978" s="68" t="b">
        <v>1</v>
      </c>
    </row>
    <row r="2979" hidden="1">
      <c r="A2979" s="75">
        <v>2973.0</v>
      </c>
      <c r="B2979" s="62" t="s">
        <v>1306</v>
      </c>
      <c r="C2979" s="62" t="s">
        <v>110</v>
      </c>
      <c r="D2979" s="62" t="s">
        <v>1876</v>
      </c>
      <c r="E2979" s="76">
        <v>44113.0</v>
      </c>
      <c r="F2979" s="77">
        <v>0.09375</v>
      </c>
      <c r="G2979" s="62" t="b">
        <v>1</v>
      </c>
      <c r="H2979" s="78" t="b">
        <f>IF(VLOOKUP(C2979,Projetos!A:L,12,false)=TRUE,TRUE,FALSE)</f>
        <v>1</v>
      </c>
      <c r="I2979" s="68">
        <v>42.72055682419432</v>
      </c>
      <c r="J2979" s="68">
        <f t="shared" si="1"/>
        <v>96.12125285</v>
      </c>
      <c r="K2979" s="68" t="b">
        <v>1</v>
      </c>
    </row>
    <row r="2980" hidden="1">
      <c r="A2980" s="75">
        <v>2974.0</v>
      </c>
      <c r="B2980" s="62" t="s">
        <v>1306</v>
      </c>
      <c r="C2980" s="62" t="s">
        <v>111</v>
      </c>
      <c r="D2980" s="62" t="s">
        <v>1877</v>
      </c>
      <c r="E2980" s="76">
        <v>44110.0</v>
      </c>
      <c r="F2980" s="77">
        <v>0.020833333333333332</v>
      </c>
      <c r="G2980" s="62" t="b">
        <v>0</v>
      </c>
      <c r="H2980" s="78" t="b">
        <f>IF(VLOOKUP(C2980,Projetos!A:L,12,false)=TRUE,TRUE,FALSE)</f>
        <v>0</v>
      </c>
      <c r="I2980" s="68">
        <v>42.72055682419432</v>
      </c>
      <c r="J2980" s="68">
        <f t="shared" si="1"/>
        <v>0</v>
      </c>
      <c r="K2980" s="68" t="b">
        <v>0</v>
      </c>
    </row>
    <row r="2981" hidden="1">
      <c r="A2981" s="75">
        <v>2975.0</v>
      </c>
      <c r="B2981" s="62" t="s">
        <v>1306</v>
      </c>
      <c r="C2981" s="62" t="s">
        <v>113</v>
      </c>
      <c r="D2981" s="62" t="s">
        <v>1878</v>
      </c>
      <c r="E2981" s="76">
        <v>44127.0</v>
      </c>
      <c r="F2981" s="77">
        <v>0.020833333333333332</v>
      </c>
      <c r="G2981" s="62" t="b">
        <v>1</v>
      </c>
      <c r="H2981" s="78" t="b">
        <f>IF(VLOOKUP(C2981,Projetos!A:L,12,false)=TRUE,TRUE,FALSE)</f>
        <v>1</v>
      </c>
      <c r="I2981" s="68">
        <v>42.72055682419432</v>
      </c>
      <c r="J2981" s="68">
        <f t="shared" si="1"/>
        <v>21.36027841</v>
      </c>
      <c r="K2981" s="68" t="b">
        <v>1</v>
      </c>
    </row>
    <row r="2982" hidden="1">
      <c r="A2982" s="75">
        <v>2976.0</v>
      </c>
      <c r="B2982" s="62" t="s">
        <v>1306</v>
      </c>
      <c r="C2982" s="62" t="s">
        <v>113</v>
      </c>
      <c r="D2982" s="62" t="s">
        <v>1308</v>
      </c>
      <c r="E2982" s="76">
        <v>44130.0</v>
      </c>
      <c r="F2982" s="77">
        <v>0.041666666666666664</v>
      </c>
      <c r="G2982" s="62" t="b">
        <v>1</v>
      </c>
      <c r="H2982" s="78" t="b">
        <f>IF(VLOOKUP(C2982,Projetos!A:L,12,false)=TRUE,TRUE,FALSE)</f>
        <v>1</v>
      </c>
      <c r="I2982" s="68">
        <v>42.72055682419432</v>
      </c>
      <c r="J2982" s="68">
        <f t="shared" si="1"/>
        <v>42.72055682</v>
      </c>
      <c r="K2982" s="68" t="b">
        <v>1</v>
      </c>
    </row>
    <row r="2983" hidden="1">
      <c r="A2983" s="75">
        <v>2977.0</v>
      </c>
      <c r="B2983" s="62" t="s">
        <v>1306</v>
      </c>
      <c r="C2983" s="62" t="s">
        <v>108</v>
      </c>
      <c r="D2983" s="62" t="s">
        <v>1879</v>
      </c>
      <c r="E2983" s="76">
        <v>44138.0</v>
      </c>
      <c r="F2983" s="77">
        <v>0.03125</v>
      </c>
      <c r="G2983" s="62" t="b">
        <v>1</v>
      </c>
      <c r="H2983" s="78" t="b">
        <f>IF(VLOOKUP(C2983,Projetos!A:L,12,false)=TRUE,TRUE,FALSE)</f>
        <v>1</v>
      </c>
      <c r="I2983" s="68">
        <v>41.447525582529835</v>
      </c>
      <c r="J2983" s="68">
        <f t="shared" si="1"/>
        <v>31.08564419</v>
      </c>
      <c r="K2983" s="68" t="b">
        <v>1</v>
      </c>
    </row>
    <row r="2984" hidden="1">
      <c r="A2984" s="75">
        <v>2978.0</v>
      </c>
      <c r="B2984" s="62" t="s">
        <v>1306</v>
      </c>
      <c r="C2984" s="62" t="s">
        <v>108</v>
      </c>
      <c r="D2984" s="62" t="s">
        <v>1880</v>
      </c>
      <c r="E2984" s="76">
        <v>44138.0</v>
      </c>
      <c r="F2984" s="77">
        <v>0.041666666666666664</v>
      </c>
      <c r="G2984" s="62" t="b">
        <v>0</v>
      </c>
      <c r="H2984" s="78" t="b">
        <f>IF(VLOOKUP(C2984,Projetos!A:L,12,false)=TRUE,TRUE,FALSE)</f>
        <v>1</v>
      </c>
      <c r="I2984" s="68">
        <v>41.447525582529835</v>
      </c>
      <c r="J2984" s="68">
        <f t="shared" si="1"/>
        <v>0</v>
      </c>
      <c r="K2984" s="68" t="b">
        <v>1</v>
      </c>
    </row>
    <row r="2985" hidden="1">
      <c r="A2985" s="75">
        <v>2979.0</v>
      </c>
      <c r="B2985" s="62" t="s">
        <v>1306</v>
      </c>
      <c r="C2985" s="62" t="s">
        <v>110</v>
      </c>
      <c r="D2985" s="62" t="s">
        <v>1881</v>
      </c>
      <c r="E2985" s="76">
        <v>44138.0</v>
      </c>
      <c r="F2985" s="77">
        <v>0.020833333333333332</v>
      </c>
      <c r="G2985" s="62" t="b">
        <v>1</v>
      </c>
      <c r="H2985" s="78" t="b">
        <f>IF(VLOOKUP(C2985,Projetos!A:L,12,false)=TRUE,TRUE,FALSE)</f>
        <v>1</v>
      </c>
      <c r="I2985" s="68">
        <v>41.447525582529835</v>
      </c>
      <c r="J2985" s="68">
        <f t="shared" si="1"/>
        <v>20.72376279</v>
      </c>
      <c r="K2985" s="68" t="b">
        <v>1</v>
      </c>
    </row>
    <row r="2986" hidden="1">
      <c r="A2986" s="75">
        <v>2980.0</v>
      </c>
      <c r="B2986" s="62" t="s">
        <v>1306</v>
      </c>
      <c r="C2986" s="62" t="s">
        <v>110</v>
      </c>
      <c r="D2986" s="62" t="s">
        <v>1882</v>
      </c>
      <c r="E2986" s="76">
        <v>44138.0</v>
      </c>
      <c r="F2986" s="77">
        <v>0.041666666666666664</v>
      </c>
      <c r="G2986" s="62" t="b">
        <v>1</v>
      </c>
      <c r="H2986" s="78" t="b">
        <f>IF(VLOOKUP(C2986,Projetos!A:L,12,false)=TRUE,TRUE,FALSE)</f>
        <v>1</v>
      </c>
      <c r="I2986" s="68">
        <v>41.447525582529835</v>
      </c>
      <c r="J2986" s="68">
        <f t="shared" si="1"/>
        <v>41.44752558</v>
      </c>
      <c r="K2986" s="68" t="b">
        <v>1</v>
      </c>
    </row>
    <row r="2987" hidden="1">
      <c r="A2987" s="75">
        <v>2981.0</v>
      </c>
      <c r="B2987" s="62" t="s">
        <v>1306</v>
      </c>
      <c r="C2987" s="62" t="s">
        <v>108</v>
      </c>
      <c r="D2987" s="62" t="s">
        <v>1883</v>
      </c>
      <c r="E2987" s="76">
        <v>44138.0</v>
      </c>
      <c r="F2987" s="77">
        <v>0.10416666666666667</v>
      </c>
      <c r="G2987" s="62" t="b">
        <v>0</v>
      </c>
      <c r="H2987" s="78" t="b">
        <f>IF(VLOOKUP(C2987,Projetos!A:L,12,false)=TRUE,TRUE,FALSE)</f>
        <v>1</v>
      </c>
      <c r="I2987" s="68">
        <v>41.447525582529835</v>
      </c>
      <c r="J2987" s="68">
        <f t="shared" si="1"/>
        <v>0</v>
      </c>
      <c r="K2987" s="68" t="b">
        <v>1</v>
      </c>
    </row>
    <row r="2988" hidden="1">
      <c r="A2988" s="75">
        <v>2982.0</v>
      </c>
      <c r="B2988" s="62" t="s">
        <v>1306</v>
      </c>
      <c r="C2988" s="62" t="s">
        <v>88</v>
      </c>
      <c r="D2988" s="62" t="s">
        <v>1884</v>
      </c>
      <c r="E2988" s="76">
        <v>44138.0</v>
      </c>
      <c r="F2988" s="77">
        <v>0.125</v>
      </c>
      <c r="G2988" s="62" t="b">
        <v>1</v>
      </c>
      <c r="H2988" s="78" t="b">
        <f>IF(VLOOKUP(C2988,Projetos!A:L,12,false)=TRUE,TRUE,FALSE)</f>
        <v>1</v>
      </c>
      <c r="I2988" s="68">
        <v>41.447525582529835</v>
      </c>
      <c r="J2988" s="68">
        <f t="shared" si="1"/>
        <v>124.3425767</v>
      </c>
      <c r="K2988" s="68" t="b">
        <v>1</v>
      </c>
    </row>
    <row r="2989" hidden="1">
      <c r="A2989" s="75">
        <v>2983.0</v>
      </c>
      <c r="B2989" s="62" t="s">
        <v>1306</v>
      </c>
      <c r="C2989" s="62" t="s">
        <v>108</v>
      </c>
      <c r="D2989" s="62" t="s">
        <v>1885</v>
      </c>
      <c r="E2989" s="76">
        <v>44139.0</v>
      </c>
      <c r="F2989" s="77">
        <v>0.041666666666666664</v>
      </c>
      <c r="G2989" s="62" t="b">
        <v>0</v>
      </c>
      <c r="H2989" s="78" t="b">
        <f>IF(VLOOKUP(C2989,Projetos!A:L,12,false)=TRUE,TRUE,FALSE)</f>
        <v>1</v>
      </c>
      <c r="I2989" s="68">
        <v>41.447525582529835</v>
      </c>
      <c r="J2989" s="68">
        <f t="shared" si="1"/>
        <v>0</v>
      </c>
      <c r="K2989" s="68" t="b">
        <v>1</v>
      </c>
    </row>
    <row r="2990" hidden="1">
      <c r="A2990" s="75">
        <v>2984.0</v>
      </c>
      <c r="B2990" s="62" t="s">
        <v>1306</v>
      </c>
      <c r="C2990" s="62" t="s">
        <v>88</v>
      </c>
      <c r="D2990" s="62" t="s">
        <v>1886</v>
      </c>
      <c r="E2990" s="76">
        <v>44139.0</v>
      </c>
      <c r="F2990" s="77">
        <v>0.052083333333333336</v>
      </c>
      <c r="G2990" s="62" t="b">
        <v>1</v>
      </c>
      <c r="H2990" s="78" t="b">
        <f>IF(VLOOKUP(C2990,Projetos!A:L,12,false)=TRUE,TRUE,FALSE)</f>
        <v>1</v>
      </c>
      <c r="I2990" s="68">
        <v>41.447525582529835</v>
      </c>
      <c r="J2990" s="68">
        <f t="shared" si="1"/>
        <v>51.80940698</v>
      </c>
      <c r="K2990" s="68" t="b">
        <v>1</v>
      </c>
    </row>
    <row r="2991" hidden="1">
      <c r="A2991" s="75">
        <v>2985.0</v>
      </c>
      <c r="B2991" s="62" t="s">
        <v>1306</v>
      </c>
      <c r="C2991" s="62" t="s">
        <v>88</v>
      </c>
      <c r="D2991" s="62" t="s">
        <v>1887</v>
      </c>
      <c r="E2991" s="76">
        <v>44139.0</v>
      </c>
      <c r="F2991" s="77">
        <v>0.020833333333333332</v>
      </c>
      <c r="G2991" s="62" t="b">
        <v>1</v>
      </c>
      <c r="H2991" s="78" t="b">
        <f>IF(VLOOKUP(C2991,Projetos!A:L,12,false)=TRUE,TRUE,FALSE)</f>
        <v>1</v>
      </c>
      <c r="I2991" s="68">
        <v>41.447525582529835</v>
      </c>
      <c r="J2991" s="68">
        <f t="shared" si="1"/>
        <v>20.72376279</v>
      </c>
      <c r="K2991" s="68" t="b">
        <v>1</v>
      </c>
    </row>
    <row r="2992" hidden="1">
      <c r="A2992" s="75">
        <v>2986.0</v>
      </c>
      <c r="B2992" s="62" t="s">
        <v>1306</v>
      </c>
      <c r="C2992" s="62" t="s">
        <v>110</v>
      </c>
      <c r="D2992" s="62" t="s">
        <v>1888</v>
      </c>
      <c r="E2992" s="76">
        <v>44139.0</v>
      </c>
      <c r="F2992" s="77">
        <v>0.0625</v>
      </c>
      <c r="G2992" s="62" t="b">
        <v>1</v>
      </c>
      <c r="H2992" s="78" t="b">
        <f>IF(VLOOKUP(C2992,Projetos!A:L,12,false)=TRUE,TRUE,FALSE)</f>
        <v>1</v>
      </c>
      <c r="I2992" s="68">
        <v>41.447525582529835</v>
      </c>
      <c r="J2992" s="68">
        <f t="shared" si="1"/>
        <v>62.17128837</v>
      </c>
      <c r="K2992" s="68" t="b">
        <v>1</v>
      </c>
    </row>
    <row r="2993" hidden="1">
      <c r="A2993" s="75">
        <v>2987.0</v>
      </c>
      <c r="B2993" s="62" t="s">
        <v>1306</v>
      </c>
      <c r="C2993" s="62" t="s">
        <v>108</v>
      </c>
      <c r="D2993" s="62" t="s">
        <v>1889</v>
      </c>
      <c r="E2993" s="76">
        <v>44139.0</v>
      </c>
      <c r="F2993" s="77">
        <v>0.020833333333333332</v>
      </c>
      <c r="G2993" s="62" t="b">
        <v>0</v>
      </c>
      <c r="H2993" s="78" t="b">
        <f>IF(VLOOKUP(C2993,Projetos!A:L,12,false)=TRUE,TRUE,FALSE)</f>
        <v>1</v>
      </c>
      <c r="I2993" s="68">
        <v>41.447525582529835</v>
      </c>
      <c r="J2993" s="68">
        <f t="shared" si="1"/>
        <v>0</v>
      </c>
      <c r="K2993" s="68" t="b">
        <v>1</v>
      </c>
    </row>
    <row r="2994" hidden="1">
      <c r="A2994" s="75">
        <v>2988.0</v>
      </c>
      <c r="B2994" s="62" t="s">
        <v>1306</v>
      </c>
      <c r="C2994" s="62" t="s">
        <v>90</v>
      </c>
      <c r="D2994" s="62" t="s">
        <v>1890</v>
      </c>
      <c r="E2994" s="76">
        <v>44139.0</v>
      </c>
      <c r="F2994" s="77">
        <v>0.041666666666666664</v>
      </c>
      <c r="G2994" s="62" t="b">
        <v>1</v>
      </c>
      <c r="H2994" s="78" t="b">
        <f>IF(VLOOKUP(C2994,Projetos!A:L,12,false)=TRUE,TRUE,FALSE)</f>
        <v>1</v>
      </c>
      <c r="I2994" s="68">
        <v>41.447525582529835</v>
      </c>
      <c r="J2994" s="68">
        <f t="shared" si="1"/>
        <v>41.44752558</v>
      </c>
      <c r="K2994" s="68" t="b">
        <v>1</v>
      </c>
    </row>
    <row r="2995" hidden="1">
      <c r="A2995" s="75">
        <v>2989.0</v>
      </c>
      <c r="B2995" s="62" t="s">
        <v>1306</v>
      </c>
      <c r="C2995" s="62" t="s">
        <v>108</v>
      </c>
      <c r="D2995" s="62" t="s">
        <v>1891</v>
      </c>
      <c r="E2995" s="76">
        <v>44139.0</v>
      </c>
      <c r="F2995" s="77">
        <v>0.08333333333333333</v>
      </c>
      <c r="G2995" s="62" t="b">
        <v>0</v>
      </c>
      <c r="H2995" s="78" t="b">
        <f>IF(VLOOKUP(C2995,Projetos!A:L,12,false)=TRUE,TRUE,FALSE)</f>
        <v>1</v>
      </c>
      <c r="I2995" s="68">
        <v>41.447525582529835</v>
      </c>
      <c r="J2995" s="68">
        <f t="shared" si="1"/>
        <v>0</v>
      </c>
      <c r="K2995" s="68" t="b">
        <v>1</v>
      </c>
    </row>
    <row r="2996" hidden="1">
      <c r="A2996" s="75">
        <v>2990.0</v>
      </c>
      <c r="B2996" s="62" t="s">
        <v>1306</v>
      </c>
      <c r="C2996" s="62" t="s">
        <v>90</v>
      </c>
      <c r="D2996" s="62" t="s">
        <v>1892</v>
      </c>
      <c r="E2996" s="76">
        <v>44140.0</v>
      </c>
      <c r="F2996" s="77">
        <v>0.19791666666666666</v>
      </c>
      <c r="G2996" s="62" t="b">
        <v>1</v>
      </c>
      <c r="H2996" s="78" t="b">
        <f>IF(VLOOKUP(C2996,Projetos!A:L,12,false)=TRUE,TRUE,FALSE)</f>
        <v>1</v>
      </c>
      <c r="I2996" s="68">
        <v>41.447525582529835</v>
      </c>
      <c r="J2996" s="68">
        <f t="shared" si="1"/>
        <v>196.8757465</v>
      </c>
      <c r="K2996" s="68" t="b">
        <v>1</v>
      </c>
    </row>
    <row r="2997" hidden="1">
      <c r="A2997" s="75">
        <v>2991.0</v>
      </c>
      <c r="B2997" s="62" t="s">
        <v>1306</v>
      </c>
      <c r="C2997" s="62" t="s">
        <v>90</v>
      </c>
      <c r="D2997" s="62" t="s">
        <v>1893</v>
      </c>
      <c r="E2997" s="76">
        <v>44140.0</v>
      </c>
      <c r="F2997" s="77">
        <v>0.041666666666666664</v>
      </c>
      <c r="G2997" s="62" t="b">
        <v>1</v>
      </c>
      <c r="H2997" s="78" t="b">
        <f>IF(VLOOKUP(C2997,Projetos!A:L,12,false)=TRUE,TRUE,FALSE)</f>
        <v>1</v>
      </c>
      <c r="I2997" s="68">
        <v>41.447525582529835</v>
      </c>
      <c r="J2997" s="68">
        <f t="shared" si="1"/>
        <v>41.44752558</v>
      </c>
      <c r="K2997" s="68" t="b">
        <v>1</v>
      </c>
    </row>
    <row r="2998" hidden="1">
      <c r="A2998" s="75">
        <v>2992.0</v>
      </c>
      <c r="B2998" s="62" t="s">
        <v>1306</v>
      </c>
      <c r="C2998" s="62" t="s">
        <v>88</v>
      </c>
      <c r="D2998" s="62" t="s">
        <v>1894</v>
      </c>
      <c r="E2998" s="76">
        <v>44140.0</v>
      </c>
      <c r="F2998" s="77">
        <v>0.041666666666666664</v>
      </c>
      <c r="G2998" s="62" t="b">
        <v>1</v>
      </c>
      <c r="H2998" s="78" t="b">
        <f>IF(VLOOKUP(C2998,Projetos!A:L,12,false)=TRUE,TRUE,FALSE)</f>
        <v>1</v>
      </c>
      <c r="I2998" s="68">
        <v>41.447525582529835</v>
      </c>
      <c r="J2998" s="68">
        <f t="shared" si="1"/>
        <v>41.44752558</v>
      </c>
      <c r="K2998" s="68" t="b">
        <v>1</v>
      </c>
    </row>
    <row r="2999" hidden="1">
      <c r="A2999" s="75">
        <v>2993.0</v>
      </c>
      <c r="B2999" s="62" t="s">
        <v>1306</v>
      </c>
      <c r="C2999" s="62" t="s">
        <v>108</v>
      </c>
      <c r="D2999" s="62" t="s">
        <v>1879</v>
      </c>
      <c r="E2999" s="76">
        <v>44140.0</v>
      </c>
      <c r="F2999" s="77">
        <v>0.020833333333333332</v>
      </c>
      <c r="G2999" s="62" t="b">
        <v>0</v>
      </c>
      <c r="H2999" s="78" t="b">
        <f>IF(VLOOKUP(C2999,Projetos!A:L,12,false)=TRUE,TRUE,FALSE)</f>
        <v>1</v>
      </c>
      <c r="I2999" s="68">
        <v>41.447525582529835</v>
      </c>
      <c r="J2999" s="68">
        <f t="shared" si="1"/>
        <v>0</v>
      </c>
      <c r="K2999" s="68" t="b">
        <v>1</v>
      </c>
    </row>
    <row r="3000" hidden="1">
      <c r="A3000" s="75">
        <v>2994.0</v>
      </c>
      <c r="B3000" s="62" t="s">
        <v>1306</v>
      </c>
      <c r="C3000" s="62" t="s">
        <v>90</v>
      </c>
      <c r="D3000" s="62" t="s">
        <v>1895</v>
      </c>
      <c r="E3000" s="76">
        <v>44140.0</v>
      </c>
      <c r="F3000" s="77">
        <v>0.0625</v>
      </c>
      <c r="G3000" s="62" t="b">
        <v>1</v>
      </c>
      <c r="H3000" s="78" t="b">
        <f>IF(VLOOKUP(C3000,Projetos!A:L,12,false)=TRUE,TRUE,FALSE)</f>
        <v>1</v>
      </c>
      <c r="I3000" s="68">
        <v>41.447525582529835</v>
      </c>
      <c r="J3000" s="68">
        <f t="shared" si="1"/>
        <v>62.17128837</v>
      </c>
      <c r="K3000" s="68" t="b">
        <v>1</v>
      </c>
    </row>
    <row r="3001" hidden="1">
      <c r="A3001" s="75">
        <v>2995.0</v>
      </c>
      <c r="B3001" s="62" t="s">
        <v>1306</v>
      </c>
      <c r="C3001" s="62" t="s">
        <v>108</v>
      </c>
      <c r="D3001" s="62" t="s">
        <v>1896</v>
      </c>
      <c r="E3001" s="76">
        <v>44141.0</v>
      </c>
      <c r="F3001" s="77">
        <v>0.15625</v>
      </c>
      <c r="G3001" s="62" t="b">
        <v>0</v>
      </c>
      <c r="H3001" s="78" t="b">
        <f>IF(VLOOKUP(C3001,Projetos!A:L,12,false)=TRUE,TRUE,FALSE)</f>
        <v>1</v>
      </c>
      <c r="I3001" s="68">
        <v>41.447525582529835</v>
      </c>
      <c r="J3001" s="68">
        <f t="shared" si="1"/>
        <v>0</v>
      </c>
      <c r="K3001" s="68" t="b">
        <v>1</v>
      </c>
    </row>
    <row r="3002" hidden="1">
      <c r="A3002" s="75">
        <v>2996.0</v>
      </c>
      <c r="B3002" s="62" t="s">
        <v>1306</v>
      </c>
      <c r="C3002" s="62" t="s">
        <v>100</v>
      </c>
      <c r="D3002" s="62" t="s">
        <v>1897</v>
      </c>
      <c r="E3002" s="76">
        <v>44141.0</v>
      </c>
      <c r="F3002" s="77">
        <v>0.20833333333333334</v>
      </c>
      <c r="G3002" s="62" t="b">
        <v>1</v>
      </c>
      <c r="H3002" s="78" t="b">
        <f>IF(VLOOKUP(C3002,Projetos!A:L,12,false)=TRUE,TRUE,FALSE)</f>
        <v>1</v>
      </c>
      <c r="I3002" s="68">
        <v>41.447525582529835</v>
      </c>
      <c r="J3002" s="68">
        <f t="shared" si="1"/>
        <v>207.2376279</v>
      </c>
      <c r="K3002" s="68" t="b">
        <v>1</v>
      </c>
    </row>
    <row r="3003" hidden="1">
      <c r="A3003" s="75">
        <v>2997.0</v>
      </c>
      <c r="B3003" s="62" t="s">
        <v>1306</v>
      </c>
      <c r="C3003" s="62" t="s">
        <v>100</v>
      </c>
      <c r="D3003" s="62" t="s">
        <v>1898</v>
      </c>
      <c r="E3003" s="76">
        <v>44144.0</v>
      </c>
      <c r="F3003" s="77">
        <v>0.09375</v>
      </c>
      <c r="G3003" s="62" t="b">
        <v>1</v>
      </c>
      <c r="H3003" s="78" t="b">
        <f>IF(VLOOKUP(C3003,Projetos!A:L,12,false)=TRUE,TRUE,FALSE)</f>
        <v>1</v>
      </c>
      <c r="I3003" s="68">
        <v>41.447525582529835</v>
      </c>
      <c r="J3003" s="68">
        <f t="shared" si="1"/>
        <v>93.25693256</v>
      </c>
      <c r="K3003" s="68" t="b">
        <v>1</v>
      </c>
    </row>
    <row r="3004" hidden="1">
      <c r="A3004" s="75">
        <v>2998.0</v>
      </c>
      <c r="B3004" s="62" t="s">
        <v>1306</v>
      </c>
      <c r="C3004" s="62" t="s">
        <v>138</v>
      </c>
      <c r="D3004" s="62" t="s">
        <v>1899</v>
      </c>
      <c r="E3004" s="76">
        <v>44144.0</v>
      </c>
      <c r="F3004" s="77">
        <v>0.041666666666666664</v>
      </c>
      <c r="G3004" s="62" t="b">
        <v>1</v>
      </c>
      <c r="H3004" s="78" t="b">
        <f>IF(VLOOKUP(C3004,Projetos!A:L,12,false)=TRUE,TRUE,FALSE)</f>
        <v>1</v>
      </c>
      <c r="I3004" s="68">
        <v>41.447525582529835</v>
      </c>
      <c r="J3004" s="68">
        <f t="shared" si="1"/>
        <v>41.44752558</v>
      </c>
      <c r="K3004" s="68" t="b">
        <v>1</v>
      </c>
    </row>
    <row r="3005" hidden="1">
      <c r="A3005" s="75">
        <v>2999.0</v>
      </c>
      <c r="B3005" s="62" t="s">
        <v>1306</v>
      </c>
      <c r="C3005" s="62" t="s">
        <v>88</v>
      </c>
      <c r="D3005" s="62" t="s">
        <v>1900</v>
      </c>
      <c r="E3005" s="76">
        <v>44144.0</v>
      </c>
      <c r="F3005" s="77">
        <v>0.020833333333333332</v>
      </c>
      <c r="G3005" s="62" t="b">
        <v>1</v>
      </c>
      <c r="H3005" s="78" t="b">
        <f>IF(VLOOKUP(C3005,Projetos!A:L,12,false)=TRUE,TRUE,FALSE)</f>
        <v>1</v>
      </c>
      <c r="I3005" s="68">
        <v>41.447525582529835</v>
      </c>
      <c r="J3005" s="68">
        <f t="shared" si="1"/>
        <v>20.72376279</v>
      </c>
      <c r="K3005" s="68" t="b">
        <v>1</v>
      </c>
    </row>
    <row r="3006" hidden="1">
      <c r="A3006" s="75">
        <v>3000.0</v>
      </c>
      <c r="B3006" s="62" t="s">
        <v>1306</v>
      </c>
      <c r="C3006" s="62" t="s">
        <v>90</v>
      </c>
      <c r="D3006" s="62" t="s">
        <v>1901</v>
      </c>
      <c r="E3006" s="76">
        <v>44144.0</v>
      </c>
      <c r="F3006" s="77">
        <v>0.08333333333333333</v>
      </c>
      <c r="G3006" s="62" t="b">
        <v>1</v>
      </c>
      <c r="H3006" s="78" t="b">
        <f>IF(VLOOKUP(C3006,Projetos!A:L,12,false)=TRUE,TRUE,FALSE)</f>
        <v>1</v>
      </c>
      <c r="I3006" s="68">
        <v>41.447525582529835</v>
      </c>
      <c r="J3006" s="68">
        <f t="shared" si="1"/>
        <v>82.89505117</v>
      </c>
      <c r="K3006" s="68" t="b">
        <v>1</v>
      </c>
    </row>
    <row r="3007" hidden="1">
      <c r="A3007" s="75">
        <v>3001.0</v>
      </c>
      <c r="B3007" s="62" t="s">
        <v>1306</v>
      </c>
      <c r="C3007" s="62" t="s">
        <v>109</v>
      </c>
      <c r="D3007" s="62" t="s">
        <v>1902</v>
      </c>
      <c r="E3007" s="76">
        <v>44144.0</v>
      </c>
      <c r="F3007" s="77">
        <v>0.041666666666666664</v>
      </c>
      <c r="G3007" s="62" t="b">
        <v>0</v>
      </c>
      <c r="H3007" s="78" t="b">
        <f>IF(VLOOKUP(C3007,Projetos!A:L,12,false)=TRUE,TRUE,FALSE)</f>
        <v>0</v>
      </c>
      <c r="I3007" s="68">
        <v>41.447525582529835</v>
      </c>
      <c r="J3007" s="68">
        <f t="shared" si="1"/>
        <v>0</v>
      </c>
      <c r="K3007" s="68" t="b">
        <v>0</v>
      </c>
    </row>
    <row r="3008" hidden="1">
      <c r="A3008" s="75">
        <v>3002.0</v>
      </c>
      <c r="B3008" s="62" t="s">
        <v>1306</v>
      </c>
      <c r="C3008" s="62" t="s">
        <v>110</v>
      </c>
      <c r="D3008" s="62" t="s">
        <v>1903</v>
      </c>
      <c r="E3008" s="76">
        <v>44144.0</v>
      </c>
      <c r="F3008" s="77">
        <v>0.041666666666666664</v>
      </c>
      <c r="G3008" s="62" t="b">
        <v>1</v>
      </c>
      <c r="H3008" s="78" t="b">
        <f>IF(VLOOKUP(C3008,Projetos!A:L,12,false)=TRUE,TRUE,FALSE)</f>
        <v>1</v>
      </c>
      <c r="I3008" s="68">
        <v>41.447525582529835</v>
      </c>
      <c r="J3008" s="68">
        <f t="shared" si="1"/>
        <v>41.44752558</v>
      </c>
      <c r="K3008" s="68" t="b">
        <v>1</v>
      </c>
    </row>
    <row r="3009" hidden="1">
      <c r="A3009" s="75">
        <v>3003.0</v>
      </c>
      <c r="B3009" s="62" t="s">
        <v>1306</v>
      </c>
      <c r="C3009" s="62" t="s">
        <v>108</v>
      </c>
      <c r="D3009" s="62" t="s">
        <v>1904</v>
      </c>
      <c r="E3009" s="76">
        <v>44145.0</v>
      </c>
      <c r="F3009" s="77">
        <v>0.07291666666666667</v>
      </c>
      <c r="G3009" s="62" t="b">
        <v>0</v>
      </c>
      <c r="H3009" s="78" t="b">
        <f>IF(VLOOKUP(C3009,Projetos!A:L,12,false)=TRUE,TRUE,FALSE)</f>
        <v>1</v>
      </c>
      <c r="I3009" s="68">
        <v>41.447525582529835</v>
      </c>
      <c r="J3009" s="68">
        <f t="shared" si="1"/>
        <v>0</v>
      </c>
      <c r="K3009" s="68" t="b">
        <v>1</v>
      </c>
    </row>
    <row r="3010" hidden="1">
      <c r="A3010" s="75">
        <v>3004.0</v>
      </c>
      <c r="B3010" s="62" t="s">
        <v>1306</v>
      </c>
      <c r="C3010" s="62" t="s">
        <v>110</v>
      </c>
      <c r="D3010" s="62" t="s">
        <v>1905</v>
      </c>
      <c r="E3010" s="76">
        <v>44145.0</v>
      </c>
      <c r="F3010" s="77">
        <v>0.0625</v>
      </c>
      <c r="G3010" s="62" t="b">
        <v>1</v>
      </c>
      <c r="H3010" s="78" t="b">
        <f>IF(VLOOKUP(C3010,Projetos!A:L,12,false)=TRUE,TRUE,FALSE)</f>
        <v>1</v>
      </c>
      <c r="I3010" s="68">
        <v>41.447525582529835</v>
      </c>
      <c r="J3010" s="68">
        <f t="shared" si="1"/>
        <v>62.17128837</v>
      </c>
      <c r="K3010" s="68" t="b">
        <v>1</v>
      </c>
    </row>
    <row r="3011" hidden="1">
      <c r="A3011" s="75">
        <v>3005.0</v>
      </c>
      <c r="B3011" s="62" t="s">
        <v>1306</v>
      </c>
      <c r="C3011" s="62" t="s">
        <v>108</v>
      </c>
      <c r="D3011" s="62" t="s">
        <v>1446</v>
      </c>
      <c r="E3011" s="76">
        <v>44145.0</v>
      </c>
      <c r="F3011" s="77">
        <v>0.0625</v>
      </c>
      <c r="G3011" s="62" t="b">
        <v>0</v>
      </c>
      <c r="H3011" s="78" t="b">
        <f>IF(VLOOKUP(C3011,Projetos!A:L,12,false)=TRUE,TRUE,FALSE)</f>
        <v>1</v>
      </c>
      <c r="I3011" s="68">
        <v>41.447525582529835</v>
      </c>
      <c r="J3011" s="68">
        <f t="shared" si="1"/>
        <v>0</v>
      </c>
      <c r="K3011" s="68" t="b">
        <v>1</v>
      </c>
    </row>
    <row r="3012" hidden="1">
      <c r="A3012" s="75">
        <v>3006.0</v>
      </c>
      <c r="B3012" s="62" t="s">
        <v>1306</v>
      </c>
      <c r="C3012" s="62" t="s">
        <v>90</v>
      </c>
      <c r="D3012" s="62" t="s">
        <v>1906</v>
      </c>
      <c r="E3012" s="76">
        <v>44145.0</v>
      </c>
      <c r="F3012" s="77">
        <v>0.16666666666666666</v>
      </c>
      <c r="G3012" s="62" t="b">
        <v>1</v>
      </c>
      <c r="H3012" s="78" t="b">
        <f>IF(VLOOKUP(C3012,Projetos!A:L,12,false)=TRUE,TRUE,FALSE)</f>
        <v>1</v>
      </c>
      <c r="I3012" s="68">
        <v>41.447525582529835</v>
      </c>
      <c r="J3012" s="68">
        <f t="shared" si="1"/>
        <v>165.7901023</v>
      </c>
      <c r="K3012" s="68" t="b">
        <v>1</v>
      </c>
    </row>
    <row r="3013" hidden="1">
      <c r="A3013" s="75">
        <v>3007.0</v>
      </c>
      <c r="B3013" s="62" t="s">
        <v>1306</v>
      </c>
      <c r="C3013" s="62" t="s">
        <v>100</v>
      </c>
      <c r="D3013" s="62" t="s">
        <v>1907</v>
      </c>
      <c r="E3013" s="76">
        <v>44146.0</v>
      </c>
      <c r="F3013" s="77">
        <v>0.03125</v>
      </c>
      <c r="G3013" s="62" t="b">
        <v>1</v>
      </c>
      <c r="H3013" s="78" t="b">
        <f>IF(VLOOKUP(C3013,Projetos!A:L,12,false)=TRUE,TRUE,FALSE)</f>
        <v>1</v>
      </c>
      <c r="I3013" s="68">
        <v>41.447525582529835</v>
      </c>
      <c r="J3013" s="68">
        <f t="shared" si="1"/>
        <v>31.08564419</v>
      </c>
      <c r="K3013" s="68" t="b">
        <v>1</v>
      </c>
    </row>
    <row r="3014" hidden="1">
      <c r="A3014" s="75">
        <v>3008.0</v>
      </c>
      <c r="B3014" s="62" t="s">
        <v>1306</v>
      </c>
      <c r="C3014" s="62" t="s">
        <v>90</v>
      </c>
      <c r="D3014" s="62" t="s">
        <v>1908</v>
      </c>
      <c r="E3014" s="76">
        <v>44146.0</v>
      </c>
      <c r="F3014" s="77">
        <v>0.08333333333333333</v>
      </c>
      <c r="G3014" s="62" t="b">
        <v>1</v>
      </c>
      <c r="H3014" s="78" t="b">
        <f>IF(VLOOKUP(C3014,Projetos!A:L,12,false)=TRUE,TRUE,FALSE)</f>
        <v>1</v>
      </c>
      <c r="I3014" s="68">
        <v>41.447525582529835</v>
      </c>
      <c r="J3014" s="68">
        <f t="shared" si="1"/>
        <v>82.89505117</v>
      </c>
      <c r="K3014" s="68" t="b">
        <v>1</v>
      </c>
    </row>
    <row r="3015" hidden="1">
      <c r="A3015" s="75">
        <v>3009.0</v>
      </c>
      <c r="B3015" s="62" t="s">
        <v>1306</v>
      </c>
      <c r="C3015" s="62" t="s">
        <v>90</v>
      </c>
      <c r="D3015" s="62" t="s">
        <v>1485</v>
      </c>
      <c r="E3015" s="76">
        <v>44146.0</v>
      </c>
      <c r="F3015" s="77">
        <v>0.020833333333333332</v>
      </c>
      <c r="G3015" s="62" t="b">
        <v>1</v>
      </c>
      <c r="H3015" s="78" t="b">
        <f>IF(VLOOKUP(C3015,Projetos!A:L,12,false)=TRUE,TRUE,FALSE)</f>
        <v>1</v>
      </c>
      <c r="I3015" s="68">
        <v>41.447525582529835</v>
      </c>
      <c r="J3015" s="68">
        <f t="shared" si="1"/>
        <v>20.72376279</v>
      </c>
      <c r="K3015" s="68" t="b">
        <v>1</v>
      </c>
    </row>
    <row r="3016" hidden="1">
      <c r="A3016" s="75">
        <v>3010.0</v>
      </c>
      <c r="B3016" s="62" t="s">
        <v>1306</v>
      </c>
      <c r="C3016" s="62" t="s">
        <v>138</v>
      </c>
      <c r="D3016" s="62" t="s">
        <v>1909</v>
      </c>
      <c r="E3016" s="76">
        <v>44146.0</v>
      </c>
      <c r="F3016" s="77">
        <v>0.0625</v>
      </c>
      <c r="G3016" s="62" t="b">
        <v>1</v>
      </c>
      <c r="H3016" s="78" t="b">
        <f>IF(VLOOKUP(C3016,Projetos!A:L,12,false)=TRUE,TRUE,FALSE)</f>
        <v>1</v>
      </c>
      <c r="I3016" s="68">
        <v>41.447525582529835</v>
      </c>
      <c r="J3016" s="68">
        <f t="shared" si="1"/>
        <v>62.17128837</v>
      </c>
      <c r="K3016" s="68" t="b">
        <v>1</v>
      </c>
    </row>
    <row r="3017" hidden="1">
      <c r="A3017" s="75">
        <v>3011.0</v>
      </c>
      <c r="B3017" s="62" t="s">
        <v>1306</v>
      </c>
      <c r="C3017" s="62" t="s">
        <v>90</v>
      </c>
      <c r="D3017" s="62" t="s">
        <v>1910</v>
      </c>
      <c r="E3017" s="76">
        <v>44146.0</v>
      </c>
      <c r="F3017" s="77">
        <v>0.041666666666666664</v>
      </c>
      <c r="G3017" s="62" t="b">
        <v>1</v>
      </c>
      <c r="H3017" s="78" t="b">
        <f>IF(VLOOKUP(C3017,Projetos!A:L,12,false)=TRUE,TRUE,FALSE)</f>
        <v>1</v>
      </c>
      <c r="I3017" s="68">
        <v>41.447525582529835</v>
      </c>
      <c r="J3017" s="68">
        <f t="shared" si="1"/>
        <v>41.44752558</v>
      </c>
      <c r="K3017" s="68" t="b">
        <v>1</v>
      </c>
    </row>
    <row r="3018" hidden="1">
      <c r="A3018" s="75">
        <v>3012.0</v>
      </c>
      <c r="B3018" s="62" t="s">
        <v>1306</v>
      </c>
      <c r="C3018" s="62" t="s">
        <v>100</v>
      </c>
      <c r="D3018" s="62" t="s">
        <v>1911</v>
      </c>
      <c r="E3018" s="76">
        <v>44146.0</v>
      </c>
      <c r="F3018" s="77">
        <v>0.0625</v>
      </c>
      <c r="G3018" s="62" t="b">
        <v>1</v>
      </c>
      <c r="H3018" s="78" t="b">
        <f>IF(VLOOKUP(C3018,Projetos!A:L,12,false)=TRUE,TRUE,FALSE)</f>
        <v>1</v>
      </c>
      <c r="I3018" s="68">
        <v>41.447525582529835</v>
      </c>
      <c r="J3018" s="68">
        <f t="shared" si="1"/>
        <v>62.17128837</v>
      </c>
      <c r="K3018" s="68" t="b">
        <v>1</v>
      </c>
    </row>
    <row r="3019" hidden="1">
      <c r="A3019" s="75">
        <v>3013.0</v>
      </c>
      <c r="B3019" s="62" t="s">
        <v>1306</v>
      </c>
      <c r="C3019" s="62" t="s">
        <v>90</v>
      </c>
      <c r="D3019" s="62" t="s">
        <v>1912</v>
      </c>
      <c r="E3019" s="76">
        <v>44146.0</v>
      </c>
      <c r="F3019" s="77">
        <v>0.0625</v>
      </c>
      <c r="G3019" s="62" t="b">
        <v>1</v>
      </c>
      <c r="H3019" s="78" t="b">
        <f>IF(VLOOKUP(C3019,Projetos!A:L,12,false)=TRUE,TRUE,FALSE)</f>
        <v>1</v>
      </c>
      <c r="I3019" s="68">
        <v>41.447525582529835</v>
      </c>
      <c r="J3019" s="68">
        <f t="shared" si="1"/>
        <v>62.17128837</v>
      </c>
      <c r="K3019" s="68" t="b">
        <v>1</v>
      </c>
    </row>
    <row r="3020">
      <c r="A3020" s="75">
        <v>3014.0</v>
      </c>
      <c r="B3020" s="62" t="s">
        <v>1306</v>
      </c>
      <c r="C3020" s="62" t="s">
        <v>104</v>
      </c>
      <c r="D3020" s="62" t="s">
        <v>1913</v>
      </c>
      <c r="E3020" s="76">
        <v>44147.0</v>
      </c>
      <c r="F3020" s="77">
        <v>0.07291666666666667</v>
      </c>
      <c r="G3020" s="62" t="b">
        <v>1</v>
      </c>
      <c r="H3020" s="78" t="b">
        <f>IF(VLOOKUP(C3020,Projetos!A:L,12,false)=TRUE,TRUE,FALSE)</f>
        <v>1</v>
      </c>
      <c r="I3020" s="68">
        <v>41.447525582529835</v>
      </c>
      <c r="J3020" s="68">
        <f t="shared" si="1"/>
        <v>72.53316977</v>
      </c>
      <c r="K3020" s="68" t="b">
        <v>1</v>
      </c>
    </row>
    <row r="3021" hidden="1">
      <c r="A3021" s="75">
        <v>3015.0</v>
      </c>
      <c r="B3021" s="62" t="s">
        <v>1306</v>
      </c>
      <c r="C3021" s="62" t="s">
        <v>138</v>
      </c>
      <c r="D3021" s="62" t="s">
        <v>1914</v>
      </c>
      <c r="E3021" s="76">
        <v>44147.0</v>
      </c>
      <c r="F3021" s="77">
        <v>0.041666666666666664</v>
      </c>
      <c r="G3021" s="62" t="b">
        <v>1</v>
      </c>
      <c r="H3021" s="78" t="b">
        <f>IF(VLOOKUP(C3021,Projetos!A:L,12,false)=TRUE,TRUE,FALSE)</f>
        <v>1</v>
      </c>
      <c r="I3021" s="68">
        <v>41.447525582529835</v>
      </c>
      <c r="J3021" s="68">
        <f t="shared" si="1"/>
        <v>41.44752558</v>
      </c>
      <c r="K3021" s="68" t="b">
        <v>1</v>
      </c>
    </row>
    <row r="3022" hidden="1">
      <c r="A3022" s="75">
        <v>3016.0</v>
      </c>
      <c r="B3022" s="62" t="s">
        <v>1306</v>
      </c>
      <c r="C3022" s="62" t="s">
        <v>100</v>
      </c>
      <c r="D3022" s="62" t="s">
        <v>1915</v>
      </c>
      <c r="E3022" s="76">
        <v>44147.0</v>
      </c>
      <c r="F3022" s="77">
        <v>0.041666666666666664</v>
      </c>
      <c r="G3022" s="62" t="b">
        <v>1</v>
      </c>
      <c r="H3022" s="78" t="b">
        <f>IF(VLOOKUP(C3022,Projetos!A:L,12,false)=TRUE,TRUE,FALSE)</f>
        <v>1</v>
      </c>
      <c r="I3022" s="68">
        <v>41.447525582529835</v>
      </c>
      <c r="J3022" s="68">
        <f t="shared" si="1"/>
        <v>41.44752558</v>
      </c>
      <c r="K3022" s="68" t="b">
        <v>1</v>
      </c>
    </row>
    <row r="3023" hidden="1">
      <c r="A3023" s="75">
        <v>3017.0</v>
      </c>
      <c r="B3023" s="62" t="s">
        <v>1306</v>
      </c>
      <c r="C3023" s="62" t="s">
        <v>90</v>
      </c>
      <c r="D3023" s="62" t="s">
        <v>1916</v>
      </c>
      <c r="E3023" s="76">
        <v>44147.0</v>
      </c>
      <c r="F3023" s="77">
        <v>0.041666666666666664</v>
      </c>
      <c r="G3023" s="62" t="b">
        <v>1</v>
      </c>
      <c r="H3023" s="78" t="b">
        <f>IF(VLOOKUP(C3023,Projetos!A:L,12,false)=TRUE,TRUE,FALSE)</f>
        <v>1</v>
      </c>
      <c r="I3023" s="68">
        <v>41.447525582529835</v>
      </c>
      <c r="J3023" s="68">
        <f t="shared" si="1"/>
        <v>41.44752558</v>
      </c>
      <c r="K3023" s="68" t="b">
        <v>1</v>
      </c>
    </row>
    <row r="3024" hidden="1">
      <c r="A3024" s="75">
        <v>3018.0</v>
      </c>
      <c r="B3024" s="62" t="s">
        <v>1306</v>
      </c>
      <c r="C3024" s="62" t="s">
        <v>138</v>
      </c>
      <c r="D3024" s="62" t="s">
        <v>1917</v>
      </c>
      <c r="E3024" s="76">
        <v>44147.0</v>
      </c>
      <c r="F3024" s="77">
        <v>0.0625</v>
      </c>
      <c r="G3024" s="62" t="b">
        <v>1</v>
      </c>
      <c r="H3024" s="78" t="b">
        <f>IF(VLOOKUP(C3024,Projetos!A:L,12,false)=TRUE,TRUE,FALSE)</f>
        <v>1</v>
      </c>
      <c r="I3024" s="68">
        <v>41.447525582529835</v>
      </c>
      <c r="J3024" s="68">
        <f t="shared" si="1"/>
        <v>62.17128837</v>
      </c>
      <c r="K3024" s="68" t="b">
        <v>1</v>
      </c>
    </row>
    <row r="3025" hidden="1">
      <c r="A3025" s="75">
        <v>3019.0</v>
      </c>
      <c r="B3025" s="62" t="s">
        <v>1306</v>
      </c>
      <c r="C3025" s="62" t="s">
        <v>100</v>
      </c>
      <c r="D3025" s="62" t="s">
        <v>1308</v>
      </c>
      <c r="E3025" s="76">
        <v>44147.0</v>
      </c>
      <c r="F3025" s="77">
        <v>0.0625</v>
      </c>
      <c r="G3025" s="62" t="b">
        <v>1</v>
      </c>
      <c r="H3025" s="78" t="b">
        <f>IF(VLOOKUP(C3025,Projetos!A:L,12,false)=TRUE,TRUE,FALSE)</f>
        <v>1</v>
      </c>
      <c r="I3025" s="68">
        <v>41.447525582529835</v>
      </c>
      <c r="J3025" s="68">
        <f t="shared" si="1"/>
        <v>62.17128837</v>
      </c>
      <c r="K3025" s="68" t="b">
        <v>1</v>
      </c>
    </row>
    <row r="3026" hidden="1">
      <c r="A3026" s="75">
        <v>3020.0</v>
      </c>
      <c r="B3026" s="62" t="s">
        <v>1306</v>
      </c>
      <c r="C3026" s="62" t="s">
        <v>100</v>
      </c>
      <c r="D3026" s="62" t="s">
        <v>1308</v>
      </c>
      <c r="E3026" s="76">
        <v>44148.0</v>
      </c>
      <c r="F3026" s="77">
        <v>0.03125</v>
      </c>
      <c r="G3026" s="62" t="b">
        <v>1</v>
      </c>
      <c r="H3026" s="78" t="b">
        <f>IF(VLOOKUP(C3026,Projetos!A:L,12,false)=TRUE,TRUE,FALSE)</f>
        <v>1</v>
      </c>
      <c r="I3026" s="68">
        <v>41.447525582529835</v>
      </c>
      <c r="J3026" s="68">
        <f t="shared" si="1"/>
        <v>31.08564419</v>
      </c>
      <c r="K3026" s="68" t="b">
        <v>1</v>
      </c>
    </row>
    <row r="3027" hidden="1">
      <c r="A3027" s="75">
        <v>3021.0</v>
      </c>
      <c r="B3027" s="62" t="s">
        <v>1306</v>
      </c>
      <c r="C3027" s="62" t="s">
        <v>111</v>
      </c>
      <c r="D3027" s="62" t="s">
        <v>1918</v>
      </c>
      <c r="E3027" s="76">
        <v>44148.0</v>
      </c>
      <c r="F3027" s="77">
        <v>0.020833333333333332</v>
      </c>
      <c r="G3027" s="62" t="b">
        <v>0</v>
      </c>
      <c r="H3027" s="78" t="b">
        <f>IF(VLOOKUP(C3027,Projetos!A:L,12,false)=TRUE,TRUE,FALSE)</f>
        <v>0</v>
      </c>
      <c r="I3027" s="68">
        <v>41.447525582529835</v>
      </c>
      <c r="J3027" s="68">
        <f t="shared" si="1"/>
        <v>0</v>
      </c>
      <c r="K3027" s="68" t="b">
        <v>0</v>
      </c>
    </row>
    <row r="3028" hidden="1">
      <c r="A3028" s="75">
        <v>3022.0</v>
      </c>
      <c r="B3028" s="62" t="s">
        <v>1306</v>
      </c>
      <c r="C3028" s="62" t="s">
        <v>108</v>
      </c>
      <c r="D3028" s="62" t="s">
        <v>1919</v>
      </c>
      <c r="E3028" s="76">
        <v>44148.0</v>
      </c>
      <c r="F3028" s="77">
        <v>0.020833333333333332</v>
      </c>
      <c r="G3028" s="62" t="b">
        <v>0</v>
      </c>
      <c r="H3028" s="78" t="b">
        <f>IF(VLOOKUP(C3028,Projetos!A:L,12,false)=TRUE,TRUE,FALSE)</f>
        <v>1</v>
      </c>
      <c r="I3028" s="68">
        <v>41.447525582529835</v>
      </c>
      <c r="J3028" s="68">
        <f t="shared" si="1"/>
        <v>0</v>
      </c>
      <c r="K3028" s="68" t="b">
        <v>1</v>
      </c>
    </row>
    <row r="3029" hidden="1">
      <c r="A3029" s="75">
        <v>3023.0</v>
      </c>
      <c r="B3029" s="62" t="s">
        <v>1306</v>
      </c>
      <c r="C3029" s="62" t="s">
        <v>105</v>
      </c>
      <c r="D3029" s="62" t="s">
        <v>1920</v>
      </c>
      <c r="E3029" s="76">
        <v>44148.0</v>
      </c>
      <c r="F3029" s="77">
        <v>0.0625</v>
      </c>
      <c r="G3029" s="62" t="b">
        <v>1</v>
      </c>
      <c r="H3029" s="78" t="b">
        <f>IF(VLOOKUP(C3029,Projetos!A:L,12,false)=TRUE,TRUE,FALSE)</f>
        <v>1</v>
      </c>
      <c r="I3029" s="68">
        <v>41.447525582529835</v>
      </c>
      <c r="J3029" s="68">
        <f t="shared" si="1"/>
        <v>62.17128837</v>
      </c>
      <c r="K3029" s="68" t="b">
        <v>1</v>
      </c>
    </row>
    <row r="3030" hidden="1">
      <c r="A3030" s="75">
        <v>3024.0</v>
      </c>
      <c r="B3030" s="62" t="s">
        <v>1306</v>
      </c>
      <c r="C3030" s="62" t="s">
        <v>116</v>
      </c>
      <c r="D3030" s="62" t="s">
        <v>1900</v>
      </c>
      <c r="E3030" s="76">
        <v>44148.0</v>
      </c>
      <c r="F3030" s="77">
        <v>0.020833333333333332</v>
      </c>
      <c r="G3030" s="62" t="b">
        <v>1</v>
      </c>
      <c r="H3030" s="78" t="b">
        <f>IF(VLOOKUP(C3030,Projetos!A:L,12,false)=TRUE,TRUE,FALSE)</f>
        <v>1</v>
      </c>
      <c r="I3030" s="68">
        <v>41.447525582529835</v>
      </c>
      <c r="J3030" s="68">
        <f t="shared" si="1"/>
        <v>20.72376279</v>
      </c>
      <c r="K3030" s="68" t="b">
        <v>1</v>
      </c>
    </row>
    <row r="3031" hidden="1">
      <c r="A3031" s="75">
        <v>3025.0</v>
      </c>
      <c r="B3031" s="62" t="s">
        <v>1306</v>
      </c>
      <c r="C3031" s="62" t="s">
        <v>108</v>
      </c>
      <c r="D3031" s="62" t="s">
        <v>1921</v>
      </c>
      <c r="E3031" s="76">
        <v>44148.0</v>
      </c>
      <c r="F3031" s="77">
        <v>0.08333333333333333</v>
      </c>
      <c r="G3031" s="62" t="b">
        <v>0</v>
      </c>
      <c r="H3031" s="78" t="b">
        <f>IF(VLOOKUP(C3031,Projetos!A:L,12,false)=TRUE,TRUE,FALSE)</f>
        <v>1</v>
      </c>
      <c r="I3031" s="68">
        <v>41.447525582529835</v>
      </c>
      <c r="J3031" s="68">
        <f t="shared" si="1"/>
        <v>0</v>
      </c>
      <c r="K3031" s="68" t="b">
        <v>1</v>
      </c>
    </row>
    <row r="3032" hidden="1">
      <c r="A3032" s="75">
        <v>3026.0</v>
      </c>
      <c r="B3032" s="62" t="s">
        <v>1306</v>
      </c>
      <c r="C3032" s="62" t="s">
        <v>100</v>
      </c>
      <c r="D3032" s="62" t="s">
        <v>1922</v>
      </c>
      <c r="E3032" s="76">
        <v>44148.0</v>
      </c>
      <c r="F3032" s="77">
        <v>0.020833333333333332</v>
      </c>
      <c r="G3032" s="62" t="b">
        <v>1</v>
      </c>
      <c r="H3032" s="78" t="b">
        <f>IF(VLOOKUP(C3032,Projetos!A:L,12,false)=TRUE,TRUE,FALSE)</f>
        <v>1</v>
      </c>
      <c r="I3032" s="68">
        <v>41.447525582529835</v>
      </c>
      <c r="J3032" s="68">
        <f t="shared" si="1"/>
        <v>20.72376279</v>
      </c>
      <c r="K3032" s="68" t="b">
        <v>1</v>
      </c>
    </row>
    <row r="3033" hidden="1">
      <c r="A3033" s="75">
        <v>3027.0</v>
      </c>
      <c r="B3033" s="62" t="s">
        <v>1306</v>
      </c>
      <c r="C3033" s="62" t="s">
        <v>90</v>
      </c>
      <c r="D3033" s="62" t="s">
        <v>1923</v>
      </c>
      <c r="E3033" s="76">
        <v>44148.0</v>
      </c>
      <c r="F3033" s="77">
        <v>0.10416666666666667</v>
      </c>
      <c r="G3033" s="62" t="b">
        <v>1</v>
      </c>
      <c r="H3033" s="78" t="b">
        <f>IF(VLOOKUP(C3033,Projetos!A:L,12,false)=TRUE,TRUE,FALSE)</f>
        <v>1</v>
      </c>
      <c r="I3033" s="68">
        <v>41.447525582529835</v>
      </c>
      <c r="J3033" s="68">
        <f t="shared" si="1"/>
        <v>103.618814</v>
      </c>
      <c r="K3033" s="68" t="b">
        <v>1</v>
      </c>
    </row>
    <row r="3034" hidden="1">
      <c r="A3034" s="75">
        <v>3028.0</v>
      </c>
      <c r="B3034" s="62" t="s">
        <v>1306</v>
      </c>
      <c r="C3034" s="62" t="s">
        <v>90</v>
      </c>
      <c r="D3034" s="62" t="s">
        <v>1924</v>
      </c>
      <c r="E3034" s="76">
        <v>44151.0</v>
      </c>
      <c r="F3034" s="77">
        <v>0.016666666666666666</v>
      </c>
      <c r="G3034" s="62" t="b">
        <v>1</v>
      </c>
      <c r="H3034" s="78" t="b">
        <f>IF(VLOOKUP(C3034,Projetos!A:L,12,false)=TRUE,TRUE,FALSE)</f>
        <v>1</v>
      </c>
      <c r="I3034" s="68">
        <v>41.447525582529835</v>
      </c>
      <c r="J3034" s="68">
        <f t="shared" si="1"/>
        <v>16.57901023</v>
      </c>
      <c r="K3034" s="68" t="b">
        <v>1</v>
      </c>
    </row>
    <row r="3035" hidden="1">
      <c r="A3035" s="75">
        <v>3029.0</v>
      </c>
      <c r="B3035" s="62" t="s">
        <v>1306</v>
      </c>
      <c r="C3035" s="62" t="s">
        <v>108</v>
      </c>
      <c r="D3035" s="62" t="s">
        <v>1925</v>
      </c>
      <c r="E3035" s="76">
        <v>44151.0</v>
      </c>
      <c r="F3035" s="77">
        <v>0.041666666666666664</v>
      </c>
      <c r="G3035" s="62" t="b">
        <v>0</v>
      </c>
      <c r="H3035" s="78" t="b">
        <f>IF(VLOOKUP(C3035,Projetos!A:L,12,false)=TRUE,TRUE,FALSE)</f>
        <v>1</v>
      </c>
      <c r="I3035" s="68">
        <v>41.447525582529835</v>
      </c>
      <c r="J3035" s="68">
        <f t="shared" si="1"/>
        <v>0</v>
      </c>
      <c r="K3035" s="68" t="b">
        <v>1</v>
      </c>
    </row>
    <row r="3036" hidden="1">
      <c r="A3036" s="75">
        <v>3030.0</v>
      </c>
      <c r="B3036" s="62" t="s">
        <v>1306</v>
      </c>
      <c r="C3036" s="62" t="s">
        <v>90</v>
      </c>
      <c r="D3036" s="62" t="s">
        <v>1926</v>
      </c>
      <c r="E3036" s="76">
        <v>44151.0</v>
      </c>
      <c r="F3036" s="77">
        <v>0.041666666666666664</v>
      </c>
      <c r="G3036" s="62" t="b">
        <v>1</v>
      </c>
      <c r="H3036" s="78" t="b">
        <f>IF(VLOOKUP(C3036,Projetos!A:L,12,false)=TRUE,TRUE,FALSE)</f>
        <v>1</v>
      </c>
      <c r="I3036" s="68">
        <v>41.447525582529835</v>
      </c>
      <c r="J3036" s="68">
        <f t="shared" si="1"/>
        <v>41.44752558</v>
      </c>
      <c r="K3036" s="68" t="b">
        <v>1</v>
      </c>
    </row>
    <row r="3037" hidden="1">
      <c r="A3037" s="75">
        <v>3031.0</v>
      </c>
      <c r="B3037" s="62" t="s">
        <v>1306</v>
      </c>
      <c r="C3037" s="62" t="s">
        <v>108</v>
      </c>
      <c r="D3037" s="62" t="s">
        <v>1927</v>
      </c>
      <c r="E3037" s="76">
        <v>44151.0</v>
      </c>
      <c r="F3037" s="77">
        <v>0.13125</v>
      </c>
      <c r="G3037" s="62" t="b">
        <v>0</v>
      </c>
      <c r="H3037" s="78" t="b">
        <f>IF(VLOOKUP(C3037,Projetos!A:L,12,false)=TRUE,TRUE,FALSE)</f>
        <v>1</v>
      </c>
      <c r="I3037" s="68">
        <v>41.447525582529835</v>
      </c>
      <c r="J3037" s="68">
        <f t="shared" si="1"/>
        <v>0</v>
      </c>
      <c r="K3037" s="68" t="b">
        <v>1</v>
      </c>
    </row>
    <row r="3038" hidden="1">
      <c r="A3038" s="75">
        <v>3032.0</v>
      </c>
      <c r="B3038" s="62" t="s">
        <v>1306</v>
      </c>
      <c r="C3038" s="62" t="s">
        <v>90</v>
      </c>
      <c r="D3038" s="62" t="s">
        <v>1928</v>
      </c>
      <c r="E3038" s="76">
        <v>44151.0</v>
      </c>
      <c r="F3038" s="77">
        <v>0.1625</v>
      </c>
      <c r="G3038" s="62" t="b">
        <v>1</v>
      </c>
      <c r="H3038" s="78" t="b">
        <f>IF(VLOOKUP(C3038,Projetos!A:L,12,false)=TRUE,TRUE,FALSE)</f>
        <v>1</v>
      </c>
      <c r="I3038" s="68">
        <v>41.447525582529835</v>
      </c>
      <c r="J3038" s="68">
        <f t="shared" si="1"/>
        <v>161.6453498</v>
      </c>
      <c r="K3038" s="68" t="b">
        <v>1</v>
      </c>
    </row>
    <row r="3039" hidden="1">
      <c r="A3039" s="75">
        <v>3033.0</v>
      </c>
      <c r="B3039" s="62" t="s">
        <v>1306</v>
      </c>
      <c r="C3039" s="62" t="s">
        <v>109</v>
      </c>
      <c r="D3039" s="62" t="s">
        <v>1929</v>
      </c>
      <c r="E3039" s="76">
        <v>44152.0</v>
      </c>
      <c r="F3039" s="77">
        <v>0.008333333333333333</v>
      </c>
      <c r="G3039" s="62" t="b">
        <v>0</v>
      </c>
      <c r="H3039" s="78" t="b">
        <f>IF(VLOOKUP(C3039,Projetos!A:L,12,false)=TRUE,TRUE,FALSE)</f>
        <v>0</v>
      </c>
      <c r="I3039" s="68">
        <v>41.447525582529835</v>
      </c>
      <c r="J3039" s="68">
        <f t="shared" si="1"/>
        <v>0</v>
      </c>
      <c r="K3039" s="68" t="b">
        <v>0</v>
      </c>
    </row>
    <row r="3040" hidden="1">
      <c r="A3040" s="75">
        <v>3034.0</v>
      </c>
      <c r="B3040" s="62" t="s">
        <v>1306</v>
      </c>
      <c r="C3040" s="62" t="s">
        <v>90</v>
      </c>
      <c r="D3040" s="62" t="s">
        <v>1930</v>
      </c>
      <c r="E3040" s="76">
        <v>44152.0</v>
      </c>
      <c r="F3040" s="77">
        <v>0.1111111111111111</v>
      </c>
      <c r="G3040" s="62" t="b">
        <v>1</v>
      </c>
      <c r="H3040" s="78" t="b">
        <f>IF(VLOOKUP(C3040,Projetos!A:L,12,false)=TRUE,TRUE,FALSE)</f>
        <v>1</v>
      </c>
      <c r="I3040" s="68">
        <v>41.447525582529835</v>
      </c>
      <c r="J3040" s="68">
        <f t="shared" si="1"/>
        <v>110.5267349</v>
      </c>
      <c r="K3040" s="68" t="b">
        <v>1</v>
      </c>
    </row>
    <row r="3041" hidden="1">
      <c r="A3041" s="75">
        <v>3035.0</v>
      </c>
      <c r="B3041" s="62" t="s">
        <v>1306</v>
      </c>
      <c r="C3041" s="62" t="s">
        <v>98</v>
      </c>
      <c r="D3041" s="62" t="s">
        <v>1931</v>
      </c>
      <c r="E3041" s="76">
        <v>44152.0</v>
      </c>
      <c r="F3041" s="77">
        <v>0.041666666666666664</v>
      </c>
      <c r="G3041" s="62" t="b">
        <v>1</v>
      </c>
      <c r="H3041" s="78" t="b">
        <f>IF(VLOOKUP(C3041,Projetos!A:L,12,false)=TRUE,TRUE,FALSE)</f>
        <v>1</v>
      </c>
      <c r="I3041" s="68">
        <v>41.447525582529835</v>
      </c>
      <c r="J3041" s="68">
        <f t="shared" si="1"/>
        <v>41.44752558</v>
      </c>
      <c r="K3041" s="68" t="b">
        <v>1</v>
      </c>
    </row>
    <row r="3042" hidden="1">
      <c r="A3042" s="75">
        <v>3036.0</v>
      </c>
      <c r="B3042" s="62" t="s">
        <v>1306</v>
      </c>
      <c r="C3042" s="62" t="s">
        <v>100</v>
      </c>
      <c r="D3042" s="62" t="s">
        <v>1387</v>
      </c>
      <c r="E3042" s="76">
        <v>44152.0</v>
      </c>
      <c r="F3042" s="77">
        <v>0.020833333333333332</v>
      </c>
      <c r="G3042" s="62" t="b">
        <v>1</v>
      </c>
      <c r="H3042" s="78" t="b">
        <f>IF(VLOOKUP(C3042,Projetos!A:L,12,false)=TRUE,TRUE,FALSE)</f>
        <v>1</v>
      </c>
      <c r="I3042" s="68">
        <v>41.447525582529835</v>
      </c>
      <c r="J3042" s="68">
        <f t="shared" si="1"/>
        <v>20.72376279</v>
      </c>
      <c r="K3042" s="68" t="b">
        <v>1</v>
      </c>
    </row>
    <row r="3043" hidden="1">
      <c r="A3043" s="75">
        <v>3037.0</v>
      </c>
      <c r="B3043" s="62" t="s">
        <v>1306</v>
      </c>
      <c r="C3043" s="62" t="s">
        <v>105</v>
      </c>
      <c r="D3043" s="62" t="s">
        <v>1932</v>
      </c>
      <c r="E3043" s="76">
        <v>44152.0</v>
      </c>
      <c r="F3043" s="77">
        <v>0.0763888888888889</v>
      </c>
      <c r="G3043" s="62" t="b">
        <v>1</v>
      </c>
      <c r="H3043" s="78" t="b">
        <f>IF(VLOOKUP(C3043,Projetos!A:L,12,false)=TRUE,TRUE,FALSE)</f>
        <v>1</v>
      </c>
      <c r="I3043" s="68">
        <v>41.447525582529835</v>
      </c>
      <c r="J3043" s="68">
        <f t="shared" si="1"/>
        <v>75.98713023</v>
      </c>
      <c r="K3043" s="68" t="b">
        <v>1</v>
      </c>
    </row>
    <row r="3044" hidden="1">
      <c r="A3044" s="75">
        <v>3038.0</v>
      </c>
      <c r="B3044" s="62" t="s">
        <v>1306</v>
      </c>
      <c r="C3044" s="62" t="s">
        <v>105</v>
      </c>
      <c r="D3044" s="62" t="s">
        <v>1933</v>
      </c>
      <c r="E3044" s="76">
        <v>44152.0</v>
      </c>
      <c r="F3044" s="77">
        <v>0.04513888888888889</v>
      </c>
      <c r="G3044" s="62" t="b">
        <v>1</v>
      </c>
      <c r="H3044" s="78" t="b">
        <f>IF(VLOOKUP(C3044,Projetos!A:L,12,false)=TRUE,TRUE,FALSE)</f>
        <v>1</v>
      </c>
      <c r="I3044" s="68">
        <v>41.447525582529835</v>
      </c>
      <c r="J3044" s="68">
        <f t="shared" si="1"/>
        <v>44.90148605</v>
      </c>
      <c r="K3044" s="68" t="b">
        <v>1</v>
      </c>
    </row>
    <row r="3045" hidden="1">
      <c r="A3045" s="75">
        <v>3039.0</v>
      </c>
      <c r="B3045" s="62" t="s">
        <v>1306</v>
      </c>
      <c r="C3045" s="62" t="s">
        <v>90</v>
      </c>
      <c r="D3045" s="62" t="s">
        <v>1934</v>
      </c>
      <c r="E3045" s="76">
        <v>44152.0</v>
      </c>
      <c r="F3045" s="77">
        <v>0.09652777777777778</v>
      </c>
      <c r="G3045" s="62" t="b">
        <v>1</v>
      </c>
      <c r="H3045" s="78" t="b">
        <f>IF(VLOOKUP(C3045,Projetos!A:L,12,false)=TRUE,TRUE,FALSE)</f>
        <v>1</v>
      </c>
      <c r="I3045" s="68">
        <v>41.447525582529835</v>
      </c>
      <c r="J3045" s="68">
        <f t="shared" si="1"/>
        <v>96.02010093</v>
      </c>
      <c r="K3045" s="68" t="b">
        <v>1</v>
      </c>
    </row>
    <row r="3046" hidden="1">
      <c r="A3046" s="75">
        <v>3040.0</v>
      </c>
      <c r="B3046" s="62" t="s">
        <v>1306</v>
      </c>
      <c r="C3046" s="62" t="s">
        <v>108</v>
      </c>
      <c r="D3046" s="62" t="s">
        <v>1935</v>
      </c>
      <c r="E3046" s="76">
        <v>44153.0</v>
      </c>
      <c r="F3046" s="77">
        <v>0.07847222222222222</v>
      </c>
      <c r="G3046" s="62" t="b">
        <v>0</v>
      </c>
      <c r="H3046" s="78" t="b">
        <f>IF(VLOOKUP(C3046,Projetos!A:L,12,false)=TRUE,TRUE,FALSE)</f>
        <v>1</v>
      </c>
      <c r="I3046" s="68">
        <v>41.447525582529835</v>
      </c>
      <c r="J3046" s="68">
        <f t="shared" si="1"/>
        <v>0</v>
      </c>
      <c r="K3046" s="68" t="b">
        <v>1</v>
      </c>
    </row>
    <row r="3047" hidden="1">
      <c r="A3047" s="75">
        <v>3041.0</v>
      </c>
      <c r="B3047" s="62" t="s">
        <v>1306</v>
      </c>
      <c r="C3047" s="62" t="s">
        <v>90</v>
      </c>
      <c r="D3047" s="62" t="s">
        <v>1936</v>
      </c>
      <c r="E3047" s="76">
        <v>44153.0</v>
      </c>
      <c r="F3047" s="77">
        <v>0.020833333333333332</v>
      </c>
      <c r="G3047" s="62" t="b">
        <v>1</v>
      </c>
      <c r="H3047" s="78" t="b">
        <f>IF(VLOOKUP(C3047,Projetos!A:L,12,false)=TRUE,TRUE,FALSE)</f>
        <v>1</v>
      </c>
      <c r="I3047" s="68">
        <v>41.447525582529835</v>
      </c>
      <c r="J3047" s="68">
        <f t="shared" si="1"/>
        <v>20.72376279</v>
      </c>
      <c r="K3047" s="68" t="b">
        <v>1</v>
      </c>
    </row>
    <row r="3048" hidden="1">
      <c r="A3048" s="75">
        <v>3042.0</v>
      </c>
      <c r="B3048" s="62" t="s">
        <v>1306</v>
      </c>
      <c r="C3048" s="62" t="s">
        <v>83</v>
      </c>
      <c r="D3048" s="62" t="s">
        <v>1937</v>
      </c>
      <c r="E3048" s="76">
        <v>44153.0</v>
      </c>
      <c r="F3048" s="77">
        <v>0.0625</v>
      </c>
      <c r="G3048" s="62" t="b">
        <v>0</v>
      </c>
      <c r="H3048" s="78" t="b">
        <f>IF(VLOOKUP(C3048,Projetos!A:L,12,false)=TRUE,TRUE,FALSE)</f>
        <v>0</v>
      </c>
      <c r="I3048" s="68">
        <v>41.447525582529835</v>
      </c>
      <c r="J3048" s="68">
        <f t="shared" si="1"/>
        <v>0</v>
      </c>
      <c r="K3048" s="68" t="b">
        <v>0</v>
      </c>
    </row>
    <row r="3049" hidden="1">
      <c r="A3049" s="75">
        <v>3043.0</v>
      </c>
      <c r="B3049" s="62" t="s">
        <v>1306</v>
      </c>
      <c r="C3049" s="62" t="s">
        <v>108</v>
      </c>
      <c r="D3049" s="62" t="s">
        <v>1938</v>
      </c>
      <c r="E3049" s="76">
        <v>44153.0</v>
      </c>
      <c r="F3049" s="77">
        <v>0.020833333333333332</v>
      </c>
      <c r="G3049" s="62" t="b">
        <v>0</v>
      </c>
      <c r="H3049" s="78" t="b">
        <f>IF(VLOOKUP(C3049,Projetos!A:L,12,false)=TRUE,TRUE,FALSE)</f>
        <v>1</v>
      </c>
      <c r="I3049" s="68">
        <v>41.447525582529835</v>
      </c>
      <c r="J3049" s="68">
        <f t="shared" si="1"/>
        <v>0</v>
      </c>
      <c r="K3049" s="68" t="b">
        <v>1</v>
      </c>
    </row>
    <row r="3050" hidden="1">
      <c r="A3050" s="75">
        <v>3044.0</v>
      </c>
      <c r="B3050" s="62" t="s">
        <v>1306</v>
      </c>
      <c r="C3050" s="62" t="s">
        <v>88</v>
      </c>
      <c r="D3050" s="62" t="s">
        <v>1939</v>
      </c>
      <c r="E3050" s="76">
        <v>44153.0</v>
      </c>
      <c r="F3050" s="77">
        <v>0.08333333333333333</v>
      </c>
      <c r="G3050" s="62" t="b">
        <v>1</v>
      </c>
      <c r="H3050" s="78" t="b">
        <f>IF(VLOOKUP(C3050,Projetos!A:L,12,false)=TRUE,TRUE,FALSE)</f>
        <v>1</v>
      </c>
      <c r="I3050" s="68">
        <v>41.447525582529835</v>
      </c>
      <c r="J3050" s="68">
        <f t="shared" si="1"/>
        <v>82.89505117</v>
      </c>
      <c r="K3050" s="68" t="b">
        <v>1</v>
      </c>
    </row>
    <row r="3051" hidden="1">
      <c r="A3051" s="75">
        <v>3045.0</v>
      </c>
      <c r="B3051" s="62" t="s">
        <v>1306</v>
      </c>
      <c r="C3051" s="62" t="s">
        <v>108</v>
      </c>
      <c r="D3051" s="62" t="s">
        <v>1940</v>
      </c>
      <c r="E3051" s="76">
        <v>44153.0</v>
      </c>
      <c r="F3051" s="77">
        <v>0.03263888888888889</v>
      </c>
      <c r="G3051" s="62" t="b">
        <v>0</v>
      </c>
      <c r="H3051" s="78" t="b">
        <f>IF(VLOOKUP(C3051,Projetos!A:L,12,false)=TRUE,TRUE,FALSE)</f>
        <v>1</v>
      </c>
      <c r="I3051" s="68">
        <v>41.447525582529835</v>
      </c>
      <c r="J3051" s="68">
        <f t="shared" si="1"/>
        <v>0</v>
      </c>
      <c r="K3051" s="68" t="b">
        <v>1</v>
      </c>
    </row>
    <row r="3052" hidden="1">
      <c r="A3052" s="75">
        <v>3046.0</v>
      </c>
      <c r="B3052" s="62" t="s">
        <v>1306</v>
      </c>
      <c r="C3052" s="62" t="s">
        <v>90</v>
      </c>
      <c r="D3052" s="62" t="s">
        <v>1941</v>
      </c>
      <c r="E3052" s="76">
        <v>44153.0</v>
      </c>
      <c r="F3052" s="77">
        <v>0.07361111111111111</v>
      </c>
      <c r="G3052" s="62" t="b">
        <v>1</v>
      </c>
      <c r="H3052" s="78" t="b">
        <f>IF(VLOOKUP(C3052,Projetos!A:L,12,false)=TRUE,TRUE,FALSE)</f>
        <v>1</v>
      </c>
      <c r="I3052" s="68">
        <v>41.447525582529835</v>
      </c>
      <c r="J3052" s="68">
        <f t="shared" si="1"/>
        <v>73.22396186</v>
      </c>
      <c r="K3052" s="68" t="b">
        <v>1</v>
      </c>
    </row>
    <row r="3053" hidden="1">
      <c r="A3053" s="75">
        <v>3047.0</v>
      </c>
      <c r="B3053" s="62" t="s">
        <v>1306</v>
      </c>
      <c r="C3053" s="62" t="s">
        <v>90</v>
      </c>
      <c r="D3053" s="62" t="s">
        <v>1942</v>
      </c>
      <c r="E3053" s="76">
        <v>44153.0</v>
      </c>
      <c r="F3053" s="77">
        <v>0.041666666666666664</v>
      </c>
      <c r="G3053" s="62" t="b">
        <v>1</v>
      </c>
      <c r="H3053" s="78" t="b">
        <f>IF(VLOOKUP(C3053,Projetos!A:L,12,false)=TRUE,TRUE,FALSE)</f>
        <v>1</v>
      </c>
      <c r="I3053" s="68">
        <v>41.447525582529835</v>
      </c>
      <c r="J3053" s="68">
        <f t="shared" si="1"/>
        <v>41.44752558</v>
      </c>
      <c r="K3053" s="68" t="b">
        <v>1</v>
      </c>
    </row>
    <row r="3054" hidden="1">
      <c r="A3054" s="75">
        <v>3048.0</v>
      </c>
      <c r="B3054" s="62" t="s">
        <v>1306</v>
      </c>
      <c r="C3054" s="62" t="s">
        <v>109</v>
      </c>
      <c r="D3054" s="62" t="s">
        <v>1943</v>
      </c>
      <c r="E3054" s="76">
        <v>44153.0</v>
      </c>
      <c r="F3054" s="77">
        <v>0.03333333333333333</v>
      </c>
      <c r="G3054" s="62" t="b">
        <v>0</v>
      </c>
      <c r="H3054" s="78" t="b">
        <f>IF(VLOOKUP(C3054,Projetos!A:L,12,false)=TRUE,TRUE,FALSE)</f>
        <v>0</v>
      </c>
      <c r="I3054" s="68">
        <v>41.447525582529835</v>
      </c>
      <c r="J3054" s="68">
        <f t="shared" si="1"/>
        <v>0</v>
      </c>
      <c r="K3054" s="68" t="b">
        <v>0</v>
      </c>
    </row>
    <row r="3055" hidden="1">
      <c r="A3055" s="75">
        <v>3049.0</v>
      </c>
      <c r="B3055" s="62" t="s">
        <v>1306</v>
      </c>
      <c r="C3055" s="62" t="s">
        <v>108</v>
      </c>
      <c r="D3055" s="62" t="s">
        <v>1944</v>
      </c>
      <c r="E3055" s="76">
        <v>44154.0</v>
      </c>
      <c r="F3055" s="77">
        <v>0.10138888888888889</v>
      </c>
      <c r="G3055" s="62" t="b">
        <v>1</v>
      </c>
      <c r="H3055" s="78" t="b">
        <f>IF(VLOOKUP(C3055,Projetos!A:L,12,false)=TRUE,TRUE,FALSE)</f>
        <v>1</v>
      </c>
      <c r="I3055" s="68">
        <v>41.447525582529835</v>
      </c>
      <c r="J3055" s="68">
        <f t="shared" si="1"/>
        <v>100.8556456</v>
      </c>
      <c r="K3055" s="68" t="b">
        <v>1</v>
      </c>
    </row>
    <row r="3056" hidden="1">
      <c r="A3056" s="75">
        <v>3050.0</v>
      </c>
      <c r="B3056" s="62" t="s">
        <v>1306</v>
      </c>
      <c r="C3056" s="62" t="s">
        <v>90</v>
      </c>
      <c r="D3056" s="62" t="s">
        <v>1945</v>
      </c>
      <c r="E3056" s="76">
        <v>44154.0</v>
      </c>
      <c r="F3056" s="77">
        <v>0.020833333333333332</v>
      </c>
      <c r="G3056" s="62" t="b">
        <v>0</v>
      </c>
      <c r="H3056" s="78" t="b">
        <f>IF(VLOOKUP(C3056,Projetos!A:L,12,false)=TRUE,TRUE,FALSE)</f>
        <v>1</v>
      </c>
      <c r="I3056" s="68">
        <v>41.447525582529835</v>
      </c>
      <c r="J3056" s="68">
        <f t="shared" si="1"/>
        <v>0</v>
      </c>
      <c r="K3056" s="68" t="b">
        <v>1</v>
      </c>
    </row>
    <row r="3057" hidden="1">
      <c r="A3057" s="75">
        <v>3051.0</v>
      </c>
      <c r="B3057" s="62" t="s">
        <v>1306</v>
      </c>
      <c r="C3057" s="62" t="s">
        <v>108</v>
      </c>
      <c r="D3057" s="62" t="s">
        <v>1946</v>
      </c>
      <c r="E3057" s="76">
        <v>44154.0</v>
      </c>
      <c r="F3057" s="77">
        <v>0.058333333333333334</v>
      </c>
      <c r="G3057" s="62" t="b">
        <v>0</v>
      </c>
      <c r="H3057" s="78" t="b">
        <f>IF(VLOOKUP(C3057,Projetos!A:L,12,false)=TRUE,TRUE,FALSE)</f>
        <v>1</v>
      </c>
      <c r="I3057" s="68">
        <v>41.447525582529835</v>
      </c>
      <c r="J3057" s="68">
        <f t="shared" si="1"/>
        <v>0</v>
      </c>
      <c r="K3057" s="68" t="b">
        <v>1</v>
      </c>
    </row>
    <row r="3058" hidden="1">
      <c r="A3058" s="75">
        <v>3052.0</v>
      </c>
      <c r="B3058" s="62" t="s">
        <v>1306</v>
      </c>
      <c r="C3058" s="62" t="s">
        <v>112</v>
      </c>
      <c r="D3058" s="62" t="s">
        <v>1947</v>
      </c>
      <c r="E3058" s="76">
        <v>44154.0</v>
      </c>
      <c r="F3058" s="77">
        <v>0.025694444444444443</v>
      </c>
      <c r="G3058" s="62" t="b">
        <v>1</v>
      </c>
      <c r="H3058" s="78" t="b">
        <f>IF(VLOOKUP(C3058,Projetos!A:L,12,false)=TRUE,TRUE,FALSE)</f>
        <v>1</v>
      </c>
      <c r="I3058" s="68">
        <v>41.447525582529835</v>
      </c>
      <c r="J3058" s="68">
        <f t="shared" si="1"/>
        <v>25.55930744</v>
      </c>
      <c r="K3058" s="68" t="b">
        <v>1</v>
      </c>
    </row>
    <row r="3059" hidden="1">
      <c r="A3059" s="75">
        <v>3053.0</v>
      </c>
      <c r="B3059" s="62" t="s">
        <v>1306</v>
      </c>
      <c r="C3059" s="62" t="s">
        <v>108</v>
      </c>
      <c r="D3059" s="62" t="s">
        <v>1485</v>
      </c>
      <c r="E3059" s="76">
        <v>44154.0</v>
      </c>
      <c r="F3059" s="77">
        <v>0.020833333333333332</v>
      </c>
      <c r="G3059" s="62" t="b">
        <v>0</v>
      </c>
      <c r="H3059" s="78" t="b">
        <f>IF(VLOOKUP(C3059,Projetos!A:L,12,false)=TRUE,TRUE,FALSE)</f>
        <v>1</v>
      </c>
      <c r="I3059" s="68">
        <v>41.447525582529835</v>
      </c>
      <c r="J3059" s="68">
        <f t="shared" si="1"/>
        <v>0</v>
      </c>
      <c r="K3059" s="68" t="b">
        <v>1</v>
      </c>
    </row>
    <row r="3060" hidden="1">
      <c r="A3060" s="75">
        <v>3054.0</v>
      </c>
      <c r="B3060" s="62" t="s">
        <v>1306</v>
      </c>
      <c r="C3060" s="62" t="s">
        <v>109</v>
      </c>
      <c r="D3060" s="62" t="s">
        <v>1948</v>
      </c>
      <c r="E3060" s="76">
        <v>44154.0</v>
      </c>
      <c r="F3060" s="77">
        <v>0.041666666666666664</v>
      </c>
      <c r="G3060" s="62" t="b">
        <v>0</v>
      </c>
      <c r="H3060" s="78" t="b">
        <f>IF(VLOOKUP(C3060,Projetos!A:L,12,false)=TRUE,TRUE,FALSE)</f>
        <v>0</v>
      </c>
      <c r="I3060" s="68">
        <v>41.447525582529835</v>
      </c>
      <c r="J3060" s="68">
        <f t="shared" si="1"/>
        <v>0</v>
      </c>
      <c r="K3060" s="68" t="b">
        <v>0</v>
      </c>
    </row>
    <row r="3061" hidden="1">
      <c r="A3061" s="75">
        <v>3055.0</v>
      </c>
      <c r="B3061" s="62" t="s">
        <v>1306</v>
      </c>
      <c r="C3061" s="62" t="s">
        <v>108</v>
      </c>
      <c r="D3061" s="62" t="s">
        <v>1949</v>
      </c>
      <c r="E3061" s="76">
        <v>44154.0</v>
      </c>
      <c r="F3061" s="77">
        <v>0.11805555555555555</v>
      </c>
      <c r="G3061" s="62" t="b">
        <v>1</v>
      </c>
      <c r="H3061" s="78" t="b">
        <f>IF(VLOOKUP(C3061,Projetos!A:L,12,false)=TRUE,TRUE,FALSE)</f>
        <v>1</v>
      </c>
      <c r="I3061" s="68">
        <v>41.447525582529835</v>
      </c>
      <c r="J3061" s="68">
        <f t="shared" si="1"/>
        <v>117.4346558</v>
      </c>
      <c r="K3061" s="68" t="b">
        <v>1</v>
      </c>
    </row>
    <row r="3062" hidden="1">
      <c r="A3062" s="75">
        <v>3056.0</v>
      </c>
      <c r="B3062" s="62" t="s">
        <v>1306</v>
      </c>
      <c r="C3062" s="62" t="s">
        <v>83</v>
      </c>
      <c r="D3062" s="62" t="s">
        <v>1950</v>
      </c>
      <c r="E3062" s="76">
        <v>44154.0</v>
      </c>
      <c r="F3062" s="77">
        <v>0.016666666666666666</v>
      </c>
      <c r="G3062" s="62" t="b">
        <v>0</v>
      </c>
      <c r="H3062" s="78" t="b">
        <f>IF(VLOOKUP(C3062,Projetos!A:L,12,false)=TRUE,TRUE,FALSE)</f>
        <v>0</v>
      </c>
      <c r="I3062" s="68">
        <v>41.447525582529835</v>
      </c>
      <c r="J3062" s="68">
        <f t="shared" si="1"/>
        <v>0</v>
      </c>
      <c r="K3062" s="68" t="b">
        <v>0</v>
      </c>
    </row>
    <row r="3063" hidden="1">
      <c r="A3063" s="75">
        <v>3057.0</v>
      </c>
      <c r="B3063" s="62" t="s">
        <v>1306</v>
      </c>
      <c r="C3063" s="62" t="s">
        <v>108</v>
      </c>
      <c r="D3063" s="62" t="s">
        <v>1951</v>
      </c>
      <c r="E3063" s="76">
        <v>44155.0</v>
      </c>
      <c r="F3063" s="77">
        <v>0.034722222222222224</v>
      </c>
      <c r="G3063" s="62" t="b">
        <v>0</v>
      </c>
      <c r="H3063" s="78" t="b">
        <f>IF(VLOOKUP(C3063,Projetos!A:L,12,false)=TRUE,TRUE,FALSE)</f>
        <v>1</v>
      </c>
      <c r="I3063" s="68">
        <v>41.447525582529835</v>
      </c>
      <c r="J3063" s="68">
        <f t="shared" si="1"/>
        <v>0</v>
      </c>
      <c r="K3063" s="68" t="b">
        <v>1</v>
      </c>
    </row>
    <row r="3064" hidden="1">
      <c r="A3064" s="75">
        <v>3058.0</v>
      </c>
      <c r="B3064" s="62" t="s">
        <v>1306</v>
      </c>
      <c r="C3064" s="62" t="s">
        <v>105</v>
      </c>
      <c r="D3064" s="62" t="s">
        <v>1952</v>
      </c>
      <c r="E3064" s="76">
        <v>44155.0</v>
      </c>
      <c r="F3064" s="77">
        <v>0.041666666666666664</v>
      </c>
      <c r="G3064" s="62" t="b">
        <v>1</v>
      </c>
      <c r="H3064" s="78" t="b">
        <f>IF(VLOOKUP(C3064,Projetos!A:L,12,false)=TRUE,TRUE,FALSE)</f>
        <v>1</v>
      </c>
      <c r="I3064" s="68">
        <v>41.447525582529835</v>
      </c>
      <c r="J3064" s="68">
        <f t="shared" si="1"/>
        <v>41.44752558</v>
      </c>
      <c r="K3064" s="68" t="b">
        <v>1</v>
      </c>
    </row>
    <row r="3065" hidden="1">
      <c r="A3065" s="75">
        <v>3059.0</v>
      </c>
      <c r="B3065" s="62" t="s">
        <v>1306</v>
      </c>
      <c r="C3065" s="62" t="s">
        <v>113</v>
      </c>
      <c r="D3065" s="62" t="s">
        <v>1953</v>
      </c>
      <c r="E3065" s="76">
        <v>44155.0</v>
      </c>
      <c r="F3065" s="77">
        <v>0.020833333333333332</v>
      </c>
      <c r="G3065" s="62" t="b">
        <v>1</v>
      </c>
      <c r="H3065" s="78" t="b">
        <f>IF(VLOOKUP(C3065,Projetos!A:L,12,false)=TRUE,TRUE,FALSE)</f>
        <v>1</v>
      </c>
      <c r="I3065" s="68">
        <v>41.447525582529835</v>
      </c>
      <c r="J3065" s="68">
        <f t="shared" si="1"/>
        <v>20.72376279</v>
      </c>
      <c r="K3065" s="68" t="b">
        <v>1</v>
      </c>
    </row>
    <row r="3066" hidden="1">
      <c r="A3066" s="75">
        <v>3060.0</v>
      </c>
      <c r="B3066" s="62" t="s">
        <v>1306</v>
      </c>
      <c r="C3066" s="62" t="s">
        <v>90</v>
      </c>
      <c r="D3066" s="62" t="s">
        <v>1954</v>
      </c>
      <c r="E3066" s="76">
        <v>44155.0</v>
      </c>
      <c r="F3066" s="77">
        <v>0.020833333333333332</v>
      </c>
      <c r="G3066" s="62" t="b">
        <v>1</v>
      </c>
      <c r="H3066" s="78" t="b">
        <f>IF(VLOOKUP(C3066,Projetos!A:L,12,false)=TRUE,TRUE,FALSE)</f>
        <v>1</v>
      </c>
      <c r="I3066" s="68">
        <v>41.447525582529835</v>
      </c>
      <c r="J3066" s="68">
        <f t="shared" si="1"/>
        <v>20.72376279</v>
      </c>
      <c r="K3066" s="68" t="b">
        <v>1</v>
      </c>
    </row>
    <row r="3067" hidden="1">
      <c r="A3067" s="75">
        <v>3061.0</v>
      </c>
      <c r="B3067" s="62" t="s">
        <v>1306</v>
      </c>
      <c r="C3067" s="62" t="s">
        <v>108</v>
      </c>
      <c r="D3067" s="62" t="s">
        <v>1955</v>
      </c>
      <c r="E3067" s="76">
        <v>44155.0</v>
      </c>
      <c r="F3067" s="77">
        <v>0.05555555555555555</v>
      </c>
      <c r="G3067" s="62" t="b">
        <v>0</v>
      </c>
      <c r="H3067" s="78" t="b">
        <f>IF(VLOOKUP(C3067,Projetos!A:L,12,false)=TRUE,TRUE,FALSE)</f>
        <v>1</v>
      </c>
      <c r="I3067" s="68">
        <v>41.447525582529835</v>
      </c>
      <c r="J3067" s="68">
        <f t="shared" si="1"/>
        <v>0</v>
      </c>
      <c r="K3067" s="68" t="b">
        <v>1</v>
      </c>
    </row>
    <row r="3068" hidden="1">
      <c r="A3068" s="75">
        <v>3062.0</v>
      </c>
      <c r="B3068" s="62" t="s">
        <v>1306</v>
      </c>
      <c r="C3068" s="62" t="s">
        <v>90</v>
      </c>
      <c r="D3068" s="62" t="s">
        <v>1956</v>
      </c>
      <c r="E3068" s="76">
        <v>44155.0</v>
      </c>
      <c r="F3068" s="77">
        <v>0.07708333333333334</v>
      </c>
      <c r="G3068" s="62" t="b">
        <v>1</v>
      </c>
      <c r="H3068" s="78" t="b">
        <f>IF(VLOOKUP(C3068,Projetos!A:L,12,false)=TRUE,TRUE,FALSE)</f>
        <v>1</v>
      </c>
      <c r="I3068" s="68">
        <v>41.447525582529835</v>
      </c>
      <c r="J3068" s="68">
        <f t="shared" si="1"/>
        <v>76.67792233</v>
      </c>
      <c r="K3068" s="68" t="b">
        <v>1</v>
      </c>
    </row>
    <row r="3069" hidden="1">
      <c r="A3069" s="75">
        <v>3063.0</v>
      </c>
      <c r="B3069" s="62" t="s">
        <v>1306</v>
      </c>
      <c r="C3069" s="62" t="s">
        <v>102</v>
      </c>
      <c r="D3069" s="62" t="s">
        <v>1957</v>
      </c>
      <c r="E3069" s="76">
        <v>44155.0</v>
      </c>
      <c r="F3069" s="77">
        <v>0.12291666666666666</v>
      </c>
      <c r="G3069" s="62" t="b">
        <v>0</v>
      </c>
      <c r="H3069" s="78" t="b">
        <f>IF(VLOOKUP(C3069,Projetos!A:L,12,false)=TRUE,TRUE,FALSE)</f>
        <v>0</v>
      </c>
      <c r="I3069" s="68">
        <v>41.447525582529835</v>
      </c>
      <c r="J3069" s="68">
        <f t="shared" si="1"/>
        <v>0</v>
      </c>
      <c r="K3069" s="68" t="b">
        <v>0</v>
      </c>
    </row>
    <row r="3070" hidden="1">
      <c r="A3070" s="75">
        <v>3064.0</v>
      </c>
      <c r="B3070" s="62" t="s">
        <v>1306</v>
      </c>
      <c r="C3070" s="62" t="s">
        <v>108</v>
      </c>
      <c r="D3070" s="62" t="s">
        <v>1958</v>
      </c>
      <c r="E3070" s="76">
        <v>44158.0</v>
      </c>
      <c r="F3070" s="77">
        <v>0.03611111111111111</v>
      </c>
      <c r="G3070" s="62" t="b">
        <v>0</v>
      </c>
      <c r="H3070" s="78" t="b">
        <f>IF(VLOOKUP(C3070,Projetos!A:L,12,false)=TRUE,TRUE,FALSE)</f>
        <v>1</v>
      </c>
      <c r="I3070" s="68">
        <v>41.447525582529835</v>
      </c>
      <c r="J3070" s="68">
        <f t="shared" si="1"/>
        <v>0</v>
      </c>
      <c r="K3070" s="68" t="b">
        <v>1</v>
      </c>
    </row>
    <row r="3071" hidden="1">
      <c r="A3071" s="75">
        <v>3065.0</v>
      </c>
      <c r="B3071" s="62" t="s">
        <v>1306</v>
      </c>
      <c r="C3071" s="62" t="s">
        <v>88</v>
      </c>
      <c r="D3071" s="62" t="s">
        <v>1959</v>
      </c>
      <c r="E3071" s="76">
        <v>44158.0</v>
      </c>
      <c r="F3071" s="77">
        <v>0.03125</v>
      </c>
      <c r="G3071" s="62" t="b">
        <v>1</v>
      </c>
      <c r="H3071" s="78" t="b">
        <f>IF(VLOOKUP(C3071,Projetos!A:L,12,false)=TRUE,TRUE,FALSE)</f>
        <v>1</v>
      </c>
      <c r="I3071" s="68">
        <v>41.447525582529835</v>
      </c>
      <c r="J3071" s="68">
        <f t="shared" si="1"/>
        <v>31.08564419</v>
      </c>
      <c r="K3071" s="68" t="b">
        <v>1</v>
      </c>
    </row>
    <row r="3072" hidden="1">
      <c r="A3072" s="75">
        <v>3066.0</v>
      </c>
      <c r="B3072" s="62" t="s">
        <v>1306</v>
      </c>
      <c r="C3072" s="62" t="s">
        <v>108</v>
      </c>
      <c r="D3072" s="62" t="s">
        <v>1960</v>
      </c>
      <c r="E3072" s="76">
        <v>44158.0</v>
      </c>
      <c r="F3072" s="77">
        <v>0.14722222222222223</v>
      </c>
      <c r="G3072" s="62" t="b">
        <v>0</v>
      </c>
      <c r="H3072" s="78" t="b">
        <f>IF(VLOOKUP(C3072,Projetos!A:L,12,false)=TRUE,TRUE,FALSE)</f>
        <v>1</v>
      </c>
      <c r="I3072" s="68">
        <v>41.447525582529835</v>
      </c>
      <c r="J3072" s="68">
        <f t="shared" si="1"/>
        <v>0</v>
      </c>
      <c r="K3072" s="68" t="b">
        <v>1</v>
      </c>
    </row>
    <row r="3073" hidden="1">
      <c r="A3073" s="75">
        <v>3067.0</v>
      </c>
      <c r="B3073" s="62" t="s">
        <v>1306</v>
      </c>
      <c r="C3073" s="62" t="s">
        <v>108</v>
      </c>
      <c r="D3073" s="62" t="s">
        <v>1958</v>
      </c>
      <c r="E3073" s="76">
        <v>44158.0</v>
      </c>
      <c r="F3073" s="77">
        <v>0.010416666666666666</v>
      </c>
      <c r="G3073" s="62" t="b">
        <v>0</v>
      </c>
      <c r="H3073" s="78" t="b">
        <f>IF(VLOOKUP(C3073,Projetos!A:L,12,false)=TRUE,TRUE,FALSE)</f>
        <v>1</v>
      </c>
      <c r="I3073" s="68">
        <v>41.447525582529835</v>
      </c>
      <c r="J3073" s="68">
        <f t="shared" si="1"/>
        <v>0</v>
      </c>
      <c r="K3073" s="68" t="b">
        <v>1</v>
      </c>
    </row>
    <row r="3074" hidden="1">
      <c r="A3074" s="75">
        <v>3068.0</v>
      </c>
      <c r="B3074" s="62" t="s">
        <v>1306</v>
      </c>
      <c r="C3074" s="62" t="s">
        <v>83</v>
      </c>
      <c r="D3074" s="62" t="s">
        <v>1961</v>
      </c>
      <c r="E3074" s="76">
        <v>44158.0</v>
      </c>
      <c r="F3074" s="77">
        <v>0.041666666666666664</v>
      </c>
      <c r="G3074" s="62" t="b">
        <v>0</v>
      </c>
      <c r="H3074" s="78" t="b">
        <f>IF(VLOOKUP(C3074,Projetos!A:L,12,false)=TRUE,TRUE,FALSE)</f>
        <v>0</v>
      </c>
      <c r="I3074" s="68">
        <v>41.447525582529835</v>
      </c>
      <c r="J3074" s="68">
        <f t="shared" si="1"/>
        <v>0</v>
      </c>
      <c r="K3074" s="68" t="b">
        <v>0</v>
      </c>
    </row>
    <row r="3075" hidden="1">
      <c r="A3075" s="75">
        <v>3069.0</v>
      </c>
      <c r="B3075" s="62" t="s">
        <v>1306</v>
      </c>
      <c r="C3075" s="62" t="s">
        <v>108</v>
      </c>
      <c r="D3075" s="62" t="s">
        <v>1962</v>
      </c>
      <c r="E3075" s="76">
        <v>44158.0</v>
      </c>
      <c r="F3075" s="77">
        <v>0.10416666666666667</v>
      </c>
      <c r="G3075" s="62" t="b">
        <v>0</v>
      </c>
      <c r="H3075" s="78" t="b">
        <f>IF(VLOOKUP(C3075,Projetos!A:L,12,false)=TRUE,TRUE,FALSE)</f>
        <v>1</v>
      </c>
      <c r="I3075" s="68">
        <v>41.447525582529835</v>
      </c>
      <c r="J3075" s="68">
        <f t="shared" si="1"/>
        <v>0</v>
      </c>
      <c r="K3075" s="68" t="b">
        <v>1</v>
      </c>
    </row>
    <row r="3076" hidden="1">
      <c r="A3076" s="75">
        <v>3070.0</v>
      </c>
      <c r="B3076" s="62" t="s">
        <v>1306</v>
      </c>
      <c r="C3076" s="62" t="s">
        <v>90</v>
      </c>
      <c r="D3076" s="62" t="s">
        <v>1963</v>
      </c>
      <c r="E3076" s="76">
        <v>44158.0</v>
      </c>
      <c r="F3076" s="77">
        <v>0.01597222222222222</v>
      </c>
      <c r="G3076" s="62" t="b">
        <v>1</v>
      </c>
      <c r="H3076" s="78" t="b">
        <f>IF(VLOOKUP(C3076,Projetos!A:L,12,false)=TRUE,TRUE,FALSE)</f>
        <v>1</v>
      </c>
      <c r="I3076" s="68">
        <v>41.447525582529835</v>
      </c>
      <c r="J3076" s="68">
        <f t="shared" si="1"/>
        <v>15.88821814</v>
      </c>
      <c r="K3076" s="68" t="b">
        <v>1</v>
      </c>
    </row>
    <row r="3077" hidden="1">
      <c r="A3077" s="75">
        <v>3071.0</v>
      </c>
      <c r="B3077" s="62" t="s">
        <v>1306</v>
      </c>
      <c r="C3077" s="62" t="s">
        <v>113</v>
      </c>
      <c r="D3077" s="62" t="s">
        <v>1308</v>
      </c>
      <c r="E3077" s="76">
        <v>44159.0</v>
      </c>
      <c r="F3077" s="77">
        <v>0.09236111111111112</v>
      </c>
      <c r="G3077" s="62" t="b">
        <v>1</v>
      </c>
      <c r="H3077" s="78" t="b">
        <f>IF(VLOOKUP(C3077,Projetos!A:L,12,false)=TRUE,TRUE,FALSE)</f>
        <v>1</v>
      </c>
      <c r="I3077" s="68">
        <v>41.447525582529835</v>
      </c>
      <c r="J3077" s="68">
        <f t="shared" si="1"/>
        <v>91.87534837</v>
      </c>
      <c r="K3077" s="68" t="b">
        <v>1</v>
      </c>
    </row>
    <row r="3078" hidden="1">
      <c r="A3078" s="75">
        <v>3072.0</v>
      </c>
      <c r="B3078" s="62" t="s">
        <v>1306</v>
      </c>
      <c r="C3078" s="62" t="s">
        <v>111</v>
      </c>
      <c r="D3078" s="62" t="s">
        <v>1964</v>
      </c>
      <c r="E3078" s="76">
        <v>44159.0</v>
      </c>
      <c r="F3078" s="77">
        <v>0.020833333333333332</v>
      </c>
      <c r="G3078" s="62" t="b">
        <v>0</v>
      </c>
      <c r="H3078" s="78" t="b">
        <f>IF(VLOOKUP(C3078,Projetos!A:L,12,false)=TRUE,TRUE,FALSE)</f>
        <v>0</v>
      </c>
      <c r="I3078" s="68">
        <v>41.447525582529835</v>
      </c>
      <c r="J3078" s="68">
        <f t="shared" si="1"/>
        <v>0</v>
      </c>
      <c r="K3078" s="68" t="b">
        <v>0</v>
      </c>
    </row>
    <row r="3079" hidden="1">
      <c r="A3079" s="75">
        <v>3073.0</v>
      </c>
      <c r="B3079" s="62" t="s">
        <v>1306</v>
      </c>
      <c r="C3079" s="62" t="s">
        <v>113</v>
      </c>
      <c r="D3079" s="62" t="s">
        <v>1965</v>
      </c>
      <c r="E3079" s="76">
        <v>44159.0</v>
      </c>
      <c r="F3079" s="77">
        <v>0.03125</v>
      </c>
      <c r="G3079" s="62" t="b">
        <v>1</v>
      </c>
      <c r="H3079" s="78" t="b">
        <f>IF(VLOOKUP(C3079,Projetos!A:L,12,false)=TRUE,TRUE,FALSE)</f>
        <v>1</v>
      </c>
      <c r="I3079" s="68">
        <v>41.447525582529835</v>
      </c>
      <c r="J3079" s="68">
        <f t="shared" si="1"/>
        <v>31.08564419</v>
      </c>
      <c r="K3079" s="68" t="b">
        <v>1</v>
      </c>
    </row>
    <row r="3080" hidden="1">
      <c r="A3080" s="75">
        <v>3074.0</v>
      </c>
      <c r="B3080" s="62" t="s">
        <v>1306</v>
      </c>
      <c r="C3080" s="62" t="s">
        <v>90</v>
      </c>
      <c r="D3080" s="62" t="s">
        <v>1966</v>
      </c>
      <c r="E3080" s="76">
        <v>44159.0</v>
      </c>
      <c r="F3080" s="77">
        <v>0.018055555555555554</v>
      </c>
      <c r="G3080" s="62" t="b">
        <v>1</v>
      </c>
      <c r="H3080" s="78" t="b">
        <f>IF(VLOOKUP(C3080,Projetos!A:L,12,false)=TRUE,TRUE,FALSE)</f>
        <v>1</v>
      </c>
      <c r="I3080" s="68">
        <v>41.447525582529835</v>
      </c>
      <c r="J3080" s="68">
        <f t="shared" si="1"/>
        <v>17.96059442</v>
      </c>
      <c r="K3080" s="68" t="b">
        <v>1</v>
      </c>
    </row>
    <row r="3081" hidden="1">
      <c r="A3081" s="75">
        <v>3075.0</v>
      </c>
      <c r="B3081" s="62" t="s">
        <v>1306</v>
      </c>
      <c r="C3081" s="62" t="s">
        <v>90</v>
      </c>
      <c r="D3081" s="62" t="s">
        <v>1967</v>
      </c>
      <c r="E3081" s="76">
        <v>44159.0</v>
      </c>
      <c r="F3081" s="77">
        <v>0.03263888888888889</v>
      </c>
      <c r="G3081" s="62" t="b">
        <v>1</v>
      </c>
      <c r="H3081" s="78" t="b">
        <f>IF(VLOOKUP(C3081,Projetos!A:L,12,false)=TRUE,TRUE,FALSE)</f>
        <v>1</v>
      </c>
      <c r="I3081" s="68">
        <v>41.447525582529835</v>
      </c>
      <c r="J3081" s="68">
        <f t="shared" si="1"/>
        <v>32.46722837</v>
      </c>
      <c r="K3081" s="68" t="b">
        <v>1</v>
      </c>
    </row>
    <row r="3082" hidden="1">
      <c r="A3082" s="75">
        <v>3076.0</v>
      </c>
      <c r="B3082" s="62" t="s">
        <v>1306</v>
      </c>
      <c r="C3082" s="62" t="s">
        <v>108</v>
      </c>
      <c r="D3082" s="62" t="s">
        <v>1618</v>
      </c>
      <c r="E3082" s="76">
        <v>44159.0</v>
      </c>
      <c r="F3082" s="77">
        <v>0.020833333333333332</v>
      </c>
      <c r="G3082" s="62" t="b">
        <v>1</v>
      </c>
      <c r="H3082" s="78" t="b">
        <f>IF(VLOOKUP(C3082,Projetos!A:L,12,false)=TRUE,TRUE,FALSE)</f>
        <v>1</v>
      </c>
      <c r="I3082" s="68">
        <v>41.447525582529835</v>
      </c>
      <c r="J3082" s="68">
        <f t="shared" si="1"/>
        <v>20.72376279</v>
      </c>
      <c r="K3082" s="68" t="b">
        <v>1</v>
      </c>
    </row>
    <row r="3083" hidden="1">
      <c r="A3083" s="75">
        <v>3077.0</v>
      </c>
      <c r="B3083" s="62" t="s">
        <v>1306</v>
      </c>
      <c r="C3083" s="62" t="s">
        <v>108</v>
      </c>
      <c r="D3083" s="62" t="s">
        <v>1968</v>
      </c>
      <c r="E3083" s="76">
        <v>44159.0</v>
      </c>
      <c r="F3083" s="77">
        <v>0.03125</v>
      </c>
      <c r="G3083" s="62" t="b">
        <v>0</v>
      </c>
      <c r="H3083" s="78" t="b">
        <f>IF(VLOOKUP(C3083,Projetos!A:L,12,false)=TRUE,TRUE,FALSE)</f>
        <v>1</v>
      </c>
      <c r="I3083" s="68">
        <v>41.447525582529835</v>
      </c>
      <c r="J3083" s="68">
        <f t="shared" si="1"/>
        <v>0</v>
      </c>
      <c r="K3083" s="68" t="b">
        <v>1</v>
      </c>
    </row>
    <row r="3084" hidden="1">
      <c r="A3084" s="75">
        <v>3078.0</v>
      </c>
      <c r="B3084" s="62" t="s">
        <v>1306</v>
      </c>
      <c r="C3084" s="62" t="s">
        <v>90</v>
      </c>
      <c r="D3084" s="62" t="s">
        <v>1969</v>
      </c>
      <c r="E3084" s="76">
        <v>44159.0</v>
      </c>
      <c r="F3084" s="77">
        <v>0.041666666666666664</v>
      </c>
      <c r="G3084" s="62" t="b">
        <v>1</v>
      </c>
      <c r="H3084" s="78" t="b">
        <f>IF(VLOOKUP(C3084,Projetos!A:L,12,false)=TRUE,TRUE,FALSE)</f>
        <v>1</v>
      </c>
      <c r="I3084" s="68">
        <v>41.447525582529835</v>
      </c>
      <c r="J3084" s="68">
        <f t="shared" si="1"/>
        <v>41.44752558</v>
      </c>
      <c r="K3084" s="68" t="b">
        <v>1</v>
      </c>
    </row>
    <row r="3085" hidden="1">
      <c r="A3085" s="75">
        <v>3079.0</v>
      </c>
      <c r="B3085" s="62" t="s">
        <v>1306</v>
      </c>
      <c r="C3085" s="62" t="s">
        <v>113</v>
      </c>
      <c r="D3085" s="62" t="s">
        <v>1970</v>
      </c>
      <c r="E3085" s="76">
        <v>44159.0</v>
      </c>
      <c r="F3085" s="77">
        <v>0.04861111111111111</v>
      </c>
      <c r="G3085" s="62" t="b">
        <v>0</v>
      </c>
      <c r="H3085" s="78" t="b">
        <f>IF(VLOOKUP(C3085,Projetos!A:L,12,false)=TRUE,TRUE,FALSE)</f>
        <v>1</v>
      </c>
      <c r="I3085" s="68">
        <v>41.447525582529835</v>
      </c>
      <c r="J3085" s="68">
        <f t="shared" si="1"/>
        <v>0</v>
      </c>
      <c r="K3085" s="68" t="b">
        <v>1</v>
      </c>
    </row>
    <row r="3086" hidden="1">
      <c r="A3086" s="75">
        <v>3080.0</v>
      </c>
      <c r="B3086" s="62" t="s">
        <v>1306</v>
      </c>
      <c r="C3086" s="62" t="s">
        <v>108</v>
      </c>
      <c r="D3086" s="62" t="s">
        <v>1618</v>
      </c>
      <c r="E3086" s="76">
        <v>44159.0</v>
      </c>
      <c r="F3086" s="77">
        <v>0.02847222222222222</v>
      </c>
      <c r="G3086" s="62" t="b">
        <v>1</v>
      </c>
      <c r="H3086" s="78" t="b">
        <f>IF(VLOOKUP(C3086,Projetos!A:L,12,false)=TRUE,TRUE,FALSE)</f>
        <v>1</v>
      </c>
      <c r="I3086" s="68">
        <v>41.447525582529835</v>
      </c>
      <c r="J3086" s="68">
        <f t="shared" si="1"/>
        <v>28.32247581</v>
      </c>
      <c r="K3086" s="68" t="b">
        <v>1</v>
      </c>
    </row>
    <row r="3087" hidden="1">
      <c r="A3087" s="75">
        <v>3081.0</v>
      </c>
      <c r="B3087" s="62" t="s">
        <v>1306</v>
      </c>
      <c r="C3087" s="62" t="s">
        <v>111</v>
      </c>
      <c r="D3087" s="62" t="s">
        <v>1971</v>
      </c>
      <c r="E3087" s="76">
        <v>44160.0</v>
      </c>
      <c r="F3087" s="77">
        <v>0.09236111111111112</v>
      </c>
      <c r="G3087" s="62" t="b">
        <v>0</v>
      </c>
      <c r="H3087" s="78" t="b">
        <f>IF(VLOOKUP(C3087,Projetos!A:L,12,false)=TRUE,TRUE,FALSE)</f>
        <v>0</v>
      </c>
      <c r="I3087" s="68">
        <v>41.447525582529835</v>
      </c>
      <c r="J3087" s="68">
        <f t="shared" si="1"/>
        <v>0</v>
      </c>
      <c r="K3087" s="68" t="b">
        <v>0</v>
      </c>
    </row>
    <row r="3088" hidden="1">
      <c r="A3088" s="75">
        <v>3082.0</v>
      </c>
      <c r="B3088" s="62" t="s">
        <v>1306</v>
      </c>
      <c r="C3088" s="62" t="s">
        <v>90</v>
      </c>
      <c r="D3088" s="62" t="s">
        <v>1972</v>
      </c>
      <c r="E3088" s="76">
        <v>44160.0</v>
      </c>
      <c r="F3088" s="77">
        <v>0.041666666666666664</v>
      </c>
      <c r="G3088" s="62" t="b">
        <v>1</v>
      </c>
      <c r="H3088" s="78" t="b">
        <f>IF(VLOOKUP(C3088,Projetos!A:L,12,false)=TRUE,TRUE,FALSE)</f>
        <v>1</v>
      </c>
      <c r="I3088" s="68">
        <v>41.447525582529835</v>
      </c>
      <c r="J3088" s="68">
        <f t="shared" si="1"/>
        <v>41.44752558</v>
      </c>
      <c r="K3088" s="68" t="b">
        <v>1</v>
      </c>
    </row>
    <row r="3089" hidden="1">
      <c r="A3089" s="75">
        <v>3083.0</v>
      </c>
      <c r="B3089" s="62" t="s">
        <v>1306</v>
      </c>
      <c r="C3089" s="62" t="s">
        <v>108</v>
      </c>
      <c r="D3089" s="62" t="s">
        <v>1958</v>
      </c>
      <c r="E3089" s="76">
        <v>44160.0</v>
      </c>
      <c r="F3089" s="77">
        <v>0.04583333333333333</v>
      </c>
      <c r="G3089" s="62" t="b">
        <v>0</v>
      </c>
      <c r="H3089" s="78" t="b">
        <f>IF(VLOOKUP(C3089,Projetos!A:L,12,false)=TRUE,TRUE,FALSE)</f>
        <v>1</v>
      </c>
      <c r="I3089" s="68">
        <v>41.447525582529835</v>
      </c>
      <c r="J3089" s="68">
        <f t="shared" si="1"/>
        <v>0</v>
      </c>
      <c r="K3089" s="68" t="b">
        <v>1</v>
      </c>
    </row>
    <row r="3090" hidden="1">
      <c r="A3090" s="75">
        <v>3084.0</v>
      </c>
      <c r="B3090" s="62" t="s">
        <v>1306</v>
      </c>
      <c r="C3090" s="62" t="s">
        <v>83</v>
      </c>
      <c r="D3090" s="62" t="s">
        <v>1973</v>
      </c>
      <c r="E3090" s="76">
        <v>44160.0</v>
      </c>
      <c r="F3090" s="77">
        <v>0.07361111111111111</v>
      </c>
      <c r="G3090" s="62" t="b">
        <v>0</v>
      </c>
      <c r="H3090" s="78" t="b">
        <f>IF(VLOOKUP(C3090,Projetos!A:L,12,false)=TRUE,TRUE,FALSE)</f>
        <v>0</v>
      </c>
      <c r="I3090" s="68">
        <v>41.447525582529835</v>
      </c>
      <c r="J3090" s="68">
        <f t="shared" si="1"/>
        <v>0</v>
      </c>
      <c r="K3090" s="68" t="b">
        <v>0</v>
      </c>
    </row>
    <row r="3091" hidden="1">
      <c r="A3091" s="75">
        <v>3085.0</v>
      </c>
      <c r="B3091" s="62" t="s">
        <v>1306</v>
      </c>
      <c r="C3091" s="62" t="s">
        <v>108</v>
      </c>
      <c r="D3091" s="62" t="s">
        <v>1974</v>
      </c>
      <c r="E3091" s="76">
        <v>44160.0</v>
      </c>
      <c r="F3091" s="77">
        <v>0.020833333333333332</v>
      </c>
      <c r="G3091" s="62" t="b">
        <v>0</v>
      </c>
      <c r="H3091" s="78" t="b">
        <f>IF(VLOOKUP(C3091,Projetos!A:L,12,false)=TRUE,TRUE,FALSE)</f>
        <v>1</v>
      </c>
      <c r="I3091" s="68">
        <v>41.447525582529835</v>
      </c>
      <c r="J3091" s="68">
        <f t="shared" si="1"/>
        <v>0</v>
      </c>
      <c r="K3091" s="68" t="b">
        <v>1</v>
      </c>
    </row>
    <row r="3092" hidden="1">
      <c r="A3092" s="75">
        <v>3086.0</v>
      </c>
      <c r="B3092" s="62" t="s">
        <v>1306</v>
      </c>
      <c r="C3092" s="62" t="s">
        <v>90</v>
      </c>
      <c r="D3092" s="62" t="s">
        <v>1975</v>
      </c>
      <c r="E3092" s="76">
        <v>44160.0</v>
      </c>
      <c r="F3092" s="77">
        <v>0.041666666666666664</v>
      </c>
      <c r="G3092" s="62" t="b">
        <v>1</v>
      </c>
      <c r="H3092" s="78" t="b">
        <f>IF(VLOOKUP(C3092,Projetos!A:L,12,false)=TRUE,TRUE,FALSE)</f>
        <v>1</v>
      </c>
      <c r="I3092" s="68">
        <v>41.447525582529835</v>
      </c>
      <c r="J3092" s="68">
        <f t="shared" si="1"/>
        <v>41.44752558</v>
      </c>
      <c r="K3092" s="68" t="b">
        <v>1</v>
      </c>
    </row>
    <row r="3093" hidden="1">
      <c r="A3093" s="75">
        <v>3087.0</v>
      </c>
      <c r="B3093" s="62" t="s">
        <v>1306</v>
      </c>
      <c r="C3093" s="62" t="s">
        <v>116</v>
      </c>
      <c r="D3093" s="62" t="s">
        <v>1976</v>
      </c>
      <c r="E3093" s="76">
        <v>44160.0</v>
      </c>
      <c r="F3093" s="77">
        <v>0.020833333333333332</v>
      </c>
      <c r="G3093" s="62" t="b">
        <v>1</v>
      </c>
      <c r="H3093" s="78" t="b">
        <f>IF(VLOOKUP(C3093,Projetos!A:L,12,false)=TRUE,TRUE,FALSE)</f>
        <v>1</v>
      </c>
      <c r="I3093" s="68">
        <v>41.447525582529835</v>
      </c>
      <c r="J3093" s="68">
        <f t="shared" si="1"/>
        <v>20.72376279</v>
      </c>
      <c r="K3093" s="68" t="b">
        <v>1</v>
      </c>
    </row>
    <row r="3094" hidden="1">
      <c r="A3094" s="75">
        <v>3088.0</v>
      </c>
      <c r="B3094" s="62" t="s">
        <v>1306</v>
      </c>
      <c r="C3094" s="62" t="s">
        <v>108</v>
      </c>
      <c r="D3094" s="62" t="s">
        <v>1958</v>
      </c>
      <c r="E3094" s="76">
        <v>44160.0</v>
      </c>
      <c r="F3094" s="77">
        <v>0.043055555555555555</v>
      </c>
      <c r="G3094" s="62" t="b">
        <v>0</v>
      </c>
      <c r="H3094" s="78" t="b">
        <f>IF(VLOOKUP(C3094,Projetos!A:L,12,false)=TRUE,TRUE,FALSE)</f>
        <v>1</v>
      </c>
      <c r="I3094" s="68">
        <v>41.447525582529835</v>
      </c>
      <c r="J3094" s="68">
        <f t="shared" si="1"/>
        <v>0</v>
      </c>
      <c r="K3094" s="68" t="b">
        <v>1</v>
      </c>
    </row>
    <row r="3095" hidden="1">
      <c r="A3095" s="75">
        <v>3089.0</v>
      </c>
      <c r="B3095" s="62" t="s">
        <v>1306</v>
      </c>
      <c r="C3095" s="62" t="s">
        <v>108</v>
      </c>
      <c r="D3095" s="62" t="s">
        <v>1977</v>
      </c>
      <c r="E3095" s="76">
        <v>44161.0</v>
      </c>
      <c r="F3095" s="77">
        <v>0.05555555555555555</v>
      </c>
      <c r="G3095" s="62" t="b">
        <v>0</v>
      </c>
      <c r="H3095" s="78" t="b">
        <f>IF(VLOOKUP(C3095,Projetos!A:L,12,false)=TRUE,TRUE,FALSE)</f>
        <v>1</v>
      </c>
      <c r="I3095" s="68">
        <v>41.447525582529835</v>
      </c>
      <c r="J3095" s="68">
        <f t="shared" si="1"/>
        <v>0</v>
      </c>
      <c r="K3095" s="68" t="b">
        <v>1</v>
      </c>
    </row>
    <row r="3096" hidden="1">
      <c r="A3096" s="75">
        <v>3090.0</v>
      </c>
      <c r="B3096" s="62" t="s">
        <v>1306</v>
      </c>
      <c r="C3096" s="62" t="s">
        <v>90</v>
      </c>
      <c r="D3096" s="62" t="s">
        <v>1978</v>
      </c>
      <c r="E3096" s="76">
        <v>44161.0</v>
      </c>
      <c r="F3096" s="77">
        <v>0.041666666666666664</v>
      </c>
      <c r="G3096" s="62" t="b">
        <v>1</v>
      </c>
      <c r="H3096" s="78" t="b">
        <f>IF(VLOOKUP(C3096,Projetos!A:L,12,false)=TRUE,TRUE,FALSE)</f>
        <v>1</v>
      </c>
      <c r="I3096" s="68">
        <v>41.447525582529835</v>
      </c>
      <c r="J3096" s="68">
        <f t="shared" si="1"/>
        <v>41.44752558</v>
      </c>
      <c r="K3096" s="68" t="b">
        <v>1</v>
      </c>
    </row>
    <row r="3097" hidden="1">
      <c r="A3097" s="75">
        <v>3091.0</v>
      </c>
      <c r="B3097" s="62" t="s">
        <v>1306</v>
      </c>
      <c r="C3097" s="62" t="s">
        <v>108</v>
      </c>
      <c r="D3097" s="62" t="s">
        <v>1979</v>
      </c>
      <c r="E3097" s="76">
        <v>44161.0</v>
      </c>
      <c r="F3097" s="77">
        <v>0.020833333333333332</v>
      </c>
      <c r="G3097" s="62" t="b">
        <v>1</v>
      </c>
      <c r="H3097" s="78" t="b">
        <f>IF(VLOOKUP(C3097,Projetos!A:L,12,false)=TRUE,TRUE,FALSE)</f>
        <v>1</v>
      </c>
      <c r="I3097" s="68">
        <v>41.447525582529835</v>
      </c>
      <c r="J3097" s="68">
        <f t="shared" si="1"/>
        <v>20.72376279</v>
      </c>
      <c r="K3097" s="68" t="b">
        <v>1</v>
      </c>
    </row>
    <row r="3098" hidden="1">
      <c r="A3098" s="75">
        <v>3092.0</v>
      </c>
      <c r="B3098" s="62" t="s">
        <v>1306</v>
      </c>
      <c r="C3098" s="62" t="s">
        <v>90</v>
      </c>
      <c r="D3098" s="62" t="s">
        <v>1980</v>
      </c>
      <c r="E3098" s="76">
        <v>44161.0</v>
      </c>
      <c r="F3098" s="77">
        <v>0.027777777777777776</v>
      </c>
      <c r="G3098" s="62" t="b">
        <v>1</v>
      </c>
      <c r="H3098" s="78" t="b">
        <f>IF(VLOOKUP(C3098,Projetos!A:L,12,false)=TRUE,TRUE,FALSE)</f>
        <v>1</v>
      </c>
      <c r="I3098" s="68">
        <v>41.447525582529835</v>
      </c>
      <c r="J3098" s="68">
        <f t="shared" si="1"/>
        <v>27.63168372</v>
      </c>
      <c r="K3098" s="68" t="b">
        <v>1</v>
      </c>
    </row>
    <row r="3099" hidden="1">
      <c r="A3099" s="75">
        <v>3093.0</v>
      </c>
      <c r="B3099" s="62" t="s">
        <v>1306</v>
      </c>
      <c r="C3099" s="62" t="s">
        <v>116</v>
      </c>
      <c r="D3099" s="62" t="s">
        <v>1981</v>
      </c>
      <c r="E3099" s="76">
        <v>44161.0</v>
      </c>
      <c r="F3099" s="77">
        <v>0.029166666666666667</v>
      </c>
      <c r="G3099" s="62" t="b">
        <v>1</v>
      </c>
      <c r="H3099" s="78" t="b">
        <f>IF(VLOOKUP(C3099,Projetos!A:L,12,false)=TRUE,TRUE,FALSE)</f>
        <v>1</v>
      </c>
      <c r="I3099" s="68">
        <v>41.447525582529835</v>
      </c>
      <c r="J3099" s="68">
        <f t="shared" si="1"/>
        <v>29.01326791</v>
      </c>
      <c r="K3099" s="68" t="b">
        <v>1</v>
      </c>
    </row>
    <row r="3100" hidden="1">
      <c r="A3100" s="75">
        <v>3094.0</v>
      </c>
      <c r="B3100" s="62" t="s">
        <v>1306</v>
      </c>
      <c r="C3100" s="62" t="s">
        <v>108</v>
      </c>
      <c r="D3100" s="62" t="s">
        <v>1982</v>
      </c>
      <c r="E3100" s="76">
        <v>44161.0</v>
      </c>
      <c r="F3100" s="77">
        <v>0.08541666666666667</v>
      </c>
      <c r="G3100" s="62" t="b">
        <v>1</v>
      </c>
      <c r="H3100" s="78" t="b">
        <f>IF(VLOOKUP(C3100,Projetos!A:L,12,false)=TRUE,TRUE,FALSE)</f>
        <v>1</v>
      </c>
      <c r="I3100" s="68">
        <v>41.447525582529835</v>
      </c>
      <c r="J3100" s="68">
        <f t="shared" si="1"/>
        <v>84.96742744</v>
      </c>
      <c r="K3100" s="68" t="b">
        <v>1</v>
      </c>
    </row>
    <row r="3101" hidden="1">
      <c r="A3101" s="75">
        <v>3095.0</v>
      </c>
      <c r="B3101" s="62" t="s">
        <v>1306</v>
      </c>
      <c r="C3101" s="62" t="s">
        <v>90</v>
      </c>
      <c r="D3101" s="62" t="s">
        <v>1983</v>
      </c>
      <c r="E3101" s="76">
        <v>44161.0</v>
      </c>
      <c r="F3101" s="77">
        <v>0.034722222222222224</v>
      </c>
      <c r="G3101" s="62" t="b">
        <v>1</v>
      </c>
      <c r="H3101" s="78" t="b">
        <f>IF(VLOOKUP(C3101,Projetos!A:L,12,false)=TRUE,TRUE,FALSE)</f>
        <v>1</v>
      </c>
      <c r="I3101" s="68">
        <v>41.447525582529835</v>
      </c>
      <c r="J3101" s="68">
        <f t="shared" si="1"/>
        <v>34.53960465</v>
      </c>
      <c r="K3101" s="68" t="b">
        <v>1</v>
      </c>
    </row>
    <row r="3102" hidden="1">
      <c r="A3102" s="75">
        <v>3096.0</v>
      </c>
      <c r="B3102" s="62" t="s">
        <v>1306</v>
      </c>
      <c r="C3102" s="62" t="s">
        <v>108</v>
      </c>
      <c r="D3102" s="62" t="s">
        <v>1984</v>
      </c>
      <c r="E3102" s="76">
        <v>44161.0</v>
      </c>
      <c r="F3102" s="77">
        <v>0.11805555555555555</v>
      </c>
      <c r="G3102" s="62" t="b">
        <v>1</v>
      </c>
      <c r="H3102" s="78" t="b">
        <f>IF(VLOOKUP(C3102,Projetos!A:L,12,false)=TRUE,TRUE,FALSE)</f>
        <v>1</v>
      </c>
      <c r="I3102" s="68">
        <v>41.447525582529835</v>
      </c>
      <c r="J3102" s="68">
        <f t="shared" si="1"/>
        <v>117.4346558</v>
      </c>
      <c r="K3102" s="68" t="b">
        <v>1</v>
      </c>
    </row>
    <row r="3103" hidden="1">
      <c r="A3103" s="75">
        <v>3097.0</v>
      </c>
      <c r="B3103" s="62" t="s">
        <v>1306</v>
      </c>
      <c r="C3103" s="62" t="s">
        <v>108</v>
      </c>
      <c r="D3103" s="62" t="s">
        <v>1985</v>
      </c>
      <c r="E3103" s="76">
        <v>44162.0</v>
      </c>
      <c r="F3103" s="77">
        <v>0.016666666666666666</v>
      </c>
      <c r="G3103" s="62" t="b">
        <v>1</v>
      </c>
      <c r="H3103" s="78" t="b">
        <f>IF(VLOOKUP(C3103,Projetos!A:L,12,false)=TRUE,TRUE,FALSE)</f>
        <v>1</v>
      </c>
      <c r="I3103" s="68">
        <v>41.447525582529835</v>
      </c>
      <c r="J3103" s="68">
        <f t="shared" si="1"/>
        <v>16.57901023</v>
      </c>
      <c r="K3103" s="68" t="b">
        <v>1</v>
      </c>
    </row>
    <row r="3104" hidden="1">
      <c r="A3104" s="75">
        <v>3098.0</v>
      </c>
      <c r="B3104" s="62" t="s">
        <v>1306</v>
      </c>
      <c r="C3104" s="62" t="s">
        <v>116</v>
      </c>
      <c r="D3104" s="62" t="s">
        <v>1986</v>
      </c>
      <c r="E3104" s="76">
        <v>44162.0</v>
      </c>
      <c r="F3104" s="77">
        <v>0.034722222222222224</v>
      </c>
      <c r="G3104" s="62" t="b">
        <v>1</v>
      </c>
      <c r="H3104" s="78" t="b">
        <f>IF(VLOOKUP(C3104,Projetos!A:L,12,false)=TRUE,TRUE,FALSE)</f>
        <v>1</v>
      </c>
      <c r="I3104" s="68">
        <v>41.447525582529835</v>
      </c>
      <c r="J3104" s="68">
        <f t="shared" si="1"/>
        <v>34.53960465</v>
      </c>
      <c r="K3104" s="68" t="b">
        <v>1</v>
      </c>
    </row>
    <row r="3105" hidden="1">
      <c r="A3105" s="75">
        <v>3099.0</v>
      </c>
      <c r="B3105" s="62" t="s">
        <v>1306</v>
      </c>
      <c r="C3105" s="62" t="s">
        <v>108</v>
      </c>
      <c r="D3105" s="62" t="s">
        <v>1987</v>
      </c>
      <c r="E3105" s="76">
        <v>44162.0</v>
      </c>
      <c r="F3105" s="77">
        <v>0.1986111111111111</v>
      </c>
      <c r="G3105" s="62" t="b">
        <v>1</v>
      </c>
      <c r="H3105" s="78" t="b">
        <f>IF(VLOOKUP(C3105,Projetos!A:L,12,false)=TRUE,TRUE,FALSE)</f>
        <v>1</v>
      </c>
      <c r="I3105" s="68">
        <v>41.447525582529835</v>
      </c>
      <c r="J3105" s="68">
        <f t="shared" si="1"/>
        <v>197.5665386</v>
      </c>
      <c r="K3105" s="68" t="b">
        <v>1</v>
      </c>
    </row>
    <row r="3106" hidden="1">
      <c r="A3106" s="75">
        <v>3100.0</v>
      </c>
      <c r="B3106" s="62" t="s">
        <v>1306</v>
      </c>
      <c r="C3106" s="62" t="s">
        <v>83</v>
      </c>
      <c r="D3106" s="62" t="s">
        <v>1988</v>
      </c>
      <c r="E3106" s="76">
        <v>44162.0</v>
      </c>
      <c r="F3106" s="77">
        <v>0.043055555555555555</v>
      </c>
      <c r="G3106" s="62" t="b">
        <v>0</v>
      </c>
      <c r="H3106" s="78" t="b">
        <f>IF(VLOOKUP(C3106,Projetos!A:L,12,false)=TRUE,TRUE,FALSE)</f>
        <v>0</v>
      </c>
      <c r="I3106" s="68">
        <v>41.447525582529835</v>
      </c>
      <c r="J3106" s="68">
        <f t="shared" si="1"/>
        <v>0</v>
      </c>
      <c r="K3106" s="68" t="b">
        <v>0</v>
      </c>
    </row>
    <row r="3107" hidden="1">
      <c r="A3107" s="75">
        <v>3101.0</v>
      </c>
      <c r="B3107" s="62" t="s">
        <v>1306</v>
      </c>
      <c r="C3107" s="62" t="s">
        <v>112</v>
      </c>
      <c r="D3107" s="62" t="s">
        <v>1989</v>
      </c>
      <c r="E3107" s="76">
        <v>44162.0</v>
      </c>
      <c r="F3107" s="77">
        <v>0.052083333333333336</v>
      </c>
      <c r="G3107" s="62" t="b">
        <v>1</v>
      </c>
      <c r="H3107" s="78" t="b">
        <f>IF(VLOOKUP(C3107,Projetos!A:L,12,false)=TRUE,TRUE,FALSE)</f>
        <v>1</v>
      </c>
      <c r="I3107" s="68">
        <v>41.447525582529835</v>
      </c>
      <c r="J3107" s="68">
        <f t="shared" si="1"/>
        <v>51.80940698</v>
      </c>
      <c r="K3107" s="68" t="b">
        <v>1</v>
      </c>
    </row>
    <row r="3108" hidden="1">
      <c r="A3108" s="75">
        <v>3102.0</v>
      </c>
      <c r="B3108" s="62" t="s">
        <v>1306</v>
      </c>
      <c r="C3108" s="62" t="s">
        <v>111</v>
      </c>
      <c r="D3108" s="62" t="s">
        <v>1990</v>
      </c>
      <c r="E3108" s="76">
        <v>44162.0</v>
      </c>
      <c r="F3108" s="77">
        <v>0.017361111111111112</v>
      </c>
      <c r="G3108" s="62" t="b">
        <v>0</v>
      </c>
      <c r="H3108" s="78" t="b">
        <f>IF(VLOOKUP(C3108,Projetos!A:L,12,false)=TRUE,TRUE,FALSE)</f>
        <v>0</v>
      </c>
      <c r="I3108" s="68">
        <v>41.447525582529835</v>
      </c>
      <c r="J3108" s="68">
        <f t="shared" si="1"/>
        <v>0</v>
      </c>
      <c r="K3108" s="68" t="b">
        <v>0</v>
      </c>
    </row>
    <row r="3109" hidden="1">
      <c r="A3109" s="75">
        <v>3103.0</v>
      </c>
      <c r="B3109" s="62" t="s">
        <v>1306</v>
      </c>
      <c r="C3109" s="62" t="s">
        <v>108</v>
      </c>
      <c r="D3109" s="62" t="s">
        <v>1991</v>
      </c>
      <c r="E3109" s="76">
        <v>44162.0</v>
      </c>
      <c r="F3109" s="77">
        <v>0.022222222222222223</v>
      </c>
      <c r="G3109" s="62" t="b">
        <v>1</v>
      </c>
      <c r="H3109" s="78" t="b">
        <f>IF(VLOOKUP(C3109,Projetos!A:L,12,false)=TRUE,TRUE,FALSE)</f>
        <v>1</v>
      </c>
      <c r="I3109" s="68">
        <v>41.447525582529835</v>
      </c>
      <c r="J3109" s="68">
        <f t="shared" si="1"/>
        <v>22.10534698</v>
      </c>
      <c r="K3109" s="68" t="b">
        <v>1</v>
      </c>
    </row>
    <row r="3110" hidden="1">
      <c r="A3110" s="75">
        <v>3104.0</v>
      </c>
      <c r="B3110" s="62" t="s">
        <v>1306</v>
      </c>
      <c r="C3110" s="62" t="s">
        <v>83</v>
      </c>
      <c r="D3110" s="62" t="s">
        <v>1992</v>
      </c>
      <c r="E3110" s="76">
        <v>44165.0</v>
      </c>
      <c r="F3110" s="77">
        <v>0.03263888888888889</v>
      </c>
      <c r="G3110" s="62" t="b">
        <v>0</v>
      </c>
      <c r="H3110" s="78" t="b">
        <f>IF(VLOOKUP(C3110,Projetos!A:L,12,false)=TRUE,TRUE,FALSE)</f>
        <v>0</v>
      </c>
      <c r="I3110" s="68">
        <v>41.447525582529835</v>
      </c>
      <c r="J3110" s="68">
        <f t="shared" si="1"/>
        <v>0</v>
      </c>
      <c r="K3110" s="68" t="b">
        <v>0</v>
      </c>
    </row>
    <row r="3111" hidden="1">
      <c r="A3111" s="75">
        <v>3105.0</v>
      </c>
      <c r="B3111" s="62" t="s">
        <v>1306</v>
      </c>
      <c r="C3111" s="62" t="s">
        <v>108</v>
      </c>
      <c r="D3111" s="62" t="s">
        <v>1993</v>
      </c>
      <c r="E3111" s="76">
        <v>44165.0</v>
      </c>
      <c r="F3111" s="77">
        <v>0.041666666666666664</v>
      </c>
      <c r="G3111" s="62" t="b">
        <v>1</v>
      </c>
      <c r="H3111" s="78" t="b">
        <f>IF(VLOOKUP(C3111,Projetos!A:L,12,false)=TRUE,TRUE,FALSE)</f>
        <v>1</v>
      </c>
      <c r="I3111" s="68">
        <v>41.447525582529835</v>
      </c>
      <c r="J3111" s="68">
        <f t="shared" si="1"/>
        <v>41.44752558</v>
      </c>
      <c r="K3111" s="68" t="b">
        <v>1</v>
      </c>
    </row>
    <row r="3112" hidden="1">
      <c r="A3112" s="75">
        <v>3106.0</v>
      </c>
      <c r="B3112" s="62" t="s">
        <v>1306</v>
      </c>
      <c r="C3112" s="62" t="s">
        <v>83</v>
      </c>
      <c r="D3112" s="62" t="s">
        <v>1994</v>
      </c>
      <c r="E3112" s="76">
        <v>44165.0</v>
      </c>
      <c r="F3112" s="77">
        <v>0.041666666666666664</v>
      </c>
      <c r="G3112" s="62" t="b">
        <v>0</v>
      </c>
      <c r="H3112" s="78" t="b">
        <f>IF(VLOOKUP(C3112,Projetos!A:L,12,false)=TRUE,TRUE,FALSE)</f>
        <v>0</v>
      </c>
      <c r="I3112" s="68">
        <v>41.447525582529835</v>
      </c>
      <c r="J3112" s="68">
        <f t="shared" si="1"/>
        <v>0</v>
      </c>
      <c r="K3112" s="68" t="b">
        <v>0</v>
      </c>
    </row>
    <row r="3113" hidden="1">
      <c r="A3113" s="75">
        <v>3107.0</v>
      </c>
      <c r="B3113" s="62" t="s">
        <v>1306</v>
      </c>
      <c r="C3113" s="62" t="s">
        <v>90</v>
      </c>
      <c r="D3113" s="62" t="s">
        <v>1995</v>
      </c>
      <c r="E3113" s="76">
        <v>44165.0</v>
      </c>
      <c r="F3113" s="77">
        <v>0.020833333333333332</v>
      </c>
      <c r="G3113" s="62" t="b">
        <v>1</v>
      </c>
      <c r="H3113" s="78" t="b">
        <f>IF(VLOOKUP(C3113,Projetos!A:L,12,false)=TRUE,TRUE,FALSE)</f>
        <v>1</v>
      </c>
      <c r="I3113" s="68">
        <v>41.447525582529835</v>
      </c>
      <c r="J3113" s="68">
        <f t="shared" si="1"/>
        <v>20.72376279</v>
      </c>
      <c r="K3113" s="68" t="b">
        <v>1</v>
      </c>
    </row>
    <row r="3114" hidden="1">
      <c r="A3114" s="75">
        <v>3108.0</v>
      </c>
      <c r="B3114" s="62" t="s">
        <v>1306</v>
      </c>
      <c r="C3114" s="62" t="s">
        <v>108</v>
      </c>
      <c r="D3114" s="62" t="s">
        <v>1996</v>
      </c>
      <c r="E3114" s="76">
        <v>44165.0</v>
      </c>
      <c r="F3114" s="77">
        <v>0.11319444444444444</v>
      </c>
      <c r="G3114" s="62" t="b">
        <v>1</v>
      </c>
      <c r="H3114" s="78" t="b">
        <f>IF(VLOOKUP(C3114,Projetos!A:L,12,false)=TRUE,TRUE,FALSE)</f>
        <v>1</v>
      </c>
      <c r="I3114" s="68">
        <v>41.447525582529835</v>
      </c>
      <c r="J3114" s="68">
        <f t="shared" si="1"/>
        <v>112.5991112</v>
      </c>
      <c r="K3114" s="68" t="b">
        <v>1</v>
      </c>
    </row>
    <row r="3115" hidden="1">
      <c r="A3115" s="75">
        <v>3109.0</v>
      </c>
      <c r="B3115" s="62" t="s">
        <v>1306</v>
      </c>
      <c r="C3115" s="62" t="s">
        <v>108</v>
      </c>
      <c r="D3115" s="62" t="s">
        <v>1997</v>
      </c>
      <c r="E3115" s="76">
        <v>44165.0</v>
      </c>
      <c r="F3115" s="77">
        <v>0.04375</v>
      </c>
      <c r="G3115" s="62" t="b">
        <v>1</v>
      </c>
      <c r="H3115" s="78" t="b">
        <f>IF(VLOOKUP(C3115,Projetos!A:L,12,false)=TRUE,TRUE,FALSE)</f>
        <v>1</v>
      </c>
      <c r="I3115" s="68">
        <v>41.447525582529835</v>
      </c>
      <c r="J3115" s="68">
        <f t="shared" si="1"/>
        <v>43.51990186</v>
      </c>
      <c r="K3115" s="68" t="b">
        <v>1</v>
      </c>
    </row>
    <row r="3116" hidden="1">
      <c r="A3116" s="75">
        <v>3110.0</v>
      </c>
      <c r="B3116" s="62" t="s">
        <v>1306</v>
      </c>
      <c r="C3116" s="62" t="s">
        <v>83</v>
      </c>
      <c r="D3116" s="62" t="s">
        <v>1998</v>
      </c>
      <c r="E3116" s="76">
        <v>44165.0</v>
      </c>
      <c r="F3116" s="77">
        <v>0.027777777777777776</v>
      </c>
      <c r="G3116" s="62" t="b">
        <v>0</v>
      </c>
      <c r="H3116" s="78" t="b">
        <f>IF(VLOOKUP(C3116,Projetos!A:L,12,false)=TRUE,TRUE,FALSE)</f>
        <v>0</v>
      </c>
      <c r="I3116" s="68">
        <v>41.447525582529835</v>
      </c>
      <c r="J3116" s="68">
        <f t="shared" si="1"/>
        <v>0</v>
      </c>
      <c r="K3116" s="68" t="b">
        <v>0</v>
      </c>
    </row>
    <row r="3117" hidden="1">
      <c r="A3117" s="75">
        <v>3111.0</v>
      </c>
      <c r="B3117" s="62" t="s">
        <v>1306</v>
      </c>
      <c r="C3117" s="62" t="s">
        <v>116</v>
      </c>
      <c r="D3117" s="62" t="s">
        <v>1999</v>
      </c>
      <c r="E3117" s="76">
        <v>44165.0</v>
      </c>
      <c r="F3117" s="77">
        <v>0.020833333333333332</v>
      </c>
      <c r="G3117" s="62" t="b">
        <v>1</v>
      </c>
      <c r="H3117" s="78" t="b">
        <f>IF(VLOOKUP(C3117,Projetos!A:L,12,false)=TRUE,TRUE,FALSE)</f>
        <v>1</v>
      </c>
      <c r="I3117" s="68">
        <v>41.447525582529835</v>
      </c>
      <c r="J3117" s="68">
        <f t="shared" si="1"/>
        <v>20.72376279</v>
      </c>
      <c r="K3117" s="68" t="b">
        <v>1</v>
      </c>
    </row>
    <row r="3118" hidden="1">
      <c r="A3118" s="75">
        <v>3112.0</v>
      </c>
      <c r="B3118" s="62" t="s">
        <v>1306</v>
      </c>
      <c r="C3118" s="62" t="s">
        <v>113</v>
      </c>
      <c r="D3118" s="62" t="s">
        <v>2000</v>
      </c>
      <c r="E3118" s="76">
        <v>44165.0</v>
      </c>
      <c r="F3118" s="77">
        <v>0.01875</v>
      </c>
      <c r="G3118" s="62" t="b">
        <v>1</v>
      </c>
      <c r="H3118" s="78" t="b">
        <f>IF(VLOOKUP(C3118,Projetos!A:L,12,false)=TRUE,TRUE,FALSE)</f>
        <v>1</v>
      </c>
      <c r="I3118" s="68">
        <v>41.447525582529835</v>
      </c>
      <c r="J3118" s="68">
        <f t="shared" si="1"/>
        <v>18.65138651</v>
      </c>
      <c r="K3118" s="68" t="b">
        <v>1</v>
      </c>
    </row>
    <row r="3119" hidden="1">
      <c r="A3119" s="75">
        <v>3113.0</v>
      </c>
      <c r="B3119" s="62" t="s">
        <v>1306</v>
      </c>
      <c r="C3119" s="62" t="s">
        <v>90</v>
      </c>
      <c r="D3119" s="62" t="s">
        <v>2001</v>
      </c>
      <c r="E3119" s="76">
        <v>44166.0</v>
      </c>
      <c r="F3119" s="77">
        <v>0.041666666666666664</v>
      </c>
      <c r="G3119" s="62" t="b">
        <v>1</v>
      </c>
      <c r="H3119" s="78" t="b">
        <f>IF(VLOOKUP(C3119,Projetos!A:L,12,false)=TRUE,TRUE,FALSE)</f>
        <v>1</v>
      </c>
      <c r="I3119" s="68">
        <v>43.42121727693602</v>
      </c>
      <c r="J3119" s="68">
        <f t="shared" si="1"/>
        <v>43.42121728</v>
      </c>
      <c r="K3119" s="68" t="b">
        <v>1</v>
      </c>
    </row>
    <row r="3120" hidden="1">
      <c r="A3120" s="75">
        <v>3114.0</v>
      </c>
      <c r="B3120" s="62" t="s">
        <v>1306</v>
      </c>
      <c r="C3120" s="62" t="s">
        <v>113</v>
      </c>
      <c r="D3120" s="62" t="s">
        <v>2002</v>
      </c>
      <c r="E3120" s="76">
        <v>44166.0</v>
      </c>
      <c r="F3120" s="77">
        <v>0.08333333333333333</v>
      </c>
      <c r="G3120" s="62" t="b">
        <v>1</v>
      </c>
      <c r="H3120" s="78" t="b">
        <f>IF(VLOOKUP(C3120,Projetos!A:L,12,false)=TRUE,TRUE,FALSE)</f>
        <v>1</v>
      </c>
      <c r="I3120" s="68">
        <v>43.42121727693602</v>
      </c>
      <c r="J3120" s="68">
        <f t="shared" si="1"/>
        <v>86.84243455</v>
      </c>
      <c r="K3120" s="68" t="b">
        <v>1</v>
      </c>
    </row>
    <row r="3121" hidden="1">
      <c r="A3121" s="75">
        <v>3115.0</v>
      </c>
      <c r="B3121" s="62" t="s">
        <v>1306</v>
      </c>
      <c r="C3121" s="62" t="s">
        <v>108</v>
      </c>
      <c r="D3121" s="62" t="s">
        <v>2003</v>
      </c>
      <c r="E3121" s="76">
        <v>44166.0</v>
      </c>
      <c r="F3121" s="77">
        <v>0.0625</v>
      </c>
      <c r="G3121" s="62" t="b">
        <v>1</v>
      </c>
      <c r="H3121" s="78" t="b">
        <f>IF(VLOOKUP(C3121,Projetos!A:L,12,false)=TRUE,TRUE,FALSE)</f>
        <v>1</v>
      </c>
      <c r="I3121" s="68">
        <v>43.42121727693602</v>
      </c>
      <c r="J3121" s="68">
        <f t="shared" si="1"/>
        <v>65.13182592</v>
      </c>
      <c r="K3121" s="68" t="b">
        <v>1</v>
      </c>
    </row>
    <row r="3122" hidden="1">
      <c r="A3122" s="75">
        <v>3116.0</v>
      </c>
      <c r="B3122" s="62" t="s">
        <v>1306</v>
      </c>
      <c r="C3122" s="62" t="s">
        <v>90</v>
      </c>
      <c r="D3122" s="62" t="s">
        <v>2001</v>
      </c>
      <c r="E3122" s="76">
        <v>44166.0</v>
      </c>
      <c r="F3122" s="77">
        <v>0.020833333333333332</v>
      </c>
      <c r="G3122" s="62" t="b">
        <v>1</v>
      </c>
      <c r="H3122" s="78" t="b">
        <f>IF(VLOOKUP(C3122,Projetos!A:L,12,false)=TRUE,TRUE,FALSE)</f>
        <v>1</v>
      </c>
      <c r="I3122" s="68">
        <v>43.42121727693602</v>
      </c>
      <c r="J3122" s="68">
        <f t="shared" si="1"/>
        <v>21.71060864</v>
      </c>
      <c r="K3122" s="68" t="b">
        <v>1</v>
      </c>
    </row>
    <row r="3123" hidden="1">
      <c r="A3123" s="75">
        <v>3117.0</v>
      </c>
      <c r="B3123" s="62" t="s">
        <v>1306</v>
      </c>
      <c r="C3123" s="62" t="s">
        <v>108</v>
      </c>
      <c r="D3123" s="62" t="s">
        <v>2004</v>
      </c>
      <c r="E3123" s="76">
        <v>44166.0</v>
      </c>
      <c r="F3123" s="77">
        <v>0.041666666666666664</v>
      </c>
      <c r="G3123" s="62" t="b">
        <v>1</v>
      </c>
      <c r="H3123" s="78" t="b">
        <f>IF(VLOOKUP(C3123,Projetos!A:L,12,false)=TRUE,TRUE,FALSE)</f>
        <v>1</v>
      </c>
      <c r="I3123" s="68">
        <v>43.42121727693602</v>
      </c>
      <c r="J3123" s="68">
        <f t="shared" si="1"/>
        <v>43.42121728</v>
      </c>
      <c r="K3123" s="68" t="b">
        <v>1</v>
      </c>
    </row>
    <row r="3124" hidden="1">
      <c r="A3124" s="75">
        <v>3118.0</v>
      </c>
      <c r="B3124" s="62" t="s">
        <v>1306</v>
      </c>
      <c r="C3124" s="62" t="s">
        <v>105</v>
      </c>
      <c r="D3124" s="62" t="s">
        <v>2005</v>
      </c>
      <c r="E3124" s="76">
        <v>44166.0</v>
      </c>
      <c r="F3124" s="77">
        <v>0.125</v>
      </c>
      <c r="G3124" s="62" t="b">
        <v>1</v>
      </c>
      <c r="H3124" s="78" t="b">
        <f>IF(VLOOKUP(C3124,Projetos!A:L,12,false)=TRUE,TRUE,FALSE)</f>
        <v>1</v>
      </c>
      <c r="I3124" s="68">
        <v>43.42121727693602</v>
      </c>
      <c r="J3124" s="68">
        <f t="shared" si="1"/>
        <v>130.2636518</v>
      </c>
      <c r="K3124" s="68" t="b">
        <v>1</v>
      </c>
    </row>
    <row r="3125">
      <c r="A3125" s="75">
        <v>3119.0</v>
      </c>
      <c r="B3125" s="62" t="s">
        <v>1306</v>
      </c>
      <c r="C3125" s="62" t="s">
        <v>104</v>
      </c>
      <c r="D3125" s="62" t="s">
        <v>2001</v>
      </c>
      <c r="E3125" s="76">
        <v>44167.0</v>
      </c>
      <c r="F3125" s="77">
        <v>0.20833333333333334</v>
      </c>
      <c r="G3125" s="62" t="b">
        <v>1</v>
      </c>
      <c r="H3125" s="78" t="b">
        <f>IF(VLOOKUP(C3125,Projetos!A:L,12,false)=TRUE,TRUE,FALSE)</f>
        <v>1</v>
      </c>
      <c r="I3125" s="68">
        <v>43.42121727693602</v>
      </c>
      <c r="J3125" s="68">
        <f t="shared" si="1"/>
        <v>217.1060864</v>
      </c>
      <c r="K3125" s="68" t="b">
        <v>1</v>
      </c>
    </row>
    <row r="3126" hidden="1">
      <c r="A3126" s="75">
        <v>3120.0</v>
      </c>
      <c r="B3126" s="62" t="s">
        <v>1306</v>
      </c>
      <c r="C3126" s="62" t="s">
        <v>90</v>
      </c>
      <c r="D3126" s="62" t="s">
        <v>2006</v>
      </c>
      <c r="E3126" s="76">
        <v>44167.0</v>
      </c>
      <c r="F3126" s="77">
        <v>0.020833333333333332</v>
      </c>
      <c r="G3126" s="62" t="b">
        <v>1</v>
      </c>
      <c r="H3126" s="78" t="b">
        <f>IF(VLOOKUP(C3126,Projetos!A:L,12,false)=TRUE,TRUE,FALSE)</f>
        <v>1</v>
      </c>
      <c r="I3126" s="68">
        <v>43.42121727693602</v>
      </c>
      <c r="J3126" s="68">
        <f t="shared" si="1"/>
        <v>21.71060864</v>
      </c>
      <c r="K3126" s="68" t="b">
        <v>1</v>
      </c>
    </row>
    <row r="3127" hidden="1">
      <c r="A3127" s="75">
        <v>3121.0</v>
      </c>
      <c r="B3127" s="62" t="s">
        <v>1306</v>
      </c>
      <c r="C3127" s="62" t="s">
        <v>105</v>
      </c>
      <c r="D3127" s="62" t="s">
        <v>2005</v>
      </c>
      <c r="E3127" s="76">
        <v>44167.0</v>
      </c>
      <c r="F3127" s="77">
        <v>0.041666666666666664</v>
      </c>
      <c r="G3127" s="62" t="b">
        <v>1</v>
      </c>
      <c r="H3127" s="78" t="b">
        <f>IF(VLOOKUP(C3127,Projetos!A:L,12,false)=TRUE,TRUE,FALSE)</f>
        <v>1</v>
      </c>
      <c r="I3127" s="68">
        <v>43.42121727693602</v>
      </c>
      <c r="J3127" s="68">
        <f t="shared" si="1"/>
        <v>43.42121728</v>
      </c>
      <c r="K3127" s="68" t="b">
        <v>1</v>
      </c>
    </row>
    <row r="3128" hidden="1">
      <c r="A3128" s="75">
        <v>3122.0</v>
      </c>
      <c r="B3128" s="62" t="s">
        <v>1306</v>
      </c>
      <c r="C3128" s="62" t="s">
        <v>108</v>
      </c>
      <c r="D3128" s="62" t="s">
        <v>2007</v>
      </c>
      <c r="E3128" s="76">
        <v>44167.0</v>
      </c>
      <c r="F3128" s="77">
        <v>0.020833333333333332</v>
      </c>
      <c r="G3128" s="62" t="b">
        <v>1</v>
      </c>
      <c r="H3128" s="78" t="b">
        <f>IF(VLOOKUP(C3128,Projetos!A:L,12,false)=TRUE,TRUE,FALSE)</f>
        <v>1</v>
      </c>
      <c r="I3128" s="68">
        <v>43.42121727693602</v>
      </c>
      <c r="J3128" s="68">
        <f t="shared" si="1"/>
        <v>21.71060864</v>
      </c>
      <c r="K3128" s="68" t="b">
        <v>1</v>
      </c>
    </row>
    <row r="3129" hidden="1">
      <c r="A3129" s="75">
        <v>3123.0</v>
      </c>
      <c r="B3129" s="62" t="s">
        <v>1306</v>
      </c>
      <c r="C3129" s="62" t="s">
        <v>83</v>
      </c>
      <c r="D3129" s="62" t="s">
        <v>2008</v>
      </c>
      <c r="E3129" s="76">
        <v>44167.0</v>
      </c>
      <c r="F3129" s="77">
        <v>0.0625</v>
      </c>
      <c r="G3129" s="62" t="b">
        <v>0</v>
      </c>
      <c r="H3129" s="78" t="b">
        <f>IF(VLOOKUP(C3129,Projetos!A:L,12,false)=TRUE,TRUE,FALSE)</f>
        <v>0</v>
      </c>
      <c r="I3129" s="68">
        <v>43.42121727693602</v>
      </c>
      <c r="J3129" s="68">
        <f t="shared" si="1"/>
        <v>0</v>
      </c>
      <c r="K3129" s="68" t="b">
        <v>0</v>
      </c>
    </row>
    <row r="3130" hidden="1">
      <c r="A3130" s="75">
        <v>3124.0</v>
      </c>
      <c r="B3130" s="62" t="s">
        <v>1306</v>
      </c>
      <c r="C3130" s="62" t="s">
        <v>108</v>
      </c>
      <c r="D3130" s="62" t="s">
        <v>2009</v>
      </c>
      <c r="E3130" s="76">
        <v>44167.0</v>
      </c>
      <c r="F3130" s="77">
        <v>0.041666666666666664</v>
      </c>
      <c r="G3130" s="62" t="b">
        <v>1</v>
      </c>
      <c r="H3130" s="78" t="b">
        <f>IF(VLOOKUP(C3130,Projetos!A:L,12,false)=TRUE,TRUE,FALSE)</f>
        <v>1</v>
      </c>
      <c r="I3130" s="68">
        <v>43.42121727693602</v>
      </c>
      <c r="J3130" s="68">
        <f t="shared" si="1"/>
        <v>43.42121728</v>
      </c>
      <c r="K3130" s="68" t="b">
        <v>1</v>
      </c>
    </row>
    <row r="3131">
      <c r="A3131" s="75">
        <v>3125.0</v>
      </c>
      <c r="B3131" s="62" t="s">
        <v>1306</v>
      </c>
      <c r="C3131" s="62" t="s">
        <v>104</v>
      </c>
      <c r="D3131" s="62" t="s">
        <v>2001</v>
      </c>
      <c r="E3131" s="76">
        <v>44168.0</v>
      </c>
      <c r="F3131" s="77">
        <v>0.20833333333333334</v>
      </c>
      <c r="G3131" s="62" t="b">
        <v>1</v>
      </c>
      <c r="H3131" s="78" t="b">
        <f>IF(VLOOKUP(C3131,Projetos!A:L,12,false)=TRUE,TRUE,FALSE)</f>
        <v>1</v>
      </c>
      <c r="I3131" s="68">
        <v>43.42121727693602</v>
      </c>
      <c r="J3131" s="68">
        <f t="shared" si="1"/>
        <v>217.1060864</v>
      </c>
      <c r="K3131" s="68" t="b">
        <v>1</v>
      </c>
    </row>
    <row r="3132" hidden="1">
      <c r="A3132" s="75">
        <v>3126.0</v>
      </c>
      <c r="B3132" s="62" t="s">
        <v>1306</v>
      </c>
      <c r="C3132" s="62" t="s">
        <v>108</v>
      </c>
      <c r="D3132" s="62" t="s">
        <v>2010</v>
      </c>
      <c r="E3132" s="76">
        <v>44168.0</v>
      </c>
      <c r="F3132" s="77">
        <v>0.020833333333333332</v>
      </c>
      <c r="G3132" s="62" t="b">
        <v>1</v>
      </c>
      <c r="H3132" s="78" t="b">
        <f>IF(VLOOKUP(C3132,Projetos!A:L,12,false)=TRUE,TRUE,FALSE)</f>
        <v>1</v>
      </c>
      <c r="I3132" s="68">
        <v>43.42121727693602</v>
      </c>
      <c r="J3132" s="68">
        <f t="shared" si="1"/>
        <v>21.71060864</v>
      </c>
      <c r="K3132" s="68" t="b">
        <v>1</v>
      </c>
    </row>
    <row r="3133" hidden="1">
      <c r="A3133" s="75">
        <v>3127.0</v>
      </c>
      <c r="B3133" s="62" t="s">
        <v>1306</v>
      </c>
      <c r="C3133" s="62" t="s">
        <v>98</v>
      </c>
      <c r="D3133" s="62" t="s">
        <v>2011</v>
      </c>
      <c r="E3133" s="76">
        <v>44168.0</v>
      </c>
      <c r="F3133" s="77">
        <v>0.041666666666666664</v>
      </c>
      <c r="G3133" s="62" t="b">
        <v>0</v>
      </c>
      <c r="H3133" s="78" t="b">
        <f>IF(VLOOKUP(C3133,Projetos!A:L,12,false)=TRUE,TRUE,FALSE)</f>
        <v>1</v>
      </c>
      <c r="I3133" s="68">
        <v>43.42121727693602</v>
      </c>
      <c r="J3133" s="68">
        <f t="shared" si="1"/>
        <v>0</v>
      </c>
      <c r="K3133" s="68" t="b">
        <v>1</v>
      </c>
    </row>
    <row r="3134" hidden="1">
      <c r="A3134" s="75">
        <v>3128.0</v>
      </c>
      <c r="B3134" s="62" t="s">
        <v>1306</v>
      </c>
      <c r="C3134" s="62" t="s">
        <v>108</v>
      </c>
      <c r="D3134" s="62" t="s">
        <v>2012</v>
      </c>
      <c r="E3134" s="76">
        <v>44168.0</v>
      </c>
      <c r="F3134" s="77">
        <v>0.0625</v>
      </c>
      <c r="G3134" s="62" t="b">
        <v>1</v>
      </c>
      <c r="H3134" s="78" t="b">
        <f>IF(VLOOKUP(C3134,Projetos!A:L,12,false)=TRUE,TRUE,FALSE)</f>
        <v>1</v>
      </c>
      <c r="I3134" s="68">
        <v>43.42121727693602</v>
      </c>
      <c r="J3134" s="68">
        <f t="shared" si="1"/>
        <v>65.13182592</v>
      </c>
      <c r="K3134" s="68" t="b">
        <v>1</v>
      </c>
    </row>
    <row r="3135" hidden="1">
      <c r="A3135" s="75">
        <v>3129.0</v>
      </c>
      <c r="B3135" s="62" t="s">
        <v>1306</v>
      </c>
      <c r="C3135" s="62" t="s">
        <v>108</v>
      </c>
      <c r="D3135" s="62" t="s">
        <v>2013</v>
      </c>
      <c r="E3135" s="76">
        <v>44168.0</v>
      </c>
      <c r="F3135" s="77">
        <v>0.0625</v>
      </c>
      <c r="G3135" s="62" t="b">
        <v>1</v>
      </c>
      <c r="H3135" s="78" t="b">
        <f>IF(VLOOKUP(C3135,Projetos!A:L,12,false)=TRUE,TRUE,FALSE)</f>
        <v>1</v>
      </c>
      <c r="I3135" s="68">
        <v>43.42121727693602</v>
      </c>
      <c r="J3135" s="68">
        <f t="shared" si="1"/>
        <v>65.13182592</v>
      </c>
      <c r="K3135" s="68" t="b">
        <v>1</v>
      </c>
    </row>
    <row r="3136" hidden="1">
      <c r="A3136" s="75">
        <v>3130.0</v>
      </c>
      <c r="B3136" s="62" t="s">
        <v>1306</v>
      </c>
      <c r="C3136" s="62" t="s">
        <v>90</v>
      </c>
      <c r="D3136" s="62" t="s">
        <v>2001</v>
      </c>
      <c r="E3136" s="76">
        <v>44169.0</v>
      </c>
      <c r="F3136" s="77">
        <v>0.08333333333333333</v>
      </c>
      <c r="G3136" s="62" t="b">
        <v>1</v>
      </c>
      <c r="H3136" s="78" t="b">
        <f>IF(VLOOKUP(C3136,Projetos!A:L,12,false)=TRUE,TRUE,FALSE)</f>
        <v>1</v>
      </c>
      <c r="I3136" s="68">
        <v>43.42121727693602</v>
      </c>
      <c r="J3136" s="68">
        <f t="shared" si="1"/>
        <v>86.84243455</v>
      </c>
      <c r="K3136" s="68" t="b">
        <v>1</v>
      </c>
    </row>
    <row r="3137" hidden="1">
      <c r="A3137" s="75">
        <v>3131.0</v>
      </c>
      <c r="B3137" s="62" t="s">
        <v>1306</v>
      </c>
      <c r="C3137" s="62" t="s">
        <v>108</v>
      </c>
      <c r="D3137" s="62" t="s">
        <v>2014</v>
      </c>
      <c r="E3137" s="76">
        <v>44169.0</v>
      </c>
      <c r="F3137" s="77">
        <v>0.10416666666666667</v>
      </c>
      <c r="G3137" s="62" t="b">
        <v>1</v>
      </c>
      <c r="H3137" s="78" t="b">
        <f>IF(VLOOKUP(C3137,Projetos!A:L,12,false)=TRUE,TRUE,FALSE)</f>
        <v>1</v>
      </c>
      <c r="I3137" s="68">
        <v>43.42121727693602</v>
      </c>
      <c r="J3137" s="68">
        <f t="shared" si="1"/>
        <v>108.5530432</v>
      </c>
      <c r="K3137" s="68" t="b">
        <v>1</v>
      </c>
    </row>
    <row r="3138" hidden="1">
      <c r="A3138" s="75">
        <v>3132.0</v>
      </c>
      <c r="B3138" s="62" t="s">
        <v>1306</v>
      </c>
      <c r="C3138" s="62" t="s">
        <v>90</v>
      </c>
      <c r="D3138" s="62" t="s">
        <v>2015</v>
      </c>
      <c r="E3138" s="76">
        <v>44169.0</v>
      </c>
      <c r="F3138" s="77">
        <v>0.1875</v>
      </c>
      <c r="G3138" s="62" t="b">
        <v>1</v>
      </c>
      <c r="H3138" s="78" t="b">
        <f>IF(VLOOKUP(C3138,Projetos!A:L,12,false)=TRUE,TRUE,FALSE)</f>
        <v>1</v>
      </c>
      <c r="I3138" s="68">
        <v>43.42121727693602</v>
      </c>
      <c r="J3138" s="68">
        <f t="shared" si="1"/>
        <v>195.3954777</v>
      </c>
      <c r="K3138" s="68" t="b">
        <v>1</v>
      </c>
    </row>
    <row r="3139" hidden="1">
      <c r="A3139" s="75">
        <v>3133.0</v>
      </c>
      <c r="B3139" s="62" t="s">
        <v>1306</v>
      </c>
      <c r="C3139" s="62" t="s">
        <v>108</v>
      </c>
      <c r="D3139" s="62" t="s">
        <v>2016</v>
      </c>
      <c r="E3139" s="76">
        <v>44172.0</v>
      </c>
      <c r="F3139" s="77">
        <v>0.09375</v>
      </c>
      <c r="G3139" s="62" t="b">
        <v>1</v>
      </c>
      <c r="H3139" s="78" t="b">
        <f>IF(VLOOKUP(C3139,Projetos!A:L,12,false)=TRUE,TRUE,FALSE)</f>
        <v>1</v>
      </c>
      <c r="I3139" s="68">
        <v>43.42121727693602</v>
      </c>
      <c r="J3139" s="68">
        <f t="shared" si="1"/>
        <v>97.69773887</v>
      </c>
      <c r="K3139" s="68" t="b">
        <v>1</v>
      </c>
    </row>
    <row r="3140" hidden="1">
      <c r="A3140" s="75">
        <v>3134.0</v>
      </c>
      <c r="B3140" s="62" t="s">
        <v>1306</v>
      </c>
      <c r="C3140" s="62" t="s">
        <v>90</v>
      </c>
      <c r="D3140" s="62" t="s">
        <v>2017</v>
      </c>
      <c r="E3140" s="76">
        <v>44172.0</v>
      </c>
      <c r="F3140" s="77">
        <v>0.020833333333333332</v>
      </c>
      <c r="G3140" s="62" t="b">
        <v>1</v>
      </c>
      <c r="H3140" s="78" t="b">
        <f>IF(VLOOKUP(C3140,Projetos!A:L,12,false)=TRUE,TRUE,FALSE)</f>
        <v>1</v>
      </c>
      <c r="I3140" s="68">
        <v>43.42121727693602</v>
      </c>
      <c r="J3140" s="68">
        <f t="shared" si="1"/>
        <v>21.71060864</v>
      </c>
      <c r="K3140" s="68" t="b">
        <v>1</v>
      </c>
    </row>
    <row r="3141" hidden="1">
      <c r="A3141" s="75">
        <v>3135.0</v>
      </c>
      <c r="B3141" s="62" t="s">
        <v>1306</v>
      </c>
      <c r="C3141" s="62" t="s">
        <v>100</v>
      </c>
      <c r="D3141" s="62" t="s">
        <v>2018</v>
      </c>
      <c r="E3141" s="76">
        <v>44172.0</v>
      </c>
      <c r="F3141" s="77">
        <v>0.041666666666666664</v>
      </c>
      <c r="G3141" s="62" t="b">
        <v>1</v>
      </c>
      <c r="H3141" s="78" t="b">
        <f>IF(VLOOKUP(C3141,Projetos!A:L,12,false)=TRUE,TRUE,FALSE)</f>
        <v>1</v>
      </c>
      <c r="I3141" s="68">
        <v>43.42121727693602</v>
      </c>
      <c r="J3141" s="68">
        <f t="shared" si="1"/>
        <v>43.42121728</v>
      </c>
      <c r="K3141" s="68" t="b">
        <v>1</v>
      </c>
    </row>
    <row r="3142" hidden="1">
      <c r="A3142" s="75">
        <v>3136.0</v>
      </c>
      <c r="B3142" s="62" t="s">
        <v>1306</v>
      </c>
      <c r="C3142" s="62" t="s">
        <v>108</v>
      </c>
      <c r="D3142" s="62" t="s">
        <v>2019</v>
      </c>
      <c r="E3142" s="76">
        <v>44172.0</v>
      </c>
      <c r="F3142" s="77">
        <v>0.08333333333333333</v>
      </c>
      <c r="G3142" s="62" t="b">
        <v>1</v>
      </c>
      <c r="H3142" s="78" t="b">
        <f>IF(VLOOKUP(C3142,Projetos!A:L,12,false)=TRUE,TRUE,FALSE)</f>
        <v>1</v>
      </c>
      <c r="I3142" s="68">
        <v>43.42121727693602</v>
      </c>
      <c r="J3142" s="68">
        <f t="shared" si="1"/>
        <v>86.84243455</v>
      </c>
      <c r="K3142" s="68" t="b">
        <v>1</v>
      </c>
    </row>
    <row r="3143" hidden="1">
      <c r="A3143" s="75">
        <v>3137.0</v>
      </c>
      <c r="B3143" s="62" t="s">
        <v>1306</v>
      </c>
      <c r="C3143" s="62" t="s">
        <v>89</v>
      </c>
      <c r="D3143" s="62" t="s">
        <v>2020</v>
      </c>
      <c r="E3143" s="76">
        <v>44172.0</v>
      </c>
      <c r="F3143" s="77">
        <v>0.041666666666666664</v>
      </c>
      <c r="G3143" s="62" t="b">
        <v>1</v>
      </c>
      <c r="H3143" s="78" t="b">
        <f>IF(VLOOKUP(C3143,Projetos!A:L,12,false)=TRUE,TRUE,FALSE)</f>
        <v>1</v>
      </c>
      <c r="I3143" s="68">
        <v>43.42121727693602</v>
      </c>
      <c r="J3143" s="68">
        <f t="shared" si="1"/>
        <v>43.42121728</v>
      </c>
      <c r="K3143" s="68" t="b">
        <v>1</v>
      </c>
    </row>
    <row r="3144" hidden="1">
      <c r="A3144" s="75">
        <v>3138.0</v>
      </c>
      <c r="B3144" s="62" t="s">
        <v>1306</v>
      </c>
      <c r="C3144" s="62" t="s">
        <v>83</v>
      </c>
      <c r="D3144" s="62" t="s">
        <v>2008</v>
      </c>
      <c r="E3144" s="76">
        <v>44172.0</v>
      </c>
      <c r="F3144" s="77">
        <v>0.041666666666666664</v>
      </c>
      <c r="G3144" s="62" t="b">
        <v>0</v>
      </c>
      <c r="H3144" s="78" t="b">
        <f>IF(VLOOKUP(C3144,Projetos!A:L,12,false)=TRUE,TRUE,FALSE)</f>
        <v>0</v>
      </c>
      <c r="I3144" s="68">
        <v>43.42121727693602</v>
      </c>
      <c r="J3144" s="68">
        <f t="shared" si="1"/>
        <v>0</v>
      </c>
      <c r="K3144" s="68" t="b">
        <v>0</v>
      </c>
    </row>
    <row r="3145" hidden="1">
      <c r="A3145" s="75">
        <v>3139.0</v>
      </c>
      <c r="B3145" s="62" t="s">
        <v>1306</v>
      </c>
      <c r="C3145" s="62" t="s">
        <v>113</v>
      </c>
      <c r="D3145" s="62" t="s">
        <v>2021</v>
      </c>
      <c r="E3145" s="76">
        <v>44172.0</v>
      </c>
      <c r="F3145" s="77">
        <v>0.041666666666666664</v>
      </c>
      <c r="G3145" s="62" t="b">
        <v>1</v>
      </c>
      <c r="H3145" s="78" t="b">
        <f>IF(VLOOKUP(C3145,Projetos!A:L,12,false)=TRUE,TRUE,FALSE)</f>
        <v>1</v>
      </c>
      <c r="I3145" s="68">
        <v>43.42121727693602</v>
      </c>
      <c r="J3145" s="68">
        <f t="shared" si="1"/>
        <v>43.42121728</v>
      </c>
      <c r="K3145" s="68" t="b">
        <v>1</v>
      </c>
    </row>
    <row r="3146" hidden="1">
      <c r="A3146" s="75">
        <v>3140.0</v>
      </c>
      <c r="B3146" s="62" t="s">
        <v>1306</v>
      </c>
      <c r="C3146" s="62" t="s">
        <v>100</v>
      </c>
      <c r="D3146" s="62" t="s">
        <v>2022</v>
      </c>
      <c r="E3146" s="76">
        <v>44173.0</v>
      </c>
      <c r="F3146" s="77">
        <v>0.07291666666666667</v>
      </c>
      <c r="G3146" s="62" t="b">
        <v>1</v>
      </c>
      <c r="H3146" s="78" t="b">
        <f>IF(VLOOKUP(C3146,Projetos!A:L,12,false)=TRUE,TRUE,FALSE)</f>
        <v>1</v>
      </c>
      <c r="I3146" s="68">
        <v>43.42121727693602</v>
      </c>
      <c r="J3146" s="68">
        <f t="shared" si="1"/>
        <v>75.98713023</v>
      </c>
      <c r="K3146" s="68" t="b">
        <v>1</v>
      </c>
    </row>
    <row r="3147" hidden="1">
      <c r="A3147" s="75">
        <v>3141.0</v>
      </c>
      <c r="B3147" s="62" t="s">
        <v>1306</v>
      </c>
      <c r="C3147" s="62" t="s">
        <v>108</v>
      </c>
      <c r="D3147" s="62" t="s">
        <v>2023</v>
      </c>
      <c r="E3147" s="76">
        <v>44173.0</v>
      </c>
      <c r="F3147" s="77">
        <v>0.020833333333333332</v>
      </c>
      <c r="G3147" s="62" t="b">
        <v>1</v>
      </c>
      <c r="H3147" s="78" t="b">
        <f>IF(VLOOKUP(C3147,Projetos!A:L,12,false)=TRUE,TRUE,FALSE)</f>
        <v>1</v>
      </c>
      <c r="I3147" s="68">
        <v>43.42121727693602</v>
      </c>
      <c r="J3147" s="68">
        <f t="shared" si="1"/>
        <v>21.71060864</v>
      </c>
      <c r="K3147" s="68" t="b">
        <v>1</v>
      </c>
    </row>
    <row r="3148" hidden="1">
      <c r="A3148" s="75">
        <v>3142.0</v>
      </c>
      <c r="B3148" s="62" t="s">
        <v>1306</v>
      </c>
      <c r="C3148" s="62" t="s">
        <v>105</v>
      </c>
      <c r="D3148" s="62" t="s">
        <v>2024</v>
      </c>
      <c r="E3148" s="76">
        <v>44173.0</v>
      </c>
      <c r="F3148" s="77">
        <v>0.041666666666666664</v>
      </c>
      <c r="G3148" s="62" t="b">
        <v>1</v>
      </c>
      <c r="H3148" s="78" t="b">
        <f>IF(VLOOKUP(C3148,Projetos!A:L,12,false)=TRUE,TRUE,FALSE)</f>
        <v>1</v>
      </c>
      <c r="I3148" s="68">
        <v>43.42121727693602</v>
      </c>
      <c r="J3148" s="68">
        <f t="shared" si="1"/>
        <v>43.42121728</v>
      </c>
      <c r="K3148" s="68" t="b">
        <v>1</v>
      </c>
    </row>
    <row r="3149" hidden="1">
      <c r="A3149" s="75">
        <v>3143.0</v>
      </c>
      <c r="B3149" s="62" t="s">
        <v>1306</v>
      </c>
      <c r="C3149" s="62" t="s">
        <v>108</v>
      </c>
      <c r="D3149" s="62" t="s">
        <v>2025</v>
      </c>
      <c r="E3149" s="76">
        <v>44173.0</v>
      </c>
      <c r="F3149" s="77">
        <v>0.020833333333333332</v>
      </c>
      <c r="G3149" s="62" t="b">
        <v>1</v>
      </c>
      <c r="H3149" s="78" t="b">
        <f>IF(VLOOKUP(C3149,Projetos!A:L,12,false)=TRUE,TRUE,FALSE)</f>
        <v>1</v>
      </c>
      <c r="I3149" s="68">
        <v>43.42121727693602</v>
      </c>
      <c r="J3149" s="68">
        <f t="shared" si="1"/>
        <v>21.71060864</v>
      </c>
      <c r="K3149" s="68" t="b">
        <v>1</v>
      </c>
    </row>
    <row r="3150" hidden="1">
      <c r="A3150" s="75">
        <v>3144.0</v>
      </c>
      <c r="B3150" s="62" t="s">
        <v>1306</v>
      </c>
      <c r="C3150" s="62" t="s">
        <v>116</v>
      </c>
      <c r="D3150" s="62" t="s">
        <v>2026</v>
      </c>
      <c r="E3150" s="76">
        <v>44173.0</v>
      </c>
      <c r="F3150" s="77">
        <v>0.041666666666666664</v>
      </c>
      <c r="G3150" s="62" t="b">
        <v>1</v>
      </c>
      <c r="H3150" s="78" t="b">
        <f>IF(VLOOKUP(C3150,Projetos!A:L,12,false)=TRUE,TRUE,FALSE)</f>
        <v>1</v>
      </c>
      <c r="I3150" s="68">
        <v>43.42121727693602</v>
      </c>
      <c r="J3150" s="68">
        <f t="shared" si="1"/>
        <v>43.42121728</v>
      </c>
      <c r="K3150" s="68" t="b">
        <v>1</v>
      </c>
    </row>
    <row r="3151" hidden="1">
      <c r="A3151" s="75">
        <v>3145.0</v>
      </c>
      <c r="B3151" s="62" t="s">
        <v>1306</v>
      </c>
      <c r="C3151" s="62" t="s">
        <v>113</v>
      </c>
      <c r="D3151" s="62" t="s">
        <v>2027</v>
      </c>
      <c r="E3151" s="76">
        <v>44173.0</v>
      </c>
      <c r="F3151" s="77">
        <v>0.020833333333333332</v>
      </c>
      <c r="G3151" s="62" t="b">
        <v>1</v>
      </c>
      <c r="H3151" s="78" t="b">
        <f>IF(VLOOKUP(C3151,Projetos!A:L,12,false)=TRUE,TRUE,FALSE)</f>
        <v>1</v>
      </c>
      <c r="I3151" s="68">
        <v>43.42121727693602</v>
      </c>
      <c r="J3151" s="68">
        <f t="shared" si="1"/>
        <v>21.71060864</v>
      </c>
      <c r="K3151" s="68" t="b">
        <v>1</v>
      </c>
    </row>
    <row r="3152" hidden="1">
      <c r="A3152" s="75">
        <v>3146.0</v>
      </c>
      <c r="B3152" s="62" t="s">
        <v>1306</v>
      </c>
      <c r="C3152" s="62" t="s">
        <v>105</v>
      </c>
      <c r="D3152" s="62" t="s">
        <v>2028</v>
      </c>
      <c r="E3152" s="76">
        <v>44173.0</v>
      </c>
      <c r="F3152" s="77">
        <v>0.0625</v>
      </c>
      <c r="G3152" s="62" t="b">
        <v>1</v>
      </c>
      <c r="H3152" s="78" t="b">
        <f>IF(VLOOKUP(C3152,Projetos!A:L,12,false)=TRUE,TRUE,FALSE)</f>
        <v>1</v>
      </c>
      <c r="I3152" s="68">
        <v>43.42121727693602</v>
      </c>
      <c r="J3152" s="68">
        <f t="shared" si="1"/>
        <v>65.13182592</v>
      </c>
      <c r="K3152" s="68" t="b">
        <v>1</v>
      </c>
    </row>
    <row r="3153" hidden="1">
      <c r="A3153" s="75">
        <v>3147.0</v>
      </c>
      <c r="B3153" s="62" t="s">
        <v>1306</v>
      </c>
      <c r="C3153" s="62" t="s">
        <v>116</v>
      </c>
      <c r="D3153" s="62" t="s">
        <v>2029</v>
      </c>
      <c r="E3153" s="76">
        <v>44173.0</v>
      </c>
      <c r="F3153" s="77">
        <v>0.020833333333333332</v>
      </c>
      <c r="G3153" s="62" t="b">
        <v>0</v>
      </c>
      <c r="H3153" s="78" t="b">
        <f>IF(VLOOKUP(C3153,Projetos!A:L,12,false)=TRUE,TRUE,FALSE)</f>
        <v>1</v>
      </c>
      <c r="I3153" s="68">
        <v>43.42121727693602</v>
      </c>
      <c r="J3153" s="68">
        <f t="shared" si="1"/>
        <v>0</v>
      </c>
      <c r="K3153" s="68" t="b">
        <v>1</v>
      </c>
    </row>
    <row r="3154" hidden="1">
      <c r="A3154" s="75">
        <v>3148.0</v>
      </c>
      <c r="B3154" s="62" t="s">
        <v>1306</v>
      </c>
      <c r="C3154" s="62" t="s">
        <v>100</v>
      </c>
      <c r="D3154" s="62" t="s">
        <v>2029</v>
      </c>
      <c r="E3154" s="76">
        <v>44173.0</v>
      </c>
      <c r="F3154" s="77">
        <v>0.020833333333333332</v>
      </c>
      <c r="G3154" s="62" t="b">
        <v>0</v>
      </c>
      <c r="H3154" s="78" t="b">
        <f>IF(VLOOKUP(C3154,Projetos!A:L,12,false)=TRUE,TRUE,FALSE)</f>
        <v>1</v>
      </c>
      <c r="I3154" s="68">
        <v>43.42121727693602</v>
      </c>
      <c r="J3154" s="68">
        <f t="shared" si="1"/>
        <v>0</v>
      </c>
      <c r="K3154" s="68" t="b">
        <v>1</v>
      </c>
    </row>
    <row r="3155" hidden="1">
      <c r="A3155" s="75">
        <v>3149.0</v>
      </c>
      <c r="B3155" s="62" t="s">
        <v>1306</v>
      </c>
      <c r="C3155" s="62" t="s">
        <v>90</v>
      </c>
      <c r="D3155" s="62" t="s">
        <v>2029</v>
      </c>
      <c r="E3155" s="76">
        <v>44173.0</v>
      </c>
      <c r="F3155" s="77">
        <v>0.041666666666666664</v>
      </c>
      <c r="G3155" s="62" t="b">
        <v>0</v>
      </c>
      <c r="H3155" s="78" t="b">
        <f>IF(VLOOKUP(C3155,Projetos!A:L,12,false)=TRUE,TRUE,FALSE)</f>
        <v>1</v>
      </c>
      <c r="I3155" s="68">
        <v>43.42121727693602</v>
      </c>
      <c r="J3155" s="68">
        <f t="shared" si="1"/>
        <v>0</v>
      </c>
      <c r="K3155" s="68" t="b">
        <v>1</v>
      </c>
    </row>
    <row r="3156" hidden="1">
      <c r="A3156" s="75">
        <v>3150.0</v>
      </c>
      <c r="B3156" s="62" t="s">
        <v>1306</v>
      </c>
      <c r="C3156" s="62" t="s">
        <v>105</v>
      </c>
      <c r="D3156" s="62" t="s">
        <v>2005</v>
      </c>
      <c r="E3156" s="76">
        <v>44174.0</v>
      </c>
      <c r="F3156" s="77">
        <v>0.09375</v>
      </c>
      <c r="G3156" s="62" t="b">
        <v>1</v>
      </c>
      <c r="H3156" s="78" t="b">
        <f>IF(VLOOKUP(C3156,Projetos!A:L,12,false)=TRUE,TRUE,FALSE)</f>
        <v>1</v>
      </c>
      <c r="I3156" s="68">
        <v>43.42121727693602</v>
      </c>
      <c r="J3156" s="68">
        <f t="shared" si="1"/>
        <v>97.69773887</v>
      </c>
      <c r="K3156" s="68" t="b">
        <v>1</v>
      </c>
    </row>
    <row r="3157" hidden="1">
      <c r="A3157" s="75">
        <v>3151.0</v>
      </c>
      <c r="B3157" s="62" t="s">
        <v>1306</v>
      </c>
      <c r="C3157" s="62" t="s">
        <v>90</v>
      </c>
      <c r="D3157" s="62" t="s">
        <v>2030</v>
      </c>
      <c r="E3157" s="76">
        <v>44174.0</v>
      </c>
      <c r="F3157" s="77">
        <v>0.041666666666666664</v>
      </c>
      <c r="G3157" s="62" t="b">
        <v>1</v>
      </c>
      <c r="H3157" s="78" t="b">
        <f>IF(VLOOKUP(C3157,Projetos!A:L,12,false)=TRUE,TRUE,FALSE)</f>
        <v>1</v>
      </c>
      <c r="I3157" s="68">
        <v>43.42121727693602</v>
      </c>
      <c r="J3157" s="68">
        <f t="shared" si="1"/>
        <v>43.42121728</v>
      </c>
      <c r="K3157" s="68" t="b">
        <v>1</v>
      </c>
    </row>
    <row r="3158" hidden="1">
      <c r="A3158" s="75">
        <v>3152.0</v>
      </c>
      <c r="B3158" s="62" t="s">
        <v>1306</v>
      </c>
      <c r="C3158" s="62" t="s">
        <v>108</v>
      </c>
      <c r="D3158" s="62" t="s">
        <v>2031</v>
      </c>
      <c r="E3158" s="76">
        <v>44174.0</v>
      </c>
      <c r="F3158" s="77">
        <v>0.020833333333333332</v>
      </c>
      <c r="G3158" s="62" t="b">
        <v>1</v>
      </c>
      <c r="H3158" s="78" t="b">
        <f>IF(VLOOKUP(C3158,Projetos!A:L,12,false)=TRUE,TRUE,FALSE)</f>
        <v>1</v>
      </c>
      <c r="I3158" s="68">
        <v>43.42121727693602</v>
      </c>
      <c r="J3158" s="68">
        <f t="shared" si="1"/>
        <v>21.71060864</v>
      </c>
      <c r="K3158" s="68" t="b">
        <v>1</v>
      </c>
    </row>
    <row r="3159" hidden="1">
      <c r="A3159" s="75">
        <v>3153.0</v>
      </c>
      <c r="B3159" s="62" t="s">
        <v>1306</v>
      </c>
      <c r="C3159" s="62" t="s">
        <v>105</v>
      </c>
      <c r="D3159" s="62" t="s">
        <v>2032</v>
      </c>
      <c r="E3159" s="76">
        <v>44174.0</v>
      </c>
      <c r="F3159" s="77">
        <v>0.020833333333333332</v>
      </c>
      <c r="G3159" s="62" t="b">
        <v>1</v>
      </c>
      <c r="H3159" s="78" t="b">
        <f>IF(VLOOKUP(C3159,Projetos!A:L,12,false)=TRUE,TRUE,FALSE)</f>
        <v>1</v>
      </c>
      <c r="I3159" s="68">
        <v>43.42121727693602</v>
      </c>
      <c r="J3159" s="68">
        <f t="shared" si="1"/>
        <v>21.71060864</v>
      </c>
      <c r="K3159" s="68" t="b">
        <v>1</v>
      </c>
    </row>
    <row r="3160" hidden="1">
      <c r="A3160" s="75">
        <v>3154.0</v>
      </c>
      <c r="B3160" s="62" t="s">
        <v>1306</v>
      </c>
      <c r="C3160" s="62" t="s">
        <v>90</v>
      </c>
      <c r="D3160" s="62" t="s">
        <v>2033</v>
      </c>
      <c r="E3160" s="76">
        <v>44174.0</v>
      </c>
      <c r="F3160" s="77">
        <v>0.1875</v>
      </c>
      <c r="G3160" s="62" t="b">
        <v>1</v>
      </c>
      <c r="H3160" s="78" t="b">
        <f>IF(VLOOKUP(C3160,Projetos!A:L,12,false)=TRUE,TRUE,FALSE)</f>
        <v>1</v>
      </c>
      <c r="I3160" s="68">
        <v>43.42121727693602</v>
      </c>
      <c r="J3160" s="68">
        <f t="shared" si="1"/>
        <v>195.3954777</v>
      </c>
      <c r="K3160" s="68" t="b">
        <v>1</v>
      </c>
    </row>
    <row r="3161" hidden="1">
      <c r="A3161" s="75">
        <v>3155.0</v>
      </c>
      <c r="B3161" s="62" t="s">
        <v>1306</v>
      </c>
      <c r="C3161" s="62" t="s">
        <v>108</v>
      </c>
      <c r="D3161" s="62" t="s">
        <v>2007</v>
      </c>
      <c r="E3161" s="76">
        <v>44175.0</v>
      </c>
      <c r="F3161" s="77">
        <v>0.03125</v>
      </c>
      <c r="G3161" s="62" t="b">
        <v>1</v>
      </c>
      <c r="H3161" s="78" t="b">
        <f>IF(VLOOKUP(C3161,Projetos!A:L,12,false)=TRUE,TRUE,FALSE)</f>
        <v>1</v>
      </c>
      <c r="I3161" s="68">
        <v>43.42121727693602</v>
      </c>
      <c r="J3161" s="68">
        <f t="shared" si="1"/>
        <v>32.56591296</v>
      </c>
      <c r="K3161" s="68" t="b">
        <v>1</v>
      </c>
    </row>
    <row r="3162" hidden="1">
      <c r="A3162" s="75">
        <v>3156.0</v>
      </c>
      <c r="B3162" s="62" t="s">
        <v>1306</v>
      </c>
      <c r="C3162" s="62" t="s">
        <v>88</v>
      </c>
      <c r="D3162" s="62" t="s">
        <v>2034</v>
      </c>
      <c r="E3162" s="76">
        <v>44175.0</v>
      </c>
      <c r="F3162" s="77">
        <v>0.041666666666666664</v>
      </c>
      <c r="G3162" s="62" t="b">
        <v>1</v>
      </c>
      <c r="H3162" s="78" t="b">
        <f>IF(VLOOKUP(C3162,Projetos!A:L,12,false)=TRUE,TRUE,FALSE)</f>
        <v>1</v>
      </c>
      <c r="I3162" s="68">
        <v>43.42121727693602</v>
      </c>
      <c r="J3162" s="68">
        <f t="shared" si="1"/>
        <v>43.42121728</v>
      </c>
      <c r="K3162" s="68" t="b">
        <v>1</v>
      </c>
    </row>
    <row r="3163" hidden="1">
      <c r="A3163" s="75">
        <v>3157.0</v>
      </c>
      <c r="B3163" s="62" t="s">
        <v>1306</v>
      </c>
      <c r="C3163" s="62" t="s">
        <v>108</v>
      </c>
      <c r="D3163" s="62" t="s">
        <v>2035</v>
      </c>
      <c r="E3163" s="76">
        <v>44175.0</v>
      </c>
      <c r="F3163" s="77">
        <v>0.041666666666666664</v>
      </c>
      <c r="G3163" s="62" t="b">
        <v>1</v>
      </c>
      <c r="H3163" s="78" t="b">
        <f>IF(VLOOKUP(C3163,Projetos!A:L,12,false)=TRUE,TRUE,FALSE)</f>
        <v>1</v>
      </c>
      <c r="I3163" s="68">
        <v>43.42121727693602</v>
      </c>
      <c r="J3163" s="68">
        <f t="shared" si="1"/>
        <v>43.42121728</v>
      </c>
      <c r="K3163" s="68" t="b">
        <v>1</v>
      </c>
    </row>
    <row r="3164" hidden="1">
      <c r="A3164" s="75">
        <v>3158.0</v>
      </c>
      <c r="B3164" s="62" t="s">
        <v>1306</v>
      </c>
      <c r="C3164" s="62" t="s">
        <v>90</v>
      </c>
      <c r="D3164" s="62" t="s">
        <v>2033</v>
      </c>
      <c r="E3164" s="76">
        <v>44175.0</v>
      </c>
      <c r="F3164" s="77">
        <v>0.08333333333333333</v>
      </c>
      <c r="G3164" s="62" t="b">
        <v>1</v>
      </c>
      <c r="H3164" s="78" t="b">
        <f>IF(VLOOKUP(C3164,Projetos!A:L,12,false)=TRUE,TRUE,FALSE)</f>
        <v>1</v>
      </c>
      <c r="I3164" s="68">
        <v>43.42121727693602</v>
      </c>
      <c r="J3164" s="68">
        <f t="shared" si="1"/>
        <v>86.84243455</v>
      </c>
      <c r="K3164" s="68" t="b">
        <v>1</v>
      </c>
    </row>
    <row r="3165" hidden="1">
      <c r="A3165" s="75">
        <v>3159.0</v>
      </c>
      <c r="B3165" s="62" t="s">
        <v>1306</v>
      </c>
      <c r="C3165" s="62" t="s">
        <v>88</v>
      </c>
      <c r="D3165" s="62" t="s">
        <v>2036</v>
      </c>
      <c r="E3165" s="76">
        <v>44175.0</v>
      </c>
      <c r="F3165" s="77">
        <v>0.020833333333333332</v>
      </c>
      <c r="G3165" s="62" t="b">
        <v>1</v>
      </c>
      <c r="H3165" s="78" t="b">
        <f>IF(VLOOKUP(C3165,Projetos!A:L,12,false)=TRUE,TRUE,FALSE)</f>
        <v>1</v>
      </c>
      <c r="I3165" s="68">
        <v>43.42121727693602</v>
      </c>
      <c r="J3165" s="68">
        <f t="shared" si="1"/>
        <v>21.71060864</v>
      </c>
      <c r="K3165" s="68" t="b">
        <v>1</v>
      </c>
    </row>
    <row r="3166" hidden="1">
      <c r="A3166" s="75">
        <v>3160.0</v>
      </c>
      <c r="B3166" s="62" t="s">
        <v>1306</v>
      </c>
      <c r="C3166" s="62" t="s">
        <v>90</v>
      </c>
      <c r="D3166" s="62" t="s">
        <v>2037</v>
      </c>
      <c r="E3166" s="76">
        <v>44175.0</v>
      </c>
      <c r="F3166" s="77">
        <v>0.0625</v>
      </c>
      <c r="G3166" s="62" t="b">
        <v>1</v>
      </c>
      <c r="H3166" s="78" t="b">
        <f>IF(VLOOKUP(C3166,Projetos!A:L,12,false)=TRUE,TRUE,FALSE)</f>
        <v>1</v>
      </c>
      <c r="I3166" s="68">
        <v>43.42121727693602</v>
      </c>
      <c r="J3166" s="68">
        <f t="shared" si="1"/>
        <v>65.13182592</v>
      </c>
      <c r="K3166" s="68" t="b">
        <v>1</v>
      </c>
    </row>
    <row r="3167" hidden="1">
      <c r="A3167" s="75">
        <v>3161.0</v>
      </c>
      <c r="B3167" s="62" t="s">
        <v>1306</v>
      </c>
      <c r="C3167" s="62" t="s">
        <v>108</v>
      </c>
      <c r="D3167" s="62" t="s">
        <v>2038</v>
      </c>
      <c r="E3167" s="76">
        <v>44175.0</v>
      </c>
      <c r="F3167" s="77">
        <v>0.020833333333333332</v>
      </c>
      <c r="G3167" s="62" t="b">
        <v>1</v>
      </c>
      <c r="H3167" s="78" t="b">
        <f>IF(VLOOKUP(C3167,Projetos!A:L,12,false)=TRUE,TRUE,FALSE)</f>
        <v>1</v>
      </c>
      <c r="I3167" s="68">
        <v>43.42121727693602</v>
      </c>
      <c r="J3167" s="68">
        <f t="shared" si="1"/>
        <v>21.71060864</v>
      </c>
      <c r="K3167" s="68" t="b">
        <v>1</v>
      </c>
    </row>
    <row r="3168" hidden="1">
      <c r="A3168" s="75">
        <v>3162.0</v>
      </c>
      <c r="B3168" s="62" t="s">
        <v>1306</v>
      </c>
      <c r="C3168" s="62" t="s">
        <v>105</v>
      </c>
      <c r="D3168" s="62" t="s">
        <v>2039</v>
      </c>
      <c r="E3168" s="76">
        <v>44175.0</v>
      </c>
      <c r="F3168" s="77">
        <v>0.041666666666666664</v>
      </c>
      <c r="G3168" s="62" t="b">
        <v>1</v>
      </c>
      <c r="H3168" s="78" t="b">
        <f>IF(VLOOKUP(C3168,Projetos!A:L,12,false)=TRUE,TRUE,FALSE)</f>
        <v>1</v>
      </c>
      <c r="I3168" s="68">
        <v>43.42121727693602</v>
      </c>
      <c r="J3168" s="68">
        <f t="shared" si="1"/>
        <v>43.42121728</v>
      </c>
      <c r="K3168" s="68" t="b">
        <v>1</v>
      </c>
    </row>
    <row r="3169" hidden="1">
      <c r="A3169" s="75">
        <v>3163.0</v>
      </c>
      <c r="B3169" s="62" t="s">
        <v>1306</v>
      </c>
      <c r="C3169" s="62" t="s">
        <v>90</v>
      </c>
      <c r="D3169" s="62" t="s">
        <v>2040</v>
      </c>
      <c r="E3169" s="76">
        <v>44179.0</v>
      </c>
      <c r="F3169" s="77">
        <v>0.13541666666666666</v>
      </c>
      <c r="G3169" s="62" t="b">
        <v>1</v>
      </c>
      <c r="H3169" s="78" t="b">
        <f>IF(VLOOKUP(C3169,Projetos!A:L,12,false)=TRUE,TRUE,FALSE)</f>
        <v>1</v>
      </c>
      <c r="I3169" s="68">
        <v>43.42121727693602</v>
      </c>
      <c r="J3169" s="68">
        <f t="shared" si="1"/>
        <v>141.1189562</v>
      </c>
      <c r="K3169" s="68" t="b">
        <v>1</v>
      </c>
    </row>
    <row r="3170" hidden="1">
      <c r="A3170" s="75">
        <v>3164.0</v>
      </c>
      <c r="B3170" s="62" t="s">
        <v>1306</v>
      </c>
      <c r="C3170" s="62" t="s">
        <v>90</v>
      </c>
      <c r="D3170" s="62" t="s">
        <v>2041</v>
      </c>
      <c r="E3170" s="76">
        <v>44179.0</v>
      </c>
      <c r="F3170" s="77">
        <v>0.0625</v>
      </c>
      <c r="G3170" s="62" t="b">
        <v>1</v>
      </c>
      <c r="H3170" s="78" t="b">
        <f>IF(VLOOKUP(C3170,Projetos!A:L,12,false)=TRUE,TRUE,FALSE)</f>
        <v>1</v>
      </c>
      <c r="I3170" s="68">
        <v>43.42121727693602</v>
      </c>
      <c r="J3170" s="68">
        <f t="shared" si="1"/>
        <v>65.13182592</v>
      </c>
      <c r="K3170" s="68" t="b">
        <v>1</v>
      </c>
    </row>
    <row r="3171">
      <c r="A3171" s="75">
        <v>3165.0</v>
      </c>
      <c r="B3171" s="62" t="s">
        <v>1306</v>
      </c>
      <c r="C3171" s="62" t="s">
        <v>104</v>
      </c>
      <c r="D3171" s="62" t="s">
        <v>2042</v>
      </c>
      <c r="E3171" s="76">
        <v>44179.0</v>
      </c>
      <c r="F3171" s="77">
        <v>0.041666666666666664</v>
      </c>
      <c r="G3171" s="62" t="b">
        <v>0</v>
      </c>
      <c r="H3171" s="78" t="b">
        <f>IF(VLOOKUP(C3171,Projetos!A:L,12,false)=TRUE,TRUE,FALSE)</f>
        <v>1</v>
      </c>
      <c r="I3171" s="68">
        <v>43.42121727693602</v>
      </c>
      <c r="J3171" s="68">
        <f t="shared" si="1"/>
        <v>0</v>
      </c>
      <c r="K3171" s="68" t="b">
        <v>1</v>
      </c>
    </row>
    <row r="3172" hidden="1">
      <c r="A3172" s="75">
        <v>3166.0</v>
      </c>
      <c r="B3172" s="62" t="s">
        <v>1306</v>
      </c>
      <c r="C3172" s="62" t="s">
        <v>108</v>
      </c>
      <c r="D3172" s="62" t="s">
        <v>2043</v>
      </c>
      <c r="E3172" s="76">
        <v>44179.0</v>
      </c>
      <c r="F3172" s="77">
        <v>0.041666666666666664</v>
      </c>
      <c r="G3172" s="62" t="b">
        <v>1</v>
      </c>
      <c r="H3172" s="78" t="b">
        <f>IF(VLOOKUP(C3172,Projetos!A:L,12,false)=TRUE,TRUE,FALSE)</f>
        <v>1</v>
      </c>
      <c r="I3172" s="68">
        <v>43.42121727693602</v>
      </c>
      <c r="J3172" s="68">
        <f t="shared" si="1"/>
        <v>43.42121728</v>
      </c>
      <c r="K3172" s="68" t="b">
        <v>1</v>
      </c>
    </row>
    <row r="3173" hidden="1">
      <c r="A3173" s="75">
        <v>3167.0</v>
      </c>
      <c r="B3173" s="62" t="s">
        <v>1306</v>
      </c>
      <c r="C3173" s="62" t="s">
        <v>90</v>
      </c>
      <c r="D3173" s="62" t="s">
        <v>2044</v>
      </c>
      <c r="E3173" s="76">
        <v>44179.0</v>
      </c>
      <c r="F3173" s="77">
        <v>0.08333333333333333</v>
      </c>
      <c r="G3173" s="62" t="b">
        <v>1</v>
      </c>
      <c r="H3173" s="78" t="b">
        <f>IF(VLOOKUP(C3173,Projetos!A:L,12,false)=TRUE,TRUE,FALSE)</f>
        <v>1</v>
      </c>
      <c r="I3173" s="68">
        <v>43.42121727693602</v>
      </c>
      <c r="J3173" s="68">
        <f t="shared" si="1"/>
        <v>86.84243455</v>
      </c>
      <c r="K3173" s="68" t="b">
        <v>1</v>
      </c>
    </row>
    <row r="3174" hidden="1">
      <c r="A3174" s="75">
        <v>3168.0</v>
      </c>
      <c r="B3174" s="62" t="s">
        <v>1306</v>
      </c>
      <c r="C3174" s="62" t="s">
        <v>90</v>
      </c>
      <c r="D3174" s="62" t="s">
        <v>2044</v>
      </c>
      <c r="E3174" s="76">
        <v>44180.0</v>
      </c>
      <c r="F3174" s="77">
        <v>0.020833333333333332</v>
      </c>
      <c r="G3174" s="62" t="b">
        <v>1</v>
      </c>
      <c r="H3174" s="78" t="b">
        <f>IF(VLOOKUP(C3174,Projetos!A:L,12,false)=TRUE,TRUE,FALSE)</f>
        <v>1</v>
      </c>
      <c r="I3174" s="68">
        <v>43.42121727693602</v>
      </c>
      <c r="J3174" s="68">
        <f t="shared" si="1"/>
        <v>21.71060864</v>
      </c>
      <c r="K3174" s="68" t="b">
        <v>1</v>
      </c>
    </row>
    <row r="3175" hidden="1">
      <c r="A3175" s="75">
        <v>3169.0</v>
      </c>
      <c r="B3175" s="62" t="s">
        <v>1306</v>
      </c>
      <c r="C3175" s="62" t="s">
        <v>90</v>
      </c>
      <c r="D3175" s="62" t="s">
        <v>2045</v>
      </c>
      <c r="E3175" s="76">
        <v>44180.0</v>
      </c>
      <c r="F3175" s="77">
        <v>0.0625</v>
      </c>
      <c r="G3175" s="62" t="b">
        <v>1</v>
      </c>
      <c r="H3175" s="78" t="b">
        <f>IF(VLOOKUP(C3175,Projetos!A:L,12,false)=TRUE,TRUE,FALSE)</f>
        <v>1</v>
      </c>
      <c r="I3175" s="68">
        <v>43.42121727693602</v>
      </c>
      <c r="J3175" s="68">
        <f t="shared" si="1"/>
        <v>65.13182592</v>
      </c>
      <c r="K3175" s="68" t="b">
        <v>1</v>
      </c>
    </row>
    <row r="3176" hidden="1">
      <c r="A3176" s="75">
        <v>3170.0</v>
      </c>
      <c r="B3176" s="62" t="s">
        <v>1306</v>
      </c>
      <c r="C3176" s="62" t="s">
        <v>108</v>
      </c>
      <c r="D3176" s="62" t="s">
        <v>2046</v>
      </c>
      <c r="E3176" s="76">
        <v>44180.0</v>
      </c>
      <c r="F3176" s="77">
        <v>0.041666666666666664</v>
      </c>
      <c r="G3176" s="62" t="b">
        <v>1</v>
      </c>
      <c r="H3176" s="78" t="b">
        <f>IF(VLOOKUP(C3176,Projetos!A:L,12,false)=TRUE,TRUE,FALSE)</f>
        <v>1</v>
      </c>
      <c r="I3176" s="68">
        <v>43.42121727693602</v>
      </c>
      <c r="J3176" s="68">
        <f t="shared" si="1"/>
        <v>43.42121728</v>
      </c>
      <c r="K3176" s="68" t="b">
        <v>1</v>
      </c>
    </row>
    <row r="3177" hidden="1">
      <c r="A3177" s="75">
        <v>3171.0</v>
      </c>
      <c r="B3177" s="62" t="s">
        <v>1306</v>
      </c>
      <c r="C3177" s="62" t="s">
        <v>105</v>
      </c>
      <c r="D3177" s="62" t="s">
        <v>2047</v>
      </c>
      <c r="E3177" s="76">
        <v>44180.0</v>
      </c>
      <c r="F3177" s="77">
        <v>0.020833333333333332</v>
      </c>
      <c r="G3177" s="62" t="b">
        <v>1</v>
      </c>
      <c r="H3177" s="78" t="b">
        <f>IF(VLOOKUP(C3177,Projetos!A:L,12,false)=TRUE,TRUE,FALSE)</f>
        <v>1</v>
      </c>
      <c r="I3177" s="68">
        <v>43.42121727693602</v>
      </c>
      <c r="J3177" s="68">
        <f t="shared" si="1"/>
        <v>21.71060864</v>
      </c>
      <c r="K3177" s="68" t="b">
        <v>1</v>
      </c>
    </row>
    <row r="3178" hidden="1">
      <c r="A3178" s="75">
        <v>3172.0</v>
      </c>
      <c r="B3178" s="62" t="s">
        <v>1306</v>
      </c>
      <c r="C3178" s="62" t="s">
        <v>113</v>
      </c>
      <c r="D3178" s="62" t="s">
        <v>2048</v>
      </c>
      <c r="E3178" s="76">
        <v>44180.0</v>
      </c>
      <c r="F3178" s="77">
        <v>0.041666666666666664</v>
      </c>
      <c r="G3178" s="62" t="b">
        <v>1</v>
      </c>
      <c r="H3178" s="78" t="b">
        <f>IF(VLOOKUP(C3178,Projetos!A:L,12,false)=TRUE,TRUE,FALSE)</f>
        <v>1</v>
      </c>
      <c r="I3178" s="68">
        <v>43.42121727693602</v>
      </c>
      <c r="J3178" s="68">
        <f t="shared" si="1"/>
        <v>43.42121728</v>
      </c>
      <c r="K3178" s="68" t="b">
        <v>1</v>
      </c>
    </row>
    <row r="3179" hidden="1">
      <c r="A3179" s="75">
        <v>3173.0</v>
      </c>
      <c r="B3179" s="62" t="s">
        <v>1306</v>
      </c>
      <c r="C3179" s="62" t="s">
        <v>90</v>
      </c>
      <c r="D3179" s="62" t="s">
        <v>2049</v>
      </c>
      <c r="E3179" s="76">
        <v>44180.0</v>
      </c>
      <c r="F3179" s="77">
        <v>0.125</v>
      </c>
      <c r="G3179" s="62" t="b">
        <v>1</v>
      </c>
      <c r="H3179" s="78" t="b">
        <f>IF(VLOOKUP(C3179,Projetos!A:L,12,false)=TRUE,TRUE,FALSE)</f>
        <v>1</v>
      </c>
      <c r="I3179" s="68">
        <v>43.42121727693602</v>
      </c>
      <c r="J3179" s="68">
        <f t="shared" si="1"/>
        <v>130.2636518</v>
      </c>
      <c r="K3179" s="68" t="b">
        <v>1</v>
      </c>
    </row>
    <row r="3180" hidden="1">
      <c r="A3180" s="75">
        <v>3174.0</v>
      </c>
      <c r="B3180" s="62" t="s">
        <v>1306</v>
      </c>
      <c r="C3180" s="62" t="s">
        <v>108</v>
      </c>
      <c r="D3180" s="62" t="s">
        <v>2050</v>
      </c>
      <c r="E3180" s="76">
        <v>44180.0</v>
      </c>
      <c r="F3180" s="77">
        <v>0.020833333333333332</v>
      </c>
      <c r="G3180" s="62" t="b">
        <v>0</v>
      </c>
      <c r="H3180" s="78" t="b">
        <f>IF(VLOOKUP(C3180,Projetos!A:L,12,false)=TRUE,TRUE,FALSE)</f>
        <v>1</v>
      </c>
      <c r="I3180" s="68">
        <v>43.42121727693602</v>
      </c>
      <c r="J3180" s="68">
        <f t="shared" si="1"/>
        <v>0</v>
      </c>
      <c r="K3180" s="68" t="b">
        <v>1</v>
      </c>
    </row>
    <row r="3181" hidden="1">
      <c r="A3181" s="75">
        <v>3175.0</v>
      </c>
      <c r="B3181" s="62" t="s">
        <v>1306</v>
      </c>
      <c r="C3181" s="62" t="s">
        <v>108</v>
      </c>
      <c r="D3181" s="62" t="s">
        <v>2051</v>
      </c>
      <c r="E3181" s="76">
        <v>44181.0</v>
      </c>
      <c r="F3181" s="77">
        <v>0.03125</v>
      </c>
      <c r="G3181" s="62" t="b">
        <v>0</v>
      </c>
      <c r="H3181" s="78" t="b">
        <f>IF(VLOOKUP(C3181,Projetos!A:L,12,false)=TRUE,TRUE,FALSE)</f>
        <v>1</v>
      </c>
      <c r="I3181" s="68">
        <v>43.42121727693602</v>
      </c>
      <c r="J3181" s="68">
        <f t="shared" si="1"/>
        <v>0</v>
      </c>
      <c r="K3181" s="68" t="b">
        <v>1</v>
      </c>
    </row>
    <row r="3182" hidden="1">
      <c r="A3182" s="75">
        <v>3176.0</v>
      </c>
      <c r="B3182" s="62" t="s">
        <v>1306</v>
      </c>
      <c r="C3182" s="62" t="s">
        <v>90</v>
      </c>
      <c r="D3182" s="62" t="s">
        <v>2052</v>
      </c>
      <c r="E3182" s="76">
        <v>44181.0</v>
      </c>
      <c r="F3182" s="77">
        <v>0.1875</v>
      </c>
      <c r="G3182" s="62" t="b">
        <v>1</v>
      </c>
      <c r="H3182" s="78" t="b">
        <f>IF(VLOOKUP(C3182,Projetos!A:L,12,false)=TRUE,TRUE,FALSE)</f>
        <v>1</v>
      </c>
      <c r="I3182" s="68">
        <v>43.42121727693602</v>
      </c>
      <c r="J3182" s="68">
        <f t="shared" si="1"/>
        <v>195.3954777</v>
      </c>
      <c r="K3182" s="68" t="b">
        <v>1</v>
      </c>
    </row>
    <row r="3183" hidden="1">
      <c r="A3183" s="75">
        <v>3177.0</v>
      </c>
      <c r="B3183" s="62" t="s">
        <v>1306</v>
      </c>
      <c r="C3183" s="62" t="s">
        <v>105</v>
      </c>
      <c r="D3183" s="62" t="s">
        <v>2053</v>
      </c>
      <c r="E3183" s="76">
        <v>44181.0</v>
      </c>
      <c r="F3183" s="77">
        <v>0.08333333333333333</v>
      </c>
      <c r="G3183" s="62" t="b">
        <v>1</v>
      </c>
      <c r="H3183" s="78" t="b">
        <f>IF(VLOOKUP(C3183,Projetos!A:L,12,false)=TRUE,TRUE,FALSE)</f>
        <v>1</v>
      </c>
      <c r="I3183" s="68">
        <v>43.42121727693602</v>
      </c>
      <c r="J3183" s="68">
        <f t="shared" si="1"/>
        <v>86.84243455</v>
      </c>
      <c r="K3183" s="68" t="b">
        <v>1</v>
      </c>
    </row>
    <row r="3184" hidden="1">
      <c r="A3184" s="75">
        <v>3178.0</v>
      </c>
      <c r="B3184" s="62" t="s">
        <v>1306</v>
      </c>
      <c r="C3184" s="62" t="s">
        <v>90</v>
      </c>
      <c r="D3184" s="62" t="s">
        <v>2054</v>
      </c>
      <c r="E3184" s="76">
        <v>44181.0</v>
      </c>
      <c r="F3184" s="77">
        <v>0.0625</v>
      </c>
      <c r="G3184" s="62" t="b">
        <v>1</v>
      </c>
      <c r="H3184" s="78" t="b">
        <f>IF(VLOOKUP(C3184,Projetos!A:L,12,false)=TRUE,TRUE,FALSE)</f>
        <v>1</v>
      </c>
      <c r="I3184" s="68">
        <v>43.42121727693602</v>
      </c>
      <c r="J3184" s="68">
        <f t="shared" si="1"/>
        <v>65.13182592</v>
      </c>
      <c r="K3184" s="68" t="b">
        <v>1</v>
      </c>
    </row>
    <row r="3185" hidden="1">
      <c r="A3185" s="75">
        <v>3179.0</v>
      </c>
      <c r="B3185" s="62" t="s">
        <v>1306</v>
      </c>
      <c r="C3185" s="62" t="s">
        <v>105</v>
      </c>
      <c r="D3185" s="62" t="s">
        <v>2055</v>
      </c>
      <c r="E3185" s="76">
        <v>44182.0</v>
      </c>
      <c r="F3185" s="77">
        <v>0.07291666666666667</v>
      </c>
      <c r="G3185" s="62" t="b">
        <v>1</v>
      </c>
      <c r="H3185" s="78" t="b">
        <f>IF(VLOOKUP(C3185,Projetos!A:L,12,false)=TRUE,TRUE,FALSE)</f>
        <v>1</v>
      </c>
      <c r="I3185" s="68">
        <v>43.42121727693602</v>
      </c>
      <c r="J3185" s="68">
        <f t="shared" si="1"/>
        <v>75.98713023</v>
      </c>
      <c r="K3185" s="68" t="b">
        <v>1</v>
      </c>
    </row>
    <row r="3186" hidden="1">
      <c r="A3186" s="75">
        <v>3180.0</v>
      </c>
      <c r="B3186" s="62" t="s">
        <v>1306</v>
      </c>
      <c r="C3186" s="62" t="s">
        <v>88</v>
      </c>
      <c r="D3186" s="62" t="s">
        <v>2056</v>
      </c>
      <c r="E3186" s="76">
        <v>44182.0</v>
      </c>
      <c r="F3186" s="77">
        <v>0.041666666666666664</v>
      </c>
      <c r="G3186" s="62" t="b">
        <v>1</v>
      </c>
      <c r="H3186" s="78" t="b">
        <f>IF(VLOOKUP(C3186,Projetos!A:L,12,false)=TRUE,TRUE,FALSE)</f>
        <v>1</v>
      </c>
      <c r="I3186" s="68">
        <v>43.42121727693602</v>
      </c>
      <c r="J3186" s="68">
        <f t="shared" si="1"/>
        <v>43.42121728</v>
      </c>
      <c r="K3186" s="68" t="b">
        <v>1</v>
      </c>
    </row>
    <row r="3187" hidden="1">
      <c r="A3187" s="75">
        <v>3181.0</v>
      </c>
      <c r="B3187" s="62" t="s">
        <v>1306</v>
      </c>
      <c r="C3187" s="62" t="s">
        <v>90</v>
      </c>
      <c r="D3187" s="62" t="s">
        <v>2057</v>
      </c>
      <c r="E3187" s="76">
        <v>44182.0</v>
      </c>
      <c r="F3187" s="77">
        <v>0.041666666666666664</v>
      </c>
      <c r="G3187" s="62" t="b">
        <v>1</v>
      </c>
      <c r="H3187" s="78" t="b">
        <f>IF(VLOOKUP(C3187,Projetos!A:L,12,false)=TRUE,TRUE,FALSE)</f>
        <v>1</v>
      </c>
      <c r="I3187" s="68">
        <v>43.42121727693602</v>
      </c>
      <c r="J3187" s="68">
        <f t="shared" si="1"/>
        <v>43.42121728</v>
      </c>
      <c r="K3187" s="68" t="b">
        <v>1</v>
      </c>
    </row>
    <row r="3188" hidden="1">
      <c r="A3188" s="75">
        <v>3182.0</v>
      </c>
      <c r="B3188" s="62" t="s">
        <v>1306</v>
      </c>
      <c r="C3188" s="62" t="s">
        <v>105</v>
      </c>
      <c r="D3188" s="62" t="s">
        <v>2058</v>
      </c>
      <c r="E3188" s="76">
        <v>44182.0</v>
      </c>
      <c r="F3188" s="77">
        <v>0.041666666666666664</v>
      </c>
      <c r="G3188" s="62" t="b">
        <v>1</v>
      </c>
      <c r="H3188" s="78" t="b">
        <f>IF(VLOOKUP(C3188,Projetos!A:L,12,false)=TRUE,TRUE,FALSE)</f>
        <v>1</v>
      </c>
      <c r="I3188" s="68">
        <v>43.42121727693602</v>
      </c>
      <c r="J3188" s="68">
        <f t="shared" si="1"/>
        <v>43.42121728</v>
      </c>
      <c r="K3188" s="68" t="b">
        <v>1</v>
      </c>
    </row>
    <row r="3189" hidden="1">
      <c r="A3189" s="75">
        <v>3183.0</v>
      </c>
      <c r="B3189" s="62" t="s">
        <v>1306</v>
      </c>
      <c r="C3189" s="62" t="s">
        <v>116</v>
      </c>
      <c r="D3189" s="62" t="s">
        <v>2059</v>
      </c>
      <c r="E3189" s="76">
        <v>44182.0</v>
      </c>
      <c r="F3189" s="77">
        <v>0.0625</v>
      </c>
      <c r="G3189" s="62" t="b">
        <v>1</v>
      </c>
      <c r="H3189" s="78" t="b">
        <f>IF(VLOOKUP(C3189,Projetos!A:L,12,false)=TRUE,TRUE,FALSE)</f>
        <v>1</v>
      </c>
      <c r="I3189" s="68">
        <v>43.42121727693602</v>
      </c>
      <c r="J3189" s="68">
        <f t="shared" si="1"/>
        <v>65.13182592</v>
      </c>
      <c r="K3189" s="68" t="b">
        <v>1</v>
      </c>
    </row>
    <row r="3190" hidden="1">
      <c r="A3190" s="75">
        <v>3184.0</v>
      </c>
      <c r="B3190" s="62" t="s">
        <v>1306</v>
      </c>
      <c r="C3190" s="62" t="s">
        <v>108</v>
      </c>
      <c r="D3190" s="62" t="s">
        <v>2060</v>
      </c>
      <c r="E3190" s="76">
        <v>44182.0</v>
      </c>
      <c r="F3190" s="77">
        <v>0.041666666666666664</v>
      </c>
      <c r="G3190" s="62" t="b">
        <v>1</v>
      </c>
      <c r="H3190" s="78" t="b">
        <f>IF(VLOOKUP(C3190,Projetos!A:L,12,false)=TRUE,TRUE,FALSE)</f>
        <v>1</v>
      </c>
      <c r="I3190" s="68">
        <v>43.42121727693602</v>
      </c>
      <c r="J3190" s="68">
        <f t="shared" si="1"/>
        <v>43.42121728</v>
      </c>
      <c r="K3190" s="68" t="b">
        <v>1</v>
      </c>
    </row>
    <row r="3191" hidden="1">
      <c r="A3191" s="75">
        <v>3185.0</v>
      </c>
      <c r="B3191" s="62" t="s">
        <v>1306</v>
      </c>
      <c r="C3191" s="62" t="s">
        <v>105</v>
      </c>
      <c r="D3191" s="62" t="s">
        <v>2060</v>
      </c>
      <c r="E3191" s="76">
        <v>44182.0</v>
      </c>
      <c r="F3191" s="77">
        <v>0.041666666666666664</v>
      </c>
      <c r="G3191" s="62" t="b">
        <v>1</v>
      </c>
      <c r="H3191" s="78" t="b">
        <f>IF(VLOOKUP(C3191,Projetos!A:L,12,false)=TRUE,TRUE,FALSE)</f>
        <v>1</v>
      </c>
      <c r="I3191" s="68">
        <v>43.42121727693602</v>
      </c>
      <c r="J3191" s="68">
        <f t="shared" si="1"/>
        <v>43.42121728</v>
      </c>
      <c r="K3191" s="68" t="b">
        <v>1</v>
      </c>
    </row>
    <row r="3192" hidden="1">
      <c r="A3192" s="75">
        <v>3186.0</v>
      </c>
      <c r="B3192" s="62" t="s">
        <v>1306</v>
      </c>
      <c r="C3192" s="62" t="s">
        <v>90</v>
      </c>
      <c r="D3192" s="62" t="s">
        <v>2061</v>
      </c>
      <c r="E3192" s="76">
        <v>44183.0</v>
      </c>
      <c r="F3192" s="77">
        <v>0.03125</v>
      </c>
      <c r="G3192" s="62" t="b">
        <v>1</v>
      </c>
      <c r="H3192" s="78" t="b">
        <f>IF(VLOOKUP(C3192,Projetos!A:L,12,false)=TRUE,TRUE,FALSE)</f>
        <v>1</v>
      </c>
      <c r="I3192" s="68">
        <v>43.42121727693602</v>
      </c>
      <c r="J3192" s="68">
        <f t="shared" si="1"/>
        <v>32.56591296</v>
      </c>
      <c r="K3192" s="68" t="b">
        <v>1</v>
      </c>
    </row>
    <row r="3193" hidden="1">
      <c r="A3193" s="75">
        <v>3187.0</v>
      </c>
      <c r="B3193" s="62" t="s">
        <v>1306</v>
      </c>
      <c r="C3193" s="62" t="s">
        <v>90</v>
      </c>
      <c r="D3193" s="62" t="s">
        <v>2062</v>
      </c>
      <c r="E3193" s="76">
        <v>44183.0</v>
      </c>
      <c r="F3193" s="77">
        <v>0.1875</v>
      </c>
      <c r="G3193" s="62" t="b">
        <v>1</v>
      </c>
      <c r="H3193" s="78" t="b">
        <f>IF(VLOOKUP(C3193,Projetos!A:L,12,false)=TRUE,TRUE,FALSE)</f>
        <v>1</v>
      </c>
      <c r="I3193" s="68">
        <v>43.42121727693602</v>
      </c>
      <c r="J3193" s="68">
        <f t="shared" si="1"/>
        <v>195.3954777</v>
      </c>
      <c r="K3193" s="68" t="b">
        <v>1</v>
      </c>
    </row>
    <row r="3194" hidden="1">
      <c r="A3194" s="75">
        <v>3188.0</v>
      </c>
      <c r="B3194" s="62" t="s">
        <v>1306</v>
      </c>
      <c r="C3194" s="62" t="s">
        <v>105</v>
      </c>
      <c r="D3194" s="62" t="s">
        <v>2063</v>
      </c>
      <c r="E3194" s="76">
        <v>44183.0</v>
      </c>
      <c r="F3194" s="77">
        <v>0.08333333333333333</v>
      </c>
      <c r="G3194" s="62" t="b">
        <v>1</v>
      </c>
      <c r="H3194" s="78" t="b">
        <f>IF(VLOOKUP(C3194,Projetos!A:L,12,false)=TRUE,TRUE,FALSE)</f>
        <v>1</v>
      </c>
      <c r="I3194" s="68">
        <v>43.42121727693602</v>
      </c>
      <c r="J3194" s="68">
        <f t="shared" si="1"/>
        <v>86.84243455</v>
      </c>
      <c r="K3194" s="68" t="b">
        <v>1</v>
      </c>
    </row>
    <row r="3195" hidden="1">
      <c r="A3195" s="75">
        <v>3189.0</v>
      </c>
      <c r="B3195" s="62" t="s">
        <v>1306</v>
      </c>
      <c r="C3195" s="62" t="s">
        <v>90</v>
      </c>
      <c r="D3195" s="62" t="s">
        <v>2061</v>
      </c>
      <c r="E3195" s="76">
        <v>44183.0</v>
      </c>
      <c r="F3195" s="77">
        <v>0.020833333333333332</v>
      </c>
      <c r="G3195" s="62" t="b">
        <v>1</v>
      </c>
      <c r="H3195" s="78" t="b">
        <f>IF(VLOOKUP(C3195,Projetos!A:L,12,false)=TRUE,TRUE,FALSE)</f>
        <v>1</v>
      </c>
      <c r="I3195" s="68">
        <v>43.42121727693602</v>
      </c>
      <c r="J3195" s="68">
        <f t="shared" si="1"/>
        <v>21.71060864</v>
      </c>
      <c r="K3195" s="68" t="b">
        <v>1</v>
      </c>
    </row>
    <row r="3196" hidden="1">
      <c r="A3196" s="75">
        <v>3190.0</v>
      </c>
      <c r="B3196" s="62" t="s">
        <v>1306</v>
      </c>
      <c r="C3196" s="62" t="s">
        <v>90</v>
      </c>
      <c r="D3196" s="62" t="s">
        <v>2064</v>
      </c>
      <c r="E3196" s="76">
        <v>44186.0</v>
      </c>
      <c r="F3196" s="77">
        <v>0.07291666666666667</v>
      </c>
      <c r="G3196" s="62" t="b">
        <v>1</v>
      </c>
      <c r="H3196" s="78" t="b">
        <f>IF(VLOOKUP(C3196,Projetos!A:L,12,false)=TRUE,TRUE,FALSE)</f>
        <v>1</v>
      </c>
      <c r="I3196" s="68">
        <v>43.42121727693602</v>
      </c>
      <c r="J3196" s="68">
        <f t="shared" si="1"/>
        <v>75.98713023</v>
      </c>
      <c r="K3196" s="68" t="b">
        <v>1</v>
      </c>
    </row>
    <row r="3197" hidden="1">
      <c r="A3197" s="75">
        <v>3191.0</v>
      </c>
      <c r="B3197" s="62" t="s">
        <v>1306</v>
      </c>
      <c r="C3197" s="62" t="s">
        <v>110</v>
      </c>
      <c r="D3197" s="62" t="s">
        <v>2065</v>
      </c>
      <c r="E3197" s="76">
        <v>44186.0</v>
      </c>
      <c r="F3197" s="77">
        <v>0.0625</v>
      </c>
      <c r="G3197" s="62" t="b">
        <v>0</v>
      </c>
      <c r="H3197" s="78" t="b">
        <f>IF(VLOOKUP(C3197,Projetos!A:L,12,false)=TRUE,TRUE,FALSE)</f>
        <v>1</v>
      </c>
      <c r="I3197" s="68">
        <v>43.42121727693602</v>
      </c>
      <c r="J3197" s="68">
        <f t="shared" si="1"/>
        <v>0</v>
      </c>
      <c r="K3197" s="68" t="b">
        <v>1</v>
      </c>
    </row>
    <row r="3198" hidden="1">
      <c r="A3198" s="75">
        <v>3192.0</v>
      </c>
      <c r="B3198" s="62" t="s">
        <v>1306</v>
      </c>
      <c r="C3198" s="62" t="s">
        <v>90</v>
      </c>
      <c r="D3198" s="62" t="s">
        <v>2054</v>
      </c>
      <c r="E3198" s="76">
        <v>44186.0</v>
      </c>
      <c r="F3198" s="77">
        <v>0.041666666666666664</v>
      </c>
      <c r="G3198" s="62" t="b">
        <v>1</v>
      </c>
      <c r="H3198" s="78" t="b">
        <f>IF(VLOOKUP(C3198,Projetos!A:L,12,false)=TRUE,TRUE,FALSE)</f>
        <v>1</v>
      </c>
      <c r="I3198" s="68">
        <v>43.42121727693602</v>
      </c>
      <c r="J3198" s="68">
        <f t="shared" si="1"/>
        <v>43.42121728</v>
      </c>
      <c r="K3198" s="68" t="b">
        <v>1</v>
      </c>
    </row>
    <row r="3199" hidden="1">
      <c r="A3199" s="75">
        <v>3193.0</v>
      </c>
      <c r="B3199" s="62" t="s">
        <v>1306</v>
      </c>
      <c r="C3199" s="62" t="s">
        <v>108</v>
      </c>
      <c r="D3199" s="62" t="s">
        <v>2066</v>
      </c>
      <c r="E3199" s="76">
        <v>44186.0</v>
      </c>
      <c r="F3199" s="77">
        <v>0.041666666666666664</v>
      </c>
      <c r="G3199" s="62" t="b">
        <v>1</v>
      </c>
      <c r="H3199" s="78" t="b">
        <f>IF(VLOOKUP(C3199,Projetos!A:L,12,false)=TRUE,TRUE,FALSE)</f>
        <v>1</v>
      </c>
      <c r="I3199" s="68">
        <v>43.42121727693602</v>
      </c>
      <c r="J3199" s="68">
        <f t="shared" si="1"/>
        <v>43.42121728</v>
      </c>
      <c r="K3199" s="68" t="b">
        <v>1</v>
      </c>
    </row>
    <row r="3200" hidden="1">
      <c r="A3200" s="75">
        <v>3194.0</v>
      </c>
      <c r="B3200" s="62" t="s">
        <v>1306</v>
      </c>
      <c r="C3200" s="62" t="s">
        <v>90</v>
      </c>
      <c r="D3200" s="62" t="s">
        <v>2067</v>
      </c>
      <c r="E3200" s="76">
        <v>44186.0</v>
      </c>
      <c r="F3200" s="77">
        <v>0.10416666666666667</v>
      </c>
      <c r="G3200" s="62" t="b">
        <v>1</v>
      </c>
      <c r="H3200" s="78" t="b">
        <f>IF(VLOOKUP(C3200,Projetos!A:L,12,false)=TRUE,TRUE,FALSE)</f>
        <v>1</v>
      </c>
      <c r="I3200" s="68">
        <v>43.42121727693602</v>
      </c>
      <c r="J3200" s="68">
        <f t="shared" si="1"/>
        <v>108.5530432</v>
      </c>
      <c r="K3200" s="68" t="b">
        <v>1</v>
      </c>
    </row>
    <row r="3201" hidden="1">
      <c r="A3201" s="75">
        <v>3195.0</v>
      </c>
      <c r="B3201" s="62" t="s">
        <v>1306</v>
      </c>
      <c r="C3201" s="62" t="s">
        <v>105</v>
      </c>
      <c r="D3201" s="62" t="s">
        <v>2005</v>
      </c>
      <c r="E3201" s="76">
        <v>44187.0</v>
      </c>
      <c r="F3201" s="77">
        <v>0.07291666666666667</v>
      </c>
      <c r="G3201" s="62" t="b">
        <v>1</v>
      </c>
      <c r="H3201" s="78" t="b">
        <f>IF(VLOOKUP(C3201,Projetos!A:L,12,false)=TRUE,TRUE,FALSE)</f>
        <v>1</v>
      </c>
      <c r="I3201" s="68">
        <v>43.42121727693602</v>
      </c>
      <c r="J3201" s="68">
        <f t="shared" si="1"/>
        <v>75.98713023</v>
      </c>
      <c r="K3201" s="68" t="b">
        <v>1</v>
      </c>
    </row>
    <row r="3202" hidden="1">
      <c r="A3202" s="75">
        <v>3196.0</v>
      </c>
      <c r="B3202" s="62" t="s">
        <v>1306</v>
      </c>
      <c r="C3202" s="62" t="s">
        <v>90</v>
      </c>
      <c r="D3202" s="62" t="s">
        <v>2068</v>
      </c>
      <c r="E3202" s="76">
        <v>44187.0</v>
      </c>
      <c r="F3202" s="77">
        <v>0.08333333333333333</v>
      </c>
      <c r="G3202" s="62" t="b">
        <v>0</v>
      </c>
      <c r="H3202" s="78" t="b">
        <f>IF(VLOOKUP(C3202,Projetos!A:L,12,false)=TRUE,TRUE,FALSE)</f>
        <v>1</v>
      </c>
      <c r="I3202" s="68">
        <v>43.42121727693602</v>
      </c>
      <c r="J3202" s="68">
        <f t="shared" si="1"/>
        <v>0</v>
      </c>
      <c r="K3202" s="68" t="b">
        <v>1</v>
      </c>
    </row>
    <row r="3203" hidden="1">
      <c r="A3203" s="75">
        <v>3197.0</v>
      </c>
      <c r="B3203" s="62" t="s">
        <v>1306</v>
      </c>
      <c r="C3203" s="62" t="s">
        <v>108</v>
      </c>
      <c r="D3203" s="62" t="s">
        <v>2069</v>
      </c>
      <c r="E3203" s="76">
        <v>44187.0</v>
      </c>
      <c r="F3203" s="77">
        <v>0.0625</v>
      </c>
      <c r="G3203" s="62" t="b">
        <v>1</v>
      </c>
      <c r="H3203" s="78" t="b">
        <f>IF(VLOOKUP(C3203,Projetos!A:L,12,false)=TRUE,TRUE,FALSE)</f>
        <v>1</v>
      </c>
      <c r="I3203" s="68">
        <v>43.42121727693602</v>
      </c>
      <c r="J3203" s="68">
        <f t="shared" si="1"/>
        <v>65.13182592</v>
      </c>
      <c r="K3203" s="68" t="b">
        <v>1</v>
      </c>
    </row>
    <row r="3204" hidden="1">
      <c r="A3204" s="75">
        <v>3198.0</v>
      </c>
      <c r="B3204" s="62" t="s">
        <v>1306</v>
      </c>
      <c r="C3204" s="62" t="s">
        <v>90</v>
      </c>
      <c r="D3204" s="62" t="s">
        <v>2070</v>
      </c>
      <c r="E3204" s="76">
        <v>44187.0</v>
      </c>
      <c r="F3204" s="77">
        <v>0.08333333333333333</v>
      </c>
      <c r="G3204" s="62" t="b">
        <v>1</v>
      </c>
      <c r="H3204" s="78" t="b">
        <f>IF(VLOOKUP(C3204,Projetos!A:L,12,false)=TRUE,TRUE,FALSE)</f>
        <v>1</v>
      </c>
      <c r="I3204" s="68">
        <v>43.42121727693602</v>
      </c>
      <c r="J3204" s="68">
        <f t="shared" si="1"/>
        <v>86.84243455</v>
      </c>
      <c r="K3204" s="68" t="b">
        <v>1</v>
      </c>
    </row>
    <row r="3205" hidden="1">
      <c r="A3205" s="75">
        <v>3199.0</v>
      </c>
      <c r="B3205" s="62" t="s">
        <v>1306</v>
      </c>
      <c r="C3205" s="62" t="s">
        <v>116</v>
      </c>
      <c r="D3205" s="62" t="s">
        <v>2071</v>
      </c>
      <c r="E3205" s="76">
        <v>44187.0</v>
      </c>
      <c r="F3205" s="77">
        <v>0.0625</v>
      </c>
      <c r="G3205" s="62" t="b">
        <v>1</v>
      </c>
      <c r="H3205" s="78" t="b">
        <f>IF(VLOOKUP(C3205,Projetos!A:L,12,false)=TRUE,TRUE,FALSE)</f>
        <v>1</v>
      </c>
      <c r="I3205" s="68">
        <v>43.42121727693602</v>
      </c>
      <c r="J3205" s="68">
        <f t="shared" si="1"/>
        <v>65.13182592</v>
      </c>
      <c r="K3205" s="68" t="b">
        <v>1</v>
      </c>
    </row>
    <row r="3206" hidden="1">
      <c r="A3206" s="75">
        <v>3200.0</v>
      </c>
      <c r="B3206" s="62" t="s">
        <v>1306</v>
      </c>
      <c r="C3206" s="62" t="s">
        <v>116</v>
      </c>
      <c r="D3206" s="62" t="s">
        <v>2072</v>
      </c>
      <c r="E3206" s="76">
        <v>44188.0</v>
      </c>
      <c r="F3206" s="77">
        <v>0.041666666666666664</v>
      </c>
      <c r="G3206" s="62" t="b">
        <v>0</v>
      </c>
      <c r="H3206" s="78" t="b">
        <f>IF(VLOOKUP(C3206,Projetos!A:L,12,false)=TRUE,TRUE,FALSE)</f>
        <v>1</v>
      </c>
      <c r="I3206" s="68">
        <v>43.42121727693602</v>
      </c>
      <c r="J3206" s="68">
        <f t="shared" si="1"/>
        <v>0</v>
      </c>
      <c r="K3206" s="68" t="b">
        <v>1</v>
      </c>
    </row>
    <row r="3207" hidden="1">
      <c r="A3207" s="75">
        <v>3201.0</v>
      </c>
      <c r="B3207" s="62" t="s">
        <v>1306</v>
      </c>
      <c r="C3207" s="62" t="s">
        <v>90</v>
      </c>
      <c r="D3207" s="62" t="s">
        <v>2073</v>
      </c>
      <c r="E3207" s="76">
        <v>44188.0</v>
      </c>
      <c r="F3207" s="77">
        <v>0.14583333333333334</v>
      </c>
      <c r="G3207" s="62" t="b">
        <v>1</v>
      </c>
      <c r="H3207" s="78" t="b">
        <f>IF(VLOOKUP(C3207,Projetos!A:L,12,false)=TRUE,TRUE,FALSE)</f>
        <v>1</v>
      </c>
      <c r="I3207" s="68">
        <v>43.42121727693602</v>
      </c>
      <c r="J3207" s="68">
        <f t="shared" si="1"/>
        <v>151.9742605</v>
      </c>
      <c r="K3207" s="68" t="b">
        <v>1</v>
      </c>
    </row>
    <row r="3208" hidden="1">
      <c r="A3208" s="75">
        <v>3202.0</v>
      </c>
      <c r="B3208" s="62" t="s">
        <v>1306</v>
      </c>
      <c r="C3208" s="62" t="s">
        <v>90</v>
      </c>
      <c r="D3208" s="62" t="s">
        <v>2074</v>
      </c>
      <c r="E3208" s="76">
        <v>44193.0</v>
      </c>
      <c r="F3208" s="77">
        <v>0.09375</v>
      </c>
      <c r="G3208" s="62" t="b">
        <v>1</v>
      </c>
      <c r="H3208" s="78" t="b">
        <f>IF(VLOOKUP(C3208,Projetos!A:L,12,false)=TRUE,TRUE,FALSE)</f>
        <v>1</v>
      </c>
      <c r="I3208" s="68">
        <v>43.42121727693602</v>
      </c>
      <c r="J3208" s="68">
        <f t="shared" si="1"/>
        <v>97.69773887</v>
      </c>
      <c r="K3208" s="68" t="b">
        <v>1</v>
      </c>
    </row>
    <row r="3209" hidden="1">
      <c r="A3209" s="75">
        <v>3203.0</v>
      </c>
      <c r="B3209" s="62" t="s">
        <v>1306</v>
      </c>
      <c r="C3209" s="62" t="s">
        <v>108</v>
      </c>
      <c r="D3209" s="62" t="s">
        <v>2075</v>
      </c>
      <c r="E3209" s="76">
        <v>44193.0</v>
      </c>
      <c r="F3209" s="77">
        <v>0.0625</v>
      </c>
      <c r="G3209" s="62" t="b">
        <v>0</v>
      </c>
      <c r="H3209" s="78" t="b">
        <f>IF(VLOOKUP(C3209,Projetos!A:L,12,false)=TRUE,TRUE,FALSE)</f>
        <v>1</v>
      </c>
      <c r="I3209" s="68">
        <v>43.42121727693602</v>
      </c>
      <c r="J3209" s="68">
        <f t="shared" si="1"/>
        <v>0</v>
      </c>
      <c r="K3209" s="68" t="b">
        <v>1</v>
      </c>
    </row>
    <row r="3210" hidden="1">
      <c r="A3210" s="75">
        <v>3204.0</v>
      </c>
      <c r="B3210" s="62" t="s">
        <v>1306</v>
      </c>
      <c r="C3210" s="62" t="s">
        <v>116</v>
      </c>
      <c r="D3210" s="62" t="s">
        <v>2076</v>
      </c>
      <c r="E3210" s="76">
        <v>44193.0</v>
      </c>
      <c r="F3210" s="77">
        <v>0.08333333333333333</v>
      </c>
      <c r="G3210" s="62" t="b">
        <v>1</v>
      </c>
      <c r="H3210" s="78" t="b">
        <f>IF(VLOOKUP(C3210,Projetos!A:L,12,false)=TRUE,TRUE,FALSE)</f>
        <v>1</v>
      </c>
      <c r="I3210" s="68">
        <v>43.42121727693602</v>
      </c>
      <c r="J3210" s="68">
        <f t="shared" si="1"/>
        <v>86.84243455</v>
      </c>
      <c r="K3210" s="68" t="b">
        <v>1</v>
      </c>
    </row>
    <row r="3211" hidden="1">
      <c r="A3211" s="75">
        <v>3205.0</v>
      </c>
      <c r="B3211" s="62" t="s">
        <v>1306</v>
      </c>
      <c r="C3211" s="62" t="s">
        <v>108</v>
      </c>
      <c r="D3211" s="62" t="s">
        <v>2077</v>
      </c>
      <c r="E3211" s="76">
        <v>44193.0</v>
      </c>
      <c r="F3211" s="77">
        <v>0.08333333333333333</v>
      </c>
      <c r="G3211" s="62" t="b">
        <v>0</v>
      </c>
      <c r="H3211" s="78" t="b">
        <f>IF(VLOOKUP(C3211,Projetos!A:L,12,false)=TRUE,TRUE,FALSE)</f>
        <v>1</v>
      </c>
      <c r="I3211" s="68">
        <v>43.42121727693602</v>
      </c>
      <c r="J3211" s="68">
        <f t="shared" si="1"/>
        <v>0</v>
      </c>
      <c r="K3211" s="68" t="b">
        <v>1</v>
      </c>
    </row>
    <row r="3212" hidden="1">
      <c r="A3212" s="75">
        <v>3206.0</v>
      </c>
      <c r="B3212" s="62" t="s">
        <v>1306</v>
      </c>
      <c r="C3212" s="62" t="s">
        <v>108</v>
      </c>
      <c r="D3212" s="62" t="s">
        <v>2078</v>
      </c>
      <c r="E3212" s="76">
        <v>44194.0</v>
      </c>
      <c r="F3212" s="77">
        <v>0.010416666666666666</v>
      </c>
      <c r="G3212" s="62" t="b">
        <v>0</v>
      </c>
      <c r="H3212" s="78" t="b">
        <f>IF(VLOOKUP(C3212,Projetos!A:L,12,false)=TRUE,TRUE,FALSE)</f>
        <v>1</v>
      </c>
      <c r="I3212" s="68">
        <v>43.42121727693602</v>
      </c>
      <c r="J3212" s="68">
        <f t="shared" si="1"/>
        <v>0</v>
      </c>
      <c r="K3212" s="68" t="b">
        <v>1</v>
      </c>
    </row>
    <row r="3213" hidden="1">
      <c r="A3213" s="75">
        <v>3207.0</v>
      </c>
      <c r="B3213" s="62" t="s">
        <v>1306</v>
      </c>
      <c r="C3213" s="62" t="s">
        <v>90</v>
      </c>
      <c r="D3213" s="62" t="s">
        <v>2079</v>
      </c>
      <c r="E3213" s="76">
        <v>44194.0</v>
      </c>
      <c r="F3213" s="77">
        <v>0.0625</v>
      </c>
      <c r="G3213" s="62" t="b">
        <v>1</v>
      </c>
      <c r="H3213" s="78" t="b">
        <f>IF(VLOOKUP(C3213,Projetos!A:L,12,false)=TRUE,TRUE,FALSE)</f>
        <v>1</v>
      </c>
      <c r="I3213" s="68">
        <v>43.42121727693602</v>
      </c>
      <c r="J3213" s="68">
        <f t="shared" si="1"/>
        <v>65.13182592</v>
      </c>
      <c r="K3213" s="68" t="b">
        <v>1</v>
      </c>
    </row>
    <row r="3214" hidden="1">
      <c r="A3214" s="75">
        <v>3208.0</v>
      </c>
      <c r="B3214" s="62" t="s">
        <v>1306</v>
      </c>
      <c r="C3214" s="62" t="s">
        <v>117</v>
      </c>
      <c r="D3214" s="62" t="s">
        <v>2080</v>
      </c>
      <c r="E3214" s="76">
        <v>44194.0</v>
      </c>
      <c r="F3214" s="77">
        <v>0.08333333333333333</v>
      </c>
      <c r="G3214" s="62" t="b">
        <v>0</v>
      </c>
      <c r="H3214" s="78" t="b">
        <f>IF(VLOOKUP(C3214,Projetos!A:L,12,false)=TRUE,TRUE,FALSE)</f>
        <v>0</v>
      </c>
      <c r="I3214" s="68">
        <v>43.42121727693602</v>
      </c>
      <c r="J3214" s="68">
        <f t="shared" si="1"/>
        <v>0</v>
      </c>
      <c r="K3214" s="68" t="b">
        <v>0</v>
      </c>
    </row>
    <row r="3215" hidden="1">
      <c r="A3215" s="75">
        <v>3209.0</v>
      </c>
      <c r="B3215" s="62" t="s">
        <v>1306</v>
      </c>
      <c r="C3215" s="62" t="s">
        <v>90</v>
      </c>
      <c r="D3215" s="62" t="s">
        <v>2081</v>
      </c>
      <c r="E3215" s="76">
        <v>44194.0</v>
      </c>
      <c r="F3215" s="77">
        <v>0.041666666666666664</v>
      </c>
      <c r="G3215" s="62" t="b">
        <v>1</v>
      </c>
      <c r="H3215" s="78" t="b">
        <f>IF(VLOOKUP(C3215,Projetos!A:L,12,false)=TRUE,TRUE,FALSE)</f>
        <v>1</v>
      </c>
      <c r="I3215" s="68">
        <v>43.42121727693602</v>
      </c>
      <c r="J3215" s="68">
        <f t="shared" si="1"/>
        <v>43.42121728</v>
      </c>
      <c r="K3215" s="68" t="b">
        <v>1</v>
      </c>
    </row>
    <row r="3216" hidden="1">
      <c r="A3216" s="75">
        <v>3210.0</v>
      </c>
      <c r="B3216" s="62" t="s">
        <v>1306</v>
      </c>
      <c r="C3216" s="62" t="s">
        <v>111</v>
      </c>
      <c r="D3216" s="62" t="s">
        <v>2082</v>
      </c>
      <c r="E3216" s="76">
        <v>44194.0</v>
      </c>
      <c r="F3216" s="77">
        <v>0.0625</v>
      </c>
      <c r="G3216" s="62" t="b">
        <v>0</v>
      </c>
      <c r="H3216" s="78" t="b">
        <f>IF(VLOOKUP(C3216,Projetos!A:L,12,false)=TRUE,TRUE,FALSE)</f>
        <v>0</v>
      </c>
      <c r="I3216" s="68">
        <v>43.42121727693602</v>
      </c>
      <c r="J3216" s="68">
        <f t="shared" si="1"/>
        <v>0</v>
      </c>
      <c r="K3216" s="68" t="b">
        <v>0</v>
      </c>
    </row>
    <row r="3217" hidden="1">
      <c r="A3217" s="75">
        <v>3211.0</v>
      </c>
      <c r="B3217" s="62" t="s">
        <v>1306</v>
      </c>
      <c r="C3217" s="62" t="s">
        <v>113</v>
      </c>
      <c r="D3217" s="62" t="s">
        <v>1404</v>
      </c>
      <c r="E3217" s="76">
        <v>44194.0</v>
      </c>
      <c r="F3217" s="77">
        <v>0.020833333333333332</v>
      </c>
      <c r="G3217" s="62" t="b">
        <v>1</v>
      </c>
      <c r="H3217" s="78" t="b">
        <f>IF(VLOOKUP(C3217,Projetos!A:L,12,false)=TRUE,TRUE,FALSE)</f>
        <v>1</v>
      </c>
      <c r="I3217" s="68">
        <v>43.42121727693602</v>
      </c>
      <c r="J3217" s="68">
        <f t="shared" si="1"/>
        <v>21.71060864</v>
      </c>
      <c r="K3217" s="68" t="b">
        <v>1</v>
      </c>
    </row>
    <row r="3218" hidden="1">
      <c r="A3218" s="75">
        <v>3212.0</v>
      </c>
      <c r="B3218" s="62" t="s">
        <v>1306</v>
      </c>
      <c r="C3218" s="62" t="s">
        <v>98</v>
      </c>
      <c r="D3218" s="62" t="s">
        <v>2083</v>
      </c>
      <c r="E3218" s="76">
        <v>44194.0</v>
      </c>
      <c r="F3218" s="77">
        <v>0.041666666666666664</v>
      </c>
      <c r="G3218" s="62" t="b">
        <v>1</v>
      </c>
      <c r="H3218" s="78" t="b">
        <f>IF(VLOOKUP(C3218,Projetos!A:L,12,false)=TRUE,TRUE,FALSE)</f>
        <v>1</v>
      </c>
      <c r="I3218" s="68">
        <v>43.42121727693602</v>
      </c>
      <c r="J3218" s="68">
        <f t="shared" si="1"/>
        <v>43.42121728</v>
      </c>
      <c r="K3218" s="68" t="b">
        <v>1</v>
      </c>
    </row>
    <row r="3219" hidden="1">
      <c r="A3219" s="75">
        <v>3213.0</v>
      </c>
      <c r="B3219" s="62" t="s">
        <v>1306</v>
      </c>
      <c r="C3219" s="62" t="s">
        <v>108</v>
      </c>
      <c r="D3219" s="62" t="s">
        <v>2084</v>
      </c>
      <c r="E3219" s="76">
        <v>44194.0</v>
      </c>
      <c r="F3219" s="77">
        <v>0.041666666666666664</v>
      </c>
      <c r="G3219" s="62" t="b">
        <v>0</v>
      </c>
      <c r="H3219" s="78" t="b">
        <f>IF(VLOOKUP(C3219,Projetos!A:L,12,false)=TRUE,TRUE,FALSE)</f>
        <v>1</v>
      </c>
      <c r="I3219" s="68">
        <v>43.42121727693602</v>
      </c>
      <c r="J3219" s="68">
        <f t="shared" si="1"/>
        <v>0</v>
      </c>
      <c r="K3219" s="68" t="b">
        <v>1</v>
      </c>
    </row>
    <row r="3220" hidden="1">
      <c r="A3220" s="75">
        <v>3214.0</v>
      </c>
      <c r="B3220" s="62" t="s">
        <v>1306</v>
      </c>
      <c r="C3220" s="62" t="s">
        <v>116</v>
      </c>
      <c r="D3220" s="62" t="s">
        <v>2076</v>
      </c>
      <c r="E3220" s="76">
        <v>44195.0</v>
      </c>
      <c r="F3220" s="77">
        <v>0.03125</v>
      </c>
      <c r="G3220" s="62" t="b">
        <v>1</v>
      </c>
      <c r="H3220" s="78" t="b">
        <f>IF(VLOOKUP(C3220,Projetos!A:L,12,false)=TRUE,TRUE,FALSE)</f>
        <v>1</v>
      </c>
      <c r="I3220" s="68">
        <v>43.42121727693602</v>
      </c>
      <c r="J3220" s="68">
        <f t="shared" si="1"/>
        <v>32.56591296</v>
      </c>
      <c r="K3220" s="68" t="b">
        <v>1</v>
      </c>
    </row>
    <row r="3221" hidden="1">
      <c r="A3221" s="75">
        <v>3215.0</v>
      </c>
      <c r="B3221" s="62" t="s">
        <v>1306</v>
      </c>
      <c r="C3221" s="62" t="s">
        <v>108</v>
      </c>
      <c r="D3221" s="62" t="s">
        <v>1332</v>
      </c>
      <c r="E3221" s="76">
        <v>44195.0</v>
      </c>
      <c r="F3221" s="77">
        <v>0.041666666666666664</v>
      </c>
      <c r="G3221" s="62" t="b">
        <v>1</v>
      </c>
      <c r="H3221" s="78" t="b">
        <f>IF(VLOOKUP(C3221,Projetos!A:L,12,false)=TRUE,TRUE,FALSE)</f>
        <v>1</v>
      </c>
      <c r="I3221" s="68">
        <v>43.42121727693602</v>
      </c>
      <c r="J3221" s="68">
        <f t="shared" si="1"/>
        <v>43.42121728</v>
      </c>
      <c r="K3221" s="68" t="b">
        <v>1</v>
      </c>
    </row>
    <row r="3222" hidden="1">
      <c r="A3222" s="75">
        <v>3216.0</v>
      </c>
      <c r="B3222" s="62" t="s">
        <v>1306</v>
      </c>
      <c r="C3222" s="62" t="s">
        <v>105</v>
      </c>
      <c r="D3222" s="62" t="s">
        <v>2085</v>
      </c>
      <c r="E3222" s="76">
        <v>44195.0</v>
      </c>
      <c r="F3222" s="77">
        <v>0.020833333333333332</v>
      </c>
      <c r="G3222" s="62" t="b">
        <v>1</v>
      </c>
      <c r="H3222" s="78" t="b">
        <f>IF(VLOOKUP(C3222,Projetos!A:L,12,false)=TRUE,TRUE,FALSE)</f>
        <v>1</v>
      </c>
      <c r="I3222" s="68">
        <v>43.42121727693602</v>
      </c>
      <c r="J3222" s="68">
        <f t="shared" si="1"/>
        <v>21.71060864</v>
      </c>
      <c r="K3222" s="68" t="b">
        <v>1</v>
      </c>
    </row>
    <row r="3223" hidden="1">
      <c r="A3223" s="75">
        <v>3217.0</v>
      </c>
      <c r="B3223" s="62" t="s">
        <v>1306</v>
      </c>
      <c r="C3223" s="62" t="s">
        <v>83</v>
      </c>
      <c r="D3223" s="62" t="s">
        <v>2086</v>
      </c>
      <c r="E3223" s="76">
        <v>44195.0</v>
      </c>
      <c r="F3223" s="77">
        <v>0.020833333333333332</v>
      </c>
      <c r="G3223" s="62" t="b">
        <v>0</v>
      </c>
      <c r="H3223" s="78" t="b">
        <f>IF(VLOOKUP(C3223,Projetos!A:L,12,false)=TRUE,TRUE,FALSE)</f>
        <v>0</v>
      </c>
      <c r="I3223" s="68">
        <v>43.42121727693602</v>
      </c>
      <c r="J3223" s="68">
        <f t="shared" si="1"/>
        <v>0</v>
      </c>
      <c r="K3223" s="68" t="b">
        <v>0</v>
      </c>
    </row>
    <row r="3224" hidden="1">
      <c r="A3224" s="75">
        <v>3218.0</v>
      </c>
      <c r="B3224" s="62" t="s">
        <v>1306</v>
      </c>
      <c r="C3224" s="62" t="s">
        <v>116</v>
      </c>
      <c r="D3224" s="62" t="s">
        <v>2076</v>
      </c>
      <c r="E3224" s="76">
        <v>44195.0</v>
      </c>
      <c r="F3224" s="77">
        <v>0.041666666666666664</v>
      </c>
      <c r="G3224" s="62" t="b">
        <v>1</v>
      </c>
      <c r="H3224" s="78" t="b">
        <f>IF(VLOOKUP(C3224,Projetos!A:L,12,false)=TRUE,TRUE,FALSE)</f>
        <v>1</v>
      </c>
      <c r="I3224" s="68">
        <v>43.42121727693602</v>
      </c>
      <c r="J3224" s="68">
        <f t="shared" si="1"/>
        <v>43.42121728</v>
      </c>
      <c r="K3224" s="68" t="b">
        <v>1</v>
      </c>
    </row>
    <row r="3225" hidden="1">
      <c r="A3225" s="75">
        <v>3219.0</v>
      </c>
      <c r="B3225" s="62" t="s">
        <v>1306</v>
      </c>
      <c r="C3225" s="62" t="s">
        <v>105</v>
      </c>
      <c r="D3225" s="62" t="s">
        <v>2087</v>
      </c>
      <c r="E3225" s="76">
        <v>44195.0</v>
      </c>
      <c r="F3225" s="77">
        <v>0.08333333333333333</v>
      </c>
      <c r="G3225" s="62" t="b">
        <v>1</v>
      </c>
      <c r="H3225" s="78" t="b">
        <f>IF(VLOOKUP(C3225,Projetos!A:L,12,false)=TRUE,TRUE,FALSE)</f>
        <v>1</v>
      </c>
      <c r="I3225" s="68">
        <v>43.42121727693602</v>
      </c>
      <c r="J3225" s="68">
        <f t="shared" si="1"/>
        <v>86.84243455</v>
      </c>
      <c r="K3225" s="68" t="b">
        <v>1</v>
      </c>
    </row>
    <row r="3226" hidden="1">
      <c r="A3226" s="75">
        <v>3220.0</v>
      </c>
      <c r="B3226" s="62" t="s">
        <v>1306</v>
      </c>
      <c r="C3226" s="62" t="s">
        <v>90</v>
      </c>
      <c r="D3226" s="62" t="s">
        <v>2088</v>
      </c>
      <c r="E3226" s="76">
        <v>44195.0</v>
      </c>
      <c r="F3226" s="77">
        <v>0.08333333333333333</v>
      </c>
      <c r="G3226" s="62" t="b">
        <v>1</v>
      </c>
      <c r="H3226" s="78" t="b">
        <f>IF(VLOOKUP(C3226,Projetos!A:L,12,false)=TRUE,TRUE,FALSE)</f>
        <v>1</v>
      </c>
      <c r="I3226" s="68">
        <v>43.42121727693602</v>
      </c>
      <c r="J3226" s="68">
        <f t="shared" si="1"/>
        <v>86.84243455</v>
      </c>
      <c r="K3226" s="68" t="b">
        <v>1</v>
      </c>
    </row>
    <row r="3227" hidden="1">
      <c r="A3227" s="75">
        <v>3221.0</v>
      </c>
      <c r="B3227" s="62" t="s">
        <v>1306</v>
      </c>
      <c r="C3227" s="62" t="s">
        <v>98</v>
      </c>
      <c r="D3227" s="62" t="s">
        <v>2089</v>
      </c>
      <c r="E3227" s="76">
        <v>44195.0</v>
      </c>
      <c r="F3227" s="77">
        <v>0.020833333333333332</v>
      </c>
      <c r="G3227" s="62" t="b">
        <v>1</v>
      </c>
      <c r="H3227" s="78" t="b">
        <f>IF(VLOOKUP(C3227,Projetos!A:L,12,false)=TRUE,TRUE,FALSE)</f>
        <v>1</v>
      </c>
      <c r="I3227" s="68">
        <v>43.42121727693602</v>
      </c>
      <c r="J3227" s="68">
        <f t="shared" si="1"/>
        <v>21.71060864</v>
      </c>
      <c r="K3227" s="68" t="b">
        <v>1</v>
      </c>
    </row>
    <row r="3228">
      <c r="A3228" s="75">
        <v>3222.0</v>
      </c>
      <c r="B3228" s="62" t="s">
        <v>2090</v>
      </c>
      <c r="C3228" s="62" t="s">
        <v>104</v>
      </c>
      <c r="D3228" s="62" t="s">
        <v>2091</v>
      </c>
      <c r="E3228" s="76">
        <v>43836.0</v>
      </c>
      <c r="F3228" s="77">
        <v>1.875</v>
      </c>
      <c r="G3228" s="62" t="b">
        <v>1</v>
      </c>
      <c r="H3228" s="78" t="b">
        <f>IF(VLOOKUP(C3228,Projetos!A:L,12,false)=TRUE,TRUE,FALSE)</f>
        <v>1</v>
      </c>
      <c r="I3228" s="68">
        <v>87.89016574074073</v>
      </c>
      <c r="J3228" s="68">
        <f t="shared" si="1"/>
        <v>3955.057458</v>
      </c>
      <c r="K3228" s="68" t="b">
        <v>1</v>
      </c>
    </row>
    <row r="3229">
      <c r="A3229" s="75">
        <v>3223.0</v>
      </c>
      <c r="B3229" s="62" t="s">
        <v>2090</v>
      </c>
      <c r="C3229" s="62" t="s">
        <v>104</v>
      </c>
      <c r="D3229" s="62" t="s">
        <v>2091</v>
      </c>
      <c r="E3229" s="76">
        <v>43843.0</v>
      </c>
      <c r="F3229" s="77">
        <v>1.25</v>
      </c>
      <c r="G3229" s="62" t="b">
        <v>1</v>
      </c>
      <c r="H3229" s="78" t="b">
        <f>IF(VLOOKUP(C3229,Projetos!A:L,12,false)=TRUE,TRUE,FALSE)</f>
        <v>1</v>
      </c>
      <c r="I3229" s="68">
        <v>87.89016574074073</v>
      </c>
      <c r="J3229" s="68">
        <f t="shared" si="1"/>
        <v>2636.704972</v>
      </c>
      <c r="K3229" s="68" t="b">
        <v>1</v>
      </c>
    </row>
    <row r="3230">
      <c r="A3230" s="75">
        <v>3224.0</v>
      </c>
      <c r="B3230" s="62" t="s">
        <v>2090</v>
      </c>
      <c r="C3230" s="62" t="s">
        <v>104</v>
      </c>
      <c r="D3230" s="62" t="s">
        <v>2091</v>
      </c>
      <c r="E3230" s="76">
        <v>43850.0</v>
      </c>
      <c r="F3230" s="77">
        <v>1.25</v>
      </c>
      <c r="G3230" s="62" t="b">
        <v>1</v>
      </c>
      <c r="H3230" s="78" t="b">
        <f>IF(VLOOKUP(C3230,Projetos!A:L,12,false)=TRUE,TRUE,FALSE)</f>
        <v>1</v>
      </c>
      <c r="I3230" s="68">
        <v>87.89016574074073</v>
      </c>
      <c r="J3230" s="68">
        <f t="shared" si="1"/>
        <v>2636.704972</v>
      </c>
      <c r="K3230" s="68" t="b">
        <v>1</v>
      </c>
    </row>
    <row r="3231">
      <c r="A3231" s="75">
        <v>3225.0</v>
      </c>
      <c r="B3231" s="62" t="s">
        <v>2090</v>
      </c>
      <c r="C3231" s="62" t="s">
        <v>104</v>
      </c>
      <c r="D3231" s="62" t="s">
        <v>2091</v>
      </c>
      <c r="E3231" s="76">
        <v>43857.0</v>
      </c>
      <c r="F3231" s="77">
        <v>1.25</v>
      </c>
      <c r="G3231" s="62" t="b">
        <v>1</v>
      </c>
      <c r="H3231" s="78" t="b">
        <f>IF(VLOOKUP(C3231,Projetos!A:L,12,false)=TRUE,TRUE,FALSE)</f>
        <v>1</v>
      </c>
      <c r="I3231" s="68">
        <v>87.89016574074073</v>
      </c>
      <c r="J3231" s="68">
        <f t="shared" si="1"/>
        <v>2636.704972</v>
      </c>
      <c r="K3231" s="68" t="b">
        <v>1</v>
      </c>
    </row>
    <row r="3232" hidden="1">
      <c r="A3232" s="75">
        <v>3226.0</v>
      </c>
      <c r="B3232" s="62" t="s">
        <v>2090</v>
      </c>
      <c r="C3232" s="62" t="s">
        <v>110</v>
      </c>
      <c r="D3232" s="62" t="s">
        <v>2091</v>
      </c>
      <c r="E3232" s="76">
        <v>43850.0</v>
      </c>
      <c r="F3232" s="77">
        <v>0.625</v>
      </c>
      <c r="G3232" s="62" t="b">
        <v>1</v>
      </c>
      <c r="H3232" s="78" t="b">
        <f>IF(VLOOKUP(C3232,Projetos!A:L,12,false)=TRUE,TRUE,FALSE)</f>
        <v>1</v>
      </c>
      <c r="I3232" s="68">
        <v>87.89016574074073</v>
      </c>
      <c r="J3232" s="68">
        <f t="shared" si="1"/>
        <v>1318.352486</v>
      </c>
      <c r="K3232" s="68" t="b">
        <v>1</v>
      </c>
    </row>
    <row r="3233" hidden="1">
      <c r="A3233" s="75">
        <v>3227.0</v>
      </c>
      <c r="B3233" s="62" t="s">
        <v>2090</v>
      </c>
      <c r="C3233" s="62" t="s">
        <v>110</v>
      </c>
      <c r="D3233" s="62" t="s">
        <v>2091</v>
      </c>
      <c r="E3233" s="76">
        <v>43857.0</v>
      </c>
      <c r="F3233" s="77">
        <v>0.625</v>
      </c>
      <c r="G3233" s="62" t="b">
        <v>1</v>
      </c>
      <c r="H3233" s="78" t="b">
        <f>IF(VLOOKUP(C3233,Projetos!A:L,12,false)=TRUE,TRUE,FALSE)</f>
        <v>1</v>
      </c>
      <c r="I3233" s="68">
        <v>87.89016574074073</v>
      </c>
      <c r="J3233" s="68">
        <f t="shared" si="1"/>
        <v>1318.352486</v>
      </c>
      <c r="K3233" s="68" t="b">
        <v>1</v>
      </c>
    </row>
    <row r="3234">
      <c r="A3234" s="75">
        <v>3228.0</v>
      </c>
      <c r="B3234" s="62" t="s">
        <v>2090</v>
      </c>
      <c r="C3234" s="62" t="s">
        <v>104</v>
      </c>
      <c r="D3234" s="62" t="s">
        <v>2091</v>
      </c>
      <c r="E3234" s="76">
        <v>43864.0</v>
      </c>
      <c r="F3234" s="77">
        <v>1.875</v>
      </c>
      <c r="G3234" s="62" t="b">
        <v>1</v>
      </c>
      <c r="H3234" s="78" t="b">
        <f>IF(VLOOKUP(C3234,Projetos!A:L,12,false)=TRUE,TRUE,FALSE)</f>
        <v>1</v>
      </c>
      <c r="I3234" s="68">
        <v>83.8951582070707</v>
      </c>
      <c r="J3234" s="68">
        <f t="shared" si="1"/>
        <v>3775.282119</v>
      </c>
      <c r="K3234" s="68" t="b">
        <v>1</v>
      </c>
    </row>
    <row r="3235">
      <c r="A3235" s="75">
        <v>3229.0</v>
      </c>
      <c r="B3235" s="62" t="s">
        <v>2090</v>
      </c>
      <c r="C3235" s="62" t="s">
        <v>104</v>
      </c>
      <c r="D3235" s="62" t="s">
        <v>2091</v>
      </c>
      <c r="E3235" s="76">
        <v>43871.0</v>
      </c>
      <c r="F3235" s="77">
        <v>1.875</v>
      </c>
      <c r="G3235" s="62" t="b">
        <v>1</v>
      </c>
      <c r="H3235" s="78" t="b">
        <f>IF(VLOOKUP(C3235,Projetos!A:L,12,false)=TRUE,TRUE,FALSE)</f>
        <v>1</v>
      </c>
      <c r="I3235" s="68">
        <v>83.8951582070707</v>
      </c>
      <c r="J3235" s="68">
        <f t="shared" si="1"/>
        <v>3775.282119</v>
      </c>
      <c r="K3235" s="68" t="b">
        <v>1</v>
      </c>
    </row>
    <row r="3236">
      <c r="A3236" s="75">
        <v>3230.0</v>
      </c>
      <c r="B3236" s="62" t="s">
        <v>2090</v>
      </c>
      <c r="C3236" s="62" t="s">
        <v>104</v>
      </c>
      <c r="D3236" s="62" t="s">
        <v>2091</v>
      </c>
      <c r="E3236" s="76">
        <v>43878.0</v>
      </c>
      <c r="F3236" s="77">
        <v>1.875</v>
      </c>
      <c r="G3236" s="62" t="b">
        <v>1</v>
      </c>
      <c r="H3236" s="78" t="b">
        <f>IF(VLOOKUP(C3236,Projetos!A:L,12,false)=TRUE,TRUE,FALSE)</f>
        <v>1</v>
      </c>
      <c r="I3236" s="68">
        <v>83.8951582070707</v>
      </c>
      <c r="J3236" s="68">
        <f t="shared" si="1"/>
        <v>3775.282119</v>
      </c>
      <c r="K3236" s="68" t="b">
        <v>1</v>
      </c>
    </row>
    <row r="3237">
      <c r="A3237" s="75">
        <v>3231.0</v>
      </c>
      <c r="B3237" s="62" t="s">
        <v>2090</v>
      </c>
      <c r="C3237" s="62" t="s">
        <v>104</v>
      </c>
      <c r="D3237" s="62" t="s">
        <v>2091</v>
      </c>
      <c r="E3237" s="76">
        <v>46520.0</v>
      </c>
      <c r="F3237" s="77">
        <v>0.625</v>
      </c>
      <c r="G3237" s="62" t="b">
        <v>1</v>
      </c>
      <c r="H3237" s="78" t="b">
        <f>IF(VLOOKUP(C3237,Projetos!A:L,12,false)=TRUE,TRUE,FALSE)</f>
        <v>1</v>
      </c>
      <c r="I3237" s="68">
        <v>87.89016574074073</v>
      </c>
      <c r="J3237" s="68">
        <f t="shared" si="1"/>
        <v>0</v>
      </c>
      <c r="K3237" s="68" t="b">
        <v>1</v>
      </c>
    </row>
    <row r="3238" hidden="1">
      <c r="A3238" s="75">
        <v>3232.0</v>
      </c>
      <c r="B3238" s="62" t="s">
        <v>2090</v>
      </c>
      <c r="C3238" s="62" t="s">
        <v>110</v>
      </c>
      <c r="D3238" s="62" t="s">
        <v>2091</v>
      </c>
      <c r="E3238" s="76">
        <v>46550.0</v>
      </c>
      <c r="F3238" s="77">
        <v>0.625</v>
      </c>
      <c r="G3238" s="62" t="b">
        <v>1</v>
      </c>
      <c r="H3238" s="78" t="b">
        <f>IF(VLOOKUP(C3238,Projetos!A:L,12,false)=TRUE,TRUE,FALSE)</f>
        <v>1</v>
      </c>
      <c r="I3238" s="68">
        <v>83.8951582070707</v>
      </c>
      <c r="J3238" s="68">
        <f t="shared" si="1"/>
        <v>0</v>
      </c>
      <c r="K3238" s="68" t="b">
        <v>1</v>
      </c>
    </row>
    <row r="3239">
      <c r="A3239" s="75">
        <v>3233.0</v>
      </c>
      <c r="B3239" s="62" t="s">
        <v>2090</v>
      </c>
      <c r="C3239" s="62" t="s">
        <v>104</v>
      </c>
      <c r="D3239" s="62" t="s">
        <v>2092</v>
      </c>
      <c r="E3239" s="76">
        <v>43892.0</v>
      </c>
      <c r="F3239" s="77">
        <v>1.875</v>
      </c>
      <c r="G3239" s="62" t="b">
        <v>1</v>
      </c>
      <c r="H3239" s="78" t="b">
        <f>IF(VLOOKUP(C3239,Projetos!A:L,12,false)=TRUE,TRUE,FALSE)</f>
        <v>1</v>
      </c>
      <c r="I3239" s="68">
        <v>87.89016574074073</v>
      </c>
      <c r="J3239" s="68">
        <f t="shared" si="1"/>
        <v>3955.057458</v>
      </c>
      <c r="K3239" s="68" t="b">
        <v>1</v>
      </c>
    </row>
    <row r="3240" hidden="1">
      <c r="A3240" s="75">
        <v>3234.0</v>
      </c>
      <c r="B3240" s="62" t="s">
        <v>2090</v>
      </c>
      <c r="C3240" s="62" t="s">
        <v>110</v>
      </c>
      <c r="D3240" s="62" t="s">
        <v>2091</v>
      </c>
      <c r="E3240" s="76">
        <v>43899.0</v>
      </c>
      <c r="F3240" s="77">
        <v>0.4166666666666667</v>
      </c>
      <c r="G3240" s="62" t="b">
        <v>1</v>
      </c>
      <c r="H3240" s="78" t="b">
        <f>IF(VLOOKUP(C3240,Projetos!A:L,12,false)=TRUE,TRUE,FALSE)</f>
        <v>1</v>
      </c>
      <c r="I3240" s="68">
        <v>87.89016574074073</v>
      </c>
      <c r="J3240" s="68">
        <f t="shared" si="1"/>
        <v>878.9016574</v>
      </c>
      <c r="K3240" s="68" t="b">
        <v>1</v>
      </c>
    </row>
    <row r="3241" hidden="1">
      <c r="A3241" s="75">
        <v>3235.0</v>
      </c>
      <c r="B3241" s="62" t="s">
        <v>2090</v>
      </c>
      <c r="C3241" s="62" t="s">
        <v>105</v>
      </c>
      <c r="D3241" s="62" t="s">
        <v>2093</v>
      </c>
      <c r="E3241" s="76">
        <v>43899.0</v>
      </c>
      <c r="F3241" s="77">
        <v>0.4166666666666667</v>
      </c>
      <c r="G3241" s="62" t="b">
        <v>1</v>
      </c>
      <c r="H3241" s="78" t="b">
        <f>IF(VLOOKUP(C3241,Projetos!A:L,12,false)=TRUE,TRUE,FALSE)</f>
        <v>1</v>
      </c>
      <c r="I3241" s="68">
        <v>87.89016574074073</v>
      </c>
      <c r="J3241" s="68">
        <f t="shared" si="1"/>
        <v>878.9016574</v>
      </c>
      <c r="K3241" s="68" t="b">
        <v>1</v>
      </c>
    </row>
    <row r="3242" hidden="1">
      <c r="A3242" s="75">
        <v>3236.0</v>
      </c>
      <c r="B3242" s="62" t="s">
        <v>2090</v>
      </c>
      <c r="C3242" s="62" t="s">
        <v>105</v>
      </c>
      <c r="D3242" s="62" t="s">
        <v>2094</v>
      </c>
      <c r="E3242" s="76">
        <v>43899.0</v>
      </c>
      <c r="F3242" s="77">
        <v>0.4166666666666667</v>
      </c>
      <c r="G3242" s="62" t="b">
        <v>1</v>
      </c>
      <c r="H3242" s="78" t="b">
        <f>IF(VLOOKUP(C3242,Projetos!A:L,12,false)=TRUE,TRUE,FALSE)</f>
        <v>1</v>
      </c>
      <c r="I3242" s="68">
        <v>87.89016574074073</v>
      </c>
      <c r="J3242" s="68">
        <f t="shared" si="1"/>
        <v>878.9016574</v>
      </c>
      <c r="K3242" s="68" t="b">
        <v>1</v>
      </c>
    </row>
    <row r="3243" hidden="1">
      <c r="A3243" s="75">
        <v>3237.0</v>
      </c>
      <c r="B3243" s="62" t="s">
        <v>2090</v>
      </c>
      <c r="C3243" s="62" t="s">
        <v>105</v>
      </c>
      <c r="D3243" s="62" t="s">
        <v>2093</v>
      </c>
      <c r="E3243" s="76">
        <v>43906.0</v>
      </c>
      <c r="F3243" s="77">
        <v>0.4166666666666667</v>
      </c>
      <c r="G3243" s="62" t="b">
        <v>1</v>
      </c>
      <c r="H3243" s="78" t="b">
        <f>IF(VLOOKUP(C3243,Projetos!A:L,12,false)=TRUE,TRUE,FALSE)</f>
        <v>1</v>
      </c>
      <c r="I3243" s="68">
        <v>87.89016574074073</v>
      </c>
      <c r="J3243" s="68">
        <f t="shared" si="1"/>
        <v>878.9016574</v>
      </c>
      <c r="K3243" s="68" t="b">
        <v>1</v>
      </c>
    </row>
    <row r="3244" hidden="1">
      <c r="A3244" s="75">
        <v>3238.0</v>
      </c>
      <c r="B3244" s="62" t="s">
        <v>2090</v>
      </c>
      <c r="C3244" s="62" t="s">
        <v>105</v>
      </c>
      <c r="D3244" s="62" t="s">
        <v>2094</v>
      </c>
      <c r="E3244" s="76">
        <v>43906.0</v>
      </c>
      <c r="F3244" s="77">
        <v>0.4166666666666667</v>
      </c>
      <c r="G3244" s="62" t="b">
        <v>1</v>
      </c>
      <c r="H3244" s="78" t="b">
        <f>IF(VLOOKUP(C3244,Projetos!A:L,12,false)=TRUE,TRUE,FALSE)</f>
        <v>1</v>
      </c>
      <c r="I3244" s="68">
        <v>87.89016574074073</v>
      </c>
      <c r="J3244" s="68">
        <f t="shared" si="1"/>
        <v>878.9016574</v>
      </c>
      <c r="K3244" s="68" t="b">
        <v>1</v>
      </c>
    </row>
    <row r="3245" hidden="1">
      <c r="A3245" s="75">
        <v>3239.0</v>
      </c>
      <c r="B3245" s="62" t="s">
        <v>2090</v>
      </c>
      <c r="C3245" s="62" t="s">
        <v>101</v>
      </c>
      <c r="D3245" s="62" t="s">
        <v>2095</v>
      </c>
      <c r="E3245" s="76">
        <v>43913.0</v>
      </c>
      <c r="F3245" s="77">
        <v>0.625</v>
      </c>
      <c r="G3245" s="62" t="b">
        <v>1</v>
      </c>
      <c r="H3245" s="78" t="b">
        <f>IF(VLOOKUP(C3245,Projetos!A:L,12,false)=TRUE,TRUE,FALSE)</f>
        <v>1</v>
      </c>
      <c r="I3245" s="68">
        <v>87.89016574074073</v>
      </c>
      <c r="J3245" s="68">
        <f t="shared" si="1"/>
        <v>1318.352486</v>
      </c>
      <c r="K3245" s="68" t="b">
        <v>1</v>
      </c>
    </row>
    <row r="3246">
      <c r="A3246" s="75">
        <v>3240.0</v>
      </c>
      <c r="B3246" s="62" t="s">
        <v>2090</v>
      </c>
      <c r="C3246" s="62" t="s">
        <v>104</v>
      </c>
      <c r="D3246" s="62" t="s">
        <v>2096</v>
      </c>
      <c r="E3246" s="76">
        <v>43899.0</v>
      </c>
      <c r="F3246" s="77">
        <v>0.4166666666666667</v>
      </c>
      <c r="G3246" s="62" t="b">
        <v>1</v>
      </c>
      <c r="H3246" s="78" t="b">
        <f>IF(VLOOKUP(C3246,Projetos!A:L,12,false)=TRUE,TRUE,FALSE)</f>
        <v>1</v>
      </c>
      <c r="I3246" s="68">
        <v>87.89016574074073</v>
      </c>
      <c r="J3246" s="68">
        <f t="shared" si="1"/>
        <v>878.9016574</v>
      </c>
      <c r="K3246" s="68" t="b">
        <v>1</v>
      </c>
    </row>
    <row r="3247">
      <c r="A3247" s="75">
        <v>3241.0</v>
      </c>
      <c r="B3247" s="62" t="s">
        <v>2090</v>
      </c>
      <c r="C3247" s="62" t="s">
        <v>104</v>
      </c>
      <c r="D3247" s="62" t="s">
        <v>2096</v>
      </c>
      <c r="E3247" s="76">
        <v>43906.0</v>
      </c>
      <c r="F3247" s="77">
        <v>0.4166666666666667</v>
      </c>
      <c r="G3247" s="62" t="b">
        <v>1</v>
      </c>
      <c r="H3247" s="78" t="b">
        <f>IF(VLOOKUP(C3247,Projetos!A:L,12,false)=TRUE,TRUE,FALSE)</f>
        <v>1</v>
      </c>
      <c r="I3247" s="68">
        <v>87.89016574074073</v>
      </c>
      <c r="J3247" s="68">
        <f t="shared" si="1"/>
        <v>878.9016574</v>
      </c>
      <c r="K3247" s="68" t="b">
        <v>1</v>
      </c>
    </row>
    <row r="3248">
      <c r="A3248" s="75">
        <v>3242.0</v>
      </c>
      <c r="B3248" s="62" t="s">
        <v>2090</v>
      </c>
      <c r="C3248" s="62" t="s">
        <v>104</v>
      </c>
      <c r="D3248" s="62" t="s">
        <v>2096</v>
      </c>
      <c r="E3248" s="76">
        <v>43913.0</v>
      </c>
      <c r="F3248" s="77">
        <v>0.4166666666666667</v>
      </c>
      <c r="G3248" s="62" t="b">
        <v>1</v>
      </c>
      <c r="H3248" s="78" t="b">
        <f>IF(VLOOKUP(C3248,Projetos!A:L,12,false)=TRUE,TRUE,FALSE)</f>
        <v>1</v>
      </c>
      <c r="I3248" s="68">
        <v>87.89016574074073</v>
      </c>
      <c r="J3248" s="68">
        <f t="shared" si="1"/>
        <v>878.9016574</v>
      </c>
      <c r="K3248" s="68" t="b">
        <v>1</v>
      </c>
    </row>
    <row r="3249">
      <c r="A3249" s="75">
        <v>3243.0</v>
      </c>
      <c r="B3249" s="62" t="s">
        <v>2090</v>
      </c>
      <c r="C3249" s="62" t="s">
        <v>104</v>
      </c>
      <c r="D3249" s="62" t="s">
        <v>2092</v>
      </c>
      <c r="E3249" s="76">
        <v>43922.0</v>
      </c>
      <c r="F3249" s="77">
        <v>0.4166666666666667</v>
      </c>
      <c r="G3249" s="62" t="b">
        <v>1</v>
      </c>
      <c r="H3249" s="78" t="b">
        <f>IF(VLOOKUP(C3249,Projetos!A:L,12,false)=TRUE,TRUE,FALSE)</f>
        <v>1</v>
      </c>
      <c r="I3249" s="68">
        <v>83.8951582070707</v>
      </c>
      <c r="J3249" s="68">
        <f t="shared" si="1"/>
        <v>838.9515821</v>
      </c>
      <c r="K3249" s="68" t="b">
        <v>1</v>
      </c>
    </row>
    <row r="3250">
      <c r="A3250" s="75">
        <v>3244.0</v>
      </c>
      <c r="B3250" s="62" t="s">
        <v>2090</v>
      </c>
      <c r="C3250" s="62" t="s">
        <v>104</v>
      </c>
      <c r="D3250" s="62" t="s">
        <v>2092</v>
      </c>
      <c r="E3250" s="76">
        <v>43934.0</v>
      </c>
      <c r="F3250" s="77">
        <v>0.4166666666666667</v>
      </c>
      <c r="G3250" s="62" t="b">
        <v>1</v>
      </c>
      <c r="H3250" s="78" t="b">
        <f>IF(VLOOKUP(C3250,Projetos!A:L,12,false)=TRUE,TRUE,FALSE)</f>
        <v>1</v>
      </c>
      <c r="I3250" s="68">
        <v>83.8951582070707</v>
      </c>
      <c r="J3250" s="68">
        <f t="shared" si="1"/>
        <v>838.9515821</v>
      </c>
      <c r="K3250" s="68" t="b">
        <v>1</v>
      </c>
    </row>
    <row r="3251">
      <c r="A3251" s="75">
        <v>3245.0</v>
      </c>
      <c r="B3251" s="62" t="s">
        <v>2090</v>
      </c>
      <c r="C3251" s="62" t="s">
        <v>104</v>
      </c>
      <c r="D3251" s="62" t="s">
        <v>2097</v>
      </c>
      <c r="E3251" s="76">
        <v>43941.0</v>
      </c>
      <c r="F3251" s="77">
        <v>0.5416666666666666</v>
      </c>
      <c r="G3251" s="62" t="b">
        <v>1</v>
      </c>
      <c r="H3251" s="78" t="b">
        <f>IF(VLOOKUP(C3251,Projetos!A:L,12,false)=TRUE,TRUE,FALSE)</f>
        <v>1</v>
      </c>
      <c r="I3251" s="68">
        <v>83.8951582070707</v>
      </c>
      <c r="J3251" s="68">
        <f t="shared" si="1"/>
        <v>1090.637057</v>
      </c>
      <c r="K3251" s="68" t="b">
        <v>1</v>
      </c>
    </row>
    <row r="3252">
      <c r="A3252" s="75">
        <v>3246.0</v>
      </c>
      <c r="B3252" s="62" t="s">
        <v>2090</v>
      </c>
      <c r="C3252" s="62" t="s">
        <v>104</v>
      </c>
      <c r="D3252" s="62" t="s">
        <v>2098</v>
      </c>
      <c r="E3252" s="76">
        <v>43948.0</v>
      </c>
      <c r="F3252" s="77">
        <v>0.5416666666666666</v>
      </c>
      <c r="G3252" s="62" t="b">
        <v>1</v>
      </c>
      <c r="H3252" s="78" t="b">
        <f>IF(VLOOKUP(C3252,Projetos!A:L,12,false)=TRUE,TRUE,FALSE)</f>
        <v>1</v>
      </c>
      <c r="I3252" s="68">
        <v>83.8951582070707</v>
      </c>
      <c r="J3252" s="68">
        <f t="shared" si="1"/>
        <v>1090.637057</v>
      </c>
      <c r="K3252" s="68" t="b">
        <v>1</v>
      </c>
    </row>
    <row r="3253" hidden="1">
      <c r="A3253" s="75">
        <v>3247.0</v>
      </c>
      <c r="B3253" s="62" t="s">
        <v>2090</v>
      </c>
      <c r="C3253" s="62" t="s">
        <v>105</v>
      </c>
      <c r="D3253" s="62" t="s">
        <v>2093</v>
      </c>
      <c r="E3253" s="76">
        <v>43927.0</v>
      </c>
      <c r="F3253" s="77">
        <v>0.4166666666666667</v>
      </c>
      <c r="G3253" s="62" t="b">
        <v>1</v>
      </c>
      <c r="H3253" s="78" t="b">
        <f>IF(VLOOKUP(C3253,Projetos!A:L,12,false)=TRUE,TRUE,FALSE)</f>
        <v>1</v>
      </c>
      <c r="I3253" s="68">
        <v>83.8951582070707</v>
      </c>
      <c r="J3253" s="68">
        <f t="shared" si="1"/>
        <v>838.9515821</v>
      </c>
      <c r="K3253" s="68" t="b">
        <v>1</v>
      </c>
    </row>
    <row r="3254" hidden="1">
      <c r="A3254" s="75">
        <v>3248.0</v>
      </c>
      <c r="B3254" s="62" t="s">
        <v>2090</v>
      </c>
      <c r="C3254" s="62" t="s">
        <v>105</v>
      </c>
      <c r="D3254" s="62" t="s">
        <v>2094</v>
      </c>
      <c r="E3254" s="76">
        <v>43934.0</v>
      </c>
      <c r="F3254" s="77">
        <v>0.4166666666666667</v>
      </c>
      <c r="G3254" s="62" t="b">
        <v>1</v>
      </c>
      <c r="H3254" s="78" t="b">
        <f>IF(VLOOKUP(C3254,Projetos!A:L,12,false)=TRUE,TRUE,FALSE)</f>
        <v>1</v>
      </c>
      <c r="I3254" s="68">
        <v>83.8951582070707</v>
      </c>
      <c r="J3254" s="68">
        <f t="shared" si="1"/>
        <v>838.9515821</v>
      </c>
      <c r="K3254" s="68" t="b">
        <v>1</v>
      </c>
    </row>
    <row r="3255" hidden="1">
      <c r="A3255" s="75">
        <v>3249.0</v>
      </c>
      <c r="B3255" s="62" t="s">
        <v>2090</v>
      </c>
      <c r="C3255" s="62" t="s">
        <v>105</v>
      </c>
      <c r="D3255" s="62" t="s">
        <v>2093</v>
      </c>
      <c r="E3255" s="76">
        <v>43941.0</v>
      </c>
      <c r="F3255" s="77">
        <v>0.4166666666666667</v>
      </c>
      <c r="G3255" s="62" t="b">
        <v>1</v>
      </c>
      <c r="H3255" s="78" t="b">
        <f>IF(VLOOKUP(C3255,Projetos!A:L,12,false)=TRUE,TRUE,FALSE)</f>
        <v>1</v>
      </c>
      <c r="I3255" s="68">
        <v>83.8951582070707</v>
      </c>
      <c r="J3255" s="68">
        <f t="shared" si="1"/>
        <v>838.9515821</v>
      </c>
      <c r="K3255" s="68" t="b">
        <v>1</v>
      </c>
    </row>
    <row r="3256" hidden="1">
      <c r="A3256" s="75">
        <v>3250.0</v>
      </c>
      <c r="B3256" s="62" t="s">
        <v>2090</v>
      </c>
      <c r="C3256" s="62" t="s">
        <v>105</v>
      </c>
      <c r="D3256" s="62" t="s">
        <v>2094</v>
      </c>
      <c r="E3256" s="76">
        <v>43948.0</v>
      </c>
      <c r="F3256" s="77">
        <v>0.4166666666666667</v>
      </c>
      <c r="G3256" s="62" t="b">
        <v>1</v>
      </c>
      <c r="H3256" s="78" t="b">
        <f>IF(VLOOKUP(C3256,Projetos!A:L,12,false)=TRUE,TRUE,FALSE)</f>
        <v>1</v>
      </c>
      <c r="I3256" s="68">
        <v>83.8951582070707</v>
      </c>
      <c r="J3256" s="68">
        <f t="shared" si="1"/>
        <v>838.9515821</v>
      </c>
      <c r="K3256" s="68" t="b">
        <v>1</v>
      </c>
    </row>
    <row r="3257" hidden="1">
      <c r="A3257" s="75">
        <v>3251.0</v>
      </c>
      <c r="B3257" s="62" t="s">
        <v>2090</v>
      </c>
      <c r="C3257" s="62" t="s">
        <v>101</v>
      </c>
      <c r="D3257" s="62" t="s">
        <v>2095</v>
      </c>
      <c r="E3257" s="76">
        <v>43927.0</v>
      </c>
      <c r="F3257" s="77">
        <v>0.4166666666666667</v>
      </c>
      <c r="G3257" s="62" t="b">
        <v>1</v>
      </c>
      <c r="H3257" s="78" t="b">
        <f>IF(VLOOKUP(C3257,Projetos!A:L,12,false)=TRUE,TRUE,FALSE)</f>
        <v>1</v>
      </c>
      <c r="I3257" s="68">
        <v>83.8951582070707</v>
      </c>
      <c r="J3257" s="68">
        <f t="shared" si="1"/>
        <v>838.9515821</v>
      </c>
      <c r="K3257" s="68" t="b">
        <v>1</v>
      </c>
    </row>
    <row r="3258" hidden="1">
      <c r="A3258" s="75">
        <v>3252.0</v>
      </c>
      <c r="B3258" s="62" t="s">
        <v>2090</v>
      </c>
      <c r="C3258" s="62" t="s">
        <v>101</v>
      </c>
      <c r="D3258" s="62" t="s">
        <v>2095</v>
      </c>
      <c r="E3258" s="76">
        <v>43934.0</v>
      </c>
      <c r="F3258" s="77">
        <v>0.4166666666666667</v>
      </c>
      <c r="G3258" s="62" t="b">
        <v>1</v>
      </c>
      <c r="H3258" s="78" t="b">
        <f>IF(VLOOKUP(C3258,Projetos!A:L,12,false)=TRUE,TRUE,FALSE)</f>
        <v>1</v>
      </c>
      <c r="I3258" s="68">
        <v>83.8951582070707</v>
      </c>
      <c r="J3258" s="68">
        <f t="shared" si="1"/>
        <v>838.9515821</v>
      </c>
      <c r="K3258" s="68" t="b">
        <v>1</v>
      </c>
    </row>
    <row r="3259" hidden="1">
      <c r="A3259" s="75">
        <v>3253.0</v>
      </c>
      <c r="B3259" s="62" t="s">
        <v>2090</v>
      </c>
      <c r="C3259" s="62" t="s">
        <v>101</v>
      </c>
      <c r="D3259" s="62" t="s">
        <v>2096</v>
      </c>
      <c r="E3259" s="76">
        <v>43941.0</v>
      </c>
      <c r="F3259" s="77">
        <v>0.4166666666666667</v>
      </c>
      <c r="G3259" s="62" t="b">
        <v>1</v>
      </c>
      <c r="H3259" s="78" t="b">
        <f>IF(VLOOKUP(C3259,Projetos!A:L,12,false)=TRUE,TRUE,FALSE)</f>
        <v>1</v>
      </c>
      <c r="I3259" s="68">
        <v>83.8951582070707</v>
      </c>
      <c r="J3259" s="68">
        <f t="shared" si="1"/>
        <v>838.9515821</v>
      </c>
      <c r="K3259" s="68" t="b">
        <v>1</v>
      </c>
    </row>
    <row r="3260" hidden="1">
      <c r="A3260" s="75">
        <v>3254.0</v>
      </c>
      <c r="B3260" s="62" t="s">
        <v>2090</v>
      </c>
      <c r="C3260" s="62" t="s">
        <v>101</v>
      </c>
      <c r="D3260" s="62" t="s">
        <v>2096</v>
      </c>
      <c r="E3260" s="76">
        <v>43948.0</v>
      </c>
      <c r="F3260" s="77">
        <v>0.4166666666666667</v>
      </c>
      <c r="G3260" s="62" t="b">
        <v>1</v>
      </c>
      <c r="H3260" s="78" t="b">
        <f>IF(VLOOKUP(C3260,Projetos!A:L,12,false)=TRUE,TRUE,FALSE)</f>
        <v>1</v>
      </c>
      <c r="I3260" s="68">
        <v>83.8951582070707</v>
      </c>
      <c r="J3260" s="68">
        <f t="shared" si="1"/>
        <v>838.9515821</v>
      </c>
      <c r="K3260" s="68" t="b">
        <v>1</v>
      </c>
    </row>
    <row r="3261" hidden="1">
      <c r="A3261" s="75">
        <v>3255.0</v>
      </c>
      <c r="B3261" s="62" t="s">
        <v>2090</v>
      </c>
      <c r="C3261" s="62" t="s">
        <v>97</v>
      </c>
      <c r="D3261" s="62" t="s">
        <v>2094</v>
      </c>
      <c r="E3261" s="76">
        <v>43927.0</v>
      </c>
      <c r="F3261" s="77">
        <v>0.4166666666666667</v>
      </c>
      <c r="G3261" s="62" t="b">
        <v>1</v>
      </c>
      <c r="H3261" s="78" t="b">
        <f>IF(VLOOKUP(C3261,Projetos!A:L,12,false)=TRUE,TRUE,FALSE)</f>
        <v>1</v>
      </c>
      <c r="I3261" s="68">
        <v>83.8951582070707</v>
      </c>
      <c r="J3261" s="68">
        <f t="shared" si="1"/>
        <v>838.9515821</v>
      </c>
      <c r="K3261" s="68" t="b">
        <v>1</v>
      </c>
    </row>
    <row r="3262" hidden="1">
      <c r="A3262" s="75">
        <v>3256.0</v>
      </c>
      <c r="B3262" s="62" t="s">
        <v>2090</v>
      </c>
      <c r="C3262" s="62" t="s">
        <v>97</v>
      </c>
      <c r="D3262" s="62" t="s">
        <v>2094</v>
      </c>
      <c r="E3262" s="76">
        <v>43934.0</v>
      </c>
      <c r="F3262" s="77">
        <v>0.4166666666666667</v>
      </c>
      <c r="G3262" s="62" t="b">
        <v>1</v>
      </c>
      <c r="H3262" s="78" t="b">
        <f>IF(VLOOKUP(C3262,Projetos!A:L,12,false)=TRUE,TRUE,FALSE)</f>
        <v>1</v>
      </c>
      <c r="I3262" s="68">
        <v>83.8951582070707</v>
      </c>
      <c r="J3262" s="68">
        <f t="shared" si="1"/>
        <v>838.9515821</v>
      </c>
      <c r="K3262" s="68" t="b">
        <v>1</v>
      </c>
    </row>
    <row r="3263" hidden="1">
      <c r="A3263" s="75">
        <v>3257.0</v>
      </c>
      <c r="B3263" s="62" t="s">
        <v>2090</v>
      </c>
      <c r="C3263" s="62" t="s">
        <v>138</v>
      </c>
      <c r="D3263" s="62" t="s">
        <v>2096</v>
      </c>
      <c r="E3263" s="76">
        <v>43941.0</v>
      </c>
      <c r="F3263" s="77">
        <v>0.16666666666666666</v>
      </c>
      <c r="G3263" s="62" t="b">
        <v>1</v>
      </c>
      <c r="H3263" s="78" t="b">
        <f>IF(VLOOKUP(C3263,Projetos!A:L,12,false)=TRUE,TRUE,FALSE)</f>
        <v>1</v>
      </c>
      <c r="I3263" s="68">
        <v>83.8951582070707</v>
      </c>
      <c r="J3263" s="68">
        <f t="shared" si="1"/>
        <v>335.5806328</v>
      </c>
      <c r="K3263" s="68" t="b">
        <v>1</v>
      </c>
    </row>
    <row r="3264" hidden="1">
      <c r="A3264" s="75">
        <v>3258.0</v>
      </c>
      <c r="B3264" s="62" t="s">
        <v>2090</v>
      </c>
      <c r="C3264" s="62" t="s">
        <v>103</v>
      </c>
      <c r="D3264" s="62" t="s">
        <v>2099</v>
      </c>
      <c r="E3264" s="76">
        <v>43948.0</v>
      </c>
      <c r="F3264" s="77">
        <v>0.041666666666666664</v>
      </c>
      <c r="G3264" s="62" t="b">
        <v>1</v>
      </c>
      <c r="H3264" s="78" t="b">
        <f>IF(VLOOKUP(C3264,Projetos!A:L,12,false)=TRUE,TRUE,FALSE)</f>
        <v>1</v>
      </c>
      <c r="I3264" s="68">
        <v>83.8951582070707</v>
      </c>
      <c r="J3264" s="68">
        <f t="shared" si="1"/>
        <v>83.89515821</v>
      </c>
      <c r="K3264" s="68" t="b">
        <v>1</v>
      </c>
    </row>
    <row r="3265">
      <c r="A3265" s="75">
        <v>3259.0</v>
      </c>
      <c r="B3265" s="62" t="s">
        <v>2090</v>
      </c>
      <c r="C3265" s="62" t="s">
        <v>104</v>
      </c>
      <c r="D3265" s="62" t="s">
        <v>2100</v>
      </c>
      <c r="E3265" s="76">
        <v>45425.0</v>
      </c>
      <c r="F3265" s="77">
        <v>0.16666666666666666</v>
      </c>
      <c r="G3265" s="62" t="b">
        <v>1</v>
      </c>
      <c r="H3265" s="78" t="b">
        <f>IF(VLOOKUP(C3265,Projetos!A:L,12,false)=TRUE,TRUE,FALSE)</f>
        <v>1</v>
      </c>
      <c r="I3265" s="68">
        <v>87.89016574074073</v>
      </c>
      <c r="J3265" s="68">
        <f t="shared" si="1"/>
        <v>0</v>
      </c>
      <c r="K3265" s="68" t="b">
        <v>1</v>
      </c>
    </row>
    <row r="3266">
      <c r="A3266" s="75">
        <v>3260.0</v>
      </c>
      <c r="B3266" s="62" t="s">
        <v>2090</v>
      </c>
      <c r="C3266" s="62" t="s">
        <v>104</v>
      </c>
      <c r="D3266" s="62" t="s">
        <v>2100</v>
      </c>
      <c r="E3266" s="76">
        <v>43955.0</v>
      </c>
      <c r="F3266" s="77">
        <v>0.4166666666666667</v>
      </c>
      <c r="G3266" s="62" t="b">
        <v>1</v>
      </c>
      <c r="H3266" s="78" t="b">
        <f>IF(VLOOKUP(C3266,Projetos!A:L,12,false)=TRUE,TRUE,FALSE)</f>
        <v>1</v>
      </c>
      <c r="I3266" s="68">
        <v>87.89016574074073</v>
      </c>
      <c r="J3266" s="68">
        <f t="shared" si="1"/>
        <v>878.9016574</v>
      </c>
      <c r="K3266" s="68" t="b">
        <v>1</v>
      </c>
    </row>
    <row r="3267">
      <c r="A3267" s="75">
        <v>3261.0</v>
      </c>
      <c r="B3267" s="62" t="s">
        <v>2090</v>
      </c>
      <c r="C3267" s="62" t="s">
        <v>104</v>
      </c>
      <c r="D3267" s="62" t="s">
        <v>2100</v>
      </c>
      <c r="E3267" s="76">
        <v>43962.0</v>
      </c>
      <c r="F3267" s="77">
        <v>0.625</v>
      </c>
      <c r="G3267" s="62" t="b">
        <v>1</v>
      </c>
      <c r="H3267" s="78" t="b">
        <f>IF(VLOOKUP(C3267,Projetos!A:L,12,false)=TRUE,TRUE,FALSE)</f>
        <v>1</v>
      </c>
      <c r="I3267" s="68">
        <v>87.89016574074073</v>
      </c>
      <c r="J3267" s="68">
        <f t="shared" si="1"/>
        <v>1318.352486</v>
      </c>
      <c r="K3267" s="68" t="b">
        <v>1</v>
      </c>
    </row>
    <row r="3268">
      <c r="A3268" s="75">
        <v>3262.0</v>
      </c>
      <c r="B3268" s="62" t="s">
        <v>2090</v>
      </c>
      <c r="C3268" s="62" t="s">
        <v>104</v>
      </c>
      <c r="D3268" s="62" t="s">
        <v>2100</v>
      </c>
      <c r="E3268" s="76">
        <v>43969.0</v>
      </c>
      <c r="F3268" s="77">
        <v>0.5416666666666666</v>
      </c>
      <c r="G3268" s="62" t="b">
        <v>1</v>
      </c>
      <c r="H3268" s="78" t="b">
        <f>IF(VLOOKUP(C3268,Projetos!A:L,12,false)=TRUE,TRUE,FALSE)</f>
        <v>1</v>
      </c>
      <c r="I3268" s="68">
        <v>87.89016574074073</v>
      </c>
      <c r="J3268" s="68">
        <f t="shared" si="1"/>
        <v>1142.572155</v>
      </c>
      <c r="K3268" s="68" t="b">
        <v>1</v>
      </c>
    </row>
    <row r="3269">
      <c r="A3269" s="75">
        <v>3263.0</v>
      </c>
      <c r="B3269" s="62" t="s">
        <v>2090</v>
      </c>
      <c r="C3269" s="62" t="s">
        <v>104</v>
      </c>
      <c r="D3269" s="62" t="s">
        <v>2101</v>
      </c>
      <c r="E3269" s="76">
        <v>43976.0</v>
      </c>
      <c r="F3269" s="77">
        <v>0.5416666666666666</v>
      </c>
      <c r="G3269" s="62" t="b">
        <v>1</v>
      </c>
      <c r="H3269" s="78" t="b">
        <f>IF(VLOOKUP(C3269,Projetos!A:L,12,false)=TRUE,TRUE,FALSE)</f>
        <v>1</v>
      </c>
      <c r="I3269" s="68">
        <v>87.89016574074073</v>
      </c>
      <c r="J3269" s="68">
        <f t="shared" si="1"/>
        <v>1142.572155</v>
      </c>
      <c r="K3269" s="68" t="b">
        <v>1</v>
      </c>
    </row>
    <row r="3270" hidden="1">
      <c r="A3270" s="75">
        <v>3264.0</v>
      </c>
      <c r="B3270" s="62" t="s">
        <v>2090</v>
      </c>
      <c r="C3270" s="62" t="s">
        <v>105</v>
      </c>
      <c r="D3270" s="62" t="s">
        <v>2094</v>
      </c>
      <c r="E3270" s="76">
        <v>43955.0</v>
      </c>
      <c r="F3270" s="77">
        <v>0.4166666666666667</v>
      </c>
      <c r="G3270" s="62" t="b">
        <v>1</v>
      </c>
      <c r="H3270" s="78" t="b">
        <f>IF(VLOOKUP(C3270,Projetos!A:L,12,false)=TRUE,TRUE,FALSE)</f>
        <v>1</v>
      </c>
      <c r="I3270" s="68">
        <v>87.89016574074073</v>
      </c>
      <c r="J3270" s="68">
        <f t="shared" si="1"/>
        <v>878.9016574</v>
      </c>
      <c r="K3270" s="68" t="b">
        <v>1</v>
      </c>
    </row>
    <row r="3271" hidden="1">
      <c r="A3271" s="75">
        <v>3265.0</v>
      </c>
      <c r="B3271" s="62" t="s">
        <v>2090</v>
      </c>
      <c r="C3271" s="62" t="s">
        <v>105</v>
      </c>
      <c r="D3271" s="62" t="s">
        <v>2093</v>
      </c>
      <c r="E3271" s="76">
        <v>43962.0</v>
      </c>
      <c r="F3271" s="77">
        <v>0.3333333333333333</v>
      </c>
      <c r="G3271" s="62" t="b">
        <v>1</v>
      </c>
      <c r="H3271" s="78" t="b">
        <f>IF(VLOOKUP(C3271,Projetos!A:L,12,false)=TRUE,TRUE,FALSE)</f>
        <v>1</v>
      </c>
      <c r="I3271" s="68">
        <v>87.89016574074073</v>
      </c>
      <c r="J3271" s="68">
        <f t="shared" si="1"/>
        <v>703.1213259</v>
      </c>
      <c r="K3271" s="68" t="b">
        <v>1</v>
      </c>
    </row>
    <row r="3272" hidden="1">
      <c r="A3272" s="75">
        <v>3266.0</v>
      </c>
      <c r="B3272" s="62" t="s">
        <v>2090</v>
      </c>
      <c r="C3272" s="62" t="s">
        <v>105</v>
      </c>
      <c r="D3272" s="62" t="s">
        <v>2093</v>
      </c>
      <c r="E3272" s="76">
        <v>43969.0</v>
      </c>
      <c r="F3272" s="77">
        <v>0.3333333333333333</v>
      </c>
      <c r="G3272" s="62" t="b">
        <v>1</v>
      </c>
      <c r="H3272" s="78" t="b">
        <f>IF(VLOOKUP(C3272,Projetos!A:L,12,false)=TRUE,TRUE,FALSE)</f>
        <v>1</v>
      </c>
      <c r="I3272" s="68">
        <v>87.89016574074073</v>
      </c>
      <c r="J3272" s="68">
        <f t="shared" si="1"/>
        <v>703.1213259</v>
      </c>
      <c r="K3272" s="68" t="b">
        <v>1</v>
      </c>
    </row>
    <row r="3273" hidden="1">
      <c r="A3273" s="75">
        <v>3267.0</v>
      </c>
      <c r="B3273" s="62" t="s">
        <v>2090</v>
      </c>
      <c r="C3273" s="62" t="s">
        <v>101</v>
      </c>
      <c r="D3273" s="62" t="s">
        <v>2095</v>
      </c>
      <c r="E3273" s="76">
        <v>43976.0</v>
      </c>
      <c r="F3273" s="77">
        <v>0.16666666666666666</v>
      </c>
      <c r="G3273" s="62" t="b">
        <v>1</v>
      </c>
      <c r="H3273" s="78" t="b">
        <f>IF(VLOOKUP(C3273,Projetos!A:L,12,false)=TRUE,TRUE,FALSE)</f>
        <v>1</v>
      </c>
      <c r="I3273" s="68">
        <v>87.89016574074073</v>
      </c>
      <c r="J3273" s="68">
        <f t="shared" si="1"/>
        <v>351.560663</v>
      </c>
      <c r="K3273" s="68" t="b">
        <v>1</v>
      </c>
    </row>
    <row r="3274" hidden="1">
      <c r="A3274" s="75">
        <v>3268.0</v>
      </c>
      <c r="B3274" s="62" t="s">
        <v>2090</v>
      </c>
      <c r="C3274" s="62" t="s">
        <v>101</v>
      </c>
      <c r="D3274" s="62" t="s">
        <v>2095</v>
      </c>
      <c r="E3274" s="76">
        <v>43955.0</v>
      </c>
      <c r="F3274" s="77">
        <v>0.16666666666666666</v>
      </c>
      <c r="G3274" s="62" t="b">
        <v>1</v>
      </c>
      <c r="H3274" s="78" t="b">
        <f>IF(VLOOKUP(C3274,Projetos!A:L,12,false)=TRUE,TRUE,FALSE)</f>
        <v>1</v>
      </c>
      <c r="I3274" s="68">
        <v>87.89016574074073</v>
      </c>
      <c r="J3274" s="68">
        <f t="shared" si="1"/>
        <v>351.560663</v>
      </c>
      <c r="K3274" s="68" t="b">
        <v>1</v>
      </c>
    </row>
    <row r="3275" hidden="1">
      <c r="A3275" s="75">
        <v>3269.0</v>
      </c>
      <c r="B3275" s="62" t="s">
        <v>2090</v>
      </c>
      <c r="C3275" s="62" t="s">
        <v>101</v>
      </c>
      <c r="D3275" s="62" t="s">
        <v>2096</v>
      </c>
      <c r="E3275" s="76">
        <v>43962.0</v>
      </c>
      <c r="F3275" s="77">
        <v>0.08333333333333333</v>
      </c>
      <c r="G3275" s="62" t="b">
        <v>1</v>
      </c>
      <c r="H3275" s="78" t="b">
        <f>IF(VLOOKUP(C3275,Projetos!A:L,12,false)=TRUE,TRUE,FALSE)</f>
        <v>1</v>
      </c>
      <c r="I3275" s="68">
        <v>87.89016574074073</v>
      </c>
      <c r="J3275" s="68">
        <f t="shared" si="1"/>
        <v>175.7803315</v>
      </c>
      <c r="K3275" s="68" t="b">
        <v>1</v>
      </c>
    </row>
    <row r="3276" hidden="1">
      <c r="A3276" s="75">
        <v>3270.0</v>
      </c>
      <c r="B3276" s="62" t="s">
        <v>2090</v>
      </c>
      <c r="C3276" s="62" t="s">
        <v>101</v>
      </c>
      <c r="D3276" s="62" t="s">
        <v>2096</v>
      </c>
      <c r="E3276" s="76">
        <v>43969.0</v>
      </c>
      <c r="F3276" s="77">
        <v>0.25</v>
      </c>
      <c r="G3276" s="62" t="b">
        <v>1</v>
      </c>
      <c r="H3276" s="78" t="b">
        <f>IF(VLOOKUP(C3276,Projetos!A:L,12,false)=TRUE,TRUE,FALSE)</f>
        <v>1</v>
      </c>
      <c r="I3276" s="68">
        <v>87.89016574074073</v>
      </c>
      <c r="J3276" s="68">
        <f t="shared" si="1"/>
        <v>527.3409944</v>
      </c>
      <c r="K3276" s="68" t="b">
        <v>1</v>
      </c>
    </row>
    <row r="3277" hidden="1">
      <c r="A3277" s="75">
        <v>3271.0</v>
      </c>
      <c r="B3277" s="62" t="s">
        <v>2090</v>
      </c>
      <c r="C3277" s="62" t="s">
        <v>97</v>
      </c>
      <c r="D3277" s="62" t="s">
        <v>2094</v>
      </c>
      <c r="E3277" s="76">
        <v>43976.0</v>
      </c>
      <c r="F3277" s="77">
        <v>0.25</v>
      </c>
      <c r="G3277" s="62" t="b">
        <v>1</v>
      </c>
      <c r="H3277" s="78" t="b">
        <f>IF(VLOOKUP(C3277,Projetos!A:L,12,false)=TRUE,TRUE,FALSE)</f>
        <v>1</v>
      </c>
      <c r="I3277" s="68">
        <v>87.89016574074073</v>
      </c>
      <c r="J3277" s="68">
        <f t="shared" si="1"/>
        <v>527.3409944</v>
      </c>
      <c r="K3277" s="68" t="b">
        <v>1</v>
      </c>
    </row>
    <row r="3278" hidden="1">
      <c r="A3278" s="75">
        <v>3272.0</v>
      </c>
      <c r="B3278" s="62" t="s">
        <v>2090</v>
      </c>
      <c r="C3278" s="62" t="s">
        <v>97</v>
      </c>
      <c r="D3278" s="62" t="s">
        <v>2094</v>
      </c>
      <c r="E3278" s="76">
        <v>43955.0</v>
      </c>
      <c r="F3278" s="77">
        <v>0.4166666666666667</v>
      </c>
      <c r="G3278" s="62" t="b">
        <v>1</v>
      </c>
      <c r="H3278" s="78" t="b">
        <f>IF(VLOOKUP(C3278,Projetos!A:L,12,false)=TRUE,TRUE,FALSE)</f>
        <v>1</v>
      </c>
      <c r="I3278" s="68">
        <v>87.89016574074073</v>
      </c>
      <c r="J3278" s="68">
        <f t="shared" si="1"/>
        <v>878.9016574</v>
      </c>
      <c r="K3278" s="68" t="b">
        <v>1</v>
      </c>
    </row>
    <row r="3279" hidden="1">
      <c r="A3279" s="75">
        <v>3273.0</v>
      </c>
      <c r="B3279" s="62" t="s">
        <v>2090</v>
      </c>
      <c r="C3279" s="62" t="s">
        <v>138</v>
      </c>
      <c r="D3279" s="62" t="s">
        <v>2096</v>
      </c>
      <c r="E3279" s="76">
        <v>43962.0</v>
      </c>
      <c r="F3279" s="77">
        <v>0.16666666666666666</v>
      </c>
      <c r="G3279" s="62" t="b">
        <v>1</v>
      </c>
      <c r="H3279" s="78" t="b">
        <f>IF(VLOOKUP(C3279,Projetos!A:L,12,false)=TRUE,TRUE,FALSE)</f>
        <v>1</v>
      </c>
      <c r="I3279" s="68">
        <v>87.89016574074073</v>
      </c>
      <c r="J3279" s="68">
        <f t="shared" si="1"/>
        <v>351.560663</v>
      </c>
      <c r="K3279" s="68" t="b">
        <v>1</v>
      </c>
    </row>
    <row r="3280" hidden="1">
      <c r="A3280" s="75">
        <v>3274.0</v>
      </c>
      <c r="B3280" s="62" t="s">
        <v>2090</v>
      </c>
      <c r="C3280" s="62" t="s">
        <v>138</v>
      </c>
      <c r="D3280" s="62" t="s">
        <v>2096</v>
      </c>
      <c r="E3280" s="76">
        <v>43969.0</v>
      </c>
      <c r="F3280" s="77">
        <v>0.16666666666666666</v>
      </c>
      <c r="G3280" s="62" t="b">
        <v>1</v>
      </c>
      <c r="H3280" s="78" t="b">
        <f>IF(VLOOKUP(C3280,Projetos!A:L,12,false)=TRUE,TRUE,FALSE)</f>
        <v>1</v>
      </c>
      <c r="I3280" s="68">
        <v>87.89016574074073</v>
      </c>
      <c r="J3280" s="68">
        <f t="shared" si="1"/>
        <v>351.560663</v>
      </c>
      <c r="K3280" s="68" t="b">
        <v>1</v>
      </c>
    </row>
    <row r="3281">
      <c r="A3281" s="75">
        <v>3275.0</v>
      </c>
      <c r="B3281" s="62" t="s">
        <v>2090</v>
      </c>
      <c r="C3281" s="62" t="s">
        <v>104</v>
      </c>
      <c r="D3281" s="62" t="s">
        <v>2101</v>
      </c>
      <c r="E3281" s="76">
        <v>43976.0</v>
      </c>
      <c r="F3281" s="77">
        <v>0.5</v>
      </c>
      <c r="G3281" s="62" t="b">
        <v>1</v>
      </c>
      <c r="H3281" s="78" t="b">
        <f>IF(VLOOKUP(C3281,Projetos!A:L,12,false)=TRUE,TRUE,FALSE)</f>
        <v>1</v>
      </c>
      <c r="I3281" s="68">
        <v>87.89016574074073</v>
      </c>
      <c r="J3281" s="68">
        <f t="shared" si="1"/>
        <v>1054.681989</v>
      </c>
      <c r="K3281" s="68" t="b">
        <v>1</v>
      </c>
    </row>
    <row r="3282" hidden="1">
      <c r="A3282" s="75">
        <v>3276.0</v>
      </c>
      <c r="B3282" s="62" t="s">
        <v>2090</v>
      </c>
      <c r="C3282" s="62" t="s">
        <v>110</v>
      </c>
      <c r="D3282" s="62" t="s">
        <v>2101</v>
      </c>
      <c r="E3282" s="76">
        <v>43976.0</v>
      </c>
      <c r="F3282" s="77">
        <v>0.375</v>
      </c>
      <c r="G3282" s="62" t="b">
        <v>1</v>
      </c>
      <c r="H3282" s="78" t="b">
        <f>IF(VLOOKUP(C3282,Projetos!A:L,12,false)=TRUE,TRUE,FALSE)</f>
        <v>1</v>
      </c>
      <c r="I3282" s="68">
        <v>87.89016574074073</v>
      </c>
      <c r="J3282" s="68">
        <f t="shared" si="1"/>
        <v>791.0114917</v>
      </c>
      <c r="K3282" s="68" t="b">
        <v>1</v>
      </c>
    </row>
    <row r="3283">
      <c r="A3283" s="75">
        <v>3277.0</v>
      </c>
      <c r="B3283" s="62" t="s">
        <v>2090</v>
      </c>
      <c r="C3283" s="62" t="s">
        <v>104</v>
      </c>
      <c r="D3283" s="62" t="s">
        <v>749</v>
      </c>
      <c r="E3283" s="76">
        <v>43983.0</v>
      </c>
      <c r="F3283" s="77">
        <v>0.0625</v>
      </c>
      <c r="G3283" s="62" t="b">
        <v>1</v>
      </c>
      <c r="H3283" s="78" t="b">
        <f>IF(VLOOKUP(C3283,Projetos!A:L,12,false)=TRUE,TRUE,FALSE)</f>
        <v>1</v>
      </c>
      <c r="I3283" s="68">
        <v>83.8951582070707</v>
      </c>
      <c r="J3283" s="68">
        <f t="shared" si="1"/>
        <v>125.8427373</v>
      </c>
      <c r="K3283" s="68" t="b">
        <v>1</v>
      </c>
    </row>
    <row r="3284" hidden="1">
      <c r="A3284" s="75">
        <v>3278.0</v>
      </c>
      <c r="B3284" s="62" t="s">
        <v>2090</v>
      </c>
      <c r="C3284" s="62" t="s">
        <v>110</v>
      </c>
      <c r="D3284" s="62" t="s">
        <v>745</v>
      </c>
      <c r="E3284" s="76">
        <v>43983.0</v>
      </c>
      <c r="F3284" s="77">
        <v>0.08333333333333333</v>
      </c>
      <c r="G3284" s="62" t="b">
        <v>1</v>
      </c>
      <c r="H3284" s="78" t="b">
        <f>IF(VLOOKUP(C3284,Projetos!A:L,12,false)=TRUE,TRUE,FALSE)</f>
        <v>1</v>
      </c>
      <c r="I3284" s="68">
        <v>83.8951582070707</v>
      </c>
      <c r="J3284" s="68">
        <f t="shared" si="1"/>
        <v>167.7903164</v>
      </c>
      <c r="K3284" s="68" t="b">
        <v>1</v>
      </c>
    </row>
    <row r="3285" hidden="1">
      <c r="A3285" s="75">
        <v>3279.0</v>
      </c>
      <c r="B3285" s="62" t="s">
        <v>2090</v>
      </c>
      <c r="C3285" s="62" t="s">
        <v>110</v>
      </c>
      <c r="D3285" s="62" t="s">
        <v>745</v>
      </c>
      <c r="E3285" s="76">
        <v>43984.0</v>
      </c>
      <c r="F3285" s="77">
        <v>0.16666666666666666</v>
      </c>
      <c r="G3285" s="62" t="b">
        <v>1</v>
      </c>
      <c r="H3285" s="78" t="b">
        <f>IF(VLOOKUP(C3285,Projetos!A:L,12,false)=TRUE,TRUE,FALSE)</f>
        <v>1</v>
      </c>
      <c r="I3285" s="68">
        <v>83.8951582070707</v>
      </c>
      <c r="J3285" s="68">
        <f t="shared" si="1"/>
        <v>335.5806328</v>
      </c>
      <c r="K3285" s="68" t="b">
        <v>1</v>
      </c>
    </row>
    <row r="3286" hidden="1">
      <c r="A3286" s="75">
        <v>3280.0</v>
      </c>
      <c r="B3286" s="62" t="s">
        <v>2090</v>
      </c>
      <c r="C3286" s="62" t="s">
        <v>101</v>
      </c>
      <c r="D3286" s="62" t="s">
        <v>2102</v>
      </c>
      <c r="E3286" s="76">
        <v>43984.0</v>
      </c>
      <c r="F3286" s="77">
        <v>0.08333333333333333</v>
      </c>
      <c r="G3286" s="62" t="b">
        <v>1</v>
      </c>
      <c r="H3286" s="78" t="b">
        <f>IF(VLOOKUP(C3286,Projetos!A:L,12,false)=TRUE,TRUE,FALSE)</f>
        <v>1</v>
      </c>
      <c r="I3286" s="68">
        <v>83.8951582070707</v>
      </c>
      <c r="J3286" s="68">
        <f t="shared" si="1"/>
        <v>167.7903164</v>
      </c>
      <c r="K3286" s="68" t="b">
        <v>1</v>
      </c>
    </row>
    <row r="3287">
      <c r="A3287" s="75">
        <v>3281.0</v>
      </c>
      <c r="B3287" s="62" t="s">
        <v>2090</v>
      </c>
      <c r="C3287" s="62" t="s">
        <v>104</v>
      </c>
      <c r="D3287" s="62" t="s">
        <v>749</v>
      </c>
      <c r="E3287" s="76">
        <v>43984.0</v>
      </c>
      <c r="F3287" s="77">
        <v>0.08333333333333333</v>
      </c>
      <c r="G3287" s="62" t="b">
        <v>1</v>
      </c>
      <c r="H3287" s="78" t="b">
        <f>IF(VLOOKUP(C3287,Projetos!A:L,12,false)=TRUE,TRUE,FALSE)</f>
        <v>1</v>
      </c>
      <c r="I3287" s="68">
        <v>83.8951582070707</v>
      </c>
      <c r="J3287" s="68">
        <f t="shared" si="1"/>
        <v>167.7903164</v>
      </c>
      <c r="K3287" s="68" t="b">
        <v>1</v>
      </c>
    </row>
    <row r="3288" hidden="1">
      <c r="A3288" s="75">
        <v>3282.0</v>
      </c>
      <c r="B3288" s="62" t="s">
        <v>2090</v>
      </c>
      <c r="C3288" s="62" t="s">
        <v>110</v>
      </c>
      <c r="D3288" s="62" t="s">
        <v>745</v>
      </c>
      <c r="E3288" s="76">
        <v>43985.0</v>
      </c>
      <c r="F3288" s="77">
        <v>0.041666666666666664</v>
      </c>
      <c r="G3288" s="62" t="b">
        <v>1</v>
      </c>
      <c r="H3288" s="78" t="b">
        <f>IF(VLOOKUP(C3288,Projetos!A:L,12,false)=TRUE,TRUE,FALSE)</f>
        <v>1</v>
      </c>
      <c r="I3288" s="68">
        <v>83.8951582070707</v>
      </c>
      <c r="J3288" s="68">
        <f t="shared" si="1"/>
        <v>83.89515821</v>
      </c>
      <c r="K3288" s="68" t="b">
        <v>1</v>
      </c>
    </row>
    <row r="3289">
      <c r="A3289" s="75">
        <v>3283.0</v>
      </c>
      <c r="B3289" s="62" t="s">
        <v>2090</v>
      </c>
      <c r="C3289" s="62" t="s">
        <v>104</v>
      </c>
      <c r="D3289" s="62" t="s">
        <v>745</v>
      </c>
      <c r="E3289" s="76">
        <v>43985.0</v>
      </c>
      <c r="F3289" s="77">
        <v>0.25</v>
      </c>
      <c r="G3289" s="62" t="b">
        <v>1</v>
      </c>
      <c r="H3289" s="78" t="b">
        <f>IF(VLOOKUP(C3289,Projetos!A:L,12,false)=TRUE,TRUE,FALSE)</f>
        <v>1</v>
      </c>
      <c r="I3289" s="68">
        <v>83.8951582070707</v>
      </c>
      <c r="J3289" s="68">
        <f t="shared" si="1"/>
        <v>503.3709492</v>
      </c>
      <c r="K3289" s="68" t="b">
        <v>1</v>
      </c>
    </row>
    <row r="3290" hidden="1">
      <c r="A3290" s="75">
        <v>3284.0</v>
      </c>
      <c r="B3290" s="62" t="s">
        <v>2090</v>
      </c>
      <c r="C3290" s="62" t="s">
        <v>110</v>
      </c>
      <c r="D3290" s="62" t="s">
        <v>745</v>
      </c>
      <c r="E3290" s="76">
        <v>43986.0</v>
      </c>
      <c r="F3290" s="77">
        <v>0.08333333333333333</v>
      </c>
      <c r="G3290" s="62" t="b">
        <v>1</v>
      </c>
      <c r="H3290" s="78" t="b">
        <f>IF(VLOOKUP(C3290,Projetos!A:L,12,false)=TRUE,TRUE,FALSE)</f>
        <v>1</v>
      </c>
      <c r="I3290" s="68">
        <v>83.8951582070707</v>
      </c>
      <c r="J3290" s="68">
        <f t="shared" si="1"/>
        <v>167.7903164</v>
      </c>
      <c r="K3290" s="68" t="b">
        <v>1</v>
      </c>
    </row>
    <row r="3291" hidden="1">
      <c r="A3291" s="75">
        <v>3285.0</v>
      </c>
      <c r="B3291" s="62" t="s">
        <v>2090</v>
      </c>
      <c r="C3291" s="62" t="s">
        <v>110</v>
      </c>
      <c r="D3291" s="62" t="s">
        <v>745</v>
      </c>
      <c r="E3291" s="76">
        <v>43987.0</v>
      </c>
      <c r="F3291" s="77">
        <v>0.041666666666666664</v>
      </c>
      <c r="G3291" s="62" t="b">
        <v>1</v>
      </c>
      <c r="H3291" s="78" t="b">
        <f>IF(VLOOKUP(C3291,Projetos!A:L,12,false)=TRUE,TRUE,FALSE)</f>
        <v>1</v>
      </c>
      <c r="I3291" s="68">
        <v>83.8951582070707</v>
      </c>
      <c r="J3291" s="68">
        <f t="shared" si="1"/>
        <v>83.89515821</v>
      </c>
      <c r="K3291" s="68" t="b">
        <v>1</v>
      </c>
    </row>
    <row r="3292">
      <c r="A3292" s="75">
        <v>3286.0</v>
      </c>
      <c r="B3292" s="62" t="s">
        <v>2090</v>
      </c>
      <c r="C3292" s="62" t="s">
        <v>104</v>
      </c>
      <c r="D3292" s="62" t="s">
        <v>749</v>
      </c>
      <c r="E3292" s="76">
        <v>43987.0</v>
      </c>
      <c r="F3292" s="77">
        <v>0.125</v>
      </c>
      <c r="G3292" s="62" t="b">
        <v>1</v>
      </c>
      <c r="H3292" s="78" t="b">
        <f>IF(VLOOKUP(C3292,Projetos!A:L,12,false)=TRUE,TRUE,FALSE)</f>
        <v>1</v>
      </c>
      <c r="I3292" s="68">
        <v>83.8951582070707</v>
      </c>
      <c r="J3292" s="68">
        <f t="shared" si="1"/>
        <v>251.6854746</v>
      </c>
      <c r="K3292" s="68" t="b">
        <v>1</v>
      </c>
    </row>
    <row r="3293">
      <c r="A3293" s="75">
        <v>3287.0</v>
      </c>
      <c r="B3293" s="62" t="s">
        <v>2090</v>
      </c>
      <c r="C3293" s="62" t="s">
        <v>104</v>
      </c>
      <c r="D3293" s="62" t="s">
        <v>749</v>
      </c>
      <c r="E3293" s="76">
        <v>43990.0</v>
      </c>
      <c r="F3293" s="77">
        <v>0.22916666666666666</v>
      </c>
      <c r="G3293" s="62" t="b">
        <v>1</v>
      </c>
      <c r="H3293" s="78" t="b">
        <f>IF(VLOOKUP(C3293,Projetos!A:L,12,false)=TRUE,TRUE,FALSE)</f>
        <v>1</v>
      </c>
      <c r="I3293" s="68">
        <v>83.8951582070707</v>
      </c>
      <c r="J3293" s="68">
        <f t="shared" si="1"/>
        <v>461.4233701</v>
      </c>
      <c r="K3293" s="68" t="b">
        <v>1</v>
      </c>
    </row>
    <row r="3294">
      <c r="A3294" s="75">
        <v>3288.0</v>
      </c>
      <c r="B3294" s="62" t="s">
        <v>2090</v>
      </c>
      <c r="C3294" s="62" t="s">
        <v>104</v>
      </c>
      <c r="D3294" s="62" t="s">
        <v>749</v>
      </c>
      <c r="E3294" s="76">
        <v>43991.0</v>
      </c>
      <c r="F3294" s="77">
        <v>0.22916666666666666</v>
      </c>
      <c r="G3294" s="62" t="b">
        <v>1</v>
      </c>
      <c r="H3294" s="78" t="b">
        <f>IF(VLOOKUP(C3294,Projetos!A:L,12,false)=TRUE,TRUE,FALSE)</f>
        <v>1</v>
      </c>
      <c r="I3294" s="68">
        <v>83.8951582070707</v>
      </c>
      <c r="J3294" s="68">
        <f t="shared" si="1"/>
        <v>461.4233701</v>
      </c>
      <c r="K3294" s="68" t="b">
        <v>1</v>
      </c>
    </row>
    <row r="3295" hidden="1">
      <c r="A3295" s="75">
        <v>3289.0</v>
      </c>
      <c r="B3295" s="62" t="s">
        <v>2090</v>
      </c>
      <c r="C3295" s="62" t="s">
        <v>110</v>
      </c>
      <c r="D3295" s="62" t="s">
        <v>745</v>
      </c>
      <c r="E3295" s="76">
        <v>43992.0</v>
      </c>
      <c r="F3295" s="77">
        <v>0.0625</v>
      </c>
      <c r="G3295" s="62" t="b">
        <v>1</v>
      </c>
      <c r="H3295" s="78" t="b">
        <f>IF(VLOOKUP(C3295,Projetos!A:L,12,false)=TRUE,TRUE,FALSE)</f>
        <v>1</v>
      </c>
      <c r="I3295" s="68">
        <v>83.8951582070707</v>
      </c>
      <c r="J3295" s="68">
        <f t="shared" si="1"/>
        <v>125.8427373</v>
      </c>
      <c r="K3295" s="68" t="b">
        <v>1</v>
      </c>
    </row>
    <row r="3296">
      <c r="A3296" s="75">
        <v>3290.0</v>
      </c>
      <c r="B3296" s="62" t="s">
        <v>2090</v>
      </c>
      <c r="C3296" s="62" t="s">
        <v>104</v>
      </c>
      <c r="D3296" s="62" t="s">
        <v>749</v>
      </c>
      <c r="E3296" s="76">
        <v>43992.0</v>
      </c>
      <c r="F3296" s="77">
        <v>0.10416666666666667</v>
      </c>
      <c r="G3296" s="62" t="b">
        <v>1</v>
      </c>
      <c r="H3296" s="78" t="b">
        <f>IF(VLOOKUP(C3296,Projetos!A:L,12,false)=TRUE,TRUE,FALSE)</f>
        <v>1</v>
      </c>
      <c r="I3296" s="68">
        <v>83.8951582070707</v>
      </c>
      <c r="J3296" s="68">
        <f t="shared" si="1"/>
        <v>209.7378955</v>
      </c>
      <c r="K3296" s="68" t="b">
        <v>1</v>
      </c>
    </row>
    <row r="3297">
      <c r="A3297" s="75">
        <v>3291.0</v>
      </c>
      <c r="B3297" s="62" t="s">
        <v>2090</v>
      </c>
      <c r="C3297" s="62" t="s">
        <v>104</v>
      </c>
      <c r="D3297" s="62" t="s">
        <v>749</v>
      </c>
      <c r="E3297" s="76">
        <v>43994.0</v>
      </c>
      <c r="F3297" s="77">
        <v>0.20833333333333334</v>
      </c>
      <c r="G3297" s="62" t="b">
        <v>1</v>
      </c>
      <c r="H3297" s="78" t="b">
        <f>IF(VLOOKUP(C3297,Projetos!A:L,12,false)=TRUE,TRUE,FALSE)</f>
        <v>1</v>
      </c>
      <c r="I3297" s="68">
        <v>83.8951582070707</v>
      </c>
      <c r="J3297" s="68">
        <f t="shared" si="1"/>
        <v>419.475791</v>
      </c>
      <c r="K3297" s="68" t="b">
        <v>1</v>
      </c>
    </row>
    <row r="3298" hidden="1">
      <c r="A3298" s="75">
        <v>3292.0</v>
      </c>
      <c r="B3298" s="62" t="s">
        <v>2090</v>
      </c>
      <c r="C3298" s="62" t="s">
        <v>115</v>
      </c>
      <c r="D3298" s="62" t="s">
        <v>750</v>
      </c>
      <c r="E3298" s="76">
        <v>43998.0</v>
      </c>
      <c r="F3298" s="77">
        <v>0.08333333333333333</v>
      </c>
      <c r="G3298" s="62" t="b">
        <v>1</v>
      </c>
      <c r="H3298" s="78" t="b">
        <f>IF(VLOOKUP(C3298,Projetos!A:L,12,false)=TRUE,TRUE,FALSE)</f>
        <v>1</v>
      </c>
      <c r="I3298" s="68">
        <v>83.8951582070707</v>
      </c>
      <c r="J3298" s="68">
        <f t="shared" si="1"/>
        <v>167.7903164</v>
      </c>
      <c r="K3298" s="68" t="b">
        <v>1</v>
      </c>
    </row>
    <row r="3299" hidden="1">
      <c r="A3299" s="75">
        <v>3293.0</v>
      </c>
      <c r="B3299" s="62" t="s">
        <v>2090</v>
      </c>
      <c r="C3299" s="62" t="s">
        <v>115</v>
      </c>
      <c r="D3299" s="62" t="s">
        <v>750</v>
      </c>
      <c r="E3299" s="76">
        <v>43999.0</v>
      </c>
      <c r="F3299" s="77">
        <v>0.08333333333333333</v>
      </c>
      <c r="G3299" s="62" t="b">
        <v>1</v>
      </c>
      <c r="H3299" s="78" t="b">
        <f>IF(VLOOKUP(C3299,Projetos!A:L,12,false)=TRUE,TRUE,FALSE)</f>
        <v>1</v>
      </c>
      <c r="I3299" s="68">
        <v>83.8951582070707</v>
      </c>
      <c r="J3299" s="68">
        <f t="shared" si="1"/>
        <v>167.7903164</v>
      </c>
      <c r="K3299" s="68" t="b">
        <v>1</v>
      </c>
    </row>
    <row r="3300" hidden="1">
      <c r="A3300" s="75">
        <v>3294.0</v>
      </c>
      <c r="B3300" s="62" t="s">
        <v>2090</v>
      </c>
      <c r="C3300" s="62" t="s">
        <v>115</v>
      </c>
      <c r="D3300" s="62" t="s">
        <v>750</v>
      </c>
      <c r="E3300" s="76">
        <v>43999.0</v>
      </c>
      <c r="F3300" s="77">
        <v>0.041666666666666664</v>
      </c>
      <c r="G3300" s="62" t="b">
        <v>1</v>
      </c>
      <c r="H3300" s="78" t="b">
        <f>IF(VLOOKUP(C3300,Projetos!A:L,12,false)=TRUE,TRUE,FALSE)</f>
        <v>1</v>
      </c>
      <c r="I3300" s="68">
        <v>83.8951582070707</v>
      </c>
      <c r="J3300" s="68">
        <f t="shared" si="1"/>
        <v>83.89515821</v>
      </c>
      <c r="K3300" s="68" t="b">
        <v>1</v>
      </c>
    </row>
    <row r="3301" hidden="1">
      <c r="A3301" s="75">
        <v>3295.0</v>
      </c>
      <c r="B3301" s="62" t="s">
        <v>2090</v>
      </c>
      <c r="C3301" s="62" t="s">
        <v>101</v>
      </c>
      <c r="D3301" s="62" t="s">
        <v>2103</v>
      </c>
      <c r="E3301" s="76">
        <v>44000.0</v>
      </c>
      <c r="F3301" s="77">
        <v>0.25</v>
      </c>
      <c r="G3301" s="62" t="b">
        <v>1</v>
      </c>
      <c r="H3301" s="78" t="b">
        <f>IF(VLOOKUP(C3301,Projetos!A:L,12,false)=TRUE,TRUE,FALSE)</f>
        <v>1</v>
      </c>
      <c r="I3301" s="68">
        <v>83.8951582070707</v>
      </c>
      <c r="J3301" s="68">
        <f t="shared" si="1"/>
        <v>503.3709492</v>
      </c>
      <c r="K3301" s="68" t="b">
        <v>1</v>
      </c>
    </row>
    <row r="3302" hidden="1">
      <c r="A3302" s="75">
        <v>3296.0</v>
      </c>
      <c r="B3302" s="62" t="s">
        <v>2090</v>
      </c>
      <c r="C3302" s="62" t="s">
        <v>110</v>
      </c>
      <c r="D3302" s="62" t="s">
        <v>745</v>
      </c>
      <c r="E3302" s="76">
        <v>44000.0</v>
      </c>
      <c r="F3302" s="77">
        <v>0.08333333333333333</v>
      </c>
      <c r="G3302" s="62" t="b">
        <v>1</v>
      </c>
      <c r="H3302" s="78" t="b">
        <f>IF(VLOOKUP(C3302,Projetos!A:L,12,false)=TRUE,TRUE,FALSE)</f>
        <v>1</v>
      </c>
      <c r="I3302" s="68">
        <v>83.8951582070707</v>
      </c>
      <c r="J3302" s="68">
        <f t="shared" si="1"/>
        <v>167.7903164</v>
      </c>
      <c r="K3302" s="68" t="b">
        <v>1</v>
      </c>
    </row>
    <row r="3303" hidden="1">
      <c r="A3303" s="75">
        <v>3297.0</v>
      </c>
      <c r="B3303" s="62" t="s">
        <v>2090</v>
      </c>
      <c r="C3303" s="62" t="s">
        <v>101</v>
      </c>
      <c r="D3303" s="62" t="s">
        <v>2103</v>
      </c>
      <c r="E3303" s="76">
        <v>44001.0</v>
      </c>
      <c r="F3303" s="77">
        <v>0.25</v>
      </c>
      <c r="G3303" s="62" t="b">
        <v>1</v>
      </c>
      <c r="H3303" s="78" t="b">
        <f>IF(VLOOKUP(C3303,Projetos!A:L,12,false)=TRUE,TRUE,FALSE)</f>
        <v>1</v>
      </c>
      <c r="I3303" s="68">
        <v>83.8951582070707</v>
      </c>
      <c r="J3303" s="68">
        <f t="shared" si="1"/>
        <v>503.3709492</v>
      </c>
      <c r="K3303" s="68" t="b">
        <v>1</v>
      </c>
    </row>
    <row r="3304" hidden="1">
      <c r="A3304" s="75">
        <v>3298.0</v>
      </c>
      <c r="B3304" s="62" t="s">
        <v>2090</v>
      </c>
      <c r="C3304" s="62" t="s">
        <v>105</v>
      </c>
      <c r="D3304" s="62" t="s">
        <v>2104</v>
      </c>
      <c r="E3304" s="76">
        <v>44004.0</v>
      </c>
      <c r="F3304" s="77">
        <v>0.08333333333333333</v>
      </c>
      <c r="G3304" s="62" t="b">
        <v>1</v>
      </c>
      <c r="H3304" s="78" t="b">
        <f>IF(VLOOKUP(C3304,Projetos!A:L,12,false)=TRUE,TRUE,FALSE)</f>
        <v>1</v>
      </c>
      <c r="I3304" s="68">
        <v>83.8951582070707</v>
      </c>
      <c r="J3304" s="68">
        <f t="shared" si="1"/>
        <v>167.7903164</v>
      </c>
      <c r="K3304" s="68" t="b">
        <v>1</v>
      </c>
    </row>
    <row r="3305" hidden="1">
      <c r="A3305" s="75">
        <v>3299.0</v>
      </c>
      <c r="B3305" s="62" t="s">
        <v>2090</v>
      </c>
      <c r="C3305" s="62" t="s">
        <v>109</v>
      </c>
      <c r="D3305" s="62" t="s">
        <v>750</v>
      </c>
      <c r="E3305" s="76">
        <v>44005.0</v>
      </c>
      <c r="F3305" s="77">
        <v>0.041666666666666664</v>
      </c>
      <c r="G3305" s="62" t="b">
        <v>0</v>
      </c>
      <c r="H3305" s="78" t="b">
        <f>IF(VLOOKUP(C3305,Projetos!A:L,12,false)=TRUE,TRUE,FALSE)</f>
        <v>0</v>
      </c>
      <c r="I3305" s="68">
        <v>83.8951582070707</v>
      </c>
      <c r="J3305" s="68">
        <f t="shared" si="1"/>
        <v>0</v>
      </c>
      <c r="K3305" s="68" t="b">
        <v>0</v>
      </c>
    </row>
    <row r="3306">
      <c r="A3306" s="75">
        <v>3300.0</v>
      </c>
      <c r="B3306" s="62" t="s">
        <v>2090</v>
      </c>
      <c r="C3306" s="62" t="s">
        <v>104</v>
      </c>
      <c r="D3306" s="62" t="s">
        <v>749</v>
      </c>
      <c r="E3306" s="76">
        <v>44005.0</v>
      </c>
      <c r="F3306" s="77">
        <v>0.375</v>
      </c>
      <c r="G3306" s="62" t="b">
        <v>1</v>
      </c>
      <c r="H3306" s="78" t="b">
        <f>IF(VLOOKUP(C3306,Projetos!A:L,12,false)=TRUE,TRUE,FALSE)</f>
        <v>1</v>
      </c>
      <c r="I3306" s="68">
        <v>83.8951582070707</v>
      </c>
      <c r="J3306" s="68">
        <f t="shared" si="1"/>
        <v>755.0564239</v>
      </c>
      <c r="K3306" s="68" t="b">
        <v>1</v>
      </c>
    </row>
    <row r="3307">
      <c r="A3307" s="75">
        <v>3301.0</v>
      </c>
      <c r="B3307" s="62" t="s">
        <v>2090</v>
      </c>
      <c r="C3307" s="62" t="s">
        <v>104</v>
      </c>
      <c r="D3307" s="62" t="s">
        <v>749</v>
      </c>
      <c r="E3307" s="76">
        <v>44006.0</v>
      </c>
      <c r="F3307" s="77">
        <v>0.3541666666666667</v>
      </c>
      <c r="G3307" s="62" t="b">
        <v>1</v>
      </c>
      <c r="H3307" s="78" t="b">
        <f>IF(VLOOKUP(C3307,Projetos!A:L,12,false)=TRUE,TRUE,FALSE)</f>
        <v>1</v>
      </c>
      <c r="I3307" s="68">
        <v>83.8951582070707</v>
      </c>
      <c r="J3307" s="68">
        <f t="shared" si="1"/>
        <v>713.1088448</v>
      </c>
      <c r="K3307" s="68" t="b">
        <v>1</v>
      </c>
    </row>
    <row r="3308" hidden="1">
      <c r="A3308" s="75">
        <v>3302.0</v>
      </c>
      <c r="B3308" s="62" t="s">
        <v>2090</v>
      </c>
      <c r="C3308" s="62" t="s">
        <v>109</v>
      </c>
      <c r="D3308" s="62" t="s">
        <v>750</v>
      </c>
      <c r="E3308" s="76">
        <v>44006.0</v>
      </c>
      <c r="F3308" s="77">
        <v>0.041666666666666664</v>
      </c>
      <c r="G3308" s="62" t="b">
        <v>0</v>
      </c>
      <c r="H3308" s="78" t="b">
        <f>IF(VLOOKUP(C3308,Projetos!A:L,12,false)=TRUE,TRUE,FALSE)</f>
        <v>0</v>
      </c>
      <c r="I3308" s="68">
        <v>83.8951582070707</v>
      </c>
      <c r="J3308" s="68">
        <f t="shared" si="1"/>
        <v>0</v>
      </c>
      <c r="K3308" s="68" t="b">
        <v>0</v>
      </c>
    </row>
    <row r="3309">
      <c r="A3309" s="75">
        <v>3303.0</v>
      </c>
      <c r="B3309" s="62" t="s">
        <v>2090</v>
      </c>
      <c r="C3309" s="62" t="s">
        <v>104</v>
      </c>
      <c r="D3309" s="62" t="s">
        <v>750</v>
      </c>
      <c r="E3309" s="76">
        <v>44007.0</v>
      </c>
      <c r="F3309" s="77">
        <v>0.16666666666666666</v>
      </c>
      <c r="G3309" s="62" t="b">
        <v>1</v>
      </c>
      <c r="H3309" s="78" t="b">
        <f>IF(VLOOKUP(C3309,Projetos!A:L,12,false)=TRUE,TRUE,FALSE)</f>
        <v>1</v>
      </c>
      <c r="I3309" s="68">
        <v>83.8951582070707</v>
      </c>
      <c r="J3309" s="68">
        <f t="shared" si="1"/>
        <v>335.5806328</v>
      </c>
      <c r="K3309" s="68" t="b">
        <v>1</v>
      </c>
    </row>
    <row r="3310">
      <c r="A3310" s="75">
        <v>3304.0</v>
      </c>
      <c r="B3310" s="62" t="s">
        <v>2090</v>
      </c>
      <c r="C3310" s="62" t="s">
        <v>104</v>
      </c>
      <c r="D3310" s="62" t="s">
        <v>750</v>
      </c>
      <c r="E3310" s="76">
        <v>44008.0</v>
      </c>
      <c r="F3310" s="77">
        <v>0.16666666666666666</v>
      </c>
      <c r="G3310" s="62" t="b">
        <v>1</v>
      </c>
      <c r="H3310" s="78" t="b">
        <f>IF(VLOOKUP(C3310,Projetos!A:L,12,false)=TRUE,TRUE,FALSE)</f>
        <v>1</v>
      </c>
      <c r="I3310" s="68">
        <v>83.8951582070707</v>
      </c>
      <c r="J3310" s="68">
        <f t="shared" si="1"/>
        <v>335.5806328</v>
      </c>
      <c r="K3310" s="68" t="b">
        <v>1</v>
      </c>
    </row>
    <row r="3311">
      <c r="A3311" s="75">
        <v>3305.0</v>
      </c>
      <c r="B3311" s="62" t="s">
        <v>2090</v>
      </c>
      <c r="C3311" s="62" t="s">
        <v>104</v>
      </c>
      <c r="D3311" s="62" t="s">
        <v>749</v>
      </c>
      <c r="E3311" s="76">
        <v>44011.0</v>
      </c>
      <c r="F3311" s="77">
        <v>0.20833333333333334</v>
      </c>
      <c r="G3311" s="62" t="b">
        <v>1</v>
      </c>
      <c r="H3311" s="78" t="b">
        <f>IF(VLOOKUP(C3311,Projetos!A:L,12,false)=TRUE,TRUE,FALSE)</f>
        <v>1</v>
      </c>
      <c r="I3311" s="68">
        <v>83.8951582070707</v>
      </c>
      <c r="J3311" s="68">
        <f t="shared" si="1"/>
        <v>419.475791</v>
      </c>
      <c r="K3311" s="68" t="b">
        <v>1</v>
      </c>
    </row>
    <row r="3312">
      <c r="A3312" s="75">
        <v>3306.0</v>
      </c>
      <c r="B3312" s="62" t="s">
        <v>2090</v>
      </c>
      <c r="C3312" s="62" t="s">
        <v>104</v>
      </c>
      <c r="D3312" s="62" t="s">
        <v>749</v>
      </c>
      <c r="E3312" s="76">
        <v>44011.0</v>
      </c>
      <c r="F3312" s="77">
        <v>0.125</v>
      </c>
      <c r="G3312" s="62" t="b">
        <v>1</v>
      </c>
      <c r="H3312" s="78" t="b">
        <f>IF(VLOOKUP(C3312,Projetos!A:L,12,false)=TRUE,TRUE,FALSE)</f>
        <v>1</v>
      </c>
      <c r="I3312" s="68">
        <v>83.8951582070707</v>
      </c>
      <c r="J3312" s="68">
        <f t="shared" si="1"/>
        <v>251.6854746</v>
      </c>
      <c r="K3312" s="68" t="b">
        <v>1</v>
      </c>
    </row>
    <row r="3313">
      <c r="A3313" s="75">
        <v>3307.0</v>
      </c>
      <c r="B3313" s="62" t="s">
        <v>2090</v>
      </c>
      <c r="C3313" s="62" t="s">
        <v>104</v>
      </c>
      <c r="D3313" s="62" t="s">
        <v>749</v>
      </c>
      <c r="E3313" s="76">
        <v>44012.0</v>
      </c>
      <c r="F3313" s="77">
        <v>0.3645833333333333</v>
      </c>
      <c r="G3313" s="62" t="b">
        <v>1</v>
      </c>
      <c r="H3313" s="78" t="b">
        <f>IF(VLOOKUP(C3313,Projetos!A:L,12,false)=TRUE,TRUE,FALSE)</f>
        <v>1</v>
      </c>
      <c r="I3313" s="68">
        <v>83.8951582070707</v>
      </c>
      <c r="J3313" s="68">
        <f t="shared" si="1"/>
        <v>734.0826343</v>
      </c>
      <c r="K3313" s="68" t="b">
        <v>1</v>
      </c>
    </row>
    <row r="3314">
      <c r="A3314" s="75">
        <v>3308.0</v>
      </c>
      <c r="B3314" s="62" t="s">
        <v>2090</v>
      </c>
      <c r="C3314" s="62" t="s">
        <v>104</v>
      </c>
      <c r="D3314" s="62" t="s">
        <v>1280</v>
      </c>
      <c r="E3314" s="76">
        <v>43983.0</v>
      </c>
      <c r="F3314" s="77">
        <v>0.041666666666666664</v>
      </c>
      <c r="G3314" s="62" t="b">
        <v>1</v>
      </c>
      <c r="H3314" s="78" t="b">
        <f>IF(VLOOKUP(C3314,Projetos!A:L,12,false)=TRUE,TRUE,FALSE)</f>
        <v>1</v>
      </c>
      <c r="I3314" s="68">
        <v>83.8951582070707</v>
      </c>
      <c r="J3314" s="68">
        <f t="shared" si="1"/>
        <v>83.89515821</v>
      </c>
      <c r="K3314" s="68" t="b">
        <v>1</v>
      </c>
    </row>
    <row r="3315" hidden="1">
      <c r="A3315" s="75">
        <v>3309.0</v>
      </c>
      <c r="B3315" s="62" t="s">
        <v>2090</v>
      </c>
      <c r="C3315" s="62" t="s">
        <v>101</v>
      </c>
      <c r="D3315" s="62" t="s">
        <v>1281</v>
      </c>
      <c r="E3315" s="76">
        <v>43983.0</v>
      </c>
      <c r="F3315" s="77">
        <v>0.0625</v>
      </c>
      <c r="G3315" s="62" t="b">
        <v>1</v>
      </c>
      <c r="H3315" s="78" t="b">
        <f>IF(VLOOKUP(C3315,Projetos!A:L,12,false)=TRUE,TRUE,FALSE)</f>
        <v>1</v>
      </c>
      <c r="I3315" s="68">
        <v>83.8951582070707</v>
      </c>
      <c r="J3315" s="68">
        <f t="shared" si="1"/>
        <v>125.8427373</v>
      </c>
      <c r="K3315" s="68" t="b">
        <v>1</v>
      </c>
    </row>
    <row r="3316">
      <c r="A3316" s="75">
        <v>3310.0</v>
      </c>
      <c r="B3316" s="62" t="s">
        <v>2090</v>
      </c>
      <c r="C3316" s="62" t="s">
        <v>104</v>
      </c>
      <c r="D3316" s="62" t="s">
        <v>1280</v>
      </c>
      <c r="E3316" s="76">
        <v>43985.0</v>
      </c>
      <c r="F3316" s="77">
        <v>0.041666666666666664</v>
      </c>
      <c r="G3316" s="62" t="b">
        <v>1</v>
      </c>
      <c r="H3316" s="78" t="b">
        <f>IF(VLOOKUP(C3316,Projetos!A:L,12,false)=TRUE,TRUE,FALSE)</f>
        <v>1</v>
      </c>
      <c r="I3316" s="68">
        <v>83.8951582070707</v>
      </c>
      <c r="J3316" s="68">
        <f t="shared" si="1"/>
        <v>83.89515821</v>
      </c>
      <c r="K3316" s="68" t="b">
        <v>1</v>
      </c>
    </row>
    <row r="3317" hidden="1">
      <c r="A3317" s="75">
        <v>3311.0</v>
      </c>
      <c r="B3317" s="62" t="s">
        <v>2090</v>
      </c>
      <c r="C3317" s="62" t="s">
        <v>101</v>
      </c>
      <c r="D3317" s="62" t="s">
        <v>1281</v>
      </c>
      <c r="E3317" s="76">
        <v>43986.0</v>
      </c>
      <c r="F3317" s="77">
        <v>0.041666666666666664</v>
      </c>
      <c r="G3317" s="62" t="b">
        <v>1</v>
      </c>
      <c r="H3317" s="78" t="b">
        <f>IF(VLOOKUP(C3317,Projetos!A:L,12,false)=TRUE,TRUE,FALSE)</f>
        <v>1</v>
      </c>
      <c r="I3317" s="68">
        <v>83.8951582070707</v>
      </c>
      <c r="J3317" s="68">
        <f t="shared" si="1"/>
        <v>83.89515821</v>
      </c>
      <c r="K3317" s="68" t="b">
        <v>1</v>
      </c>
    </row>
    <row r="3318" hidden="1">
      <c r="A3318" s="75">
        <v>3312.0</v>
      </c>
      <c r="B3318" s="62" t="s">
        <v>2090</v>
      </c>
      <c r="C3318" s="62" t="s">
        <v>101</v>
      </c>
      <c r="D3318" s="62" t="s">
        <v>1281</v>
      </c>
      <c r="E3318" s="76">
        <v>43990.0</v>
      </c>
      <c r="F3318" s="77">
        <v>0.08333333333333333</v>
      </c>
      <c r="G3318" s="62" t="b">
        <v>1</v>
      </c>
      <c r="H3318" s="78" t="b">
        <f>IF(VLOOKUP(C3318,Projetos!A:L,12,false)=TRUE,TRUE,FALSE)</f>
        <v>1</v>
      </c>
      <c r="I3318" s="68">
        <v>83.8951582070707</v>
      </c>
      <c r="J3318" s="68">
        <f t="shared" si="1"/>
        <v>167.7903164</v>
      </c>
      <c r="K3318" s="68" t="b">
        <v>1</v>
      </c>
    </row>
    <row r="3319" hidden="1">
      <c r="A3319" s="75">
        <v>3313.0</v>
      </c>
      <c r="B3319" s="62" t="s">
        <v>2090</v>
      </c>
      <c r="C3319" s="62" t="s">
        <v>84</v>
      </c>
      <c r="D3319" s="62" t="s">
        <v>1282</v>
      </c>
      <c r="E3319" s="76">
        <v>43990.0</v>
      </c>
      <c r="F3319" s="77">
        <v>0.08333333333333333</v>
      </c>
      <c r="G3319" s="62" t="b">
        <v>1</v>
      </c>
      <c r="H3319" s="78" t="b">
        <f>IF(VLOOKUP(C3319,Projetos!A:L,12,false)=TRUE,TRUE,FALSE)</f>
        <v>1</v>
      </c>
      <c r="I3319" s="68">
        <v>83.8951582070707</v>
      </c>
      <c r="J3319" s="68">
        <f t="shared" si="1"/>
        <v>167.7903164</v>
      </c>
      <c r="K3319" s="68" t="b">
        <v>1</v>
      </c>
    </row>
    <row r="3320" hidden="1">
      <c r="A3320" s="75">
        <v>3314.0</v>
      </c>
      <c r="B3320" s="62" t="s">
        <v>2090</v>
      </c>
      <c r="C3320" s="62" t="s">
        <v>101</v>
      </c>
      <c r="D3320" s="62" t="s">
        <v>1281</v>
      </c>
      <c r="E3320" s="76">
        <v>43991.0</v>
      </c>
      <c r="F3320" s="77">
        <v>0.16666666666666666</v>
      </c>
      <c r="G3320" s="62" t="b">
        <v>1</v>
      </c>
      <c r="H3320" s="78" t="b">
        <f>IF(VLOOKUP(C3320,Projetos!A:L,12,false)=TRUE,TRUE,FALSE)</f>
        <v>1</v>
      </c>
      <c r="I3320" s="68">
        <v>83.8951582070707</v>
      </c>
      <c r="J3320" s="68">
        <f t="shared" si="1"/>
        <v>335.5806328</v>
      </c>
      <c r="K3320" s="68" t="b">
        <v>1</v>
      </c>
    </row>
    <row r="3321" hidden="1">
      <c r="A3321" s="75">
        <v>3315.0</v>
      </c>
      <c r="B3321" s="62" t="s">
        <v>2090</v>
      </c>
      <c r="C3321" s="62" t="s">
        <v>84</v>
      </c>
      <c r="D3321" s="62" t="s">
        <v>1283</v>
      </c>
      <c r="E3321" s="76">
        <v>43992.0</v>
      </c>
      <c r="F3321" s="77">
        <v>0.041666666666666664</v>
      </c>
      <c r="G3321" s="62" t="b">
        <v>1</v>
      </c>
      <c r="H3321" s="78" t="b">
        <f>IF(VLOOKUP(C3321,Projetos!A:L,12,false)=TRUE,TRUE,FALSE)</f>
        <v>1</v>
      </c>
      <c r="I3321" s="68">
        <v>83.8951582070707</v>
      </c>
      <c r="J3321" s="68">
        <f t="shared" si="1"/>
        <v>83.89515821</v>
      </c>
      <c r="K3321" s="68" t="b">
        <v>1</v>
      </c>
    </row>
    <row r="3322" hidden="1">
      <c r="A3322" s="75">
        <v>3316.0</v>
      </c>
      <c r="B3322" s="62" t="s">
        <v>2090</v>
      </c>
      <c r="C3322" s="62" t="s">
        <v>101</v>
      </c>
      <c r="D3322" s="62" t="s">
        <v>1281</v>
      </c>
      <c r="E3322" s="76">
        <v>43994.0</v>
      </c>
      <c r="F3322" s="77">
        <v>0.020833333333333332</v>
      </c>
      <c r="G3322" s="62" t="b">
        <v>1</v>
      </c>
      <c r="H3322" s="78" t="b">
        <f>IF(VLOOKUP(C3322,Projetos!A:L,12,false)=TRUE,TRUE,FALSE)</f>
        <v>1</v>
      </c>
      <c r="I3322" s="68">
        <v>83.8951582070707</v>
      </c>
      <c r="J3322" s="68">
        <f t="shared" si="1"/>
        <v>41.9475791</v>
      </c>
      <c r="K3322" s="68" t="b">
        <v>1</v>
      </c>
    </row>
    <row r="3323" hidden="1">
      <c r="A3323" s="75">
        <v>3317.0</v>
      </c>
      <c r="B3323" s="62" t="s">
        <v>2090</v>
      </c>
      <c r="C3323" s="62" t="s">
        <v>103</v>
      </c>
      <c r="D3323" s="62" t="s">
        <v>1284</v>
      </c>
      <c r="E3323" s="76">
        <v>43994.0</v>
      </c>
      <c r="F3323" s="77">
        <v>0.08333333333333333</v>
      </c>
      <c r="G3323" s="62" t="b">
        <v>1</v>
      </c>
      <c r="H3323" s="78" t="b">
        <f>IF(VLOOKUP(C3323,Projetos!A:L,12,false)=TRUE,TRUE,FALSE)</f>
        <v>1</v>
      </c>
      <c r="I3323" s="68">
        <v>83.8951582070707</v>
      </c>
      <c r="J3323" s="68">
        <f t="shared" si="1"/>
        <v>167.7903164</v>
      </c>
      <c r="K3323" s="68" t="b">
        <v>1</v>
      </c>
    </row>
    <row r="3324">
      <c r="A3324" s="75">
        <v>3318.0</v>
      </c>
      <c r="B3324" s="62" t="s">
        <v>2090</v>
      </c>
      <c r="C3324" s="62" t="s">
        <v>104</v>
      </c>
      <c r="D3324" s="62" t="s">
        <v>1280</v>
      </c>
      <c r="E3324" s="76">
        <v>43997.0</v>
      </c>
      <c r="F3324" s="77">
        <v>0.08333333333333333</v>
      </c>
      <c r="G3324" s="62" t="b">
        <v>1</v>
      </c>
      <c r="H3324" s="78" t="b">
        <f>IF(VLOOKUP(C3324,Projetos!A:L,12,false)=TRUE,TRUE,FALSE)</f>
        <v>1</v>
      </c>
      <c r="I3324" s="68">
        <v>83.8951582070707</v>
      </c>
      <c r="J3324" s="68">
        <f t="shared" si="1"/>
        <v>167.7903164</v>
      </c>
      <c r="K3324" s="68" t="b">
        <v>1</v>
      </c>
    </row>
    <row r="3325" hidden="1">
      <c r="A3325" s="75">
        <v>3319.0</v>
      </c>
      <c r="B3325" s="62" t="s">
        <v>2090</v>
      </c>
      <c r="C3325" s="62" t="s">
        <v>84</v>
      </c>
      <c r="D3325" s="62" t="s">
        <v>1285</v>
      </c>
      <c r="E3325" s="76">
        <v>43998.0</v>
      </c>
      <c r="F3325" s="77">
        <v>0.041666666666666664</v>
      </c>
      <c r="G3325" s="62" t="b">
        <v>1</v>
      </c>
      <c r="H3325" s="78" t="b">
        <f>IF(VLOOKUP(C3325,Projetos!A:L,12,false)=TRUE,TRUE,FALSE)</f>
        <v>1</v>
      </c>
      <c r="I3325" s="68">
        <v>83.8951582070707</v>
      </c>
      <c r="J3325" s="68">
        <f t="shared" si="1"/>
        <v>83.89515821</v>
      </c>
      <c r="K3325" s="68" t="b">
        <v>1</v>
      </c>
    </row>
    <row r="3326">
      <c r="A3326" s="75">
        <v>3320.0</v>
      </c>
      <c r="B3326" s="62" t="s">
        <v>2090</v>
      </c>
      <c r="C3326" s="62" t="s">
        <v>104</v>
      </c>
      <c r="D3326" s="62" t="s">
        <v>1286</v>
      </c>
      <c r="E3326" s="76">
        <v>43999.0</v>
      </c>
      <c r="F3326" s="77">
        <v>0.08333333333333333</v>
      </c>
      <c r="G3326" s="62" t="b">
        <v>1</v>
      </c>
      <c r="H3326" s="78" t="b">
        <f>IF(VLOOKUP(C3326,Projetos!A:L,12,false)=TRUE,TRUE,FALSE)</f>
        <v>1</v>
      </c>
      <c r="I3326" s="68">
        <v>83.8951582070707</v>
      </c>
      <c r="J3326" s="68">
        <f t="shared" si="1"/>
        <v>167.7903164</v>
      </c>
      <c r="K3326" s="68" t="b">
        <v>1</v>
      </c>
    </row>
    <row r="3327">
      <c r="A3327" s="75">
        <v>3321.0</v>
      </c>
      <c r="B3327" s="62" t="s">
        <v>2090</v>
      </c>
      <c r="C3327" s="62" t="s">
        <v>104</v>
      </c>
      <c r="D3327" s="62" t="s">
        <v>1286</v>
      </c>
      <c r="E3327" s="76">
        <v>43999.0</v>
      </c>
      <c r="F3327" s="77">
        <v>0.1875</v>
      </c>
      <c r="G3327" s="62" t="b">
        <v>1</v>
      </c>
      <c r="H3327" s="78" t="b">
        <f>IF(VLOOKUP(C3327,Projetos!A:L,12,false)=TRUE,TRUE,FALSE)</f>
        <v>1</v>
      </c>
      <c r="I3327" s="68">
        <v>83.8951582070707</v>
      </c>
      <c r="J3327" s="68">
        <f t="shared" si="1"/>
        <v>377.5282119</v>
      </c>
      <c r="K3327" s="68" t="b">
        <v>1</v>
      </c>
    </row>
    <row r="3328" hidden="1">
      <c r="A3328" s="75">
        <v>3322.0</v>
      </c>
      <c r="B3328" s="62" t="s">
        <v>2090</v>
      </c>
      <c r="C3328" s="62" t="s">
        <v>84</v>
      </c>
      <c r="D3328" s="62" t="s">
        <v>1285</v>
      </c>
      <c r="E3328" s="76">
        <v>44000.0</v>
      </c>
      <c r="F3328" s="77">
        <v>0.041666666666666664</v>
      </c>
      <c r="G3328" s="62" t="b">
        <v>1</v>
      </c>
      <c r="H3328" s="78" t="b">
        <f>IF(VLOOKUP(C3328,Projetos!A:L,12,false)=TRUE,TRUE,FALSE)</f>
        <v>1</v>
      </c>
      <c r="I3328" s="68">
        <v>83.8951582070707</v>
      </c>
      <c r="J3328" s="68">
        <f t="shared" si="1"/>
        <v>83.89515821</v>
      </c>
      <c r="K3328" s="68" t="b">
        <v>1</v>
      </c>
    </row>
    <row r="3329" hidden="1">
      <c r="A3329" s="75">
        <v>3323.0</v>
      </c>
      <c r="B3329" s="62" t="s">
        <v>2090</v>
      </c>
      <c r="C3329" s="62" t="s">
        <v>84</v>
      </c>
      <c r="D3329" s="62" t="s">
        <v>1285</v>
      </c>
      <c r="E3329" s="76">
        <v>44008.0</v>
      </c>
      <c r="F3329" s="77">
        <v>0.08333333333333333</v>
      </c>
      <c r="G3329" s="62" t="b">
        <v>1</v>
      </c>
      <c r="H3329" s="78" t="b">
        <f>IF(VLOOKUP(C3329,Projetos!A:L,12,false)=TRUE,TRUE,FALSE)</f>
        <v>1</v>
      </c>
      <c r="I3329" s="68">
        <v>83.8951582070707</v>
      </c>
      <c r="J3329" s="68">
        <f t="shared" si="1"/>
        <v>167.7903164</v>
      </c>
      <c r="K3329" s="68" t="b">
        <v>1</v>
      </c>
    </row>
    <row r="3330" hidden="1">
      <c r="A3330" s="75">
        <v>3324.0</v>
      </c>
      <c r="B3330" s="62" t="s">
        <v>2090</v>
      </c>
      <c r="C3330" s="62" t="s">
        <v>84</v>
      </c>
      <c r="D3330" s="62" t="s">
        <v>1285</v>
      </c>
      <c r="E3330" s="76">
        <v>44012.0</v>
      </c>
      <c r="F3330" s="77">
        <v>0.041666666666666664</v>
      </c>
      <c r="G3330" s="62" t="b">
        <v>1</v>
      </c>
      <c r="H3330" s="78" t="b">
        <f>IF(VLOOKUP(C3330,Projetos!A:L,12,false)=TRUE,TRUE,FALSE)</f>
        <v>1</v>
      </c>
      <c r="I3330" s="68">
        <v>83.8951582070707</v>
      </c>
      <c r="J3330" s="68">
        <f t="shared" si="1"/>
        <v>83.89515821</v>
      </c>
      <c r="K3330" s="68" t="b">
        <v>1</v>
      </c>
    </row>
    <row r="3331">
      <c r="A3331" s="75">
        <v>3325.0</v>
      </c>
      <c r="B3331" s="62" t="s">
        <v>2090</v>
      </c>
      <c r="C3331" s="62" t="s">
        <v>104</v>
      </c>
      <c r="D3331" s="62" t="s">
        <v>749</v>
      </c>
      <c r="E3331" s="76">
        <v>43983.0</v>
      </c>
      <c r="F3331" s="77">
        <v>0.14583333333333334</v>
      </c>
      <c r="G3331" s="62" t="b">
        <v>1</v>
      </c>
      <c r="H3331" s="78" t="b">
        <f>IF(VLOOKUP(C3331,Projetos!A:L,12,false)=TRUE,TRUE,FALSE)</f>
        <v>1</v>
      </c>
      <c r="I3331" s="68">
        <v>83.8951582070707</v>
      </c>
      <c r="J3331" s="68">
        <f t="shared" si="1"/>
        <v>293.6330537</v>
      </c>
      <c r="K3331" s="68" t="b">
        <v>1</v>
      </c>
    </row>
    <row r="3332" hidden="1">
      <c r="A3332" s="75">
        <v>3326.0</v>
      </c>
      <c r="B3332" s="62" t="s">
        <v>2090</v>
      </c>
      <c r="C3332" s="62" t="s">
        <v>110</v>
      </c>
      <c r="D3332" s="62" t="s">
        <v>745</v>
      </c>
      <c r="E3332" s="76">
        <v>43984.0</v>
      </c>
      <c r="F3332" s="77">
        <v>0.041666666666666664</v>
      </c>
      <c r="G3332" s="62" t="b">
        <v>1</v>
      </c>
      <c r="H3332" s="78" t="b">
        <f>IF(VLOOKUP(C3332,Projetos!A:L,12,false)=TRUE,TRUE,FALSE)</f>
        <v>1</v>
      </c>
      <c r="I3332" s="68">
        <v>83.8951582070707</v>
      </c>
      <c r="J3332" s="68">
        <f t="shared" si="1"/>
        <v>83.89515821</v>
      </c>
      <c r="K3332" s="68" t="b">
        <v>1</v>
      </c>
    </row>
    <row r="3333">
      <c r="A3333" s="75">
        <v>3327.0</v>
      </c>
      <c r="B3333" s="62" t="s">
        <v>2090</v>
      </c>
      <c r="C3333" s="62" t="s">
        <v>104</v>
      </c>
      <c r="D3333" s="62" t="s">
        <v>749</v>
      </c>
      <c r="E3333" s="76">
        <v>43984.0</v>
      </c>
      <c r="F3333" s="77">
        <v>0.14583333333333334</v>
      </c>
      <c r="G3333" s="62" t="b">
        <v>1</v>
      </c>
      <c r="H3333" s="78" t="b">
        <f>IF(VLOOKUP(C3333,Projetos!A:L,12,false)=TRUE,TRUE,FALSE)</f>
        <v>1</v>
      </c>
      <c r="I3333" s="68">
        <v>83.8951582070707</v>
      </c>
      <c r="J3333" s="68">
        <f t="shared" si="1"/>
        <v>293.6330537</v>
      </c>
      <c r="K3333" s="68" t="b">
        <v>1</v>
      </c>
    </row>
    <row r="3334">
      <c r="A3334" s="75">
        <v>3328.0</v>
      </c>
      <c r="B3334" s="62" t="s">
        <v>2090</v>
      </c>
      <c r="C3334" s="62" t="s">
        <v>104</v>
      </c>
      <c r="D3334" s="62" t="s">
        <v>745</v>
      </c>
      <c r="E3334" s="76">
        <v>43985.0</v>
      </c>
      <c r="F3334" s="77">
        <v>0.20833333333333334</v>
      </c>
      <c r="G3334" s="62" t="b">
        <v>1</v>
      </c>
      <c r="H3334" s="78" t="b">
        <f>IF(VLOOKUP(C3334,Projetos!A:L,12,false)=TRUE,TRUE,FALSE)</f>
        <v>1</v>
      </c>
      <c r="I3334" s="68">
        <v>83.8951582070707</v>
      </c>
      <c r="J3334" s="68">
        <f t="shared" si="1"/>
        <v>419.475791</v>
      </c>
      <c r="K3334" s="68" t="b">
        <v>1</v>
      </c>
    </row>
    <row r="3335">
      <c r="A3335" s="75">
        <v>3329.0</v>
      </c>
      <c r="B3335" s="62" t="s">
        <v>2090</v>
      </c>
      <c r="C3335" s="62" t="s">
        <v>104</v>
      </c>
      <c r="D3335" s="62" t="s">
        <v>745</v>
      </c>
      <c r="E3335" s="76">
        <v>43986.0</v>
      </c>
      <c r="F3335" s="77">
        <v>0.20833333333333334</v>
      </c>
      <c r="G3335" s="62" t="b">
        <v>1</v>
      </c>
      <c r="H3335" s="78" t="b">
        <f>IF(VLOOKUP(C3335,Projetos!A:L,12,false)=TRUE,TRUE,FALSE)</f>
        <v>1</v>
      </c>
      <c r="I3335" s="68">
        <v>83.8951582070707</v>
      </c>
      <c r="J3335" s="68">
        <f t="shared" si="1"/>
        <v>419.475791</v>
      </c>
      <c r="K3335" s="68" t="b">
        <v>1</v>
      </c>
    </row>
    <row r="3336" hidden="1">
      <c r="A3336" s="75">
        <v>3330.0</v>
      </c>
      <c r="B3336" s="62" t="s">
        <v>2090</v>
      </c>
      <c r="C3336" s="62" t="s">
        <v>110</v>
      </c>
      <c r="D3336" s="62" t="s">
        <v>745</v>
      </c>
      <c r="E3336" s="76">
        <v>43987.0</v>
      </c>
      <c r="F3336" s="77">
        <v>0.041666666666666664</v>
      </c>
      <c r="G3336" s="62" t="b">
        <v>1</v>
      </c>
      <c r="H3336" s="78" t="b">
        <f>IF(VLOOKUP(C3336,Projetos!A:L,12,false)=TRUE,TRUE,FALSE)</f>
        <v>1</v>
      </c>
      <c r="I3336" s="68">
        <v>83.8951582070707</v>
      </c>
      <c r="J3336" s="68">
        <f t="shared" si="1"/>
        <v>83.89515821</v>
      </c>
      <c r="K3336" s="68" t="b">
        <v>1</v>
      </c>
    </row>
    <row r="3337">
      <c r="A3337" s="75">
        <v>3331.0</v>
      </c>
      <c r="B3337" s="62" t="s">
        <v>2090</v>
      </c>
      <c r="C3337" s="62" t="s">
        <v>104</v>
      </c>
      <c r="D3337" s="62" t="s">
        <v>749</v>
      </c>
      <c r="E3337" s="76">
        <v>43987.0</v>
      </c>
      <c r="F3337" s="77">
        <v>0.20833333333333334</v>
      </c>
      <c r="G3337" s="62" t="b">
        <v>1</v>
      </c>
      <c r="H3337" s="78" t="b">
        <f>IF(VLOOKUP(C3337,Projetos!A:L,12,false)=TRUE,TRUE,FALSE)</f>
        <v>1</v>
      </c>
      <c r="I3337" s="68">
        <v>83.8951582070707</v>
      </c>
      <c r="J3337" s="68">
        <f t="shared" si="1"/>
        <v>419.475791</v>
      </c>
      <c r="K3337" s="68" t="b">
        <v>1</v>
      </c>
    </row>
    <row r="3338">
      <c r="A3338" s="75">
        <v>3332.0</v>
      </c>
      <c r="B3338" s="62" t="s">
        <v>2090</v>
      </c>
      <c r="C3338" s="62" t="s">
        <v>104</v>
      </c>
      <c r="D3338" s="62" t="s">
        <v>749</v>
      </c>
      <c r="E3338" s="76">
        <v>43990.0</v>
      </c>
      <c r="F3338" s="77">
        <v>0.20833333333333334</v>
      </c>
      <c r="G3338" s="62" t="b">
        <v>1</v>
      </c>
      <c r="H3338" s="78" t="b">
        <f>IF(VLOOKUP(C3338,Projetos!A:L,12,false)=TRUE,TRUE,FALSE)</f>
        <v>1</v>
      </c>
      <c r="I3338" s="68">
        <v>83.8951582070707</v>
      </c>
      <c r="J3338" s="68">
        <f t="shared" si="1"/>
        <v>419.475791</v>
      </c>
      <c r="K3338" s="68" t="b">
        <v>1</v>
      </c>
    </row>
    <row r="3339">
      <c r="A3339" s="75">
        <v>3333.0</v>
      </c>
      <c r="B3339" s="62" t="s">
        <v>2090</v>
      </c>
      <c r="C3339" s="62" t="s">
        <v>104</v>
      </c>
      <c r="D3339" s="62" t="s">
        <v>749</v>
      </c>
      <c r="E3339" s="76">
        <v>43991.0</v>
      </c>
      <c r="F3339" s="77">
        <v>0.20833333333333334</v>
      </c>
      <c r="G3339" s="62" t="b">
        <v>1</v>
      </c>
      <c r="H3339" s="78" t="b">
        <f>IF(VLOOKUP(C3339,Projetos!A:L,12,false)=TRUE,TRUE,FALSE)</f>
        <v>1</v>
      </c>
      <c r="I3339" s="68">
        <v>83.8951582070707</v>
      </c>
      <c r="J3339" s="68">
        <f t="shared" si="1"/>
        <v>419.475791</v>
      </c>
      <c r="K3339" s="68" t="b">
        <v>1</v>
      </c>
    </row>
    <row r="3340" hidden="1">
      <c r="A3340" s="75">
        <v>3334.0</v>
      </c>
      <c r="B3340" s="62" t="s">
        <v>2090</v>
      </c>
      <c r="C3340" s="62" t="s">
        <v>110</v>
      </c>
      <c r="D3340" s="62" t="s">
        <v>745</v>
      </c>
      <c r="E3340" s="76">
        <v>43992.0</v>
      </c>
      <c r="F3340" s="77">
        <v>0.041666666666666664</v>
      </c>
      <c r="G3340" s="62" t="b">
        <v>1</v>
      </c>
      <c r="H3340" s="78" t="b">
        <f>IF(VLOOKUP(C3340,Projetos!A:L,12,false)=TRUE,TRUE,FALSE)</f>
        <v>1</v>
      </c>
      <c r="I3340" s="68">
        <v>83.8951582070707</v>
      </c>
      <c r="J3340" s="68">
        <f t="shared" si="1"/>
        <v>83.89515821</v>
      </c>
      <c r="K3340" s="68" t="b">
        <v>1</v>
      </c>
    </row>
    <row r="3341">
      <c r="A3341" s="75">
        <v>3335.0</v>
      </c>
      <c r="B3341" s="62" t="s">
        <v>2090</v>
      </c>
      <c r="C3341" s="62" t="s">
        <v>104</v>
      </c>
      <c r="D3341" s="62" t="s">
        <v>749</v>
      </c>
      <c r="E3341" s="76">
        <v>43992.0</v>
      </c>
      <c r="F3341" s="77">
        <v>0.0625</v>
      </c>
      <c r="G3341" s="62" t="b">
        <v>1</v>
      </c>
      <c r="H3341" s="78" t="b">
        <f>IF(VLOOKUP(C3341,Projetos!A:L,12,false)=TRUE,TRUE,FALSE)</f>
        <v>1</v>
      </c>
      <c r="I3341" s="68">
        <v>83.8951582070707</v>
      </c>
      <c r="J3341" s="68">
        <f t="shared" si="1"/>
        <v>125.8427373</v>
      </c>
      <c r="K3341" s="68" t="b">
        <v>1</v>
      </c>
    </row>
    <row r="3342">
      <c r="A3342" s="75">
        <v>3336.0</v>
      </c>
      <c r="B3342" s="62" t="s">
        <v>2090</v>
      </c>
      <c r="C3342" s="62" t="s">
        <v>104</v>
      </c>
      <c r="D3342" s="62" t="s">
        <v>749</v>
      </c>
      <c r="E3342" s="76">
        <v>43994.0</v>
      </c>
      <c r="F3342" s="77">
        <v>0.25</v>
      </c>
      <c r="G3342" s="62" t="b">
        <v>1</v>
      </c>
      <c r="H3342" s="78" t="b">
        <f>IF(VLOOKUP(C3342,Projetos!A:L,12,false)=TRUE,TRUE,FALSE)</f>
        <v>1</v>
      </c>
      <c r="I3342" s="68">
        <v>83.8951582070707</v>
      </c>
      <c r="J3342" s="68">
        <f t="shared" si="1"/>
        <v>503.3709492</v>
      </c>
      <c r="K3342" s="68" t="b">
        <v>1</v>
      </c>
    </row>
    <row r="3343" hidden="1">
      <c r="A3343" s="75">
        <v>3337.0</v>
      </c>
      <c r="B3343" s="62" t="s">
        <v>2090</v>
      </c>
      <c r="C3343" s="62" t="s">
        <v>115</v>
      </c>
      <c r="D3343" s="62" t="s">
        <v>750</v>
      </c>
      <c r="E3343" s="76">
        <v>43998.0</v>
      </c>
      <c r="F3343" s="77">
        <v>0.041666666666666664</v>
      </c>
      <c r="G3343" s="62" t="b">
        <v>1</v>
      </c>
      <c r="H3343" s="78" t="b">
        <f>IF(VLOOKUP(C3343,Projetos!A:L,12,false)=TRUE,TRUE,FALSE)</f>
        <v>1</v>
      </c>
      <c r="I3343" s="68">
        <v>83.8951582070707</v>
      </c>
      <c r="J3343" s="68">
        <f t="shared" si="1"/>
        <v>83.89515821</v>
      </c>
      <c r="K3343" s="68" t="b">
        <v>1</v>
      </c>
    </row>
    <row r="3344" hidden="1">
      <c r="A3344" s="75">
        <v>3338.0</v>
      </c>
      <c r="B3344" s="62" t="s">
        <v>2090</v>
      </c>
      <c r="C3344" s="62" t="s">
        <v>115</v>
      </c>
      <c r="D3344" s="62" t="s">
        <v>750</v>
      </c>
      <c r="E3344" s="76">
        <v>44000.0</v>
      </c>
      <c r="F3344" s="77">
        <v>0.0625</v>
      </c>
      <c r="G3344" s="62" t="b">
        <v>1</v>
      </c>
      <c r="H3344" s="78" t="b">
        <f>IF(VLOOKUP(C3344,Projetos!A:L,12,false)=TRUE,TRUE,FALSE)</f>
        <v>1</v>
      </c>
      <c r="I3344" s="68">
        <v>83.8951582070707</v>
      </c>
      <c r="J3344" s="68">
        <f t="shared" si="1"/>
        <v>125.8427373</v>
      </c>
      <c r="K3344" s="68" t="b">
        <v>1</v>
      </c>
    </row>
    <row r="3345" hidden="1">
      <c r="A3345" s="75">
        <v>3339.0</v>
      </c>
      <c r="B3345" s="62" t="s">
        <v>2090</v>
      </c>
      <c r="C3345" s="62" t="s">
        <v>110</v>
      </c>
      <c r="D3345" s="62" t="s">
        <v>745</v>
      </c>
      <c r="E3345" s="76">
        <v>44000.0</v>
      </c>
      <c r="F3345" s="77">
        <v>0.08333333333333333</v>
      </c>
      <c r="G3345" s="62" t="b">
        <v>1</v>
      </c>
      <c r="H3345" s="78" t="b">
        <f>IF(VLOOKUP(C3345,Projetos!A:L,12,false)=TRUE,TRUE,FALSE)</f>
        <v>1</v>
      </c>
      <c r="I3345" s="68">
        <v>83.8951582070707</v>
      </c>
      <c r="J3345" s="68">
        <f t="shared" si="1"/>
        <v>167.7903164</v>
      </c>
      <c r="K3345" s="68" t="b">
        <v>1</v>
      </c>
    </row>
    <row r="3346" hidden="1">
      <c r="A3346" s="75">
        <v>3340.0</v>
      </c>
      <c r="B3346" s="62" t="s">
        <v>2090</v>
      </c>
      <c r="C3346" s="62" t="s">
        <v>115</v>
      </c>
      <c r="D3346" s="62" t="s">
        <v>750</v>
      </c>
      <c r="E3346" s="76">
        <v>44001.0</v>
      </c>
      <c r="F3346" s="77">
        <v>0.0625</v>
      </c>
      <c r="G3346" s="62" t="b">
        <v>1</v>
      </c>
      <c r="H3346" s="78" t="b">
        <f>IF(VLOOKUP(C3346,Projetos!A:L,12,false)=TRUE,TRUE,FALSE)</f>
        <v>1</v>
      </c>
      <c r="I3346" s="68">
        <v>83.8951582070707</v>
      </c>
      <c r="J3346" s="68">
        <f t="shared" si="1"/>
        <v>125.8427373</v>
      </c>
      <c r="K3346" s="68" t="b">
        <v>1</v>
      </c>
    </row>
    <row r="3347" hidden="1">
      <c r="A3347" s="75">
        <v>3341.0</v>
      </c>
      <c r="B3347" s="62" t="s">
        <v>2090</v>
      </c>
      <c r="C3347" s="62" t="s">
        <v>109</v>
      </c>
      <c r="D3347" s="62" t="s">
        <v>750</v>
      </c>
      <c r="E3347" s="76">
        <v>44005.0</v>
      </c>
      <c r="F3347" s="77">
        <v>0.041666666666666664</v>
      </c>
      <c r="G3347" s="62" t="b">
        <v>0</v>
      </c>
      <c r="H3347" s="78" t="b">
        <f>IF(VLOOKUP(C3347,Projetos!A:L,12,false)=TRUE,TRUE,FALSE)</f>
        <v>0</v>
      </c>
      <c r="I3347" s="68">
        <v>83.8951582070707</v>
      </c>
      <c r="J3347" s="68">
        <f t="shared" si="1"/>
        <v>0</v>
      </c>
      <c r="K3347" s="68" t="b">
        <v>0</v>
      </c>
    </row>
    <row r="3348">
      <c r="A3348" s="75">
        <v>3342.0</v>
      </c>
      <c r="B3348" s="62" t="s">
        <v>2090</v>
      </c>
      <c r="C3348" s="62" t="s">
        <v>104</v>
      </c>
      <c r="D3348" s="62" t="s">
        <v>749</v>
      </c>
      <c r="E3348" s="76">
        <v>44005.0</v>
      </c>
      <c r="F3348" s="77">
        <v>0.20833333333333334</v>
      </c>
      <c r="G3348" s="62" t="b">
        <v>1</v>
      </c>
      <c r="H3348" s="78" t="b">
        <f>IF(VLOOKUP(C3348,Projetos!A:L,12,false)=TRUE,TRUE,FALSE)</f>
        <v>1</v>
      </c>
      <c r="I3348" s="68">
        <v>83.8951582070707</v>
      </c>
      <c r="J3348" s="68">
        <f t="shared" si="1"/>
        <v>419.475791</v>
      </c>
      <c r="K3348" s="68" t="b">
        <v>1</v>
      </c>
    </row>
    <row r="3349">
      <c r="A3349" s="75">
        <v>3343.0</v>
      </c>
      <c r="B3349" s="62" t="s">
        <v>2090</v>
      </c>
      <c r="C3349" s="62" t="s">
        <v>104</v>
      </c>
      <c r="D3349" s="62" t="s">
        <v>749</v>
      </c>
      <c r="E3349" s="76">
        <v>44006.0</v>
      </c>
      <c r="F3349" s="77">
        <v>0.125</v>
      </c>
      <c r="G3349" s="62" t="b">
        <v>1</v>
      </c>
      <c r="H3349" s="78" t="b">
        <f>IF(VLOOKUP(C3349,Projetos!A:L,12,false)=TRUE,TRUE,FALSE)</f>
        <v>1</v>
      </c>
      <c r="I3349" s="68">
        <v>83.8951582070707</v>
      </c>
      <c r="J3349" s="68">
        <f t="shared" si="1"/>
        <v>251.6854746</v>
      </c>
      <c r="K3349" s="68" t="b">
        <v>1</v>
      </c>
    </row>
    <row r="3350" hidden="1">
      <c r="A3350" s="75">
        <v>3344.0</v>
      </c>
      <c r="B3350" s="62" t="s">
        <v>2090</v>
      </c>
      <c r="C3350" s="62" t="s">
        <v>109</v>
      </c>
      <c r="D3350" s="62" t="s">
        <v>750</v>
      </c>
      <c r="E3350" s="76">
        <v>44008.0</v>
      </c>
      <c r="F3350" s="77">
        <v>0.020833333333333332</v>
      </c>
      <c r="G3350" s="62" t="b">
        <v>0</v>
      </c>
      <c r="H3350" s="78" t="b">
        <f>IF(VLOOKUP(C3350,Projetos!A:L,12,false)=TRUE,TRUE,FALSE)</f>
        <v>0</v>
      </c>
      <c r="I3350" s="68">
        <v>83.8951582070707</v>
      </c>
      <c r="J3350" s="68">
        <f t="shared" si="1"/>
        <v>0</v>
      </c>
      <c r="K3350" s="68" t="b">
        <v>0</v>
      </c>
    </row>
    <row r="3351">
      <c r="A3351" s="75">
        <v>3345.0</v>
      </c>
      <c r="B3351" s="62" t="s">
        <v>2090</v>
      </c>
      <c r="C3351" s="62" t="s">
        <v>104</v>
      </c>
      <c r="D3351" s="62" t="s">
        <v>1288</v>
      </c>
      <c r="E3351" s="76">
        <v>44013.0</v>
      </c>
      <c r="F3351" s="77">
        <v>0.16666666666666666</v>
      </c>
      <c r="G3351" s="62" t="b">
        <v>1</v>
      </c>
      <c r="H3351" s="78" t="b">
        <f>IF(VLOOKUP(C3351,Projetos!A:L,12,false)=TRUE,TRUE,FALSE)</f>
        <v>1</v>
      </c>
      <c r="I3351" s="68">
        <v>87.89016574074073</v>
      </c>
      <c r="J3351" s="68">
        <f t="shared" si="1"/>
        <v>351.560663</v>
      </c>
      <c r="K3351" s="68" t="b">
        <v>1</v>
      </c>
    </row>
    <row r="3352" hidden="1">
      <c r="A3352" s="75">
        <v>3346.0</v>
      </c>
      <c r="B3352" s="62" t="s">
        <v>2090</v>
      </c>
      <c r="C3352" s="62" t="s">
        <v>84</v>
      </c>
      <c r="D3352" s="62" t="s">
        <v>1289</v>
      </c>
      <c r="E3352" s="76">
        <v>44013.0</v>
      </c>
      <c r="F3352" s="77">
        <v>0.041666666666666664</v>
      </c>
      <c r="G3352" s="62" t="b">
        <v>1</v>
      </c>
      <c r="H3352" s="78" t="b">
        <f>IF(VLOOKUP(C3352,Projetos!A:L,12,false)=TRUE,TRUE,FALSE)</f>
        <v>1</v>
      </c>
      <c r="I3352" s="68">
        <v>87.89016574074073</v>
      </c>
      <c r="J3352" s="68">
        <f t="shared" si="1"/>
        <v>87.89016574</v>
      </c>
      <c r="K3352" s="68" t="b">
        <v>1</v>
      </c>
    </row>
    <row r="3353" hidden="1">
      <c r="A3353" s="75">
        <v>3347.0</v>
      </c>
      <c r="B3353" s="62" t="s">
        <v>2090</v>
      </c>
      <c r="C3353" s="62" t="s">
        <v>90</v>
      </c>
      <c r="D3353" s="62" t="s">
        <v>1290</v>
      </c>
      <c r="E3353" s="76">
        <v>44015.0</v>
      </c>
      <c r="F3353" s="77">
        <v>0.041666666666666664</v>
      </c>
      <c r="G3353" s="62" t="b">
        <v>1</v>
      </c>
      <c r="H3353" s="78" t="b">
        <f>IF(VLOOKUP(C3353,Projetos!A:L,12,false)=TRUE,TRUE,FALSE)</f>
        <v>1</v>
      </c>
      <c r="I3353" s="68">
        <v>87.89016574074073</v>
      </c>
      <c r="J3353" s="68">
        <f t="shared" si="1"/>
        <v>87.89016574</v>
      </c>
      <c r="K3353" s="68" t="b">
        <v>1</v>
      </c>
    </row>
    <row r="3354" hidden="1">
      <c r="A3354" s="75">
        <v>3348.0</v>
      </c>
      <c r="B3354" s="62" t="s">
        <v>2090</v>
      </c>
      <c r="C3354" s="62" t="s">
        <v>90</v>
      </c>
      <c r="D3354" s="62" t="s">
        <v>1290</v>
      </c>
      <c r="E3354" s="76">
        <v>44018.0</v>
      </c>
      <c r="F3354" s="77">
        <v>0.041666666666666664</v>
      </c>
      <c r="G3354" s="62" t="b">
        <v>1</v>
      </c>
      <c r="H3354" s="78" t="b">
        <f>IF(VLOOKUP(C3354,Projetos!A:L,12,false)=TRUE,TRUE,FALSE)</f>
        <v>1</v>
      </c>
      <c r="I3354" s="68">
        <v>87.89016574074073</v>
      </c>
      <c r="J3354" s="68">
        <f t="shared" si="1"/>
        <v>87.89016574</v>
      </c>
      <c r="K3354" s="68" t="b">
        <v>1</v>
      </c>
    </row>
    <row r="3355" hidden="1">
      <c r="A3355" s="75">
        <v>3349.0</v>
      </c>
      <c r="B3355" s="62" t="s">
        <v>2090</v>
      </c>
      <c r="C3355" s="62" t="s">
        <v>84</v>
      </c>
      <c r="D3355" s="62" t="s">
        <v>1289</v>
      </c>
      <c r="E3355" s="76">
        <v>44019.0</v>
      </c>
      <c r="F3355" s="77">
        <v>0.041666666666666664</v>
      </c>
      <c r="G3355" s="62" t="b">
        <v>1</v>
      </c>
      <c r="H3355" s="78" t="b">
        <f>IF(VLOOKUP(C3355,Projetos!A:L,12,false)=TRUE,TRUE,FALSE)</f>
        <v>1</v>
      </c>
      <c r="I3355" s="68">
        <v>87.89016574074073</v>
      </c>
      <c r="J3355" s="68">
        <f t="shared" si="1"/>
        <v>87.89016574</v>
      </c>
      <c r="K3355" s="68" t="b">
        <v>1</v>
      </c>
    </row>
    <row r="3356">
      <c r="A3356" s="75">
        <v>3350.0</v>
      </c>
      <c r="B3356" s="62" t="s">
        <v>2090</v>
      </c>
      <c r="C3356" s="62" t="s">
        <v>104</v>
      </c>
      <c r="D3356" s="62" t="s">
        <v>749</v>
      </c>
      <c r="E3356" s="76">
        <v>44019.0</v>
      </c>
      <c r="F3356" s="77">
        <v>0.20833333333333334</v>
      </c>
      <c r="G3356" s="62" t="b">
        <v>1</v>
      </c>
      <c r="H3356" s="78" t="b">
        <f>IF(VLOOKUP(C3356,Projetos!A:L,12,false)=TRUE,TRUE,FALSE)</f>
        <v>1</v>
      </c>
      <c r="I3356" s="68">
        <v>87.89016574074073</v>
      </c>
      <c r="J3356" s="68">
        <f t="shared" si="1"/>
        <v>439.4508287</v>
      </c>
      <c r="K3356" s="68" t="b">
        <v>1</v>
      </c>
    </row>
    <row r="3357" hidden="1">
      <c r="A3357" s="75">
        <v>3351.0</v>
      </c>
      <c r="B3357" s="62" t="s">
        <v>2090</v>
      </c>
      <c r="C3357" s="62" t="s">
        <v>90</v>
      </c>
      <c r="D3357" s="62" t="s">
        <v>1290</v>
      </c>
      <c r="E3357" s="76">
        <v>44020.0</v>
      </c>
      <c r="F3357" s="77">
        <v>0.041666666666666664</v>
      </c>
      <c r="G3357" s="62" t="b">
        <v>1</v>
      </c>
      <c r="H3357" s="78" t="b">
        <f>IF(VLOOKUP(C3357,Projetos!A:L,12,false)=TRUE,TRUE,FALSE)</f>
        <v>1</v>
      </c>
      <c r="I3357" s="68">
        <v>87.89016574074073</v>
      </c>
      <c r="J3357" s="68">
        <f t="shared" si="1"/>
        <v>87.89016574</v>
      </c>
      <c r="K3357" s="68" t="b">
        <v>1</v>
      </c>
    </row>
    <row r="3358" hidden="1">
      <c r="A3358" s="75">
        <v>3352.0</v>
      </c>
      <c r="B3358" s="62" t="s">
        <v>2090</v>
      </c>
      <c r="C3358" s="62" t="s">
        <v>90</v>
      </c>
      <c r="D3358" s="62" t="s">
        <v>1290</v>
      </c>
      <c r="E3358" s="76">
        <v>44021.0</v>
      </c>
      <c r="F3358" s="77">
        <v>0.041666666666666664</v>
      </c>
      <c r="G3358" s="62" t="b">
        <v>1</v>
      </c>
      <c r="H3358" s="78" t="b">
        <f>IF(VLOOKUP(C3358,Projetos!A:L,12,false)=TRUE,TRUE,FALSE)</f>
        <v>1</v>
      </c>
      <c r="I3358" s="68">
        <v>87.89016574074073</v>
      </c>
      <c r="J3358" s="68">
        <f t="shared" si="1"/>
        <v>87.89016574</v>
      </c>
      <c r="K3358" s="68" t="b">
        <v>1</v>
      </c>
    </row>
    <row r="3359">
      <c r="A3359" s="75">
        <v>3353.0</v>
      </c>
      <c r="B3359" s="62" t="s">
        <v>2090</v>
      </c>
      <c r="C3359" s="62" t="s">
        <v>104</v>
      </c>
      <c r="D3359" s="62" t="s">
        <v>1288</v>
      </c>
      <c r="E3359" s="76">
        <v>44021.0</v>
      </c>
      <c r="F3359" s="77">
        <v>0.041666666666666664</v>
      </c>
      <c r="G3359" s="62" t="b">
        <v>1</v>
      </c>
      <c r="H3359" s="78" t="b">
        <f>IF(VLOOKUP(C3359,Projetos!A:L,12,false)=TRUE,TRUE,FALSE)</f>
        <v>1</v>
      </c>
      <c r="I3359" s="68">
        <v>87.89016574074073</v>
      </c>
      <c r="J3359" s="68">
        <f t="shared" si="1"/>
        <v>87.89016574</v>
      </c>
      <c r="K3359" s="68" t="b">
        <v>1</v>
      </c>
    </row>
    <row r="3360" hidden="1">
      <c r="A3360" s="75">
        <v>3354.0</v>
      </c>
      <c r="B3360" s="62" t="s">
        <v>2090</v>
      </c>
      <c r="C3360" s="62" t="s">
        <v>84</v>
      </c>
      <c r="D3360" s="62" t="s">
        <v>1289</v>
      </c>
      <c r="E3360" s="76">
        <v>44022.0</v>
      </c>
      <c r="F3360" s="77">
        <v>0.08333333333333333</v>
      </c>
      <c r="G3360" s="62" t="b">
        <v>1</v>
      </c>
      <c r="H3360" s="78" t="b">
        <f>IF(VLOOKUP(C3360,Projetos!A:L,12,false)=TRUE,TRUE,FALSE)</f>
        <v>1</v>
      </c>
      <c r="I3360" s="68">
        <v>87.89016574074073</v>
      </c>
      <c r="J3360" s="68">
        <f t="shared" si="1"/>
        <v>175.7803315</v>
      </c>
      <c r="K3360" s="68" t="b">
        <v>1</v>
      </c>
    </row>
    <row r="3361" hidden="1">
      <c r="A3361" s="75">
        <v>3355.0</v>
      </c>
      <c r="B3361" s="62" t="s">
        <v>2090</v>
      </c>
      <c r="C3361" s="62" t="s">
        <v>90</v>
      </c>
      <c r="D3361" s="62" t="s">
        <v>1290</v>
      </c>
      <c r="E3361" s="76">
        <v>44022.0</v>
      </c>
      <c r="F3361" s="77">
        <v>0.041666666666666664</v>
      </c>
      <c r="G3361" s="62" t="b">
        <v>1</v>
      </c>
      <c r="H3361" s="78" t="b">
        <f>IF(VLOOKUP(C3361,Projetos!A:L,12,false)=TRUE,TRUE,FALSE)</f>
        <v>1</v>
      </c>
      <c r="I3361" s="68">
        <v>87.89016574074073</v>
      </c>
      <c r="J3361" s="68">
        <f t="shared" si="1"/>
        <v>87.89016574</v>
      </c>
      <c r="K3361" s="68" t="b">
        <v>1</v>
      </c>
    </row>
    <row r="3362" hidden="1">
      <c r="A3362" s="75">
        <v>3356.0</v>
      </c>
      <c r="B3362" s="62" t="s">
        <v>2090</v>
      </c>
      <c r="C3362" s="62" t="s">
        <v>90</v>
      </c>
      <c r="D3362" s="62" t="s">
        <v>1290</v>
      </c>
      <c r="E3362" s="76">
        <v>44025.0</v>
      </c>
      <c r="F3362" s="77">
        <v>0.041666666666666664</v>
      </c>
      <c r="G3362" s="62" t="b">
        <v>1</v>
      </c>
      <c r="H3362" s="78" t="b">
        <f>IF(VLOOKUP(C3362,Projetos!A:L,12,false)=TRUE,TRUE,FALSE)</f>
        <v>1</v>
      </c>
      <c r="I3362" s="68">
        <v>87.89016574074073</v>
      </c>
      <c r="J3362" s="68">
        <f t="shared" si="1"/>
        <v>87.89016574</v>
      </c>
      <c r="K3362" s="68" t="b">
        <v>1</v>
      </c>
    </row>
    <row r="3363" hidden="1">
      <c r="A3363" s="75">
        <v>3357.0</v>
      </c>
      <c r="B3363" s="62" t="s">
        <v>2090</v>
      </c>
      <c r="C3363" s="62" t="s">
        <v>90</v>
      </c>
      <c r="D3363" s="62" t="s">
        <v>1290</v>
      </c>
      <c r="E3363" s="76">
        <v>44026.0</v>
      </c>
      <c r="F3363" s="77">
        <v>0.041666666666666664</v>
      </c>
      <c r="G3363" s="62" t="b">
        <v>1</v>
      </c>
      <c r="H3363" s="78" t="b">
        <f>IF(VLOOKUP(C3363,Projetos!A:L,12,false)=TRUE,TRUE,FALSE)</f>
        <v>1</v>
      </c>
      <c r="I3363" s="68">
        <v>87.89016574074073</v>
      </c>
      <c r="J3363" s="68">
        <f t="shared" si="1"/>
        <v>87.89016574</v>
      </c>
      <c r="K3363" s="68" t="b">
        <v>1</v>
      </c>
    </row>
    <row r="3364" hidden="1">
      <c r="A3364" s="75">
        <v>3358.0</v>
      </c>
      <c r="B3364" s="62" t="s">
        <v>2090</v>
      </c>
      <c r="C3364" s="62" t="s">
        <v>84</v>
      </c>
      <c r="D3364" s="62" t="s">
        <v>1289</v>
      </c>
      <c r="E3364" s="76">
        <v>44029.0</v>
      </c>
      <c r="F3364" s="77">
        <v>0.08333333333333333</v>
      </c>
      <c r="G3364" s="62" t="b">
        <v>1</v>
      </c>
      <c r="H3364" s="78" t="b">
        <f>IF(VLOOKUP(C3364,Projetos!A:L,12,false)=TRUE,TRUE,FALSE)</f>
        <v>1</v>
      </c>
      <c r="I3364" s="68">
        <v>87.89016574074073</v>
      </c>
      <c r="J3364" s="68">
        <f t="shared" si="1"/>
        <v>175.7803315</v>
      </c>
      <c r="K3364" s="68" t="b">
        <v>1</v>
      </c>
    </row>
    <row r="3365" hidden="1">
      <c r="A3365" s="75">
        <v>3359.0</v>
      </c>
      <c r="B3365" s="62" t="s">
        <v>2090</v>
      </c>
      <c r="C3365" s="62" t="s">
        <v>90</v>
      </c>
      <c r="D3365" s="62" t="s">
        <v>1291</v>
      </c>
      <c r="E3365" s="76">
        <v>44029.0</v>
      </c>
      <c r="F3365" s="77">
        <v>0.041666666666666664</v>
      </c>
      <c r="G3365" s="62" t="b">
        <v>1</v>
      </c>
      <c r="H3365" s="78" t="b">
        <f>IF(VLOOKUP(C3365,Projetos!A:L,12,false)=TRUE,TRUE,FALSE)</f>
        <v>1</v>
      </c>
      <c r="I3365" s="68">
        <v>87.89016574074073</v>
      </c>
      <c r="J3365" s="68">
        <f t="shared" si="1"/>
        <v>87.89016574</v>
      </c>
      <c r="K3365" s="68" t="b">
        <v>1</v>
      </c>
    </row>
    <row r="3366" hidden="1">
      <c r="A3366" s="75">
        <v>3360.0</v>
      </c>
      <c r="B3366" s="62" t="s">
        <v>2090</v>
      </c>
      <c r="C3366" s="62" t="s">
        <v>90</v>
      </c>
      <c r="D3366" s="62" t="s">
        <v>1291</v>
      </c>
      <c r="E3366" s="76">
        <v>44032.0</v>
      </c>
      <c r="F3366" s="77">
        <v>0.041666666666666664</v>
      </c>
      <c r="G3366" s="62" t="b">
        <v>1</v>
      </c>
      <c r="H3366" s="78" t="b">
        <f>IF(VLOOKUP(C3366,Projetos!A:L,12,false)=TRUE,TRUE,FALSE)</f>
        <v>1</v>
      </c>
      <c r="I3366" s="68">
        <v>87.89016574074073</v>
      </c>
      <c r="J3366" s="68">
        <f t="shared" si="1"/>
        <v>87.89016574</v>
      </c>
      <c r="K3366" s="68" t="b">
        <v>1</v>
      </c>
    </row>
    <row r="3367" hidden="1">
      <c r="A3367" s="75">
        <v>3361.0</v>
      </c>
      <c r="B3367" s="62" t="s">
        <v>2090</v>
      </c>
      <c r="C3367" s="62" t="s">
        <v>84</v>
      </c>
      <c r="D3367" s="62" t="s">
        <v>1289</v>
      </c>
      <c r="E3367" s="76">
        <v>44032.0</v>
      </c>
      <c r="F3367" s="77">
        <v>0.125</v>
      </c>
      <c r="G3367" s="62" t="b">
        <v>1</v>
      </c>
      <c r="H3367" s="78" t="b">
        <f>IF(VLOOKUP(C3367,Projetos!A:L,12,false)=TRUE,TRUE,FALSE)</f>
        <v>1</v>
      </c>
      <c r="I3367" s="68">
        <v>87.89016574074073</v>
      </c>
      <c r="J3367" s="68">
        <f t="shared" si="1"/>
        <v>263.6704972</v>
      </c>
      <c r="K3367" s="68" t="b">
        <v>1</v>
      </c>
    </row>
    <row r="3368" hidden="1">
      <c r="A3368" s="75">
        <v>3362.0</v>
      </c>
      <c r="B3368" s="62" t="s">
        <v>2090</v>
      </c>
      <c r="C3368" s="62" t="s">
        <v>84</v>
      </c>
      <c r="D3368" s="62" t="s">
        <v>1289</v>
      </c>
      <c r="E3368" s="76">
        <v>44033.0</v>
      </c>
      <c r="F3368" s="77">
        <v>0.125</v>
      </c>
      <c r="G3368" s="62" t="b">
        <v>1</v>
      </c>
      <c r="H3368" s="78" t="b">
        <f>IF(VLOOKUP(C3368,Projetos!A:L,12,false)=TRUE,TRUE,FALSE)</f>
        <v>1</v>
      </c>
      <c r="I3368" s="68">
        <v>87.89016574074073</v>
      </c>
      <c r="J3368" s="68">
        <f t="shared" si="1"/>
        <v>263.6704972</v>
      </c>
      <c r="K3368" s="68" t="b">
        <v>1</v>
      </c>
    </row>
    <row r="3369" hidden="1">
      <c r="A3369" s="75">
        <v>3363.0</v>
      </c>
      <c r="B3369" s="62" t="s">
        <v>2090</v>
      </c>
      <c r="C3369" s="62" t="s">
        <v>90</v>
      </c>
      <c r="D3369" s="62" t="s">
        <v>1291</v>
      </c>
      <c r="E3369" s="76">
        <v>44034.0</v>
      </c>
      <c r="F3369" s="77">
        <v>0.041666666666666664</v>
      </c>
      <c r="G3369" s="62" t="b">
        <v>1</v>
      </c>
      <c r="H3369" s="78" t="b">
        <f>IF(VLOOKUP(C3369,Projetos!A:L,12,false)=TRUE,TRUE,FALSE)</f>
        <v>1</v>
      </c>
      <c r="I3369" s="68">
        <v>87.89016574074073</v>
      </c>
      <c r="J3369" s="68">
        <f t="shared" si="1"/>
        <v>87.89016574</v>
      </c>
      <c r="K3369" s="68" t="b">
        <v>1</v>
      </c>
    </row>
    <row r="3370" hidden="1">
      <c r="A3370" s="75">
        <v>3364.0</v>
      </c>
      <c r="B3370" s="62" t="s">
        <v>2090</v>
      </c>
      <c r="C3370" s="62" t="s">
        <v>97</v>
      </c>
      <c r="D3370" s="62" t="s">
        <v>1293</v>
      </c>
      <c r="E3370" s="76">
        <v>44035.0</v>
      </c>
      <c r="F3370" s="77">
        <v>0.041666666666666664</v>
      </c>
      <c r="G3370" s="62" t="b">
        <v>1</v>
      </c>
      <c r="H3370" s="78" t="b">
        <f>IF(VLOOKUP(C3370,Projetos!A:L,12,false)=TRUE,TRUE,FALSE)</f>
        <v>1</v>
      </c>
      <c r="I3370" s="68">
        <v>87.89016574074073</v>
      </c>
      <c r="J3370" s="68">
        <f t="shared" si="1"/>
        <v>87.89016574</v>
      </c>
      <c r="K3370" s="68" t="b">
        <v>1</v>
      </c>
    </row>
    <row r="3371" hidden="1">
      <c r="A3371" s="75">
        <v>3365.0</v>
      </c>
      <c r="B3371" s="62" t="s">
        <v>2090</v>
      </c>
      <c r="C3371" s="62" t="s">
        <v>112</v>
      </c>
      <c r="D3371" s="62" t="s">
        <v>1293</v>
      </c>
      <c r="E3371" s="76">
        <v>44035.0</v>
      </c>
      <c r="F3371" s="77">
        <v>0.041666666666666664</v>
      </c>
      <c r="G3371" s="62" t="b">
        <v>1</v>
      </c>
      <c r="H3371" s="78" t="b">
        <f>IF(VLOOKUP(C3371,Projetos!A:L,12,false)=TRUE,TRUE,FALSE)</f>
        <v>1</v>
      </c>
      <c r="I3371" s="68">
        <v>87.89016574074073</v>
      </c>
      <c r="J3371" s="68">
        <f t="shared" si="1"/>
        <v>87.89016574</v>
      </c>
      <c r="K3371" s="68" t="b">
        <v>1</v>
      </c>
    </row>
    <row r="3372" hidden="1">
      <c r="A3372" s="75">
        <v>3366.0</v>
      </c>
      <c r="B3372" s="62" t="s">
        <v>2090</v>
      </c>
      <c r="C3372" s="62" t="s">
        <v>97</v>
      </c>
      <c r="D3372" s="62" t="s">
        <v>1293</v>
      </c>
      <c r="E3372" s="76">
        <v>44036.0</v>
      </c>
      <c r="F3372" s="77">
        <v>0.020833333333333332</v>
      </c>
      <c r="G3372" s="62" t="b">
        <v>1</v>
      </c>
      <c r="H3372" s="78" t="b">
        <f>IF(VLOOKUP(C3372,Projetos!A:L,12,false)=TRUE,TRUE,FALSE)</f>
        <v>1</v>
      </c>
      <c r="I3372" s="68">
        <v>87.89016574074073</v>
      </c>
      <c r="J3372" s="68">
        <f t="shared" si="1"/>
        <v>43.94508287</v>
      </c>
      <c r="K3372" s="68" t="b">
        <v>1</v>
      </c>
    </row>
    <row r="3373">
      <c r="A3373" s="75">
        <v>3367.0</v>
      </c>
      <c r="B3373" s="62" t="s">
        <v>2090</v>
      </c>
      <c r="C3373" s="62" t="s">
        <v>104</v>
      </c>
      <c r="D3373" s="62" t="s">
        <v>2105</v>
      </c>
      <c r="E3373" s="76">
        <v>44039.0</v>
      </c>
      <c r="F3373" s="77">
        <v>0.5</v>
      </c>
      <c r="G3373" s="62" t="b">
        <v>1</v>
      </c>
      <c r="H3373" s="78" t="b">
        <f>IF(VLOOKUP(C3373,Projetos!A:L,12,false)=TRUE,TRUE,FALSE)</f>
        <v>1</v>
      </c>
      <c r="I3373" s="68">
        <v>87.89016574074073</v>
      </c>
      <c r="J3373" s="68">
        <f t="shared" si="1"/>
        <v>1054.681989</v>
      </c>
      <c r="K3373" s="68" t="b">
        <v>1</v>
      </c>
    </row>
    <row r="3374">
      <c r="A3374" s="75">
        <v>3368.0</v>
      </c>
      <c r="B3374" s="62" t="s">
        <v>2090</v>
      </c>
      <c r="C3374" s="62" t="s">
        <v>104</v>
      </c>
      <c r="D3374" s="62" t="s">
        <v>2105</v>
      </c>
      <c r="E3374" s="76">
        <v>44040.0</v>
      </c>
      <c r="F3374" s="77">
        <v>0.5</v>
      </c>
      <c r="G3374" s="62" t="b">
        <v>1</v>
      </c>
      <c r="H3374" s="78" t="b">
        <f>IF(VLOOKUP(C3374,Projetos!A:L,12,false)=TRUE,TRUE,FALSE)</f>
        <v>1</v>
      </c>
      <c r="I3374" s="68">
        <v>87.89016574074073</v>
      </c>
      <c r="J3374" s="68">
        <f t="shared" si="1"/>
        <v>1054.681989</v>
      </c>
      <c r="K3374" s="68" t="b">
        <v>1</v>
      </c>
    </row>
    <row r="3375">
      <c r="A3375" s="75">
        <v>3369.0</v>
      </c>
      <c r="B3375" s="62" t="s">
        <v>2090</v>
      </c>
      <c r="C3375" s="62" t="s">
        <v>104</v>
      </c>
      <c r="D3375" s="62" t="s">
        <v>2105</v>
      </c>
      <c r="E3375" s="76">
        <v>44041.0</v>
      </c>
      <c r="F3375" s="77">
        <v>0.5</v>
      </c>
      <c r="G3375" s="62" t="b">
        <v>1</v>
      </c>
      <c r="H3375" s="78" t="b">
        <f>IF(VLOOKUP(C3375,Projetos!A:L,12,false)=TRUE,TRUE,FALSE)</f>
        <v>1</v>
      </c>
      <c r="I3375" s="68">
        <v>87.89016574074073</v>
      </c>
      <c r="J3375" s="68">
        <f t="shared" si="1"/>
        <v>1054.681989</v>
      </c>
      <c r="K3375" s="68" t="b">
        <v>1</v>
      </c>
    </row>
    <row r="3376">
      <c r="A3376" s="75">
        <v>3370.0</v>
      </c>
      <c r="B3376" s="62" t="s">
        <v>2090</v>
      </c>
      <c r="C3376" s="62" t="s">
        <v>104</v>
      </c>
      <c r="D3376" s="62" t="s">
        <v>2105</v>
      </c>
      <c r="E3376" s="76">
        <v>44042.0</v>
      </c>
      <c r="F3376" s="77">
        <v>0.5</v>
      </c>
      <c r="G3376" s="62" t="b">
        <v>1</v>
      </c>
      <c r="H3376" s="78" t="b">
        <f>IF(VLOOKUP(C3376,Projetos!A:L,12,false)=TRUE,TRUE,FALSE)</f>
        <v>1</v>
      </c>
      <c r="I3376" s="68">
        <v>87.89016574074073</v>
      </c>
      <c r="J3376" s="68">
        <f t="shared" si="1"/>
        <v>1054.681989</v>
      </c>
      <c r="K3376" s="68" t="b">
        <v>1</v>
      </c>
    </row>
    <row r="3377">
      <c r="A3377" s="75">
        <v>3371.0</v>
      </c>
      <c r="B3377" s="62" t="s">
        <v>2090</v>
      </c>
      <c r="C3377" s="62" t="s">
        <v>104</v>
      </c>
      <c r="D3377" s="62" t="s">
        <v>2105</v>
      </c>
      <c r="E3377" s="76">
        <v>44043.0</v>
      </c>
      <c r="F3377" s="77">
        <v>0.5</v>
      </c>
      <c r="G3377" s="62" t="b">
        <v>1</v>
      </c>
      <c r="H3377" s="78" t="b">
        <f>IF(VLOOKUP(C3377,Projetos!A:L,12,false)=TRUE,TRUE,FALSE)</f>
        <v>1</v>
      </c>
      <c r="I3377" s="68">
        <v>87.89016574074073</v>
      </c>
      <c r="J3377" s="68">
        <f t="shared" si="1"/>
        <v>1054.681989</v>
      </c>
      <c r="K3377" s="68" t="b">
        <v>1</v>
      </c>
    </row>
    <row r="3378" hidden="1">
      <c r="A3378" s="75">
        <v>3372.0</v>
      </c>
      <c r="B3378" s="62" t="s">
        <v>2090</v>
      </c>
      <c r="C3378" s="62" t="s">
        <v>138</v>
      </c>
      <c r="D3378" s="62" t="s">
        <v>749</v>
      </c>
      <c r="E3378" s="76">
        <v>44046.0</v>
      </c>
      <c r="F3378" s="77">
        <v>0.041666666666666664</v>
      </c>
      <c r="G3378" s="62" t="b">
        <v>1</v>
      </c>
      <c r="H3378" s="78" t="b">
        <f>IF(VLOOKUP(C3378,Projetos!A:L,12,false)=TRUE,TRUE,FALSE)</f>
        <v>1</v>
      </c>
      <c r="I3378" s="68">
        <v>87.89016574074073</v>
      </c>
      <c r="J3378" s="68">
        <f t="shared" si="1"/>
        <v>87.89016574</v>
      </c>
      <c r="K3378" s="68" t="b">
        <v>1</v>
      </c>
    </row>
    <row r="3379" hidden="1">
      <c r="A3379" s="75">
        <v>3373.0</v>
      </c>
      <c r="B3379" s="62" t="s">
        <v>2090</v>
      </c>
      <c r="C3379" s="62" t="s">
        <v>112</v>
      </c>
      <c r="D3379" s="62" t="s">
        <v>750</v>
      </c>
      <c r="E3379" s="76">
        <v>44047.0</v>
      </c>
      <c r="F3379" s="77">
        <v>0.08333333333333333</v>
      </c>
      <c r="G3379" s="62" t="b">
        <v>1</v>
      </c>
      <c r="H3379" s="78" t="b">
        <f>IF(VLOOKUP(C3379,Projetos!A:L,12,false)=TRUE,TRUE,FALSE)</f>
        <v>1</v>
      </c>
      <c r="I3379" s="68">
        <v>87.89016574074073</v>
      </c>
      <c r="J3379" s="68">
        <f t="shared" si="1"/>
        <v>175.7803315</v>
      </c>
      <c r="K3379" s="68" t="b">
        <v>1</v>
      </c>
    </row>
    <row r="3380" hidden="1">
      <c r="A3380" s="75">
        <v>3374.0</v>
      </c>
      <c r="B3380" s="62" t="s">
        <v>2090</v>
      </c>
      <c r="C3380" s="62" t="s">
        <v>112</v>
      </c>
      <c r="D3380" s="62" t="s">
        <v>750</v>
      </c>
      <c r="E3380" s="76">
        <v>44048.0</v>
      </c>
      <c r="F3380" s="77">
        <v>0.08333333333333333</v>
      </c>
      <c r="G3380" s="62" t="b">
        <v>1</v>
      </c>
      <c r="H3380" s="78" t="b">
        <f>IF(VLOOKUP(C3380,Projetos!A:L,12,false)=TRUE,TRUE,FALSE)</f>
        <v>1</v>
      </c>
      <c r="I3380" s="68">
        <v>87.89016574074073</v>
      </c>
      <c r="J3380" s="68">
        <f t="shared" si="1"/>
        <v>175.7803315</v>
      </c>
      <c r="K3380" s="68" t="b">
        <v>1</v>
      </c>
    </row>
    <row r="3381">
      <c r="A3381" s="75">
        <v>3375.0</v>
      </c>
      <c r="B3381" s="62" t="s">
        <v>2090</v>
      </c>
      <c r="C3381" s="62" t="s">
        <v>104</v>
      </c>
      <c r="D3381" s="62" t="s">
        <v>2106</v>
      </c>
      <c r="E3381" s="76">
        <v>44050.0</v>
      </c>
      <c r="F3381" s="77">
        <v>0.16666666666666666</v>
      </c>
      <c r="G3381" s="62" t="b">
        <v>1</v>
      </c>
      <c r="H3381" s="78" t="b">
        <f>IF(VLOOKUP(C3381,Projetos!A:L,12,false)=TRUE,TRUE,FALSE)</f>
        <v>1</v>
      </c>
      <c r="I3381" s="68">
        <v>87.89016574074073</v>
      </c>
      <c r="J3381" s="68">
        <f t="shared" si="1"/>
        <v>351.560663</v>
      </c>
      <c r="K3381" s="68" t="b">
        <v>1</v>
      </c>
    </row>
    <row r="3382" hidden="1">
      <c r="A3382" s="75">
        <v>3376.0</v>
      </c>
      <c r="B3382" s="62" t="s">
        <v>2090</v>
      </c>
      <c r="C3382" s="62" t="s">
        <v>110</v>
      </c>
      <c r="D3382" s="62" t="s">
        <v>745</v>
      </c>
      <c r="E3382" s="76">
        <v>44050.0</v>
      </c>
      <c r="F3382" s="77">
        <v>0.07291666666666667</v>
      </c>
      <c r="G3382" s="62" t="b">
        <v>1</v>
      </c>
      <c r="H3382" s="78" t="b">
        <f>IF(VLOOKUP(C3382,Projetos!A:L,12,false)=TRUE,TRUE,FALSE)</f>
        <v>1</v>
      </c>
      <c r="I3382" s="68">
        <v>87.89016574074073</v>
      </c>
      <c r="J3382" s="68">
        <f t="shared" si="1"/>
        <v>153.80779</v>
      </c>
      <c r="K3382" s="68" t="b">
        <v>1</v>
      </c>
    </row>
    <row r="3383">
      <c r="A3383" s="75">
        <v>3377.0</v>
      </c>
      <c r="B3383" s="62" t="s">
        <v>2090</v>
      </c>
      <c r="C3383" s="62" t="s">
        <v>104</v>
      </c>
      <c r="D3383" s="62" t="s">
        <v>749</v>
      </c>
      <c r="E3383" s="76">
        <v>44053.0</v>
      </c>
      <c r="F3383" s="77">
        <v>0.08333333333333333</v>
      </c>
      <c r="G3383" s="62" t="b">
        <v>1</v>
      </c>
      <c r="H3383" s="78" t="b">
        <f>IF(VLOOKUP(C3383,Projetos!A:L,12,false)=TRUE,TRUE,FALSE)</f>
        <v>1</v>
      </c>
      <c r="I3383" s="68">
        <v>87.89016574074073</v>
      </c>
      <c r="J3383" s="68">
        <f t="shared" si="1"/>
        <v>175.7803315</v>
      </c>
      <c r="K3383" s="68" t="b">
        <v>1</v>
      </c>
    </row>
    <row r="3384" hidden="1">
      <c r="A3384" s="75">
        <v>3378.0</v>
      </c>
      <c r="B3384" s="62" t="s">
        <v>2090</v>
      </c>
      <c r="C3384" s="62" t="s">
        <v>112</v>
      </c>
      <c r="D3384" s="62" t="s">
        <v>750</v>
      </c>
      <c r="E3384" s="76">
        <v>44053.0</v>
      </c>
      <c r="F3384" s="77">
        <v>0.041666666666666664</v>
      </c>
      <c r="G3384" s="62" t="b">
        <v>1</v>
      </c>
      <c r="H3384" s="78" t="b">
        <f>IF(VLOOKUP(C3384,Projetos!A:L,12,false)=TRUE,TRUE,FALSE)</f>
        <v>1</v>
      </c>
      <c r="I3384" s="68">
        <v>87.89016574074073</v>
      </c>
      <c r="J3384" s="68">
        <f t="shared" si="1"/>
        <v>87.89016574</v>
      </c>
      <c r="K3384" s="68" t="b">
        <v>1</v>
      </c>
    </row>
    <row r="3385">
      <c r="A3385" s="75">
        <v>3379.0</v>
      </c>
      <c r="B3385" s="62" t="s">
        <v>2090</v>
      </c>
      <c r="C3385" s="62" t="s">
        <v>104</v>
      </c>
      <c r="D3385" s="62" t="s">
        <v>2106</v>
      </c>
      <c r="E3385" s="76">
        <v>44054.0</v>
      </c>
      <c r="F3385" s="77">
        <v>0.08333333333333333</v>
      </c>
      <c r="G3385" s="62" t="b">
        <v>1</v>
      </c>
      <c r="H3385" s="78" t="b">
        <f>IF(VLOOKUP(C3385,Projetos!A:L,12,false)=TRUE,TRUE,FALSE)</f>
        <v>1</v>
      </c>
      <c r="I3385" s="68">
        <v>87.89016574074073</v>
      </c>
      <c r="J3385" s="68">
        <f t="shared" si="1"/>
        <v>175.7803315</v>
      </c>
      <c r="K3385" s="68" t="b">
        <v>1</v>
      </c>
    </row>
    <row r="3386">
      <c r="A3386" s="75">
        <v>3380.0</v>
      </c>
      <c r="B3386" s="62" t="s">
        <v>2090</v>
      </c>
      <c r="C3386" s="62" t="s">
        <v>104</v>
      </c>
      <c r="D3386" s="62" t="s">
        <v>2106</v>
      </c>
      <c r="E3386" s="76">
        <v>44055.0</v>
      </c>
      <c r="F3386" s="77">
        <v>0.125</v>
      </c>
      <c r="G3386" s="62" t="b">
        <v>1</v>
      </c>
      <c r="H3386" s="78" t="b">
        <f>IF(VLOOKUP(C3386,Projetos!A:L,12,false)=TRUE,TRUE,FALSE)</f>
        <v>1</v>
      </c>
      <c r="I3386" s="68">
        <v>87.89016574074073</v>
      </c>
      <c r="J3386" s="68">
        <f t="shared" si="1"/>
        <v>263.6704972</v>
      </c>
      <c r="K3386" s="68" t="b">
        <v>1</v>
      </c>
    </row>
    <row r="3387" hidden="1">
      <c r="A3387" s="75">
        <v>3381.0</v>
      </c>
      <c r="B3387" s="62" t="s">
        <v>2090</v>
      </c>
      <c r="C3387" s="62" t="s">
        <v>112</v>
      </c>
      <c r="D3387" s="62" t="s">
        <v>750</v>
      </c>
      <c r="E3387" s="76">
        <v>44056.0</v>
      </c>
      <c r="F3387" s="77">
        <v>0.041666666666666664</v>
      </c>
      <c r="G3387" s="62" t="b">
        <v>1</v>
      </c>
      <c r="H3387" s="78" t="b">
        <f>IF(VLOOKUP(C3387,Projetos!A:L,12,false)=TRUE,TRUE,FALSE)</f>
        <v>1</v>
      </c>
      <c r="I3387" s="68">
        <v>87.89016574074073</v>
      </c>
      <c r="J3387" s="68">
        <f t="shared" si="1"/>
        <v>87.89016574</v>
      </c>
      <c r="K3387" s="68" t="b">
        <v>1</v>
      </c>
    </row>
    <row r="3388">
      <c r="A3388" s="75">
        <v>3382.0</v>
      </c>
      <c r="B3388" s="62" t="s">
        <v>2090</v>
      </c>
      <c r="C3388" s="62" t="s">
        <v>104</v>
      </c>
      <c r="D3388" s="62" t="s">
        <v>2106</v>
      </c>
      <c r="E3388" s="76">
        <v>44056.0</v>
      </c>
      <c r="F3388" s="77">
        <v>0.14583333333333334</v>
      </c>
      <c r="G3388" s="62" t="b">
        <v>1</v>
      </c>
      <c r="H3388" s="78" t="b">
        <f>IF(VLOOKUP(C3388,Projetos!A:L,12,false)=TRUE,TRUE,FALSE)</f>
        <v>1</v>
      </c>
      <c r="I3388" s="68">
        <v>87.89016574074073</v>
      </c>
      <c r="J3388" s="68">
        <f t="shared" si="1"/>
        <v>307.6155801</v>
      </c>
      <c r="K3388" s="68" t="b">
        <v>1</v>
      </c>
    </row>
    <row r="3389">
      <c r="A3389" s="75">
        <v>3383.0</v>
      </c>
      <c r="B3389" s="62" t="s">
        <v>2090</v>
      </c>
      <c r="C3389" s="62" t="s">
        <v>104</v>
      </c>
      <c r="D3389" s="62" t="s">
        <v>2107</v>
      </c>
      <c r="E3389" s="76">
        <v>44057.0</v>
      </c>
      <c r="F3389" s="77">
        <v>0.23958333333333334</v>
      </c>
      <c r="G3389" s="62" t="b">
        <v>1</v>
      </c>
      <c r="H3389" s="78" t="b">
        <f>IF(VLOOKUP(C3389,Projetos!A:L,12,false)=TRUE,TRUE,FALSE)</f>
        <v>1</v>
      </c>
      <c r="I3389" s="68">
        <v>87.89016574074073</v>
      </c>
      <c r="J3389" s="68">
        <f t="shared" si="1"/>
        <v>505.368453</v>
      </c>
      <c r="K3389" s="68" t="b">
        <v>1</v>
      </c>
    </row>
    <row r="3390">
      <c r="A3390" s="75">
        <v>3384.0</v>
      </c>
      <c r="B3390" s="62" t="s">
        <v>2090</v>
      </c>
      <c r="C3390" s="62" t="s">
        <v>104</v>
      </c>
      <c r="D3390" s="62" t="s">
        <v>2107</v>
      </c>
      <c r="E3390" s="76">
        <v>44060.0</v>
      </c>
      <c r="F3390" s="77">
        <v>0.25</v>
      </c>
      <c r="G3390" s="62" t="b">
        <v>1</v>
      </c>
      <c r="H3390" s="78" t="b">
        <f>IF(VLOOKUP(C3390,Projetos!A:L,12,false)=TRUE,TRUE,FALSE)</f>
        <v>1</v>
      </c>
      <c r="I3390" s="68">
        <v>87.89016574074073</v>
      </c>
      <c r="J3390" s="68">
        <f t="shared" si="1"/>
        <v>527.3409944</v>
      </c>
      <c r="K3390" s="68" t="b">
        <v>1</v>
      </c>
    </row>
    <row r="3391">
      <c r="A3391" s="75">
        <v>3385.0</v>
      </c>
      <c r="B3391" s="62" t="s">
        <v>2090</v>
      </c>
      <c r="C3391" s="62" t="s">
        <v>104</v>
      </c>
      <c r="D3391" s="62" t="s">
        <v>2107</v>
      </c>
      <c r="E3391" s="76">
        <v>44061.0</v>
      </c>
      <c r="F3391" s="77">
        <v>0.23958333333333334</v>
      </c>
      <c r="G3391" s="62" t="b">
        <v>1</v>
      </c>
      <c r="H3391" s="78" t="b">
        <f>IF(VLOOKUP(C3391,Projetos!A:L,12,false)=TRUE,TRUE,FALSE)</f>
        <v>1</v>
      </c>
      <c r="I3391" s="68">
        <v>87.89016574074073</v>
      </c>
      <c r="J3391" s="68">
        <f t="shared" si="1"/>
        <v>505.368453</v>
      </c>
      <c r="K3391" s="68" t="b">
        <v>1</v>
      </c>
    </row>
    <row r="3392">
      <c r="A3392" s="75">
        <v>3386.0</v>
      </c>
      <c r="B3392" s="62" t="s">
        <v>2090</v>
      </c>
      <c r="C3392" s="62" t="s">
        <v>104</v>
      </c>
      <c r="D3392" s="62" t="s">
        <v>2107</v>
      </c>
      <c r="E3392" s="76">
        <v>44062.0</v>
      </c>
      <c r="F3392" s="77">
        <v>0.16666666666666666</v>
      </c>
      <c r="G3392" s="62" t="b">
        <v>1</v>
      </c>
      <c r="H3392" s="78" t="b">
        <f>IF(VLOOKUP(C3392,Projetos!A:L,12,false)=TRUE,TRUE,FALSE)</f>
        <v>1</v>
      </c>
      <c r="I3392" s="68">
        <v>87.89016574074073</v>
      </c>
      <c r="J3392" s="68">
        <f t="shared" si="1"/>
        <v>351.560663</v>
      </c>
      <c r="K3392" s="68" t="b">
        <v>1</v>
      </c>
    </row>
    <row r="3393" hidden="1">
      <c r="A3393" s="75">
        <v>3387.0</v>
      </c>
      <c r="B3393" s="62" t="s">
        <v>2090</v>
      </c>
      <c r="C3393" s="62" t="s">
        <v>110</v>
      </c>
      <c r="D3393" s="62" t="s">
        <v>745</v>
      </c>
      <c r="E3393" s="76">
        <v>44067.0</v>
      </c>
      <c r="F3393" s="77">
        <v>0.052083333333333336</v>
      </c>
      <c r="G3393" s="62" t="b">
        <v>1</v>
      </c>
      <c r="H3393" s="78" t="b">
        <f>IF(VLOOKUP(C3393,Projetos!A:L,12,false)=TRUE,TRUE,FALSE)</f>
        <v>1</v>
      </c>
      <c r="I3393" s="68">
        <v>87.89016574074073</v>
      </c>
      <c r="J3393" s="68">
        <f t="shared" si="1"/>
        <v>109.8627072</v>
      </c>
      <c r="K3393" s="68" t="b">
        <v>1</v>
      </c>
    </row>
    <row r="3394" hidden="1">
      <c r="A3394" s="75">
        <v>3388.0</v>
      </c>
      <c r="B3394" s="62" t="s">
        <v>2090</v>
      </c>
      <c r="C3394" s="62" t="s">
        <v>112</v>
      </c>
      <c r="D3394" s="62" t="s">
        <v>750</v>
      </c>
      <c r="E3394" s="76">
        <v>44067.0</v>
      </c>
      <c r="F3394" s="77">
        <v>0.08333333333333333</v>
      </c>
      <c r="G3394" s="62" t="b">
        <v>1</v>
      </c>
      <c r="H3394" s="78" t="b">
        <f>IF(VLOOKUP(C3394,Projetos!A:L,12,false)=TRUE,TRUE,FALSE)</f>
        <v>1</v>
      </c>
      <c r="I3394" s="68">
        <v>87.89016574074073</v>
      </c>
      <c r="J3394" s="68">
        <f t="shared" si="1"/>
        <v>175.7803315</v>
      </c>
      <c r="K3394" s="68" t="b">
        <v>1</v>
      </c>
    </row>
    <row r="3395">
      <c r="A3395" s="75">
        <v>3389.0</v>
      </c>
      <c r="B3395" s="62" t="s">
        <v>2090</v>
      </c>
      <c r="C3395" s="62" t="s">
        <v>104</v>
      </c>
      <c r="D3395" s="62" t="s">
        <v>2107</v>
      </c>
      <c r="E3395" s="76">
        <v>44068.0</v>
      </c>
      <c r="F3395" s="77">
        <v>0.08333333333333333</v>
      </c>
      <c r="G3395" s="62" t="b">
        <v>1</v>
      </c>
      <c r="H3395" s="78" t="b">
        <f>IF(VLOOKUP(C3395,Projetos!A:L,12,false)=TRUE,TRUE,FALSE)</f>
        <v>1</v>
      </c>
      <c r="I3395" s="68">
        <v>87.89016574074073</v>
      </c>
      <c r="J3395" s="68">
        <f t="shared" si="1"/>
        <v>175.7803315</v>
      </c>
      <c r="K3395" s="68" t="b">
        <v>1</v>
      </c>
    </row>
    <row r="3396" hidden="1">
      <c r="A3396" s="75">
        <v>3390.0</v>
      </c>
      <c r="B3396" s="62" t="s">
        <v>2090</v>
      </c>
      <c r="C3396" s="62" t="s">
        <v>110</v>
      </c>
      <c r="D3396" s="62" t="s">
        <v>745</v>
      </c>
      <c r="E3396" s="76">
        <v>44069.0</v>
      </c>
      <c r="F3396" s="77">
        <v>0.052083333333333336</v>
      </c>
      <c r="G3396" s="62" t="b">
        <v>1</v>
      </c>
      <c r="H3396" s="78" t="b">
        <f>IF(VLOOKUP(C3396,Projetos!A:L,12,false)=TRUE,TRUE,FALSE)</f>
        <v>1</v>
      </c>
      <c r="I3396" s="68">
        <v>87.89016574074073</v>
      </c>
      <c r="J3396" s="68">
        <f t="shared" si="1"/>
        <v>109.8627072</v>
      </c>
      <c r="K3396" s="68" t="b">
        <v>1</v>
      </c>
    </row>
    <row r="3397">
      <c r="A3397" s="75">
        <v>3391.0</v>
      </c>
      <c r="B3397" s="62" t="s">
        <v>2090</v>
      </c>
      <c r="C3397" s="62" t="s">
        <v>104</v>
      </c>
      <c r="D3397" s="62" t="s">
        <v>2108</v>
      </c>
      <c r="E3397" s="76">
        <v>44069.0</v>
      </c>
      <c r="F3397" s="77">
        <v>0.125</v>
      </c>
      <c r="G3397" s="62" t="b">
        <v>1</v>
      </c>
      <c r="H3397" s="78" t="b">
        <f>IF(VLOOKUP(C3397,Projetos!A:L,12,false)=TRUE,TRUE,FALSE)</f>
        <v>1</v>
      </c>
      <c r="I3397" s="68">
        <v>87.89016574074073</v>
      </c>
      <c r="J3397" s="68">
        <f t="shared" si="1"/>
        <v>263.6704972</v>
      </c>
      <c r="K3397" s="68" t="b">
        <v>1</v>
      </c>
    </row>
    <row r="3398">
      <c r="A3398" s="75">
        <v>3392.0</v>
      </c>
      <c r="B3398" s="62" t="s">
        <v>2090</v>
      </c>
      <c r="C3398" s="62" t="s">
        <v>104</v>
      </c>
      <c r="D3398" s="62" t="s">
        <v>2108</v>
      </c>
      <c r="E3398" s="76">
        <v>44070.0</v>
      </c>
      <c r="F3398" s="77">
        <v>0.07291666666666667</v>
      </c>
      <c r="G3398" s="62" t="b">
        <v>1</v>
      </c>
      <c r="H3398" s="78" t="b">
        <f>IF(VLOOKUP(C3398,Projetos!A:L,12,false)=TRUE,TRUE,FALSE)</f>
        <v>1</v>
      </c>
      <c r="I3398" s="68">
        <v>87.89016574074073</v>
      </c>
      <c r="J3398" s="68">
        <f t="shared" si="1"/>
        <v>153.80779</v>
      </c>
      <c r="K3398" s="68" t="b">
        <v>1</v>
      </c>
    </row>
    <row r="3399" hidden="1">
      <c r="A3399" s="75">
        <v>3393.0</v>
      </c>
      <c r="B3399" s="62" t="s">
        <v>2090</v>
      </c>
      <c r="C3399" s="62" t="s">
        <v>110</v>
      </c>
      <c r="D3399" s="62" t="s">
        <v>745</v>
      </c>
      <c r="E3399" s="76">
        <v>44070.0</v>
      </c>
      <c r="F3399" s="77">
        <v>0.0625</v>
      </c>
      <c r="G3399" s="62" t="b">
        <v>1</v>
      </c>
      <c r="H3399" s="78" t="b">
        <f>IF(VLOOKUP(C3399,Projetos!A:L,12,false)=TRUE,TRUE,FALSE)</f>
        <v>1</v>
      </c>
      <c r="I3399" s="68">
        <v>87.89016574074073</v>
      </c>
      <c r="J3399" s="68">
        <f t="shared" si="1"/>
        <v>131.8352486</v>
      </c>
      <c r="K3399" s="68" t="b">
        <v>1</v>
      </c>
    </row>
    <row r="3400">
      <c r="A3400" s="75">
        <v>3394.0</v>
      </c>
      <c r="B3400" s="62" t="s">
        <v>2090</v>
      </c>
      <c r="C3400" s="62" t="s">
        <v>104</v>
      </c>
      <c r="D3400" s="62" t="s">
        <v>2108</v>
      </c>
      <c r="E3400" s="76">
        <v>44074.0</v>
      </c>
      <c r="F3400" s="77">
        <v>0.40625</v>
      </c>
      <c r="G3400" s="62" t="b">
        <v>1</v>
      </c>
      <c r="H3400" s="78" t="b">
        <f>IF(VLOOKUP(C3400,Projetos!A:L,12,false)=TRUE,TRUE,FALSE)</f>
        <v>1</v>
      </c>
      <c r="I3400" s="68">
        <v>87.89016574074073</v>
      </c>
      <c r="J3400" s="68">
        <f t="shared" si="1"/>
        <v>856.929116</v>
      </c>
      <c r="K3400" s="68" t="b">
        <v>1</v>
      </c>
    </row>
    <row r="3401" hidden="1">
      <c r="A3401" s="75">
        <v>3395.0</v>
      </c>
      <c r="B3401" s="62" t="s">
        <v>2090</v>
      </c>
      <c r="C3401" s="62" t="s">
        <v>84</v>
      </c>
      <c r="D3401" s="62" t="s">
        <v>1289</v>
      </c>
      <c r="E3401" s="76">
        <v>44046.0</v>
      </c>
      <c r="F3401" s="77">
        <v>0.041666666666666664</v>
      </c>
      <c r="G3401" s="62" t="b">
        <v>1</v>
      </c>
      <c r="H3401" s="78" t="b">
        <f>IF(VLOOKUP(C3401,Projetos!A:L,12,false)=TRUE,TRUE,FALSE)</f>
        <v>1</v>
      </c>
      <c r="I3401" s="68">
        <v>87.89016574074073</v>
      </c>
      <c r="J3401" s="68">
        <f t="shared" si="1"/>
        <v>87.89016574</v>
      </c>
      <c r="K3401" s="68" t="b">
        <v>1</v>
      </c>
    </row>
    <row r="3402" hidden="1">
      <c r="A3402" s="75">
        <v>3396.0</v>
      </c>
      <c r="B3402" s="62" t="s">
        <v>2090</v>
      </c>
      <c r="C3402" s="62" t="s">
        <v>84</v>
      </c>
      <c r="D3402" s="62" t="s">
        <v>1289</v>
      </c>
      <c r="E3402" s="76">
        <v>44047.0</v>
      </c>
      <c r="F3402" s="77">
        <v>0.041666666666666664</v>
      </c>
      <c r="G3402" s="62" t="b">
        <v>1</v>
      </c>
      <c r="H3402" s="78" t="b">
        <f>IF(VLOOKUP(C3402,Projetos!A:L,12,false)=TRUE,TRUE,FALSE)</f>
        <v>1</v>
      </c>
      <c r="I3402" s="68">
        <v>87.89016574074073</v>
      </c>
      <c r="J3402" s="68">
        <f t="shared" si="1"/>
        <v>87.89016574</v>
      </c>
      <c r="K3402" s="68" t="b">
        <v>1</v>
      </c>
    </row>
    <row r="3403" hidden="1">
      <c r="A3403" s="75">
        <v>3397.0</v>
      </c>
      <c r="B3403" s="62" t="s">
        <v>2090</v>
      </c>
      <c r="C3403" s="62" t="s">
        <v>84</v>
      </c>
      <c r="D3403" s="62" t="s">
        <v>1289</v>
      </c>
      <c r="E3403" s="76">
        <v>44048.0</v>
      </c>
      <c r="F3403" s="77">
        <v>0.041666666666666664</v>
      </c>
      <c r="G3403" s="62" t="b">
        <v>1</v>
      </c>
      <c r="H3403" s="78" t="b">
        <f>IF(VLOOKUP(C3403,Projetos!A:L,12,false)=TRUE,TRUE,FALSE)</f>
        <v>1</v>
      </c>
      <c r="I3403" s="68">
        <v>87.89016574074073</v>
      </c>
      <c r="J3403" s="68">
        <f t="shared" si="1"/>
        <v>87.89016574</v>
      </c>
      <c r="K3403" s="68" t="b">
        <v>1</v>
      </c>
    </row>
    <row r="3404" hidden="1">
      <c r="A3404" s="75">
        <v>3398.0</v>
      </c>
      <c r="B3404" s="62" t="s">
        <v>2090</v>
      </c>
      <c r="C3404" s="62" t="s">
        <v>101</v>
      </c>
      <c r="D3404" s="62" t="s">
        <v>1294</v>
      </c>
      <c r="E3404" s="76">
        <v>44048.0</v>
      </c>
      <c r="F3404" s="77">
        <v>0.10416666666666667</v>
      </c>
      <c r="G3404" s="62" t="b">
        <v>1</v>
      </c>
      <c r="H3404" s="78" t="b">
        <f>IF(VLOOKUP(C3404,Projetos!A:L,12,false)=TRUE,TRUE,FALSE)</f>
        <v>1</v>
      </c>
      <c r="I3404" s="68">
        <v>87.89016574074073</v>
      </c>
      <c r="J3404" s="68">
        <f t="shared" si="1"/>
        <v>219.7254144</v>
      </c>
      <c r="K3404" s="68" t="b">
        <v>1</v>
      </c>
    </row>
    <row r="3405" hidden="1">
      <c r="A3405" s="75">
        <v>3399.0</v>
      </c>
      <c r="B3405" s="62" t="s">
        <v>2090</v>
      </c>
      <c r="C3405" s="62" t="s">
        <v>84</v>
      </c>
      <c r="D3405" s="62" t="s">
        <v>1289</v>
      </c>
      <c r="E3405" s="76">
        <v>44049.0</v>
      </c>
      <c r="F3405" s="77">
        <v>0.041666666666666664</v>
      </c>
      <c r="G3405" s="62" t="b">
        <v>1</v>
      </c>
      <c r="H3405" s="78" t="b">
        <f>IF(VLOOKUP(C3405,Projetos!A:L,12,false)=TRUE,TRUE,FALSE)</f>
        <v>1</v>
      </c>
      <c r="I3405" s="68">
        <v>87.89016574074073</v>
      </c>
      <c r="J3405" s="68">
        <f t="shared" si="1"/>
        <v>87.89016574</v>
      </c>
      <c r="K3405" s="68" t="b">
        <v>1</v>
      </c>
    </row>
    <row r="3406" hidden="1">
      <c r="A3406" s="75">
        <v>3400.0</v>
      </c>
      <c r="B3406" s="62" t="s">
        <v>2090</v>
      </c>
      <c r="C3406" s="62" t="s">
        <v>111</v>
      </c>
      <c r="D3406" s="62" t="s">
        <v>1295</v>
      </c>
      <c r="E3406" s="76">
        <v>44054.0</v>
      </c>
      <c r="F3406" s="77">
        <v>0.08333333333333333</v>
      </c>
      <c r="G3406" s="62" t="b">
        <v>0</v>
      </c>
      <c r="H3406" s="78" t="b">
        <f>IF(VLOOKUP(C3406,Projetos!A:L,12,false)=TRUE,TRUE,FALSE)</f>
        <v>0</v>
      </c>
      <c r="I3406" s="68">
        <v>87.89016574074073</v>
      </c>
      <c r="J3406" s="68">
        <f t="shared" si="1"/>
        <v>0</v>
      </c>
      <c r="K3406" s="68" t="b">
        <v>0</v>
      </c>
    </row>
    <row r="3407" hidden="1">
      <c r="A3407" s="75">
        <v>3401.0</v>
      </c>
      <c r="B3407" s="62" t="s">
        <v>2090</v>
      </c>
      <c r="C3407" s="62" t="s">
        <v>84</v>
      </c>
      <c r="D3407" s="62" t="s">
        <v>1289</v>
      </c>
      <c r="E3407" s="76">
        <v>44055.0</v>
      </c>
      <c r="F3407" s="77">
        <v>0.041666666666666664</v>
      </c>
      <c r="G3407" s="62" t="b">
        <v>1</v>
      </c>
      <c r="H3407" s="78" t="b">
        <f>IF(VLOOKUP(C3407,Projetos!A:L,12,false)=TRUE,TRUE,FALSE)</f>
        <v>1</v>
      </c>
      <c r="I3407" s="68">
        <v>87.89016574074073</v>
      </c>
      <c r="J3407" s="68">
        <f t="shared" si="1"/>
        <v>87.89016574</v>
      </c>
      <c r="K3407" s="68" t="b">
        <v>1</v>
      </c>
    </row>
    <row r="3408" hidden="1">
      <c r="A3408" s="75">
        <v>3402.0</v>
      </c>
      <c r="B3408" s="62" t="s">
        <v>2090</v>
      </c>
      <c r="C3408" s="62" t="s">
        <v>112</v>
      </c>
      <c r="D3408" s="62" t="s">
        <v>1289</v>
      </c>
      <c r="E3408" s="76">
        <v>44061.0</v>
      </c>
      <c r="F3408" s="77">
        <v>0.0625</v>
      </c>
      <c r="G3408" s="62" t="b">
        <v>1</v>
      </c>
      <c r="H3408" s="78" t="b">
        <f>IF(VLOOKUP(C3408,Projetos!A:L,12,false)=TRUE,TRUE,FALSE)</f>
        <v>1</v>
      </c>
      <c r="I3408" s="68">
        <v>87.89016574074073</v>
      </c>
      <c r="J3408" s="68">
        <f t="shared" si="1"/>
        <v>131.8352486</v>
      </c>
      <c r="K3408" s="68" t="b">
        <v>1</v>
      </c>
    </row>
    <row r="3409" hidden="1">
      <c r="A3409" s="75">
        <v>3403.0</v>
      </c>
      <c r="B3409" s="62" t="s">
        <v>2090</v>
      </c>
      <c r="C3409" s="62" t="s">
        <v>86</v>
      </c>
      <c r="D3409" s="62" t="s">
        <v>751</v>
      </c>
      <c r="E3409" s="76">
        <v>44075.0</v>
      </c>
      <c r="F3409" s="77">
        <v>0.2916666666666667</v>
      </c>
      <c r="G3409" s="62" t="b">
        <v>1</v>
      </c>
      <c r="H3409" s="78" t="b">
        <f>IF(VLOOKUP(C3409,Projetos!A:L,12,false)=TRUE,TRUE,FALSE)</f>
        <v>1</v>
      </c>
      <c r="I3409" s="68">
        <v>101.93749081439391</v>
      </c>
      <c r="J3409" s="68">
        <f t="shared" si="1"/>
        <v>713.5624357</v>
      </c>
      <c r="K3409" s="68" t="b">
        <v>1</v>
      </c>
    </row>
    <row r="3410" hidden="1">
      <c r="A3410" s="75">
        <v>3404.0</v>
      </c>
      <c r="B3410" s="62" t="s">
        <v>2090</v>
      </c>
      <c r="C3410" s="62" t="s">
        <v>86</v>
      </c>
      <c r="D3410" s="62" t="s">
        <v>751</v>
      </c>
      <c r="E3410" s="76">
        <v>44076.0</v>
      </c>
      <c r="F3410" s="77">
        <v>0.08333333333333333</v>
      </c>
      <c r="G3410" s="62" t="b">
        <v>1</v>
      </c>
      <c r="H3410" s="78" t="b">
        <f>IF(VLOOKUP(C3410,Projetos!A:L,12,false)=TRUE,TRUE,FALSE)</f>
        <v>1</v>
      </c>
      <c r="I3410" s="68">
        <v>101.93749081439391</v>
      </c>
      <c r="J3410" s="68">
        <f t="shared" si="1"/>
        <v>203.8749816</v>
      </c>
      <c r="K3410" s="68" t="b">
        <v>1</v>
      </c>
    </row>
    <row r="3411" hidden="1">
      <c r="A3411" s="75">
        <v>3405.0</v>
      </c>
      <c r="B3411" s="62" t="s">
        <v>2090</v>
      </c>
      <c r="C3411" s="62" t="s">
        <v>86</v>
      </c>
      <c r="D3411" s="62" t="s">
        <v>751</v>
      </c>
      <c r="E3411" s="76">
        <v>44077.0</v>
      </c>
      <c r="F3411" s="77">
        <v>0.08333333333333333</v>
      </c>
      <c r="G3411" s="62" t="b">
        <v>1</v>
      </c>
      <c r="H3411" s="78" t="b">
        <f>IF(VLOOKUP(C3411,Projetos!A:L,12,false)=TRUE,TRUE,FALSE)</f>
        <v>1</v>
      </c>
      <c r="I3411" s="68">
        <v>101.93749081439391</v>
      </c>
      <c r="J3411" s="68">
        <f t="shared" si="1"/>
        <v>203.8749816</v>
      </c>
      <c r="K3411" s="68" t="b">
        <v>1</v>
      </c>
    </row>
    <row r="3412" hidden="1">
      <c r="A3412" s="75">
        <v>3406.0</v>
      </c>
      <c r="B3412" s="62" t="s">
        <v>2090</v>
      </c>
      <c r="C3412" s="62" t="s">
        <v>86</v>
      </c>
      <c r="D3412" s="62" t="s">
        <v>2109</v>
      </c>
      <c r="E3412" s="76">
        <v>44081.0</v>
      </c>
      <c r="F3412" s="77">
        <v>0.4527777777777778</v>
      </c>
      <c r="G3412" s="62" t="b">
        <v>1</v>
      </c>
      <c r="H3412" s="78" t="b">
        <f>IF(VLOOKUP(C3412,Projetos!A:L,12,false)=TRUE,TRUE,FALSE)</f>
        <v>1</v>
      </c>
      <c r="I3412" s="68">
        <v>101.93749081439391</v>
      </c>
      <c r="J3412" s="68">
        <f t="shared" si="1"/>
        <v>1107.720734</v>
      </c>
      <c r="K3412" s="68" t="b">
        <v>1</v>
      </c>
    </row>
    <row r="3413" hidden="1">
      <c r="A3413" s="75">
        <v>3407.0</v>
      </c>
      <c r="B3413" s="62" t="s">
        <v>2090</v>
      </c>
      <c r="C3413" s="62" t="s">
        <v>86</v>
      </c>
      <c r="D3413" s="62" t="s">
        <v>2109</v>
      </c>
      <c r="E3413" s="76">
        <v>44082.0</v>
      </c>
      <c r="F3413" s="77">
        <v>0.4236111111111111</v>
      </c>
      <c r="G3413" s="62" t="b">
        <v>1</v>
      </c>
      <c r="H3413" s="78" t="b">
        <f>IF(VLOOKUP(C3413,Projetos!A:L,12,false)=TRUE,TRUE,FALSE)</f>
        <v>1</v>
      </c>
      <c r="I3413" s="68">
        <v>101.93749081439391</v>
      </c>
      <c r="J3413" s="68">
        <f t="shared" si="1"/>
        <v>1036.36449</v>
      </c>
      <c r="K3413" s="68" t="b">
        <v>1</v>
      </c>
    </row>
    <row r="3414" hidden="1">
      <c r="A3414" s="75">
        <v>3408.0</v>
      </c>
      <c r="B3414" s="62" t="s">
        <v>2090</v>
      </c>
      <c r="C3414" s="62" t="s">
        <v>85</v>
      </c>
      <c r="D3414" s="62" t="s">
        <v>2110</v>
      </c>
      <c r="E3414" s="76">
        <v>44091.0</v>
      </c>
      <c r="F3414" s="77">
        <v>0.35347222222222224</v>
      </c>
      <c r="G3414" s="62" t="b">
        <v>1</v>
      </c>
      <c r="H3414" s="78" t="b">
        <f>IF(VLOOKUP(C3414,Projetos!A:L,12,false)=TRUE,TRUE,FALSE)</f>
        <v>1</v>
      </c>
      <c r="I3414" s="68">
        <v>101.93749081439391</v>
      </c>
      <c r="J3414" s="68">
        <f t="shared" si="1"/>
        <v>864.7697137</v>
      </c>
      <c r="K3414" s="68" t="b">
        <v>1</v>
      </c>
    </row>
    <row r="3415" hidden="1">
      <c r="A3415" s="75">
        <v>3409.0</v>
      </c>
      <c r="B3415" s="62" t="s">
        <v>2090</v>
      </c>
      <c r="C3415" s="62" t="s">
        <v>85</v>
      </c>
      <c r="D3415" s="62" t="s">
        <v>1299</v>
      </c>
      <c r="E3415" s="76">
        <v>44093.0</v>
      </c>
      <c r="F3415" s="77">
        <v>0.4527777777777778</v>
      </c>
      <c r="G3415" s="62" t="b">
        <v>1</v>
      </c>
      <c r="H3415" s="78" t="b">
        <f>IF(VLOOKUP(C3415,Projetos!A:L,12,false)=TRUE,TRUE,FALSE)</f>
        <v>1</v>
      </c>
      <c r="I3415" s="68">
        <v>101.93749081439391</v>
      </c>
      <c r="J3415" s="68">
        <f t="shared" si="1"/>
        <v>1107.720734</v>
      </c>
      <c r="K3415" s="68" t="b">
        <v>1</v>
      </c>
    </row>
    <row r="3416" hidden="1">
      <c r="A3416" s="75">
        <v>3410.0</v>
      </c>
      <c r="B3416" s="62" t="s">
        <v>2090</v>
      </c>
      <c r="C3416" s="62" t="s">
        <v>85</v>
      </c>
      <c r="D3416" s="62" t="s">
        <v>1299</v>
      </c>
      <c r="E3416" s="76">
        <v>44094.0</v>
      </c>
      <c r="F3416" s="77">
        <v>0.4236111111111111</v>
      </c>
      <c r="G3416" s="62" t="b">
        <v>1</v>
      </c>
      <c r="H3416" s="78" t="b">
        <f>IF(VLOOKUP(C3416,Projetos!A:L,12,false)=TRUE,TRUE,FALSE)</f>
        <v>1</v>
      </c>
      <c r="I3416" s="68">
        <v>101.93749081439391</v>
      </c>
      <c r="J3416" s="68">
        <f t="shared" si="1"/>
        <v>1036.36449</v>
      </c>
      <c r="K3416" s="68" t="b">
        <v>1</v>
      </c>
    </row>
    <row r="3417" hidden="1">
      <c r="A3417" s="75">
        <v>3411.0</v>
      </c>
      <c r="B3417" s="62" t="s">
        <v>2090</v>
      </c>
      <c r="C3417" s="62" t="s">
        <v>85</v>
      </c>
      <c r="D3417" s="62" t="s">
        <v>1299</v>
      </c>
      <c r="E3417" s="76">
        <v>44095.0</v>
      </c>
      <c r="F3417" s="77">
        <v>0.35347222222222224</v>
      </c>
      <c r="G3417" s="62" t="b">
        <v>1</v>
      </c>
      <c r="H3417" s="78" t="b">
        <f>IF(VLOOKUP(C3417,Projetos!A:L,12,false)=TRUE,TRUE,FALSE)</f>
        <v>1</v>
      </c>
      <c r="I3417" s="68">
        <v>101.93749081439391</v>
      </c>
      <c r="J3417" s="68">
        <f t="shared" si="1"/>
        <v>864.7697137</v>
      </c>
      <c r="K3417" s="68" t="b">
        <v>1</v>
      </c>
    </row>
    <row r="3418" hidden="1">
      <c r="A3418" s="75">
        <v>3412.0</v>
      </c>
      <c r="B3418" s="62" t="s">
        <v>2090</v>
      </c>
      <c r="C3418" s="62" t="s">
        <v>85</v>
      </c>
      <c r="D3418" s="62" t="s">
        <v>2109</v>
      </c>
      <c r="E3418" s="76">
        <v>44096.0</v>
      </c>
      <c r="F3418" s="77">
        <v>0.15625</v>
      </c>
      <c r="G3418" s="62" t="b">
        <v>1</v>
      </c>
      <c r="H3418" s="78" t="b">
        <f>IF(VLOOKUP(C3418,Projetos!A:L,12,false)=TRUE,TRUE,FALSE)</f>
        <v>1</v>
      </c>
      <c r="I3418" s="68">
        <v>101.93749081439391</v>
      </c>
      <c r="J3418" s="68">
        <f t="shared" si="1"/>
        <v>382.2655906</v>
      </c>
      <c r="K3418" s="68" t="b">
        <v>1</v>
      </c>
    </row>
    <row r="3419">
      <c r="A3419" s="75">
        <v>3413.0</v>
      </c>
      <c r="B3419" s="62" t="s">
        <v>2090</v>
      </c>
      <c r="C3419" s="62" t="s">
        <v>104</v>
      </c>
      <c r="D3419" s="62" t="s">
        <v>2111</v>
      </c>
      <c r="E3419" s="76">
        <v>44097.0</v>
      </c>
      <c r="F3419" s="77">
        <v>0.4583333333333333</v>
      </c>
      <c r="G3419" s="62" t="b">
        <v>1</v>
      </c>
      <c r="H3419" s="78" t="b">
        <f>IF(VLOOKUP(C3419,Projetos!A:L,12,false)=TRUE,TRUE,FALSE)</f>
        <v>1</v>
      </c>
      <c r="I3419" s="68">
        <v>101.93749081439391</v>
      </c>
      <c r="J3419" s="68">
        <f t="shared" si="1"/>
        <v>1121.312399</v>
      </c>
      <c r="K3419" s="68" t="b">
        <v>1</v>
      </c>
    </row>
    <row r="3420" hidden="1">
      <c r="A3420" s="75">
        <v>3414.0</v>
      </c>
      <c r="B3420" s="62" t="s">
        <v>2090</v>
      </c>
      <c r="C3420" s="62" t="s">
        <v>85</v>
      </c>
      <c r="D3420" s="62" t="s">
        <v>2109</v>
      </c>
      <c r="E3420" s="76">
        <v>44097.0</v>
      </c>
      <c r="F3420" s="77">
        <v>0.15625</v>
      </c>
      <c r="G3420" s="62" t="b">
        <v>1</v>
      </c>
      <c r="H3420" s="78" t="b">
        <f>IF(VLOOKUP(C3420,Projetos!A:L,12,false)=TRUE,TRUE,FALSE)</f>
        <v>1</v>
      </c>
      <c r="I3420" s="68">
        <v>101.93749081439391</v>
      </c>
      <c r="J3420" s="68">
        <f t="shared" si="1"/>
        <v>382.2655906</v>
      </c>
      <c r="K3420" s="68" t="b">
        <v>1</v>
      </c>
    </row>
    <row r="3421" hidden="1">
      <c r="A3421" s="75">
        <v>3415.0</v>
      </c>
      <c r="B3421" s="62" t="s">
        <v>2090</v>
      </c>
      <c r="C3421" s="62" t="s">
        <v>85</v>
      </c>
      <c r="D3421" s="62" t="s">
        <v>2109</v>
      </c>
      <c r="E3421" s="76">
        <v>44097.0</v>
      </c>
      <c r="F3421" s="77">
        <v>0.15625</v>
      </c>
      <c r="G3421" s="62" t="b">
        <v>1</v>
      </c>
      <c r="H3421" s="78" t="b">
        <f>IF(VLOOKUP(C3421,Projetos!A:L,12,false)=TRUE,TRUE,FALSE)</f>
        <v>1</v>
      </c>
      <c r="I3421" s="68">
        <v>101.93749081439391</v>
      </c>
      <c r="J3421" s="68">
        <f t="shared" si="1"/>
        <v>382.2655906</v>
      </c>
      <c r="K3421" s="68" t="b">
        <v>1</v>
      </c>
    </row>
    <row r="3422" hidden="1">
      <c r="A3422" s="75">
        <v>3416.0</v>
      </c>
      <c r="B3422" s="62" t="s">
        <v>2090</v>
      </c>
      <c r="C3422" s="62" t="s">
        <v>85</v>
      </c>
      <c r="D3422" s="62" t="s">
        <v>2109</v>
      </c>
      <c r="E3422" s="76">
        <v>44098.0</v>
      </c>
      <c r="F3422" s="77">
        <v>0.15625</v>
      </c>
      <c r="G3422" s="62" t="b">
        <v>1</v>
      </c>
      <c r="H3422" s="78" t="b">
        <f>IF(VLOOKUP(C3422,Projetos!A:L,12,false)=TRUE,TRUE,FALSE)</f>
        <v>1</v>
      </c>
      <c r="I3422" s="68">
        <v>101.93749081439391</v>
      </c>
      <c r="J3422" s="68">
        <f t="shared" si="1"/>
        <v>382.2655906</v>
      </c>
      <c r="K3422" s="68" t="b">
        <v>1</v>
      </c>
    </row>
    <row r="3423" hidden="1">
      <c r="A3423" s="75">
        <v>3417.0</v>
      </c>
      <c r="B3423" s="62" t="s">
        <v>2090</v>
      </c>
      <c r="C3423" s="62" t="s">
        <v>85</v>
      </c>
      <c r="D3423" s="62" t="s">
        <v>2109</v>
      </c>
      <c r="E3423" s="76">
        <v>44099.0</v>
      </c>
      <c r="F3423" s="77">
        <v>0.15625</v>
      </c>
      <c r="G3423" s="62" t="b">
        <v>1</v>
      </c>
      <c r="H3423" s="78" t="b">
        <f>IF(VLOOKUP(C3423,Projetos!A:L,12,false)=TRUE,TRUE,FALSE)</f>
        <v>1</v>
      </c>
      <c r="I3423" s="68">
        <v>101.93749081439391</v>
      </c>
      <c r="J3423" s="68">
        <f t="shared" si="1"/>
        <v>382.2655906</v>
      </c>
      <c r="K3423" s="68" t="b">
        <v>1</v>
      </c>
    </row>
    <row r="3424" hidden="1">
      <c r="A3424" s="75">
        <v>3418.0</v>
      </c>
      <c r="B3424" s="62" t="s">
        <v>2090</v>
      </c>
      <c r="C3424" s="62" t="s">
        <v>85</v>
      </c>
      <c r="D3424" s="62" t="s">
        <v>2109</v>
      </c>
      <c r="E3424" s="76">
        <v>44102.0</v>
      </c>
      <c r="F3424" s="77">
        <v>0.15625</v>
      </c>
      <c r="G3424" s="62" t="b">
        <v>1</v>
      </c>
      <c r="H3424" s="78" t="b">
        <f>IF(VLOOKUP(C3424,Projetos!A:L,12,false)=TRUE,TRUE,FALSE)</f>
        <v>1</v>
      </c>
      <c r="I3424" s="68">
        <v>101.93749081439391</v>
      </c>
      <c r="J3424" s="68">
        <f t="shared" si="1"/>
        <v>382.2655906</v>
      </c>
      <c r="K3424" s="68" t="b">
        <v>1</v>
      </c>
    </row>
    <row r="3425" hidden="1">
      <c r="A3425" s="75">
        <v>3419.0</v>
      </c>
      <c r="B3425" s="62" t="s">
        <v>2090</v>
      </c>
      <c r="C3425" s="62" t="s">
        <v>85</v>
      </c>
      <c r="D3425" s="62" t="s">
        <v>2109</v>
      </c>
      <c r="E3425" s="76">
        <v>44103.0</v>
      </c>
      <c r="F3425" s="77">
        <v>0.15625</v>
      </c>
      <c r="G3425" s="62" t="b">
        <v>1</v>
      </c>
      <c r="H3425" s="78" t="b">
        <f>IF(VLOOKUP(C3425,Projetos!A:L,12,false)=TRUE,TRUE,FALSE)</f>
        <v>1</v>
      </c>
      <c r="I3425" s="68">
        <v>101.93749081439391</v>
      </c>
      <c r="J3425" s="68">
        <f t="shared" si="1"/>
        <v>382.2655906</v>
      </c>
      <c r="K3425" s="68" t="b">
        <v>1</v>
      </c>
    </row>
    <row r="3426" hidden="1">
      <c r="A3426" s="75">
        <v>3420.0</v>
      </c>
      <c r="B3426" s="62" t="s">
        <v>2090</v>
      </c>
      <c r="C3426" s="62" t="s">
        <v>85</v>
      </c>
      <c r="D3426" s="62" t="s">
        <v>2109</v>
      </c>
      <c r="E3426" s="76">
        <v>44103.0</v>
      </c>
      <c r="F3426" s="77">
        <v>0.15625</v>
      </c>
      <c r="G3426" s="62" t="b">
        <v>1</v>
      </c>
      <c r="H3426" s="78" t="b">
        <f>IF(VLOOKUP(C3426,Projetos!A:L,12,false)=TRUE,TRUE,FALSE)</f>
        <v>1</v>
      </c>
      <c r="I3426" s="68">
        <v>101.93749081439391</v>
      </c>
      <c r="J3426" s="68">
        <f t="shared" si="1"/>
        <v>382.2655906</v>
      </c>
      <c r="K3426" s="68" t="b">
        <v>1</v>
      </c>
    </row>
    <row r="3427" hidden="1">
      <c r="A3427" s="75">
        <v>3421.0</v>
      </c>
      <c r="B3427" s="62" t="s">
        <v>2090</v>
      </c>
      <c r="C3427" s="62" t="s">
        <v>85</v>
      </c>
      <c r="D3427" s="62" t="s">
        <v>2109</v>
      </c>
      <c r="E3427" s="76">
        <v>44104.0</v>
      </c>
      <c r="F3427" s="77">
        <v>0.19791666666666666</v>
      </c>
      <c r="G3427" s="62" t="b">
        <v>1</v>
      </c>
      <c r="H3427" s="78" t="b">
        <f>IF(VLOOKUP(C3427,Projetos!A:L,12,false)=TRUE,TRUE,FALSE)</f>
        <v>1</v>
      </c>
      <c r="I3427" s="68">
        <v>101.93749081439391</v>
      </c>
      <c r="J3427" s="68">
        <f t="shared" si="1"/>
        <v>484.2030814</v>
      </c>
      <c r="K3427" s="68" t="b">
        <v>1</v>
      </c>
    </row>
    <row r="3428" hidden="1">
      <c r="A3428" s="75">
        <v>3422.0</v>
      </c>
      <c r="B3428" s="62" t="s">
        <v>2090</v>
      </c>
      <c r="C3428" s="62" t="s">
        <v>85</v>
      </c>
      <c r="D3428" s="62" t="s">
        <v>2109</v>
      </c>
      <c r="E3428" s="76">
        <v>44105.0</v>
      </c>
      <c r="F3428" s="77">
        <v>0.15625</v>
      </c>
      <c r="G3428" s="62" t="b">
        <v>1</v>
      </c>
      <c r="H3428" s="78" t="b">
        <f>IF(VLOOKUP(C3428,Projetos!A:L,12,false)=TRUE,TRUE,FALSE)</f>
        <v>1</v>
      </c>
      <c r="I3428" s="68">
        <v>106.79165704365077</v>
      </c>
      <c r="J3428" s="68">
        <f t="shared" si="1"/>
        <v>400.4687139</v>
      </c>
      <c r="K3428" s="68" t="b">
        <v>1</v>
      </c>
    </row>
    <row r="3429" hidden="1">
      <c r="A3429" s="75">
        <v>3423.0</v>
      </c>
      <c r="B3429" s="62" t="s">
        <v>2090</v>
      </c>
      <c r="C3429" s="62" t="s">
        <v>85</v>
      </c>
      <c r="D3429" s="62" t="s">
        <v>2109</v>
      </c>
      <c r="E3429" s="76">
        <v>44106.0</v>
      </c>
      <c r="F3429" s="77">
        <v>0.15625</v>
      </c>
      <c r="G3429" s="62" t="b">
        <v>1</v>
      </c>
      <c r="H3429" s="78" t="b">
        <f>IF(VLOOKUP(C3429,Projetos!A:L,12,false)=TRUE,TRUE,FALSE)</f>
        <v>1</v>
      </c>
      <c r="I3429" s="68">
        <v>106.79165704365077</v>
      </c>
      <c r="J3429" s="68">
        <f t="shared" si="1"/>
        <v>400.4687139</v>
      </c>
      <c r="K3429" s="68" t="b">
        <v>1</v>
      </c>
    </row>
    <row r="3430" hidden="1">
      <c r="A3430" s="75">
        <v>3424.0</v>
      </c>
      <c r="B3430" s="62" t="s">
        <v>2090</v>
      </c>
      <c r="C3430" s="62" t="s">
        <v>85</v>
      </c>
      <c r="D3430" s="62" t="s">
        <v>2109</v>
      </c>
      <c r="E3430" s="76">
        <v>44109.0</v>
      </c>
      <c r="F3430" s="77">
        <v>0.15625</v>
      </c>
      <c r="G3430" s="62" t="b">
        <v>1</v>
      </c>
      <c r="H3430" s="78" t="b">
        <f>IF(VLOOKUP(C3430,Projetos!A:L,12,false)=TRUE,TRUE,FALSE)</f>
        <v>1</v>
      </c>
      <c r="I3430" s="68">
        <v>106.79165704365077</v>
      </c>
      <c r="J3430" s="68">
        <f t="shared" si="1"/>
        <v>400.4687139</v>
      </c>
      <c r="K3430" s="68" t="b">
        <v>1</v>
      </c>
    </row>
    <row r="3431" hidden="1">
      <c r="A3431" s="75">
        <v>3425.0</v>
      </c>
      <c r="B3431" s="62" t="s">
        <v>2090</v>
      </c>
      <c r="C3431" s="62" t="s">
        <v>85</v>
      </c>
      <c r="D3431" s="62" t="s">
        <v>2109</v>
      </c>
      <c r="E3431" s="76">
        <v>44110.0</v>
      </c>
      <c r="F3431" s="77">
        <v>0.15625</v>
      </c>
      <c r="G3431" s="62" t="b">
        <v>1</v>
      </c>
      <c r="H3431" s="78" t="b">
        <f>IF(VLOOKUP(C3431,Projetos!A:L,12,false)=TRUE,TRUE,FALSE)</f>
        <v>1</v>
      </c>
      <c r="I3431" s="68">
        <v>106.79165704365077</v>
      </c>
      <c r="J3431" s="68">
        <f t="shared" si="1"/>
        <v>400.4687139</v>
      </c>
      <c r="K3431" s="68" t="b">
        <v>1</v>
      </c>
    </row>
    <row r="3432">
      <c r="A3432" s="75">
        <v>3426.0</v>
      </c>
      <c r="B3432" s="62" t="s">
        <v>2090</v>
      </c>
      <c r="C3432" s="62" t="s">
        <v>104</v>
      </c>
      <c r="D3432" s="62" t="s">
        <v>2112</v>
      </c>
      <c r="E3432" s="76">
        <v>44111.0</v>
      </c>
      <c r="F3432" s="77">
        <v>0.15625</v>
      </c>
      <c r="G3432" s="62" t="b">
        <v>1</v>
      </c>
      <c r="H3432" s="78" t="b">
        <f>IF(VLOOKUP(C3432,Projetos!A:L,12,false)=TRUE,TRUE,FALSE)</f>
        <v>1</v>
      </c>
      <c r="I3432" s="68">
        <v>106.79165704365077</v>
      </c>
      <c r="J3432" s="68">
        <f t="shared" si="1"/>
        <v>400.4687139</v>
      </c>
      <c r="K3432" s="68" t="b">
        <v>1</v>
      </c>
    </row>
    <row r="3433" hidden="1">
      <c r="A3433" s="75">
        <v>3427.0</v>
      </c>
      <c r="B3433" s="62" t="s">
        <v>2090</v>
      </c>
      <c r="C3433" s="62" t="s">
        <v>85</v>
      </c>
      <c r="D3433" s="62" t="s">
        <v>2109</v>
      </c>
      <c r="E3433" s="76">
        <v>44112.0</v>
      </c>
      <c r="F3433" s="77">
        <v>0.15625</v>
      </c>
      <c r="G3433" s="62" t="b">
        <v>1</v>
      </c>
      <c r="H3433" s="78" t="b">
        <f>IF(VLOOKUP(C3433,Projetos!A:L,12,false)=TRUE,TRUE,FALSE)</f>
        <v>1</v>
      </c>
      <c r="I3433" s="68">
        <v>106.79165704365077</v>
      </c>
      <c r="J3433" s="68">
        <f t="shared" si="1"/>
        <v>400.4687139</v>
      </c>
      <c r="K3433" s="68" t="b">
        <v>1</v>
      </c>
    </row>
    <row r="3434" hidden="1">
      <c r="A3434" s="75">
        <v>3428.0</v>
      </c>
      <c r="B3434" s="62" t="s">
        <v>2090</v>
      </c>
      <c r="C3434" s="62" t="s">
        <v>85</v>
      </c>
      <c r="D3434" s="62" t="s">
        <v>2109</v>
      </c>
      <c r="E3434" s="76">
        <v>44113.0</v>
      </c>
      <c r="F3434" s="77">
        <v>0.15625</v>
      </c>
      <c r="G3434" s="62" t="b">
        <v>1</v>
      </c>
      <c r="H3434" s="78" t="b">
        <f>IF(VLOOKUP(C3434,Projetos!A:L,12,false)=TRUE,TRUE,FALSE)</f>
        <v>1</v>
      </c>
      <c r="I3434" s="68">
        <v>106.79165704365077</v>
      </c>
      <c r="J3434" s="68">
        <f t="shared" si="1"/>
        <v>400.4687139</v>
      </c>
      <c r="K3434" s="68" t="b">
        <v>1</v>
      </c>
    </row>
    <row r="3435" hidden="1">
      <c r="A3435" s="75">
        <v>3429.0</v>
      </c>
      <c r="B3435" s="62" t="s">
        <v>2090</v>
      </c>
      <c r="C3435" s="62" t="s">
        <v>85</v>
      </c>
      <c r="D3435" s="62" t="s">
        <v>2109</v>
      </c>
      <c r="E3435" s="76">
        <v>44116.0</v>
      </c>
      <c r="F3435" s="77">
        <v>0.15625</v>
      </c>
      <c r="G3435" s="62" t="b">
        <v>1</v>
      </c>
      <c r="H3435" s="78" t="b">
        <f>IF(VLOOKUP(C3435,Projetos!A:L,12,false)=TRUE,TRUE,FALSE)</f>
        <v>1</v>
      </c>
      <c r="I3435" s="68">
        <v>106.79165704365077</v>
      </c>
      <c r="J3435" s="68">
        <f t="shared" si="1"/>
        <v>400.4687139</v>
      </c>
      <c r="K3435" s="68" t="b">
        <v>1</v>
      </c>
    </row>
    <row r="3436" hidden="1">
      <c r="A3436" s="75">
        <v>3430.0</v>
      </c>
      <c r="B3436" s="62" t="s">
        <v>2090</v>
      </c>
      <c r="C3436" s="62" t="s">
        <v>85</v>
      </c>
      <c r="D3436" s="62" t="s">
        <v>2109</v>
      </c>
      <c r="E3436" s="76">
        <v>44117.0</v>
      </c>
      <c r="F3436" s="77">
        <v>0.15625</v>
      </c>
      <c r="G3436" s="62" t="b">
        <v>1</v>
      </c>
      <c r="H3436" s="78" t="b">
        <f>IF(VLOOKUP(C3436,Projetos!A:L,12,false)=TRUE,TRUE,FALSE)</f>
        <v>1</v>
      </c>
      <c r="I3436" s="68">
        <v>106.79165704365077</v>
      </c>
      <c r="J3436" s="68">
        <f t="shared" si="1"/>
        <v>400.4687139</v>
      </c>
      <c r="K3436" s="68" t="b">
        <v>1</v>
      </c>
    </row>
    <row r="3437" hidden="1">
      <c r="A3437" s="75">
        <v>3431.0</v>
      </c>
      <c r="B3437" s="62" t="s">
        <v>2090</v>
      </c>
      <c r="C3437" s="62" t="s">
        <v>85</v>
      </c>
      <c r="D3437" s="62" t="s">
        <v>2109</v>
      </c>
      <c r="E3437" s="76">
        <v>44118.0</v>
      </c>
      <c r="F3437" s="77">
        <v>0.15625</v>
      </c>
      <c r="G3437" s="62" t="b">
        <v>1</v>
      </c>
      <c r="H3437" s="78" t="b">
        <f>IF(VLOOKUP(C3437,Projetos!A:L,12,false)=TRUE,TRUE,FALSE)</f>
        <v>1</v>
      </c>
      <c r="I3437" s="68">
        <v>106.79165704365077</v>
      </c>
      <c r="J3437" s="68">
        <f t="shared" si="1"/>
        <v>400.4687139</v>
      </c>
      <c r="K3437" s="68" t="b">
        <v>1</v>
      </c>
    </row>
    <row r="3438">
      <c r="A3438" s="75">
        <v>3432.0</v>
      </c>
      <c r="B3438" s="62" t="s">
        <v>2090</v>
      </c>
      <c r="C3438" s="62" t="s">
        <v>104</v>
      </c>
      <c r="D3438" s="62" t="s">
        <v>2112</v>
      </c>
      <c r="E3438" s="76">
        <v>44119.0</v>
      </c>
      <c r="F3438" s="77">
        <v>0.15625</v>
      </c>
      <c r="G3438" s="62" t="b">
        <v>1</v>
      </c>
      <c r="H3438" s="78" t="b">
        <f>IF(VLOOKUP(C3438,Projetos!A:L,12,false)=TRUE,TRUE,FALSE)</f>
        <v>1</v>
      </c>
      <c r="I3438" s="68">
        <v>106.79165704365077</v>
      </c>
      <c r="J3438" s="68">
        <f t="shared" si="1"/>
        <v>400.4687139</v>
      </c>
      <c r="K3438" s="68" t="b">
        <v>1</v>
      </c>
    </row>
    <row r="3439" hidden="1">
      <c r="A3439" s="75">
        <v>3433.0</v>
      </c>
      <c r="B3439" s="62" t="s">
        <v>2090</v>
      </c>
      <c r="C3439" s="62" t="s">
        <v>85</v>
      </c>
      <c r="D3439" s="62" t="s">
        <v>2109</v>
      </c>
      <c r="E3439" s="76">
        <v>44120.0</v>
      </c>
      <c r="F3439" s="77">
        <v>0.15625</v>
      </c>
      <c r="G3439" s="62" t="b">
        <v>1</v>
      </c>
      <c r="H3439" s="78" t="b">
        <f>IF(VLOOKUP(C3439,Projetos!A:L,12,false)=TRUE,TRUE,FALSE)</f>
        <v>1</v>
      </c>
      <c r="I3439" s="68">
        <v>106.79165704365077</v>
      </c>
      <c r="J3439" s="68">
        <f t="shared" si="1"/>
        <v>400.4687139</v>
      </c>
      <c r="K3439" s="68" t="b">
        <v>1</v>
      </c>
    </row>
    <row r="3440" hidden="1">
      <c r="A3440" s="75">
        <v>3434.0</v>
      </c>
      <c r="B3440" s="62" t="s">
        <v>2090</v>
      </c>
      <c r="C3440" s="62" t="s">
        <v>85</v>
      </c>
      <c r="D3440" s="62" t="s">
        <v>2109</v>
      </c>
      <c r="E3440" s="76">
        <v>44123.0</v>
      </c>
      <c r="F3440" s="77">
        <v>0.15625</v>
      </c>
      <c r="G3440" s="62" t="b">
        <v>1</v>
      </c>
      <c r="H3440" s="78" t="b">
        <f>IF(VLOOKUP(C3440,Projetos!A:L,12,false)=TRUE,TRUE,FALSE)</f>
        <v>1</v>
      </c>
      <c r="I3440" s="68">
        <v>106.79165704365077</v>
      </c>
      <c r="J3440" s="68">
        <f t="shared" si="1"/>
        <v>400.4687139</v>
      </c>
      <c r="K3440" s="68" t="b">
        <v>1</v>
      </c>
    </row>
    <row r="3441">
      <c r="A3441" s="75">
        <v>3435.0</v>
      </c>
      <c r="B3441" s="62" t="s">
        <v>2090</v>
      </c>
      <c r="C3441" s="62" t="s">
        <v>104</v>
      </c>
      <c r="D3441" s="62" t="s">
        <v>2113</v>
      </c>
      <c r="E3441" s="76">
        <v>44124.0</v>
      </c>
      <c r="F3441" s="77">
        <v>0.15625</v>
      </c>
      <c r="G3441" s="62" t="b">
        <v>1</v>
      </c>
      <c r="H3441" s="78" t="b">
        <f>IF(VLOOKUP(C3441,Projetos!A:L,12,false)=TRUE,TRUE,FALSE)</f>
        <v>1</v>
      </c>
      <c r="I3441" s="68">
        <v>106.79165704365077</v>
      </c>
      <c r="J3441" s="68">
        <f t="shared" si="1"/>
        <v>400.4687139</v>
      </c>
      <c r="K3441" s="68" t="b">
        <v>1</v>
      </c>
    </row>
    <row r="3442" hidden="1">
      <c r="A3442" s="75">
        <v>3436.0</v>
      </c>
      <c r="B3442" s="62" t="s">
        <v>2090</v>
      </c>
      <c r="C3442" s="62" t="s">
        <v>85</v>
      </c>
      <c r="D3442" s="62" t="s">
        <v>2109</v>
      </c>
      <c r="E3442" s="76">
        <v>44125.0</v>
      </c>
      <c r="F3442" s="77">
        <v>0.15625</v>
      </c>
      <c r="G3442" s="62" t="b">
        <v>1</v>
      </c>
      <c r="H3442" s="78" t="b">
        <f>IF(VLOOKUP(C3442,Projetos!A:L,12,false)=TRUE,TRUE,FALSE)</f>
        <v>1</v>
      </c>
      <c r="I3442" s="68">
        <v>106.79165704365077</v>
      </c>
      <c r="J3442" s="68">
        <f t="shared" si="1"/>
        <v>400.4687139</v>
      </c>
      <c r="K3442" s="68" t="b">
        <v>1</v>
      </c>
    </row>
    <row r="3443" hidden="1">
      <c r="A3443" s="75">
        <v>3437.0</v>
      </c>
      <c r="B3443" s="62" t="s">
        <v>2090</v>
      </c>
      <c r="C3443" s="62" t="s">
        <v>85</v>
      </c>
      <c r="D3443" s="62" t="s">
        <v>2109</v>
      </c>
      <c r="E3443" s="76">
        <v>44126.0</v>
      </c>
      <c r="F3443" s="77">
        <v>0.15625</v>
      </c>
      <c r="G3443" s="62" t="b">
        <v>1</v>
      </c>
      <c r="H3443" s="78" t="b">
        <f>IF(VLOOKUP(C3443,Projetos!A:L,12,false)=TRUE,TRUE,FALSE)</f>
        <v>1</v>
      </c>
      <c r="I3443" s="68">
        <v>106.79165704365077</v>
      </c>
      <c r="J3443" s="68">
        <f t="shared" si="1"/>
        <v>400.4687139</v>
      </c>
      <c r="K3443" s="68" t="b">
        <v>1</v>
      </c>
    </row>
    <row r="3444" hidden="1">
      <c r="A3444" s="75">
        <v>3438.0</v>
      </c>
      <c r="B3444" s="62" t="s">
        <v>2090</v>
      </c>
      <c r="C3444" s="62" t="s">
        <v>85</v>
      </c>
      <c r="D3444" s="62" t="s">
        <v>2109</v>
      </c>
      <c r="E3444" s="76">
        <v>44127.0</v>
      </c>
      <c r="F3444" s="77">
        <v>0.15625</v>
      </c>
      <c r="G3444" s="62" t="b">
        <v>1</v>
      </c>
      <c r="H3444" s="78" t="b">
        <f>IF(VLOOKUP(C3444,Projetos!A:L,12,false)=TRUE,TRUE,FALSE)</f>
        <v>1</v>
      </c>
      <c r="I3444" s="68">
        <v>106.79165704365077</v>
      </c>
      <c r="J3444" s="68">
        <f t="shared" si="1"/>
        <v>400.4687139</v>
      </c>
      <c r="K3444" s="68" t="b">
        <v>1</v>
      </c>
    </row>
    <row r="3445" hidden="1">
      <c r="A3445" s="75">
        <v>3439.0</v>
      </c>
      <c r="B3445" s="62" t="s">
        <v>2090</v>
      </c>
      <c r="C3445" s="62" t="s">
        <v>110</v>
      </c>
      <c r="D3445" s="62" t="s">
        <v>753</v>
      </c>
      <c r="E3445" s="76">
        <v>44131.0</v>
      </c>
      <c r="F3445" s="77">
        <v>0.041666666666666664</v>
      </c>
      <c r="G3445" s="62" t="b">
        <v>1</v>
      </c>
      <c r="H3445" s="78" t="b">
        <f>IF(VLOOKUP(C3445,Projetos!A:L,12,false)=TRUE,TRUE,FALSE)</f>
        <v>1</v>
      </c>
      <c r="I3445" s="68">
        <v>106.79165704365077</v>
      </c>
      <c r="J3445" s="68">
        <f t="shared" si="1"/>
        <v>106.791657</v>
      </c>
      <c r="K3445" s="68" t="b">
        <v>1</v>
      </c>
    </row>
    <row r="3446" hidden="1">
      <c r="A3446" s="75">
        <v>3440.0</v>
      </c>
      <c r="B3446" s="62" t="s">
        <v>2090</v>
      </c>
      <c r="C3446" s="62" t="s">
        <v>97</v>
      </c>
      <c r="D3446" s="62" t="s">
        <v>1301</v>
      </c>
      <c r="E3446" s="76">
        <v>44131.0</v>
      </c>
      <c r="F3446" s="77">
        <v>0.041666666666666664</v>
      </c>
      <c r="G3446" s="62" t="b">
        <v>1</v>
      </c>
      <c r="H3446" s="78" t="b">
        <f>IF(VLOOKUP(C3446,Projetos!A:L,12,false)=TRUE,TRUE,FALSE)</f>
        <v>1</v>
      </c>
      <c r="I3446" s="68">
        <v>106.79165704365077</v>
      </c>
      <c r="J3446" s="68">
        <f t="shared" si="1"/>
        <v>106.791657</v>
      </c>
      <c r="K3446" s="68" t="b">
        <v>1</v>
      </c>
    </row>
    <row r="3447" hidden="1">
      <c r="A3447" s="75">
        <v>3441.0</v>
      </c>
      <c r="B3447" s="62" t="s">
        <v>2090</v>
      </c>
      <c r="C3447" s="62" t="s">
        <v>100</v>
      </c>
      <c r="D3447" s="62" t="s">
        <v>1301</v>
      </c>
      <c r="E3447" s="76">
        <v>44132.0</v>
      </c>
      <c r="F3447" s="77">
        <v>0.08333333333333333</v>
      </c>
      <c r="G3447" s="62" t="b">
        <v>1</v>
      </c>
      <c r="H3447" s="78" t="b">
        <f>IF(VLOOKUP(C3447,Projetos!A:L,12,false)=TRUE,TRUE,FALSE)</f>
        <v>1</v>
      </c>
      <c r="I3447" s="68">
        <v>106.79165704365077</v>
      </c>
      <c r="J3447" s="68">
        <f t="shared" si="1"/>
        <v>213.5833141</v>
      </c>
      <c r="K3447" s="68" t="b">
        <v>1</v>
      </c>
    </row>
    <row r="3448" hidden="1">
      <c r="A3448" s="75">
        <v>3442.0</v>
      </c>
      <c r="B3448" s="62" t="s">
        <v>2090</v>
      </c>
      <c r="C3448" s="62" t="s">
        <v>100</v>
      </c>
      <c r="D3448" s="62" t="s">
        <v>1301</v>
      </c>
      <c r="E3448" s="76">
        <v>44133.0</v>
      </c>
      <c r="F3448" s="77">
        <v>0.10416666666666667</v>
      </c>
      <c r="G3448" s="62" t="b">
        <v>1</v>
      </c>
      <c r="H3448" s="78" t="b">
        <f>IF(VLOOKUP(C3448,Projetos!A:L,12,false)=TRUE,TRUE,FALSE)</f>
        <v>1</v>
      </c>
      <c r="I3448" s="68">
        <v>106.79165704365077</v>
      </c>
      <c r="J3448" s="68">
        <f t="shared" si="1"/>
        <v>266.9791426</v>
      </c>
      <c r="K3448" s="68" t="b">
        <v>1</v>
      </c>
    </row>
    <row r="3449" hidden="1">
      <c r="A3449" s="75">
        <v>3443.0</v>
      </c>
      <c r="B3449" s="62" t="s">
        <v>2090</v>
      </c>
      <c r="C3449" s="62" t="s">
        <v>97</v>
      </c>
      <c r="D3449" s="62" t="s">
        <v>1301</v>
      </c>
      <c r="E3449" s="76">
        <v>44134.0</v>
      </c>
      <c r="F3449" s="77">
        <v>0.0625</v>
      </c>
      <c r="G3449" s="62" t="b">
        <v>1</v>
      </c>
      <c r="H3449" s="78" t="b">
        <f>IF(VLOOKUP(C3449,Projetos!A:L,12,false)=TRUE,TRUE,FALSE)</f>
        <v>1</v>
      </c>
      <c r="I3449" s="68">
        <v>106.79165704365077</v>
      </c>
      <c r="J3449" s="68">
        <f t="shared" si="1"/>
        <v>160.1874856</v>
      </c>
      <c r="K3449" s="68" t="b">
        <v>1</v>
      </c>
    </row>
    <row r="3450" hidden="1">
      <c r="A3450" s="75">
        <v>3444.0</v>
      </c>
      <c r="B3450" s="62" t="s">
        <v>2090</v>
      </c>
      <c r="C3450" s="62" t="s">
        <v>106</v>
      </c>
      <c r="D3450" s="62" t="s">
        <v>2114</v>
      </c>
      <c r="E3450" s="76">
        <v>44137.0</v>
      </c>
      <c r="F3450" s="77">
        <v>0.125</v>
      </c>
      <c r="G3450" s="62" t="b">
        <v>1</v>
      </c>
      <c r="H3450" s="78" t="b">
        <f>IF(VLOOKUP(C3450,Projetos!A:L,12,false)=TRUE,TRUE,FALSE)</f>
        <v>1</v>
      </c>
      <c r="I3450" s="68">
        <v>103.60923104912762</v>
      </c>
      <c r="J3450" s="68">
        <f t="shared" si="1"/>
        <v>310.8276931</v>
      </c>
      <c r="K3450" s="68" t="b">
        <v>1</v>
      </c>
    </row>
    <row r="3451" hidden="1">
      <c r="A3451" s="75">
        <v>3445.0</v>
      </c>
      <c r="B3451" s="62" t="s">
        <v>2090</v>
      </c>
      <c r="C3451" s="62" t="s">
        <v>106</v>
      </c>
      <c r="D3451" s="62" t="s">
        <v>2114</v>
      </c>
      <c r="E3451" s="76">
        <v>44138.0</v>
      </c>
      <c r="F3451" s="77">
        <v>0.125</v>
      </c>
      <c r="G3451" s="62" t="b">
        <v>1</v>
      </c>
      <c r="H3451" s="78" t="b">
        <f>IF(VLOOKUP(C3451,Projetos!A:L,12,false)=TRUE,TRUE,FALSE)</f>
        <v>1</v>
      </c>
      <c r="I3451" s="68">
        <v>103.60923104912762</v>
      </c>
      <c r="J3451" s="68">
        <f t="shared" si="1"/>
        <v>310.8276931</v>
      </c>
      <c r="K3451" s="68" t="b">
        <v>1</v>
      </c>
    </row>
    <row r="3452" hidden="1">
      <c r="A3452" s="75">
        <v>3446.0</v>
      </c>
      <c r="B3452" s="62" t="s">
        <v>2090</v>
      </c>
      <c r="C3452" s="62" t="s">
        <v>106</v>
      </c>
      <c r="D3452" s="62" t="s">
        <v>2114</v>
      </c>
      <c r="E3452" s="76">
        <v>44139.0</v>
      </c>
      <c r="F3452" s="77">
        <v>0.125</v>
      </c>
      <c r="G3452" s="62" t="b">
        <v>1</v>
      </c>
      <c r="H3452" s="78" t="b">
        <f>IF(VLOOKUP(C3452,Projetos!A:L,12,false)=TRUE,TRUE,FALSE)</f>
        <v>1</v>
      </c>
      <c r="I3452" s="68">
        <v>103.60923104912762</v>
      </c>
      <c r="J3452" s="68">
        <f t="shared" si="1"/>
        <v>310.8276931</v>
      </c>
      <c r="K3452" s="68" t="b">
        <v>1</v>
      </c>
    </row>
    <row r="3453" hidden="1">
      <c r="A3453" s="75">
        <v>3447.0</v>
      </c>
      <c r="B3453" s="62" t="s">
        <v>2090</v>
      </c>
      <c r="C3453" s="62" t="s">
        <v>106</v>
      </c>
      <c r="D3453" s="62" t="s">
        <v>2114</v>
      </c>
      <c r="E3453" s="76">
        <v>44140.0</v>
      </c>
      <c r="F3453" s="77">
        <v>0.125</v>
      </c>
      <c r="G3453" s="62" t="b">
        <v>1</v>
      </c>
      <c r="H3453" s="78" t="b">
        <f>IF(VLOOKUP(C3453,Projetos!A:L,12,false)=TRUE,TRUE,FALSE)</f>
        <v>1</v>
      </c>
      <c r="I3453" s="68">
        <v>103.60923104912762</v>
      </c>
      <c r="J3453" s="68">
        <f t="shared" si="1"/>
        <v>310.8276931</v>
      </c>
      <c r="K3453" s="68" t="b">
        <v>1</v>
      </c>
    </row>
    <row r="3454" hidden="1">
      <c r="A3454" s="75">
        <v>3448.0</v>
      </c>
      <c r="B3454" s="62" t="s">
        <v>2090</v>
      </c>
      <c r="C3454" s="62" t="s">
        <v>106</v>
      </c>
      <c r="D3454" s="62" t="s">
        <v>2114</v>
      </c>
      <c r="E3454" s="76">
        <v>44141.0</v>
      </c>
      <c r="F3454" s="77">
        <v>0.125</v>
      </c>
      <c r="G3454" s="62" t="b">
        <v>1</v>
      </c>
      <c r="H3454" s="78" t="b">
        <f>IF(VLOOKUP(C3454,Projetos!A:L,12,false)=TRUE,TRUE,FALSE)</f>
        <v>1</v>
      </c>
      <c r="I3454" s="68">
        <v>103.60923104912762</v>
      </c>
      <c r="J3454" s="68">
        <f t="shared" si="1"/>
        <v>310.8276931</v>
      </c>
      <c r="K3454" s="68" t="b">
        <v>1</v>
      </c>
    </row>
    <row r="3455" hidden="1">
      <c r="A3455" s="75">
        <v>3449.0</v>
      </c>
      <c r="B3455" s="62" t="s">
        <v>2090</v>
      </c>
      <c r="C3455" s="62" t="s">
        <v>106</v>
      </c>
      <c r="D3455" s="62" t="s">
        <v>2114</v>
      </c>
      <c r="E3455" s="76">
        <v>44144.0</v>
      </c>
      <c r="F3455" s="77">
        <v>0.125</v>
      </c>
      <c r="G3455" s="62" t="b">
        <v>1</v>
      </c>
      <c r="H3455" s="78" t="b">
        <f>IF(VLOOKUP(C3455,Projetos!A:L,12,false)=TRUE,TRUE,FALSE)</f>
        <v>1</v>
      </c>
      <c r="I3455" s="68">
        <v>103.60923104912762</v>
      </c>
      <c r="J3455" s="68">
        <f t="shared" si="1"/>
        <v>310.8276931</v>
      </c>
      <c r="K3455" s="68" t="b">
        <v>1</v>
      </c>
    </row>
    <row r="3456" hidden="1">
      <c r="A3456" s="75">
        <v>3450.0</v>
      </c>
      <c r="B3456" s="62" t="s">
        <v>2090</v>
      </c>
      <c r="C3456" s="62" t="s">
        <v>106</v>
      </c>
      <c r="D3456" s="62" t="s">
        <v>2114</v>
      </c>
      <c r="E3456" s="76">
        <v>44145.0</v>
      </c>
      <c r="F3456" s="77">
        <v>0.125</v>
      </c>
      <c r="G3456" s="62" t="b">
        <v>1</v>
      </c>
      <c r="H3456" s="78" t="b">
        <f>IF(VLOOKUP(C3456,Projetos!A:L,12,false)=TRUE,TRUE,FALSE)</f>
        <v>1</v>
      </c>
      <c r="I3456" s="68">
        <v>103.60923104912762</v>
      </c>
      <c r="J3456" s="68">
        <f t="shared" si="1"/>
        <v>310.8276931</v>
      </c>
      <c r="K3456" s="68" t="b">
        <v>1</v>
      </c>
    </row>
    <row r="3457" hidden="1">
      <c r="A3457" s="75">
        <v>3451.0</v>
      </c>
      <c r="B3457" s="62" t="s">
        <v>2090</v>
      </c>
      <c r="C3457" s="62" t="s">
        <v>138</v>
      </c>
      <c r="D3457" s="62" t="s">
        <v>1372</v>
      </c>
      <c r="E3457" s="76">
        <v>44148.0</v>
      </c>
      <c r="F3457" s="77">
        <v>0.041666666666666664</v>
      </c>
      <c r="G3457" s="62" t="b">
        <v>1</v>
      </c>
      <c r="H3457" s="78" t="b">
        <f>IF(VLOOKUP(C3457,Projetos!A:L,12,false)=TRUE,TRUE,FALSE)</f>
        <v>1</v>
      </c>
      <c r="I3457" s="68">
        <v>103.60923104912762</v>
      </c>
      <c r="J3457" s="68">
        <f t="shared" si="1"/>
        <v>103.609231</v>
      </c>
      <c r="K3457" s="68" t="b">
        <v>1</v>
      </c>
    </row>
    <row r="3458" hidden="1">
      <c r="A3458" s="75">
        <v>3452.0</v>
      </c>
      <c r="B3458" s="62" t="s">
        <v>2090</v>
      </c>
      <c r="C3458" s="62" t="s">
        <v>106</v>
      </c>
      <c r="D3458" s="62" t="s">
        <v>2114</v>
      </c>
      <c r="E3458" s="76">
        <v>44152.0</v>
      </c>
      <c r="F3458" s="77">
        <v>0.08333333333333333</v>
      </c>
      <c r="G3458" s="62" t="b">
        <v>1</v>
      </c>
      <c r="H3458" s="78" t="b">
        <f>IF(VLOOKUP(C3458,Projetos!A:L,12,false)=TRUE,TRUE,FALSE)</f>
        <v>1</v>
      </c>
      <c r="I3458" s="68">
        <v>103.60923104912762</v>
      </c>
      <c r="J3458" s="68">
        <f t="shared" si="1"/>
        <v>207.2184621</v>
      </c>
      <c r="K3458" s="68" t="b">
        <v>1</v>
      </c>
    </row>
    <row r="3459">
      <c r="A3459" s="75">
        <v>3453.0</v>
      </c>
      <c r="B3459" s="62" t="s">
        <v>2090</v>
      </c>
      <c r="C3459" s="62" t="s">
        <v>104</v>
      </c>
      <c r="D3459" s="62" t="s">
        <v>2112</v>
      </c>
      <c r="E3459" s="76">
        <v>44153.0</v>
      </c>
      <c r="F3459" s="77">
        <v>0.20833333333333334</v>
      </c>
      <c r="G3459" s="62" t="b">
        <v>1</v>
      </c>
      <c r="H3459" s="78" t="b">
        <f>IF(VLOOKUP(C3459,Projetos!A:L,12,false)=TRUE,TRUE,FALSE)</f>
        <v>1</v>
      </c>
      <c r="I3459" s="68">
        <v>103.60923104912762</v>
      </c>
      <c r="J3459" s="68">
        <f t="shared" si="1"/>
        <v>518.0461552</v>
      </c>
      <c r="K3459" s="68" t="b">
        <v>1</v>
      </c>
    </row>
    <row r="3460">
      <c r="A3460" s="75">
        <v>3454.0</v>
      </c>
      <c r="B3460" s="62" t="s">
        <v>2090</v>
      </c>
      <c r="C3460" s="62" t="s">
        <v>104</v>
      </c>
      <c r="D3460" s="62" t="s">
        <v>2115</v>
      </c>
      <c r="E3460" s="76">
        <v>44154.0</v>
      </c>
      <c r="F3460" s="77">
        <v>0.14583333333333334</v>
      </c>
      <c r="G3460" s="62" t="b">
        <v>1</v>
      </c>
      <c r="H3460" s="78" t="b">
        <f>IF(VLOOKUP(C3460,Projetos!A:L,12,false)=TRUE,TRUE,FALSE)</f>
        <v>1</v>
      </c>
      <c r="I3460" s="68">
        <v>103.60923104912762</v>
      </c>
      <c r="J3460" s="68">
        <f t="shared" si="1"/>
        <v>362.6323087</v>
      </c>
      <c r="K3460" s="68" t="b">
        <v>1</v>
      </c>
    </row>
    <row r="3461" hidden="1">
      <c r="A3461" s="75">
        <v>3455.0</v>
      </c>
      <c r="B3461" s="62" t="s">
        <v>2090</v>
      </c>
      <c r="C3461" s="62" t="s">
        <v>106</v>
      </c>
      <c r="D3461" s="62" t="s">
        <v>2116</v>
      </c>
      <c r="E3461" s="76">
        <v>44155.0</v>
      </c>
      <c r="F3461" s="77">
        <v>0.08333333333333333</v>
      </c>
      <c r="G3461" s="62" t="b">
        <v>1</v>
      </c>
      <c r="H3461" s="78" t="b">
        <f>IF(VLOOKUP(C3461,Projetos!A:L,12,false)=TRUE,TRUE,FALSE)</f>
        <v>1</v>
      </c>
      <c r="I3461" s="68">
        <v>103.60923104912762</v>
      </c>
      <c r="J3461" s="68">
        <f t="shared" si="1"/>
        <v>207.2184621</v>
      </c>
      <c r="K3461" s="68" t="b">
        <v>1</v>
      </c>
    </row>
    <row r="3462" hidden="1">
      <c r="A3462" s="75">
        <v>3456.0</v>
      </c>
      <c r="B3462" s="62" t="s">
        <v>2090</v>
      </c>
      <c r="C3462" s="62" t="s">
        <v>116</v>
      </c>
      <c r="D3462" s="62" t="s">
        <v>2117</v>
      </c>
      <c r="E3462" s="76">
        <v>44158.0</v>
      </c>
      <c r="F3462" s="77">
        <v>0.125</v>
      </c>
      <c r="G3462" s="62" t="b">
        <v>1</v>
      </c>
      <c r="H3462" s="78" t="b">
        <f>IF(VLOOKUP(C3462,Projetos!A:L,12,false)=TRUE,TRUE,FALSE)</f>
        <v>1</v>
      </c>
      <c r="I3462" s="68">
        <v>103.60923104912762</v>
      </c>
      <c r="J3462" s="68">
        <f t="shared" si="1"/>
        <v>310.8276931</v>
      </c>
      <c r="K3462" s="68" t="b">
        <v>1</v>
      </c>
    </row>
    <row r="3463">
      <c r="A3463" s="75">
        <v>3457.0</v>
      </c>
      <c r="B3463" s="62" t="s">
        <v>2090</v>
      </c>
      <c r="C3463" s="62" t="s">
        <v>104</v>
      </c>
      <c r="D3463" s="62" t="s">
        <v>2115</v>
      </c>
      <c r="E3463" s="76">
        <v>44160.0</v>
      </c>
      <c r="F3463" s="77">
        <v>0.08333333333333333</v>
      </c>
      <c r="G3463" s="62" t="b">
        <v>1</v>
      </c>
      <c r="H3463" s="78" t="b">
        <f>IF(VLOOKUP(C3463,Projetos!A:L,12,false)=TRUE,TRUE,FALSE)</f>
        <v>1</v>
      </c>
      <c r="I3463" s="68">
        <v>103.60923104912762</v>
      </c>
      <c r="J3463" s="68">
        <f t="shared" si="1"/>
        <v>207.2184621</v>
      </c>
      <c r="K3463" s="68" t="b">
        <v>1</v>
      </c>
    </row>
    <row r="3464" hidden="1">
      <c r="A3464" s="75">
        <v>3458.0</v>
      </c>
      <c r="B3464" s="62" t="s">
        <v>2090</v>
      </c>
      <c r="C3464" s="62" t="s">
        <v>106</v>
      </c>
      <c r="D3464" s="62" t="s">
        <v>2114</v>
      </c>
      <c r="E3464" s="76">
        <v>44160.0</v>
      </c>
      <c r="F3464" s="77">
        <v>0.08333333333333333</v>
      </c>
      <c r="G3464" s="62" t="b">
        <v>1</v>
      </c>
      <c r="H3464" s="78" t="b">
        <f>IF(VLOOKUP(C3464,Projetos!A:L,12,false)=TRUE,TRUE,FALSE)</f>
        <v>1</v>
      </c>
      <c r="I3464" s="68">
        <v>103.60923104912762</v>
      </c>
      <c r="J3464" s="68">
        <f t="shared" si="1"/>
        <v>207.2184621</v>
      </c>
      <c r="K3464" s="68" t="b">
        <v>1</v>
      </c>
    </row>
    <row r="3465" hidden="1">
      <c r="A3465" s="75">
        <v>3459.0</v>
      </c>
      <c r="B3465" s="62" t="s">
        <v>2090</v>
      </c>
      <c r="C3465" s="62" t="s">
        <v>87</v>
      </c>
      <c r="D3465" s="62" t="s">
        <v>2118</v>
      </c>
      <c r="E3465" s="76">
        <v>44163.0</v>
      </c>
      <c r="F3465" s="77">
        <v>0.375</v>
      </c>
      <c r="G3465" s="62" t="b">
        <v>1</v>
      </c>
      <c r="H3465" s="78" t="b">
        <f>IF(VLOOKUP(C3465,Projetos!A:L,12,false)=TRUE,TRUE,FALSE)</f>
        <v>1</v>
      </c>
      <c r="I3465" s="68">
        <v>103.60923104912762</v>
      </c>
      <c r="J3465" s="68">
        <f t="shared" si="1"/>
        <v>932.4830794</v>
      </c>
      <c r="K3465" s="68" t="b">
        <v>1</v>
      </c>
    </row>
    <row r="3466" hidden="1">
      <c r="A3466" s="75">
        <v>3460.0</v>
      </c>
      <c r="B3466" s="62" t="s">
        <v>2090</v>
      </c>
      <c r="C3466" s="62" t="s">
        <v>87</v>
      </c>
      <c r="D3466" s="62" t="s">
        <v>2118</v>
      </c>
      <c r="E3466" s="76">
        <v>44164.0</v>
      </c>
      <c r="F3466" s="77">
        <v>0.375</v>
      </c>
      <c r="G3466" s="62" t="b">
        <v>1</v>
      </c>
      <c r="H3466" s="78" t="b">
        <f>IF(VLOOKUP(C3466,Projetos!A:L,12,false)=TRUE,TRUE,FALSE)</f>
        <v>1</v>
      </c>
      <c r="I3466" s="68">
        <v>103.60923104912762</v>
      </c>
      <c r="J3466" s="68">
        <f t="shared" si="1"/>
        <v>932.4830794</v>
      </c>
      <c r="K3466" s="68" t="b">
        <v>1</v>
      </c>
    </row>
    <row r="3467" hidden="1">
      <c r="A3467" s="75">
        <v>3461.0</v>
      </c>
      <c r="B3467" s="62" t="s">
        <v>2090</v>
      </c>
      <c r="C3467" s="62" t="s">
        <v>87</v>
      </c>
      <c r="D3467" s="62" t="s">
        <v>2118</v>
      </c>
      <c r="E3467" s="76">
        <v>44165.0</v>
      </c>
      <c r="F3467" s="77">
        <v>0.16666666666666666</v>
      </c>
      <c r="G3467" s="62" t="b">
        <v>1</v>
      </c>
      <c r="H3467" s="78" t="b">
        <f>IF(VLOOKUP(C3467,Projetos!A:L,12,false)=TRUE,TRUE,FALSE)</f>
        <v>1</v>
      </c>
      <c r="I3467" s="68">
        <v>103.60923104912762</v>
      </c>
      <c r="J3467" s="68">
        <f t="shared" si="1"/>
        <v>414.4369242</v>
      </c>
      <c r="K3467" s="68" t="b">
        <v>1</v>
      </c>
    </row>
    <row r="3468" hidden="1">
      <c r="A3468" s="75">
        <v>3462.0</v>
      </c>
      <c r="B3468" s="62" t="s">
        <v>2090</v>
      </c>
      <c r="C3468" s="62" t="s">
        <v>87</v>
      </c>
      <c r="D3468" s="62" t="s">
        <v>2119</v>
      </c>
      <c r="E3468" s="76">
        <v>44165.0</v>
      </c>
      <c r="F3468" s="77">
        <v>0.18055555555555555</v>
      </c>
      <c r="G3468" s="62" t="b">
        <v>1</v>
      </c>
      <c r="H3468" s="78" t="b">
        <f>IF(VLOOKUP(C3468,Projetos!A:L,12,false)=TRUE,TRUE,FALSE)</f>
        <v>1</v>
      </c>
      <c r="I3468" s="68">
        <v>103.60923104912762</v>
      </c>
      <c r="J3468" s="68">
        <f t="shared" si="1"/>
        <v>448.9733345</v>
      </c>
      <c r="K3468" s="68" t="b">
        <v>1</v>
      </c>
    </row>
    <row r="3469" hidden="1">
      <c r="A3469" s="75">
        <v>3463.0</v>
      </c>
      <c r="B3469" s="62" t="s">
        <v>2090</v>
      </c>
      <c r="C3469" s="62" t="s">
        <v>100</v>
      </c>
      <c r="D3469" s="62" t="s">
        <v>2119</v>
      </c>
      <c r="E3469" s="76">
        <v>44139.0</v>
      </c>
      <c r="F3469" s="77">
        <v>0.041666666666666664</v>
      </c>
      <c r="G3469" s="62" t="b">
        <v>1</v>
      </c>
      <c r="H3469" s="78" t="b">
        <f>IF(VLOOKUP(C3469,Projetos!A:L,12,false)=TRUE,TRUE,FALSE)</f>
        <v>1</v>
      </c>
      <c r="I3469" s="68">
        <v>103.60923104912762</v>
      </c>
      <c r="J3469" s="68">
        <f t="shared" si="1"/>
        <v>103.609231</v>
      </c>
      <c r="K3469" s="68" t="b">
        <v>1</v>
      </c>
    </row>
    <row r="3470">
      <c r="A3470" s="75">
        <v>3464.0</v>
      </c>
      <c r="B3470" s="62" t="s">
        <v>2090</v>
      </c>
      <c r="C3470" s="62" t="s">
        <v>104</v>
      </c>
      <c r="D3470" s="62" t="s">
        <v>1372</v>
      </c>
      <c r="E3470" s="76">
        <v>44144.0</v>
      </c>
      <c r="F3470" s="77">
        <v>0.041666666666666664</v>
      </c>
      <c r="G3470" s="62" t="b">
        <v>1</v>
      </c>
      <c r="H3470" s="78" t="b">
        <f>IF(VLOOKUP(C3470,Projetos!A:L,12,false)=TRUE,TRUE,FALSE)</f>
        <v>1</v>
      </c>
      <c r="I3470" s="68">
        <v>103.60923104912762</v>
      </c>
      <c r="J3470" s="68">
        <f t="shared" si="1"/>
        <v>103.609231</v>
      </c>
      <c r="K3470" s="68" t="b">
        <v>1</v>
      </c>
    </row>
    <row r="3471" hidden="1">
      <c r="A3471" s="75">
        <v>3465.0</v>
      </c>
      <c r="B3471" s="62" t="s">
        <v>2090</v>
      </c>
      <c r="C3471" s="62" t="s">
        <v>106</v>
      </c>
      <c r="D3471" s="62" t="s">
        <v>2120</v>
      </c>
      <c r="E3471" s="76">
        <v>44144.0</v>
      </c>
      <c r="F3471" s="77">
        <v>0.041666666666666664</v>
      </c>
      <c r="G3471" s="62" t="b">
        <v>1</v>
      </c>
      <c r="H3471" s="78" t="b">
        <f>IF(VLOOKUP(C3471,Projetos!A:L,12,false)=TRUE,TRUE,FALSE)</f>
        <v>1</v>
      </c>
      <c r="I3471" s="68">
        <v>103.60923104912762</v>
      </c>
      <c r="J3471" s="68">
        <f t="shared" si="1"/>
        <v>103.609231</v>
      </c>
      <c r="K3471" s="68" t="b">
        <v>1</v>
      </c>
    </row>
    <row r="3472" hidden="1">
      <c r="A3472" s="75">
        <v>3466.0</v>
      </c>
      <c r="B3472" s="62" t="s">
        <v>2090</v>
      </c>
      <c r="C3472" s="62" t="s">
        <v>106</v>
      </c>
      <c r="D3472" s="62" t="s">
        <v>2121</v>
      </c>
      <c r="E3472" s="76">
        <v>44141.0</v>
      </c>
      <c r="F3472" s="77">
        <v>0.20833333333333334</v>
      </c>
      <c r="G3472" s="62" t="b">
        <v>1</v>
      </c>
      <c r="H3472" s="78" t="b">
        <f>IF(VLOOKUP(C3472,Projetos!A:L,12,false)=TRUE,TRUE,FALSE)</f>
        <v>1</v>
      </c>
      <c r="I3472" s="68">
        <v>103.60923104912762</v>
      </c>
      <c r="J3472" s="68">
        <f t="shared" si="1"/>
        <v>518.0461552</v>
      </c>
      <c r="K3472" s="68" t="b">
        <v>1</v>
      </c>
    </row>
    <row r="3473">
      <c r="A3473" s="75">
        <v>3467.0</v>
      </c>
      <c r="B3473" s="62" t="s">
        <v>2090</v>
      </c>
      <c r="C3473" s="62" t="s">
        <v>104</v>
      </c>
      <c r="D3473" s="62" t="s">
        <v>2122</v>
      </c>
      <c r="E3473" s="76">
        <v>44147.0</v>
      </c>
      <c r="F3473" s="77">
        <v>0.041666666666666664</v>
      </c>
      <c r="G3473" s="62" t="b">
        <v>1</v>
      </c>
      <c r="H3473" s="78" t="b">
        <f>IF(VLOOKUP(C3473,Projetos!A:L,12,false)=TRUE,TRUE,FALSE)</f>
        <v>1</v>
      </c>
      <c r="I3473" s="68">
        <v>103.60923104912762</v>
      </c>
      <c r="J3473" s="68">
        <f t="shared" si="1"/>
        <v>103.609231</v>
      </c>
      <c r="K3473" s="68" t="b">
        <v>1</v>
      </c>
    </row>
    <row r="3474" hidden="1">
      <c r="A3474" s="75">
        <v>3468.0</v>
      </c>
      <c r="B3474" s="62" t="s">
        <v>2090</v>
      </c>
      <c r="C3474" s="62" t="s">
        <v>108</v>
      </c>
      <c r="D3474" s="62" t="s">
        <v>2123</v>
      </c>
      <c r="E3474" s="76">
        <v>44145.0</v>
      </c>
      <c r="F3474" s="77">
        <v>0.041666666666666664</v>
      </c>
      <c r="G3474" s="62" t="b">
        <v>0</v>
      </c>
      <c r="H3474" s="78" t="b">
        <f>IF(VLOOKUP(C3474,Projetos!A:L,12,false)=TRUE,TRUE,FALSE)</f>
        <v>1</v>
      </c>
      <c r="I3474" s="68">
        <v>103.60923104912762</v>
      </c>
      <c r="J3474" s="68">
        <f t="shared" si="1"/>
        <v>0</v>
      </c>
      <c r="K3474" s="68" t="b">
        <v>1</v>
      </c>
    </row>
    <row r="3475" hidden="1">
      <c r="A3475" s="75">
        <v>3469.0</v>
      </c>
      <c r="B3475" s="62" t="s">
        <v>2090</v>
      </c>
      <c r="C3475" s="62" t="s">
        <v>89</v>
      </c>
      <c r="D3475" s="62" t="s">
        <v>2124</v>
      </c>
      <c r="E3475" s="76">
        <v>44145.0</v>
      </c>
      <c r="F3475" s="77">
        <v>0.041666666666666664</v>
      </c>
      <c r="G3475" s="62" t="b">
        <v>1</v>
      </c>
      <c r="H3475" s="78" t="b">
        <f>IF(VLOOKUP(C3475,Projetos!A:L,12,false)=TRUE,TRUE,FALSE)</f>
        <v>1</v>
      </c>
      <c r="I3475" s="68">
        <v>103.60923104912762</v>
      </c>
      <c r="J3475" s="68">
        <f t="shared" si="1"/>
        <v>103.609231</v>
      </c>
      <c r="K3475" s="68" t="b">
        <v>1</v>
      </c>
    </row>
    <row r="3476" hidden="1">
      <c r="A3476" s="75">
        <v>3470.0</v>
      </c>
      <c r="B3476" s="62" t="s">
        <v>2090</v>
      </c>
      <c r="C3476" s="62" t="s">
        <v>110</v>
      </c>
      <c r="D3476" s="62" t="s">
        <v>2125</v>
      </c>
      <c r="E3476" s="76">
        <v>44159.0</v>
      </c>
      <c r="F3476" s="77">
        <v>0.16666666666666666</v>
      </c>
      <c r="G3476" s="62" t="b">
        <v>1</v>
      </c>
      <c r="H3476" s="78" t="b">
        <f>IF(VLOOKUP(C3476,Projetos!A:L,12,false)=TRUE,TRUE,FALSE)</f>
        <v>1</v>
      </c>
      <c r="I3476" s="68">
        <v>103.60923104912762</v>
      </c>
      <c r="J3476" s="68">
        <f t="shared" si="1"/>
        <v>414.4369242</v>
      </c>
      <c r="K3476" s="68" t="b">
        <v>1</v>
      </c>
    </row>
    <row r="3477">
      <c r="A3477" s="75">
        <v>3471.0</v>
      </c>
      <c r="B3477" s="62" t="s">
        <v>2090</v>
      </c>
      <c r="C3477" s="62" t="s">
        <v>104</v>
      </c>
      <c r="D3477" s="62" t="s">
        <v>2126</v>
      </c>
      <c r="E3477" s="76">
        <v>44166.0</v>
      </c>
      <c r="F3477" s="77">
        <v>0.08333333333333333</v>
      </c>
      <c r="G3477" s="62" t="b">
        <v>1</v>
      </c>
      <c r="H3477" s="78" t="b">
        <f>IF(VLOOKUP(C3477,Projetos!A:L,12,false)=TRUE,TRUE,FALSE)</f>
        <v>1</v>
      </c>
      <c r="I3477" s="68">
        <v>108.54300395622893</v>
      </c>
      <c r="J3477" s="68">
        <f t="shared" si="1"/>
        <v>217.0860079</v>
      </c>
      <c r="K3477" s="68" t="b">
        <v>1</v>
      </c>
    </row>
    <row r="3478">
      <c r="A3478" s="75">
        <v>3472.0</v>
      </c>
      <c r="B3478" s="62" t="s">
        <v>2090</v>
      </c>
      <c r="C3478" s="62" t="s">
        <v>104</v>
      </c>
      <c r="D3478" s="62" t="s">
        <v>2126</v>
      </c>
      <c r="E3478" s="76">
        <v>44167.0</v>
      </c>
      <c r="F3478" s="77">
        <v>0.08333333333333333</v>
      </c>
      <c r="G3478" s="62" t="b">
        <v>1</v>
      </c>
      <c r="H3478" s="78" t="b">
        <f>IF(VLOOKUP(C3478,Projetos!A:L,12,false)=TRUE,TRUE,FALSE)</f>
        <v>1</v>
      </c>
      <c r="I3478" s="68">
        <v>108.54300395622893</v>
      </c>
      <c r="J3478" s="68">
        <f t="shared" si="1"/>
        <v>217.0860079</v>
      </c>
      <c r="K3478" s="68" t="b">
        <v>1</v>
      </c>
    </row>
    <row r="3479">
      <c r="A3479" s="75">
        <v>3473.0</v>
      </c>
      <c r="B3479" s="62" t="s">
        <v>2090</v>
      </c>
      <c r="C3479" s="62" t="s">
        <v>104</v>
      </c>
      <c r="D3479" s="62" t="s">
        <v>2127</v>
      </c>
      <c r="E3479" s="76">
        <v>44168.0</v>
      </c>
      <c r="F3479" s="77">
        <v>0.08333333333333333</v>
      </c>
      <c r="G3479" s="62" t="b">
        <v>1</v>
      </c>
      <c r="H3479" s="78" t="b">
        <f>IF(VLOOKUP(C3479,Projetos!A:L,12,false)=TRUE,TRUE,FALSE)</f>
        <v>1</v>
      </c>
      <c r="I3479" s="68">
        <v>108.54300395622893</v>
      </c>
      <c r="J3479" s="68">
        <f t="shared" si="1"/>
        <v>217.0860079</v>
      </c>
      <c r="K3479" s="68" t="b">
        <v>1</v>
      </c>
    </row>
    <row r="3480">
      <c r="A3480" s="75">
        <v>3474.0</v>
      </c>
      <c r="B3480" s="62" t="s">
        <v>2090</v>
      </c>
      <c r="C3480" s="62" t="s">
        <v>104</v>
      </c>
      <c r="D3480" s="62" t="s">
        <v>2126</v>
      </c>
      <c r="E3480" s="76">
        <v>44169.0</v>
      </c>
      <c r="F3480" s="77">
        <v>0.08333333333333333</v>
      </c>
      <c r="G3480" s="62" t="b">
        <v>1</v>
      </c>
      <c r="H3480" s="78" t="b">
        <f>IF(VLOOKUP(C3480,Projetos!A:L,12,false)=TRUE,TRUE,FALSE)</f>
        <v>1</v>
      </c>
      <c r="I3480" s="68">
        <v>108.54300395622893</v>
      </c>
      <c r="J3480" s="68">
        <f t="shared" si="1"/>
        <v>217.0860079</v>
      </c>
      <c r="K3480" s="68" t="b">
        <v>1</v>
      </c>
    </row>
    <row r="3481">
      <c r="A3481" s="75">
        <v>3475.0</v>
      </c>
      <c r="B3481" s="62" t="s">
        <v>2090</v>
      </c>
      <c r="C3481" s="62" t="s">
        <v>104</v>
      </c>
      <c r="D3481" s="62" t="s">
        <v>2126</v>
      </c>
      <c r="E3481" s="76">
        <v>44172.0</v>
      </c>
      <c r="F3481" s="77">
        <v>0.08333333333333333</v>
      </c>
      <c r="G3481" s="62" t="b">
        <v>1</v>
      </c>
      <c r="H3481" s="78" t="b">
        <f>IF(VLOOKUP(C3481,Projetos!A:L,12,false)=TRUE,TRUE,FALSE)</f>
        <v>1</v>
      </c>
      <c r="I3481" s="68">
        <v>108.54300395622893</v>
      </c>
      <c r="J3481" s="68">
        <f t="shared" si="1"/>
        <v>217.0860079</v>
      </c>
      <c r="K3481" s="68" t="b">
        <v>1</v>
      </c>
    </row>
    <row r="3482">
      <c r="A3482" s="75">
        <v>3476.0</v>
      </c>
      <c r="B3482" s="62" t="s">
        <v>2090</v>
      </c>
      <c r="C3482" s="62" t="s">
        <v>104</v>
      </c>
      <c r="D3482" s="62" t="s">
        <v>2126</v>
      </c>
      <c r="E3482" s="76">
        <v>44173.0</v>
      </c>
      <c r="F3482" s="77">
        <v>0.08333333333333333</v>
      </c>
      <c r="G3482" s="62" t="b">
        <v>1</v>
      </c>
      <c r="H3482" s="78" t="b">
        <f>IF(VLOOKUP(C3482,Projetos!A:L,12,false)=TRUE,TRUE,FALSE)</f>
        <v>1</v>
      </c>
      <c r="I3482" s="68">
        <v>108.54300395622893</v>
      </c>
      <c r="J3482" s="68">
        <f t="shared" si="1"/>
        <v>217.0860079</v>
      </c>
      <c r="K3482" s="68" t="b">
        <v>1</v>
      </c>
    </row>
    <row r="3483">
      <c r="A3483" s="75">
        <v>3477.0</v>
      </c>
      <c r="B3483" s="62" t="s">
        <v>2090</v>
      </c>
      <c r="C3483" s="62" t="s">
        <v>104</v>
      </c>
      <c r="D3483" s="62" t="s">
        <v>2127</v>
      </c>
      <c r="E3483" s="76">
        <v>44174.0</v>
      </c>
      <c r="F3483" s="77">
        <v>0.08333333333333333</v>
      </c>
      <c r="G3483" s="62" t="b">
        <v>1</v>
      </c>
      <c r="H3483" s="78" t="b">
        <f>IF(VLOOKUP(C3483,Projetos!A:L,12,false)=TRUE,TRUE,FALSE)</f>
        <v>1</v>
      </c>
      <c r="I3483" s="68">
        <v>108.54300395622893</v>
      </c>
      <c r="J3483" s="68">
        <f t="shared" si="1"/>
        <v>217.0860079</v>
      </c>
      <c r="K3483" s="68" t="b">
        <v>1</v>
      </c>
    </row>
    <row r="3484">
      <c r="A3484" s="75">
        <v>3478.0</v>
      </c>
      <c r="B3484" s="62" t="s">
        <v>2090</v>
      </c>
      <c r="C3484" s="62" t="s">
        <v>104</v>
      </c>
      <c r="D3484" s="62" t="s">
        <v>2126</v>
      </c>
      <c r="E3484" s="76">
        <v>44175.0</v>
      </c>
      <c r="F3484" s="77">
        <v>0.08333333333333333</v>
      </c>
      <c r="G3484" s="62" t="b">
        <v>1</v>
      </c>
      <c r="H3484" s="78" t="b">
        <f>IF(VLOOKUP(C3484,Projetos!A:L,12,false)=TRUE,TRUE,FALSE)</f>
        <v>1</v>
      </c>
      <c r="I3484" s="68">
        <v>108.54300395622893</v>
      </c>
      <c r="J3484" s="68">
        <f t="shared" si="1"/>
        <v>217.0860079</v>
      </c>
      <c r="K3484" s="68" t="b">
        <v>1</v>
      </c>
    </row>
    <row r="3485">
      <c r="A3485" s="75">
        <v>3479.0</v>
      </c>
      <c r="B3485" s="62" t="s">
        <v>2090</v>
      </c>
      <c r="C3485" s="62" t="s">
        <v>104</v>
      </c>
      <c r="D3485" s="62" t="s">
        <v>2126</v>
      </c>
      <c r="E3485" s="76">
        <v>44179.0</v>
      </c>
      <c r="F3485" s="77">
        <v>0.08333333333333333</v>
      </c>
      <c r="G3485" s="62" t="b">
        <v>1</v>
      </c>
      <c r="H3485" s="78" t="b">
        <f>IF(VLOOKUP(C3485,Projetos!A:L,12,false)=TRUE,TRUE,FALSE)</f>
        <v>1</v>
      </c>
      <c r="I3485" s="68">
        <v>108.54300395622893</v>
      </c>
      <c r="J3485" s="68">
        <f t="shared" si="1"/>
        <v>217.0860079</v>
      </c>
      <c r="K3485" s="68" t="b">
        <v>1</v>
      </c>
    </row>
    <row r="3486">
      <c r="A3486" s="75">
        <v>3480.0</v>
      </c>
      <c r="B3486" s="62" t="s">
        <v>2090</v>
      </c>
      <c r="C3486" s="62" t="s">
        <v>104</v>
      </c>
      <c r="D3486" s="62" t="s">
        <v>2127</v>
      </c>
      <c r="E3486" s="76">
        <v>44180.0</v>
      </c>
      <c r="F3486" s="77">
        <v>0.08333333333333333</v>
      </c>
      <c r="G3486" s="62" t="b">
        <v>1</v>
      </c>
      <c r="H3486" s="78" t="b">
        <f>IF(VLOOKUP(C3486,Projetos!A:L,12,false)=TRUE,TRUE,FALSE)</f>
        <v>1</v>
      </c>
      <c r="I3486" s="68">
        <v>108.54300395622893</v>
      </c>
      <c r="J3486" s="68">
        <f t="shared" si="1"/>
        <v>217.0860079</v>
      </c>
      <c r="K3486" s="68" t="b">
        <v>1</v>
      </c>
    </row>
    <row r="3487">
      <c r="A3487" s="75">
        <v>3481.0</v>
      </c>
      <c r="B3487" s="62" t="s">
        <v>2090</v>
      </c>
      <c r="C3487" s="62" t="s">
        <v>104</v>
      </c>
      <c r="D3487" s="62" t="s">
        <v>2126</v>
      </c>
      <c r="E3487" s="76">
        <v>44181.0</v>
      </c>
      <c r="F3487" s="77">
        <v>0.08333333333333333</v>
      </c>
      <c r="G3487" s="62" t="b">
        <v>1</v>
      </c>
      <c r="H3487" s="78" t="b">
        <f>IF(VLOOKUP(C3487,Projetos!A:L,12,false)=TRUE,TRUE,FALSE)</f>
        <v>1</v>
      </c>
      <c r="I3487" s="68">
        <v>108.54300395622893</v>
      </c>
      <c r="J3487" s="68">
        <f t="shared" si="1"/>
        <v>217.0860079</v>
      </c>
      <c r="K3487" s="68" t="b">
        <v>1</v>
      </c>
    </row>
    <row r="3488">
      <c r="A3488" s="75">
        <v>3482.0</v>
      </c>
      <c r="B3488" s="62" t="s">
        <v>2090</v>
      </c>
      <c r="C3488" s="62" t="s">
        <v>104</v>
      </c>
      <c r="D3488" s="62" t="s">
        <v>2126</v>
      </c>
      <c r="E3488" s="76">
        <v>44182.0</v>
      </c>
      <c r="F3488" s="77">
        <v>0.08333333333333333</v>
      </c>
      <c r="G3488" s="62" t="b">
        <v>1</v>
      </c>
      <c r="H3488" s="78" t="b">
        <f>IF(VLOOKUP(C3488,Projetos!A:L,12,false)=TRUE,TRUE,FALSE)</f>
        <v>1</v>
      </c>
      <c r="I3488" s="68">
        <v>108.54300395622893</v>
      </c>
      <c r="J3488" s="68">
        <f t="shared" si="1"/>
        <v>217.0860079</v>
      </c>
      <c r="K3488" s="68" t="b">
        <v>1</v>
      </c>
    </row>
    <row r="3489" hidden="1">
      <c r="A3489" s="75">
        <v>3483.0</v>
      </c>
      <c r="B3489" s="62" t="s">
        <v>2090</v>
      </c>
      <c r="C3489" s="62" t="s">
        <v>116</v>
      </c>
      <c r="D3489" s="62" t="s">
        <v>2128</v>
      </c>
      <c r="E3489" s="76">
        <v>44172.0</v>
      </c>
      <c r="F3489" s="77">
        <v>0.0625</v>
      </c>
      <c r="G3489" s="62" t="b">
        <v>1</v>
      </c>
      <c r="H3489" s="78" t="b">
        <f>IF(VLOOKUP(C3489,Projetos!A:L,12,false)=TRUE,TRUE,FALSE)</f>
        <v>1</v>
      </c>
      <c r="I3489" s="68">
        <v>108.54300395622893</v>
      </c>
      <c r="J3489" s="68">
        <f t="shared" si="1"/>
        <v>162.8145059</v>
      </c>
      <c r="K3489" s="68" t="b">
        <v>1</v>
      </c>
    </row>
    <row r="3490" hidden="1">
      <c r="A3490" s="75">
        <v>3484.0</v>
      </c>
      <c r="B3490" s="62" t="s">
        <v>2090</v>
      </c>
      <c r="C3490" s="62" t="s">
        <v>116</v>
      </c>
      <c r="D3490" s="62" t="s">
        <v>2128</v>
      </c>
      <c r="E3490" s="76">
        <v>44173.0</v>
      </c>
      <c r="F3490" s="77">
        <v>0.0625</v>
      </c>
      <c r="G3490" s="62" t="b">
        <v>1</v>
      </c>
      <c r="H3490" s="78" t="b">
        <f>IF(VLOOKUP(C3490,Projetos!A:L,12,false)=TRUE,TRUE,FALSE)</f>
        <v>1</v>
      </c>
      <c r="I3490" s="68">
        <v>108.54300395622893</v>
      </c>
      <c r="J3490" s="68">
        <f t="shared" si="1"/>
        <v>162.8145059</v>
      </c>
      <c r="K3490" s="68" t="b">
        <v>1</v>
      </c>
    </row>
    <row r="3491" hidden="1">
      <c r="A3491" s="75">
        <v>3485.0</v>
      </c>
      <c r="B3491" s="62" t="s">
        <v>2090</v>
      </c>
      <c r="C3491" s="62" t="s">
        <v>116</v>
      </c>
      <c r="D3491" s="62" t="s">
        <v>2128</v>
      </c>
      <c r="E3491" s="76">
        <v>44174.0</v>
      </c>
      <c r="F3491" s="77">
        <v>0.0625</v>
      </c>
      <c r="G3491" s="62" t="b">
        <v>1</v>
      </c>
      <c r="H3491" s="78" t="b">
        <f>IF(VLOOKUP(C3491,Projetos!A:L,12,false)=TRUE,TRUE,FALSE)</f>
        <v>1</v>
      </c>
      <c r="I3491" s="68">
        <v>108.54300395622893</v>
      </c>
      <c r="J3491" s="68">
        <f t="shared" si="1"/>
        <v>162.8145059</v>
      </c>
      <c r="K3491" s="68" t="b">
        <v>1</v>
      </c>
    </row>
    <row r="3492" hidden="1">
      <c r="A3492" s="75">
        <v>3486.0</v>
      </c>
      <c r="B3492" s="62" t="s">
        <v>2090</v>
      </c>
      <c r="C3492" s="62" t="s">
        <v>116</v>
      </c>
      <c r="D3492" s="62" t="s">
        <v>2128</v>
      </c>
      <c r="E3492" s="76">
        <v>44175.0</v>
      </c>
      <c r="F3492" s="77">
        <v>0.0625</v>
      </c>
      <c r="G3492" s="62" t="b">
        <v>1</v>
      </c>
      <c r="H3492" s="78" t="b">
        <f>IF(VLOOKUP(C3492,Projetos!A:L,12,false)=TRUE,TRUE,FALSE)</f>
        <v>1</v>
      </c>
      <c r="I3492" s="68">
        <v>108.54300395622893</v>
      </c>
      <c r="J3492" s="68">
        <f t="shared" si="1"/>
        <v>162.8145059</v>
      </c>
      <c r="K3492" s="68" t="b">
        <v>1</v>
      </c>
    </row>
  </sheetData>
  <autoFilter ref="$A$6:$K$3492">
    <filterColumn colId="10">
      <filters>
        <filter val="TRUE"/>
      </filters>
    </filterColumn>
    <filterColumn colId="6">
      <filters>
        <filter val="TRUE"/>
      </filters>
    </filterColumn>
    <filterColumn colId="2">
      <filters>
        <filter val="InstanTH NEO"/>
      </filters>
    </filterColumn>
  </autoFilter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 ht="11.25" customHeight="1">
      <c r="A1" s="57"/>
      <c r="B1" s="57"/>
      <c r="C1" s="57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>
      <c r="A2" s="59" t="s">
        <v>2129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37"/>
      <c r="T3" s="58"/>
      <c r="U3" s="58"/>
      <c r="V3" s="58"/>
    </row>
    <row r="4">
      <c r="A4" s="80" t="s">
        <v>2130</v>
      </c>
      <c r="B4" s="81"/>
      <c r="C4" s="81"/>
      <c r="D4" s="81"/>
      <c r="E4" s="81"/>
      <c r="F4" s="81"/>
      <c r="G4" s="82" t="s">
        <v>2131</v>
      </c>
      <c r="H4" s="82" t="s">
        <v>2131</v>
      </c>
      <c r="I4" s="82" t="s">
        <v>2131</v>
      </c>
      <c r="J4" s="82" t="s">
        <v>2131</v>
      </c>
      <c r="K4" s="82" t="s">
        <v>2131</v>
      </c>
      <c r="L4" s="82" t="s">
        <v>2131</v>
      </c>
      <c r="M4" s="82" t="s">
        <v>2131</v>
      </c>
      <c r="N4" s="82" t="s">
        <v>2131</v>
      </c>
      <c r="O4" s="82" t="s">
        <v>2131</v>
      </c>
      <c r="P4" s="82" t="s">
        <v>2131</v>
      </c>
      <c r="Q4" s="82" t="s">
        <v>2132</v>
      </c>
      <c r="R4" s="82" t="s">
        <v>2132</v>
      </c>
      <c r="S4" s="83">
        <f>(T4/12)*24</f>
        <v>171.3333333</v>
      </c>
      <c r="T4" s="65">
        <f>(SUM(G35:R35)*8)/24</f>
        <v>85.66666667</v>
      </c>
      <c r="U4" s="58"/>
      <c r="V4" s="58"/>
    </row>
    <row r="5">
      <c r="A5" s="84" t="s">
        <v>2133</v>
      </c>
      <c r="B5" s="84" t="s">
        <v>2134</v>
      </c>
      <c r="C5" s="85" t="s">
        <v>2135</v>
      </c>
      <c r="D5" s="84" t="s">
        <v>2136</v>
      </c>
      <c r="E5" s="84" t="s">
        <v>2137</v>
      </c>
      <c r="F5" s="84" t="s">
        <v>78</v>
      </c>
      <c r="G5" s="86" t="s">
        <v>2138</v>
      </c>
      <c r="H5" s="86" t="s">
        <v>2139</v>
      </c>
      <c r="I5" s="86" t="s">
        <v>2140</v>
      </c>
      <c r="J5" s="86" t="s">
        <v>2141</v>
      </c>
      <c r="K5" s="86" t="s">
        <v>2142</v>
      </c>
      <c r="L5" s="86" t="s">
        <v>2143</v>
      </c>
      <c r="M5" s="86" t="s">
        <v>2144</v>
      </c>
      <c r="N5" s="86" t="s">
        <v>2145</v>
      </c>
      <c r="O5" s="86" t="s">
        <v>2146</v>
      </c>
      <c r="P5" s="86" t="s">
        <v>2147</v>
      </c>
      <c r="Q5" s="86" t="s">
        <v>2148</v>
      </c>
      <c r="R5" s="86" t="s">
        <v>2149</v>
      </c>
      <c r="S5" s="74" t="s">
        <v>2150</v>
      </c>
      <c r="T5" s="74" t="s">
        <v>2151</v>
      </c>
      <c r="U5" s="74" t="s">
        <v>2152</v>
      </c>
      <c r="V5" s="87" t="s">
        <v>2153</v>
      </c>
    </row>
    <row r="6">
      <c r="A6" s="88" t="s">
        <v>130</v>
      </c>
      <c r="B6" s="89" t="s">
        <v>2154</v>
      </c>
      <c r="C6" s="88"/>
      <c r="D6" s="88" t="s">
        <v>2155</v>
      </c>
      <c r="E6" s="49" t="s">
        <v>46</v>
      </c>
      <c r="F6" s="88"/>
      <c r="G6" s="90">
        <v>7255.64</v>
      </c>
      <c r="H6" s="90">
        <v>7255.64</v>
      </c>
      <c r="I6" s="90">
        <v>7255.64</v>
      </c>
      <c r="J6" s="90">
        <v>7255.64</v>
      </c>
      <c r="K6" s="90">
        <v>7255.64</v>
      </c>
      <c r="L6" s="90">
        <v>7255.64</v>
      </c>
      <c r="M6" s="90">
        <v>7255.64</v>
      </c>
      <c r="N6" s="90">
        <v>7255.64</v>
      </c>
      <c r="O6" s="90">
        <v>7618.42</v>
      </c>
      <c r="P6" s="90">
        <v>7618.42</v>
      </c>
      <c r="Q6" s="90">
        <v>7743.36</v>
      </c>
      <c r="R6" s="90">
        <f t="shared" ref="R6:R7" si="1">Q6</f>
        <v>7743.36</v>
      </c>
      <c r="S6" s="91">
        <f>IFERROR(__xludf.DUMMYFUNCTION("IFERROR(if(V6=true, SUM(FILTER(Timesheet!$F:$F,Timesheet!G:G = TRUE,Timesheet!B:B = A6,Timesheet!E:E &lt; DATE(2021,1,1))),0),0)"),0.0)</f>
        <v>0</v>
      </c>
      <c r="T6" s="92">
        <f t="shared" ref="T6:T26" si="2">S6/$T$4</f>
        <v>0</v>
      </c>
      <c r="U6" s="93" t="str">
        <f t="shared" ref="U6:U26" si="3">IF(T6&lt;80%,"Parcial","Exclusivo")</f>
        <v>Parcial</v>
      </c>
      <c r="V6" s="62" t="b">
        <v>0</v>
      </c>
    </row>
    <row r="7">
      <c r="A7" s="94" t="s">
        <v>744</v>
      </c>
      <c r="B7" s="88" t="s">
        <v>2156</v>
      </c>
      <c r="C7" s="88"/>
      <c r="D7" s="88" t="s">
        <v>2157</v>
      </c>
      <c r="E7" s="40" t="s">
        <v>48</v>
      </c>
      <c r="F7" s="88"/>
      <c r="G7" s="95"/>
      <c r="H7" s="95"/>
      <c r="I7" s="90">
        <v>3372.35</v>
      </c>
      <c r="J7" s="90">
        <v>3372.35</v>
      </c>
      <c r="K7" s="90">
        <v>3372.35</v>
      </c>
      <c r="L7" s="90">
        <v>3372.35</v>
      </c>
      <c r="M7" s="90">
        <v>3372.35</v>
      </c>
      <c r="N7" s="90">
        <v>3372.35</v>
      </c>
      <c r="O7" s="90">
        <v>3372.35</v>
      </c>
      <c r="P7" s="90">
        <v>3372.35</v>
      </c>
      <c r="Q7" s="90">
        <v>3599.04</v>
      </c>
      <c r="R7" s="90">
        <f t="shared" si="1"/>
        <v>3599.04</v>
      </c>
      <c r="S7" s="91">
        <f>IFERROR(__xludf.DUMMYFUNCTION("IFERROR(if(V7=true, SUM(FILTER(Timesheet!$F:$F,Timesheet!G:G = TRUE,Timesheet!B:B = A7,Timesheet!E:E &lt; DATE(2021,1,1))),0),0)"),38.302083333333314)</f>
        <v>38.30208333</v>
      </c>
      <c r="T7" s="92">
        <f t="shared" si="2"/>
        <v>0.4471060311</v>
      </c>
      <c r="U7" s="93" t="str">
        <f t="shared" si="3"/>
        <v>Parcial</v>
      </c>
      <c r="V7" s="62" t="b">
        <v>1</v>
      </c>
    </row>
    <row r="8">
      <c r="A8" s="88" t="s">
        <v>591</v>
      </c>
      <c r="B8" s="88" t="s">
        <v>2158</v>
      </c>
      <c r="C8" s="88"/>
      <c r="D8" s="88" t="s">
        <v>2159</v>
      </c>
      <c r="E8" s="53" t="s">
        <v>47</v>
      </c>
      <c r="F8" s="88" t="s">
        <v>2160</v>
      </c>
      <c r="G8" s="90">
        <v>30393.85</v>
      </c>
      <c r="H8" s="90">
        <v>30393.85</v>
      </c>
      <c r="I8" s="90">
        <v>30393.85</v>
      </c>
      <c r="J8" s="90">
        <v>30393.85</v>
      </c>
      <c r="K8" s="90">
        <v>30393.85</v>
      </c>
      <c r="L8" s="90">
        <v>30393.85</v>
      </c>
      <c r="M8" s="90">
        <v>30393.85</v>
      </c>
      <c r="N8" s="90">
        <v>30393.85</v>
      </c>
      <c r="O8" s="90">
        <v>30393.85</v>
      </c>
      <c r="P8" s="90">
        <v>30393.85</v>
      </c>
      <c r="Q8" s="90">
        <f t="shared" ref="Q8:R8" si="4">P8</f>
        <v>30393.85</v>
      </c>
      <c r="R8" s="90">
        <f t="shared" si="4"/>
        <v>30393.85</v>
      </c>
      <c r="S8" s="91">
        <f>IFERROR(__xludf.DUMMYFUNCTION("IFERROR(if(V8=true, SUM(FILTER(Timesheet!$F:$F,Timesheet!G:G = TRUE,Timesheet!B:B = A8,Timesheet!E:E &lt; DATE(2021,1,1))),0),0)"),5.503472222222221)</f>
        <v>5.503472222</v>
      </c>
      <c r="T8" s="92">
        <f t="shared" si="2"/>
        <v>0.06424286641</v>
      </c>
      <c r="U8" s="93" t="str">
        <f t="shared" si="3"/>
        <v>Parcial</v>
      </c>
      <c r="V8" s="62" t="b">
        <v>1</v>
      </c>
    </row>
    <row r="9">
      <c r="A9" s="88" t="s">
        <v>194</v>
      </c>
      <c r="B9" s="88" t="s">
        <v>2161</v>
      </c>
      <c r="C9" s="88"/>
      <c r="D9" s="88" t="s">
        <v>2162</v>
      </c>
      <c r="E9" s="53" t="s">
        <v>47</v>
      </c>
      <c r="F9" s="88"/>
      <c r="G9" s="90">
        <v>7869.54</v>
      </c>
      <c r="H9" s="90">
        <v>7869.54</v>
      </c>
      <c r="I9" s="90">
        <v>7869.54</v>
      </c>
      <c r="J9" s="90">
        <v>7869.54</v>
      </c>
      <c r="K9" s="90">
        <v>7869.54</v>
      </c>
      <c r="L9" s="90">
        <v>7869.54</v>
      </c>
      <c r="M9" s="90">
        <v>7869.54</v>
      </c>
      <c r="N9" s="90">
        <v>7869.54</v>
      </c>
      <c r="O9" s="90">
        <v>8735.19</v>
      </c>
      <c r="P9" s="90">
        <v>8735.19</v>
      </c>
      <c r="Q9" s="90">
        <v>8878.45</v>
      </c>
      <c r="R9" s="90">
        <f t="shared" ref="R9:R13" si="5">Q9</f>
        <v>8878.45</v>
      </c>
      <c r="S9" s="91">
        <f>IFERROR(__xludf.DUMMYFUNCTION("IFERROR(if(V9=true, SUM(FILTER(Timesheet!$F:$F,Timesheet!G:G = TRUE,Timesheet!B:B = A9,Timesheet!E:E &lt; DATE(2021,1,1))),0),0)"),1.2500000000000002)</f>
        <v>1.25</v>
      </c>
      <c r="T9" s="92">
        <f t="shared" si="2"/>
        <v>0.01459143969</v>
      </c>
      <c r="U9" s="93" t="str">
        <f t="shared" si="3"/>
        <v>Parcial</v>
      </c>
      <c r="V9" s="62" t="b">
        <v>1</v>
      </c>
    </row>
    <row r="10">
      <c r="A10" s="88" t="s">
        <v>755</v>
      </c>
      <c r="B10" s="88" t="s">
        <v>2163</v>
      </c>
      <c r="C10" s="88"/>
      <c r="D10" s="88" t="s">
        <v>2164</v>
      </c>
      <c r="E10" s="49" t="s">
        <v>46</v>
      </c>
      <c r="F10" s="88"/>
      <c r="G10" s="90">
        <v>2493.03</v>
      </c>
      <c r="H10" s="90">
        <v>2493.03</v>
      </c>
      <c r="I10" s="90">
        <v>2493.03</v>
      </c>
      <c r="J10" s="90">
        <v>2493.03</v>
      </c>
      <c r="K10" s="90">
        <v>2493.03</v>
      </c>
      <c r="L10" s="90">
        <v>2493.03</v>
      </c>
      <c r="M10" s="90">
        <v>2493.03</v>
      </c>
      <c r="N10" s="90">
        <v>2493.03</v>
      </c>
      <c r="O10" s="90">
        <v>2771.24</v>
      </c>
      <c r="P10" s="90">
        <v>2771.24</v>
      </c>
      <c r="Q10" s="90">
        <v>2816.69</v>
      </c>
      <c r="R10" s="90">
        <f t="shared" si="5"/>
        <v>2816.69</v>
      </c>
      <c r="S10" s="91">
        <f>IFERROR(__xludf.DUMMYFUNCTION("IFERROR(if(V10=true, SUM(FILTER(Timesheet!$F:$F,Timesheet!G:G = TRUE,Timesheet!B:B = A10,Timesheet!E:E &lt; DATE(2021,1,1))),0),0)"),30.124305555555548)</f>
        <v>30.12430556</v>
      </c>
      <c r="T10" s="92">
        <f t="shared" si="2"/>
        <v>0.3516455901</v>
      </c>
      <c r="U10" s="93" t="str">
        <f t="shared" si="3"/>
        <v>Parcial</v>
      </c>
      <c r="V10" s="62" t="b">
        <v>1</v>
      </c>
    </row>
    <row r="11">
      <c r="A11" s="88" t="s">
        <v>213</v>
      </c>
      <c r="B11" s="88" t="s">
        <v>2165</v>
      </c>
      <c r="C11" s="88"/>
      <c r="D11" s="88" t="s">
        <v>2166</v>
      </c>
      <c r="E11" s="49" t="s">
        <v>46</v>
      </c>
      <c r="F11" s="88"/>
      <c r="G11" s="90">
        <v>5010.94</v>
      </c>
      <c r="H11" s="90">
        <v>5010.94</v>
      </c>
      <c r="I11" s="90">
        <v>5010.94</v>
      </c>
      <c r="J11" s="90">
        <v>5010.94</v>
      </c>
      <c r="K11" s="90">
        <v>5010.94</v>
      </c>
      <c r="L11" s="90">
        <v>5010.94</v>
      </c>
      <c r="M11" s="90">
        <v>5010.94</v>
      </c>
      <c r="N11" s="90">
        <v>5010.94</v>
      </c>
      <c r="O11" s="90">
        <v>5010.94</v>
      </c>
      <c r="P11" s="90">
        <v>5010.94</v>
      </c>
      <c r="Q11" s="90">
        <v>5093.12</v>
      </c>
      <c r="R11" s="90">
        <f t="shared" si="5"/>
        <v>5093.12</v>
      </c>
      <c r="S11" s="91">
        <f>IFERROR(__xludf.DUMMYFUNCTION("IFERROR(if(V11=true, SUM(FILTER(Timesheet!$F:$F,Timesheet!G:G = TRUE,Timesheet!B:B = A11,Timesheet!E:E &lt; DATE(2021,1,1))),0),0)"),0.0)</f>
        <v>0</v>
      </c>
      <c r="T11" s="92">
        <f t="shared" si="2"/>
        <v>0</v>
      </c>
      <c r="U11" s="93" t="str">
        <f t="shared" si="3"/>
        <v>Parcial</v>
      </c>
      <c r="V11" s="62" t="b">
        <v>0</v>
      </c>
    </row>
    <row r="12">
      <c r="A12" s="88" t="s">
        <v>233</v>
      </c>
      <c r="B12" s="94" t="s">
        <v>2167</v>
      </c>
      <c r="C12" s="88"/>
      <c r="D12" s="88" t="s">
        <v>2168</v>
      </c>
      <c r="E12" s="53" t="s">
        <v>47</v>
      </c>
      <c r="F12" s="88"/>
      <c r="G12" s="90">
        <v>6215.73</v>
      </c>
      <c r="H12" s="90">
        <v>6215.73</v>
      </c>
      <c r="I12" s="90">
        <v>6215.73</v>
      </c>
      <c r="J12" s="90">
        <v>6215.73</v>
      </c>
      <c r="K12" s="90">
        <v>6215.73</v>
      </c>
      <c r="L12" s="90">
        <v>6215.73</v>
      </c>
      <c r="M12" s="90">
        <v>6215.73</v>
      </c>
      <c r="N12" s="90">
        <v>6215.73</v>
      </c>
      <c r="O12" s="90">
        <v>6215.73</v>
      </c>
      <c r="P12" s="90">
        <v>6215.73</v>
      </c>
      <c r="Q12" s="90">
        <v>6949.43</v>
      </c>
      <c r="R12" s="90">
        <f t="shared" si="5"/>
        <v>6949.43</v>
      </c>
      <c r="S12" s="91">
        <f>IFERROR(__xludf.DUMMYFUNCTION("IFERROR(if(V12=true, SUM(FILTER(Timesheet!$F:$F,Timesheet!G:G = TRUE,Timesheet!B:B = A12,Timesheet!E:E &lt; DATE(2021,1,1))),0),0)"),3.3541666666666647)</f>
        <v>3.354166667</v>
      </c>
      <c r="T12" s="92">
        <f t="shared" si="2"/>
        <v>0.0391536965</v>
      </c>
      <c r="U12" s="93" t="str">
        <f t="shared" si="3"/>
        <v>Parcial</v>
      </c>
      <c r="V12" s="62" t="b">
        <v>1</v>
      </c>
    </row>
    <row r="13">
      <c r="A13" s="88" t="s">
        <v>244</v>
      </c>
      <c r="B13" s="88" t="s">
        <v>2169</v>
      </c>
      <c r="C13" s="88"/>
      <c r="D13" s="88" t="s">
        <v>2170</v>
      </c>
      <c r="E13" s="53" t="s">
        <v>47</v>
      </c>
      <c r="F13" s="88"/>
      <c r="G13" s="90">
        <v>5566.87</v>
      </c>
      <c r="H13" s="90">
        <v>5566.87</v>
      </c>
      <c r="I13" s="90">
        <v>5566.87</v>
      </c>
      <c r="J13" s="90">
        <v>5566.87</v>
      </c>
      <c r="K13" s="90">
        <v>5566.87</v>
      </c>
      <c r="L13" s="90">
        <v>5566.87</v>
      </c>
      <c r="M13" s="90">
        <v>5566.87</v>
      </c>
      <c r="N13" s="90">
        <v>5566.87</v>
      </c>
      <c r="O13" s="90">
        <v>6012.22</v>
      </c>
      <c r="P13" s="90">
        <v>6012.22</v>
      </c>
      <c r="Q13" s="90">
        <v>6110.82</v>
      </c>
      <c r="R13" s="90">
        <f t="shared" si="5"/>
        <v>6110.82</v>
      </c>
      <c r="S13" s="91">
        <f>IFERROR(__xludf.DUMMYFUNCTION("IFERROR(if(V13=true, SUM(FILTER(Timesheet!$F:$F,Timesheet!G:G = TRUE,Timesheet!B:B = A13,Timesheet!E:E &lt; DATE(2021,1,1))),0),0)"),0.0)</f>
        <v>0</v>
      </c>
      <c r="T13" s="92">
        <f t="shared" si="2"/>
        <v>0</v>
      </c>
      <c r="U13" s="93" t="str">
        <f t="shared" si="3"/>
        <v>Parcial</v>
      </c>
      <c r="V13" s="62" t="b">
        <v>0</v>
      </c>
    </row>
    <row r="14">
      <c r="A14" s="88" t="s">
        <v>2171</v>
      </c>
      <c r="B14" s="88" t="s">
        <v>2172</v>
      </c>
      <c r="C14" s="88"/>
      <c r="D14" s="88" t="s">
        <v>2173</v>
      </c>
      <c r="E14" s="53" t="s">
        <v>47</v>
      </c>
      <c r="F14" s="88"/>
      <c r="G14" s="90">
        <v>4650.77</v>
      </c>
      <c r="H14" s="90">
        <v>4765.42</v>
      </c>
      <c r="I14" s="90">
        <v>4765.42</v>
      </c>
      <c r="J14" s="90">
        <v>4765.42</v>
      </c>
      <c r="K14" s="90">
        <v>4765.42</v>
      </c>
      <c r="L14" s="90">
        <v>4765.42</v>
      </c>
      <c r="M14" s="90">
        <v>4765.42</v>
      </c>
      <c r="N14" s="90">
        <v>4765.42</v>
      </c>
      <c r="O14" s="90">
        <v>4765.42</v>
      </c>
      <c r="P14" s="95"/>
      <c r="Q14" s="95"/>
      <c r="R14" s="95"/>
      <c r="S14" s="91">
        <f>IFERROR(__xludf.DUMMYFUNCTION("IFERROR(if(V14=true, SUM(FILTER(Timesheet!$F:$F,Timesheet!G:G = TRUE,Timesheet!B:B = A14,Timesheet!E:E &lt; DATE(2021,1,1))),0),0)"),0.0)</f>
        <v>0</v>
      </c>
      <c r="T14" s="92">
        <f t="shared" si="2"/>
        <v>0</v>
      </c>
      <c r="U14" s="93" t="str">
        <f t="shared" si="3"/>
        <v>Parcial</v>
      </c>
      <c r="V14" s="62" t="b">
        <v>0</v>
      </c>
    </row>
    <row r="15">
      <c r="A15" s="88" t="s">
        <v>1253</v>
      </c>
      <c r="B15" s="88" t="s">
        <v>2174</v>
      </c>
      <c r="C15" s="88"/>
      <c r="D15" s="88" t="s">
        <v>2157</v>
      </c>
      <c r="E15" s="49" t="s">
        <v>46</v>
      </c>
      <c r="F15" s="88"/>
      <c r="G15" s="90">
        <v>3372.35</v>
      </c>
      <c r="H15" s="90">
        <v>3372.35</v>
      </c>
      <c r="I15" s="90">
        <v>3372.35</v>
      </c>
      <c r="J15" s="90">
        <v>3372.35</v>
      </c>
      <c r="K15" s="90">
        <v>3372.35</v>
      </c>
      <c r="L15" s="90">
        <v>3372.35</v>
      </c>
      <c r="M15" s="90">
        <v>3372.35</v>
      </c>
      <c r="N15" s="90">
        <v>3372.35</v>
      </c>
      <c r="O15" s="90">
        <v>3713.0</v>
      </c>
      <c r="P15" s="90">
        <v>3713.0</v>
      </c>
      <c r="Q15" s="90">
        <v>3773.89</v>
      </c>
      <c r="R15" s="90">
        <f t="shared" ref="R15:R22" si="6">Q15</f>
        <v>3773.89</v>
      </c>
      <c r="S15" s="91">
        <f>IFERROR(__xludf.DUMMYFUNCTION("IFERROR(if(V15=true, SUM(FILTER(Timesheet!$F:$F,Timesheet!G:G = TRUE,Timesheet!B:B = A15,Timesheet!E:E &lt; DATE(2021,1,1))),0),0)"),19.577083333333338)</f>
        <v>19.57708333</v>
      </c>
      <c r="T15" s="92">
        <f t="shared" si="2"/>
        <v>0.2285262646</v>
      </c>
      <c r="U15" s="93" t="str">
        <f t="shared" si="3"/>
        <v>Parcial</v>
      </c>
      <c r="V15" s="62" t="b">
        <v>1</v>
      </c>
    </row>
    <row r="16">
      <c r="A16" s="88" t="s">
        <v>2090</v>
      </c>
      <c r="B16" s="88" t="s">
        <v>2175</v>
      </c>
      <c r="C16" s="88"/>
      <c r="D16" s="88" t="s">
        <v>2176</v>
      </c>
      <c r="E16" s="88" t="s">
        <v>48</v>
      </c>
      <c r="F16" s="88"/>
      <c r="G16" s="90">
        <v>10111.64</v>
      </c>
      <c r="H16" s="90">
        <v>10111.64</v>
      </c>
      <c r="I16" s="90">
        <v>10111.64</v>
      </c>
      <c r="J16" s="90">
        <v>10111.64</v>
      </c>
      <c r="K16" s="90">
        <v>10111.64</v>
      </c>
      <c r="L16" s="90">
        <v>10111.64</v>
      </c>
      <c r="M16" s="90">
        <v>10111.64</v>
      </c>
      <c r="N16" s="90">
        <v>10111.64</v>
      </c>
      <c r="O16" s="90">
        <v>12286.23</v>
      </c>
      <c r="P16" s="90">
        <v>12286.23</v>
      </c>
      <c r="Q16" s="90">
        <v>12487.72</v>
      </c>
      <c r="R16" s="90">
        <f t="shared" si="6"/>
        <v>12487.72</v>
      </c>
      <c r="S16" s="91">
        <f>IFERROR(__xludf.DUMMYFUNCTION("IFERROR(if(V16=true, SUM(FILTER(Timesheet!$F:$F,Timesheet!G:G = TRUE,Timesheet!B:B = A16,Timesheet!E:E &lt; DATE(2021,1,1))),0),0)"),58.036111111111154)</f>
        <v>58.03611111</v>
      </c>
      <c r="T16" s="92">
        <f t="shared" si="2"/>
        <v>0.677464332</v>
      </c>
      <c r="U16" s="93" t="str">
        <f t="shared" si="3"/>
        <v>Parcial</v>
      </c>
      <c r="V16" s="62" t="b">
        <v>1</v>
      </c>
    </row>
    <row r="17">
      <c r="A17" s="88" t="s">
        <v>285</v>
      </c>
      <c r="B17" s="88" t="s">
        <v>2177</v>
      </c>
      <c r="C17" s="88"/>
      <c r="D17" s="88" t="s">
        <v>2178</v>
      </c>
      <c r="E17" s="53" t="s">
        <v>47</v>
      </c>
      <c r="F17" s="88"/>
      <c r="G17" s="90">
        <v>3708.73</v>
      </c>
      <c r="H17" s="90">
        <v>3708.73</v>
      </c>
      <c r="I17" s="90">
        <v>3708.73</v>
      </c>
      <c r="J17" s="90">
        <v>3708.73</v>
      </c>
      <c r="K17" s="90">
        <v>3708.73</v>
      </c>
      <c r="L17" s="90">
        <v>3708.73</v>
      </c>
      <c r="M17" s="90">
        <v>3708.73</v>
      </c>
      <c r="N17" s="90">
        <v>3708.73</v>
      </c>
      <c r="O17" s="90">
        <v>4005.43</v>
      </c>
      <c r="P17" s="90">
        <v>4005.43</v>
      </c>
      <c r="Q17" s="90">
        <v>4071.12</v>
      </c>
      <c r="R17" s="90">
        <f t="shared" si="6"/>
        <v>4071.12</v>
      </c>
      <c r="S17" s="91">
        <f>IFERROR(__xludf.DUMMYFUNCTION("IFERROR(if(V17=true, SUM(FILTER(Timesheet!$F:$F,Timesheet!G:G = TRUE,Timesheet!B:B = A17,Timesheet!E:E &lt; DATE(2021,1,1))),0),0)"),0.0)</f>
        <v>0</v>
      </c>
      <c r="T17" s="92">
        <f t="shared" si="2"/>
        <v>0</v>
      </c>
      <c r="U17" s="93" t="str">
        <f t="shared" si="3"/>
        <v>Parcial</v>
      </c>
      <c r="V17" s="62" t="b">
        <v>0</v>
      </c>
    </row>
    <row r="18">
      <c r="A18" s="88" t="s">
        <v>1306</v>
      </c>
      <c r="B18" s="88" t="s">
        <v>2179</v>
      </c>
      <c r="C18" s="88"/>
      <c r="D18" s="88" t="s">
        <v>2180</v>
      </c>
      <c r="E18" s="49" t="s">
        <v>46</v>
      </c>
      <c r="F18" s="88"/>
      <c r="G18" s="90">
        <v>4332.79</v>
      </c>
      <c r="H18" s="90">
        <v>4332.79</v>
      </c>
      <c r="I18" s="90">
        <v>4332.79</v>
      </c>
      <c r="J18" s="90">
        <v>4332.79</v>
      </c>
      <c r="K18" s="90">
        <v>4332.79</v>
      </c>
      <c r="L18" s="90">
        <v>4332.79</v>
      </c>
      <c r="M18" s="90">
        <v>4332.79</v>
      </c>
      <c r="N18" s="90">
        <v>4332.79</v>
      </c>
      <c r="O18" s="90">
        <v>4914.94</v>
      </c>
      <c r="P18" s="90">
        <v>4914.94</v>
      </c>
      <c r="Q18" s="90">
        <v>4995.55</v>
      </c>
      <c r="R18" s="90">
        <f t="shared" si="6"/>
        <v>4995.55</v>
      </c>
      <c r="S18" s="91">
        <f>IFERROR(__xludf.DUMMYFUNCTION("IFERROR(if(V18=true, SUM(FILTER(Timesheet!$F:$F,Timesheet!G:G = TRUE,Timesheet!B:B = A18,Timesheet!E:E &lt; DATE(2021,1,1))),0),0)"),55.85208333333332)</f>
        <v>55.85208333</v>
      </c>
      <c r="T18" s="92">
        <f t="shared" si="2"/>
        <v>0.6519698444</v>
      </c>
      <c r="U18" s="93" t="str">
        <f t="shared" si="3"/>
        <v>Parcial</v>
      </c>
      <c r="V18" s="62" t="b">
        <v>1</v>
      </c>
    </row>
    <row r="19">
      <c r="A19" s="88" t="s">
        <v>356</v>
      </c>
      <c r="B19" s="88" t="s">
        <v>2181</v>
      </c>
      <c r="C19" s="88"/>
      <c r="D19" s="88" t="s">
        <v>2182</v>
      </c>
      <c r="E19" s="58" t="s">
        <v>47</v>
      </c>
      <c r="F19" s="88"/>
      <c r="G19" s="90">
        <v>17326.88</v>
      </c>
      <c r="H19" s="90">
        <v>17326.88</v>
      </c>
      <c r="I19" s="90">
        <v>17326.88</v>
      </c>
      <c r="J19" s="90">
        <v>17326.88</v>
      </c>
      <c r="K19" s="90">
        <v>17326.88</v>
      </c>
      <c r="L19" s="90">
        <v>17326.88</v>
      </c>
      <c r="M19" s="90">
        <v>17326.88</v>
      </c>
      <c r="N19" s="90">
        <v>17326.88</v>
      </c>
      <c r="O19" s="90">
        <v>17326.88</v>
      </c>
      <c r="P19" s="90">
        <v>17326.88</v>
      </c>
      <c r="Q19" s="90">
        <v>17611.04</v>
      </c>
      <c r="R19" s="90">
        <f t="shared" si="6"/>
        <v>17611.04</v>
      </c>
      <c r="S19" s="91">
        <f>IFERROR(__xludf.DUMMYFUNCTION("IFERROR(if(V19=true, SUM(FILTER(Timesheet!$F:$F,Timesheet!G:G = TRUE,Timesheet!B:B = A19,Timesheet!E:E &lt; DATE(2021,1,1))),0),0)"),10.304166666666664)</f>
        <v>10.30416667</v>
      </c>
      <c r="T19" s="92">
        <f t="shared" si="2"/>
        <v>0.1202821012</v>
      </c>
      <c r="U19" s="93" t="str">
        <f t="shared" si="3"/>
        <v>Parcial</v>
      </c>
      <c r="V19" s="62" t="b">
        <v>1</v>
      </c>
    </row>
    <row r="20">
      <c r="A20" s="88" t="s">
        <v>2183</v>
      </c>
      <c r="B20" s="88" t="s">
        <v>2184</v>
      </c>
      <c r="C20" s="88" t="s">
        <v>2185</v>
      </c>
      <c r="D20" s="88" t="s">
        <v>2186</v>
      </c>
      <c r="E20" s="49" t="s">
        <v>44</v>
      </c>
      <c r="F20" s="88"/>
      <c r="G20" s="90">
        <v>2493.04</v>
      </c>
      <c r="H20" s="90">
        <v>2493.04</v>
      </c>
      <c r="I20" s="90">
        <v>2493.04</v>
      </c>
      <c r="J20" s="90">
        <v>2493.04</v>
      </c>
      <c r="K20" s="90">
        <v>2493.04</v>
      </c>
      <c r="L20" s="90">
        <v>2493.04</v>
      </c>
      <c r="M20" s="90">
        <v>2493.04</v>
      </c>
      <c r="N20" s="90">
        <v>2493.04</v>
      </c>
      <c r="O20" s="90">
        <v>3034.9</v>
      </c>
      <c r="P20" s="90">
        <v>3034.9</v>
      </c>
      <c r="Q20" s="90">
        <v>3084.67</v>
      </c>
      <c r="R20" s="90">
        <f t="shared" si="6"/>
        <v>3084.67</v>
      </c>
      <c r="S20" s="91">
        <f>IFERROR(__xludf.DUMMYFUNCTION("IFERROR(if(V20=true, SUM(FILTER(Timesheet!$F:$F,Timesheet!G:G = TRUE,Timesheet!B:B = A20,Timesheet!E:E &lt; DATE(2021,1,1))),0),0)"),0.0)</f>
        <v>0</v>
      </c>
      <c r="T20" s="92">
        <f t="shared" si="2"/>
        <v>0</v>
      </c>
      <c r="U20" s="93" t="str">
        <f t="shared" si="3"/>
        <v>Parcial</v>
      </c>
      <c r="V20" s="62" t="b">
        <v>0</v>
      </c>
    </row>
    <row r="21">
      <c r="A21" s="94" t="s">
        <v>508</v>
      </c>
      <c r="B21" s="88" t="s">
        <v>2187</v>
      </c>
      <c r="C21" s="88"/>
      <c r="D21" s="88" t="s">
        <v>2188</v>
      </c>
      <c r="E21" s="49" t="s">
        <v>46</v>
      </c>
      <c r="F21" s="88"/>
      <c r="G21" s="90">
        <v>3708.73</v>
      </c>
      <c r="H21" s="90">
        <v>3708.73</v>
      </c>
      <c r="I21" s="90">
        <v>3708.73</v>
      </c>
      <c r="J21" s="90">
        <v>3708.73</v>
      </c>
      <c r="K21" s="90">
        <v>3708.73</v>
      </c>
      <c r="L21" s="90">
        <v>3708.73</v>
      </c>
      <c r="M21" s="90">
        <v>3708.73</v>
      </c>
      <c r="N21" s="90">
        <v>3708.73</v>
      </c>
      <c r="O21" s="90">
        <v>3708.73</v>
      </c>
      <c r="P21" s="90">
        <v>3708.73</v>
      </c>
      <c r="Q21" s="90">
        <v>3769.55</v>
      </c>
      <c r="R21" s="90">
        <f t="shared" si="6"/>
        <v>3769.55</v>
      </c>
      <c r="S21" s="91">
        <f>IFERROR(__xludf.DUMMYFUNCTION("IFERROR(if(V21=true, SUM(FILTER(Timesheet!$F:$F,Timesheet!G:G = TRUE,Timesheet!B:B = A21,Timesheet!E:E &lt; DATE(2021,1,1))),0),0)"),0.0)</f>
        <v>0</v>
      </c>
      <c r="T21" s="92">
        <f t="shared" si="2"/>
        <v>0</v>
      </c>
      <c r="U21" s="93" t="str">
        <f t="shared" si="3"/>
        <v>Parcial</v>
      </c>
      <c r="V21" s="62" t="b">
        <v>0</v>
      </c>
    </row>
    <row r="22">
      <c r="A22" s="88" t="s">
        <v>528</v>
      </c>
      <c r="B22" s="88" t="s">
        <v>2189</v>
      </c>
      <c r="C22" s="88"/>
      <c r="D22" s="88" t="s">
        <v>2190</v>
      </c>
      <c r="E22" s="53" t="s">
        <v>47</v>
      </c>
      <c r="F22" s="88"/>
      <c r="G22" s="90">
        <v>4640.42</v>
      </c>
      <c r="H22" s="90">
        <v>5010.94</v>
      </c>
      <c r="I22" s="90">
        <v>5010.94</v>
      </c>
      <c r="J22" s="90">
        <v>5010.94</v>
      </c>
      <c r="K22" s="90">
        <v>5010.94</v>
      </c>
      <c r="L22" s="90">
        <v>5010.94</v>
      </c>
      <c r="M22" s="90">
        <v>5010.94</v>
      </c>
      <c r="N22" s="90">
        <v>5010.94</v>
      </c>
      <c r="O22" s="90">
        <v>5010.94</v>
      </c>
      <c r="P22" s="90">
        <v>5010.94</v>
      </c>
      <c r="Q22" s="90">
        <v>5093.12</v>
      </c>
      <c r="R22" s="90">
        <f t="shared" si="6"/>
        <v>5093.12</v>
      </c>
      <c r="S22" s="91">
        <f>IFERROR(__xludf.DUMMYFUNCTION("IFERROR(if(V22=true, SUM(FILTER(Timesheet!$F:$F,Timesheet!G:G = TRUE,Timesheet!B:B = A22,Timesheet!E:E &lt; DATE(2021,1,1))),0),0)"),0.125)</f>
        <v>0.125</v>
      </c>
      <c r="T22" s="92">
        <f t="shared" si="2"/>
        <v>0.001459143969</v>
      </c>
      <c r="U22" s="93" t="str">
        <f t="shared" si="3"/>
        <v>Parcial</v>
      </c>
      <c r="V22" s="62" t="b">
        <v>1</v>
      </c>
    </row>
    <row r="23">
      <c r="A23" s="88" t="s">
        <v>2191</v>
      </c>
      <c r="B23" s="88" t="s">
        <v>2192</v>
      </c>
      <c r="C23" s="88"/>
      <c r="D23" s="88" t="s">
        <v>2193</v>
      </c>
      <c r="E23" s="40" t="s">
        <v>48</v>
      </c>
      <c r="F23" s="88"/>
      <c r="G23" s="95"/>
      <c r="H23" s="95"/>
      <c r="I23" s="95"/>
      <c r="J23" s="95"/>
      <c r="K23" s="95"/>
      <c r="L23" s="95"/>
      <c r="M23" s="95"/>
      <c r="N23" s="95"/>
      <c r="O23" s="95"/>
      <c r="P23" s="90">
        <v>9000.0</v>
      </c>
      <c r="Q23" s="90">
        <f>P23</f>
        <v>9000</v>
      </c>
      <c r="R23" s="95"/>
      <c r="S23" s="91">
        <f>IFERROR(__xludf.DUMMYFUNCTION("IFERROR(if(V23=true, SUM(FILTER(Timesheet!$F:$F,Timesheet!G:G = TRUE,Timesheet!B:B = A23,Timesheet!E:E &lt; DATE(2021,1,1))),0),0)"),0.0)</f>
        <v>0</v>
      </c>
      <c r="T23" s="92">
        <f t="shared" si="2"/>
        <v>0</v>
      </c>
      <c r="U23" s="93" t="str">
        <f t="shared" si="3"/>
        <v>Parcial</v>
      </c>
      <c r="V23" s="62" t="b">
        <v>0</v>
      </c>
    </row>
    <row r="24">
      <c r="A24" s="88" t="s">
        <v>532</v>
      </c>
      <c r="B24" s="88" t="s">
        <v>2194</v>
      </c>
      <c r="C24" s="88"/>
      <c r="D24" s="88" t="s">
        <v>2195</v>
      </c>
      <c r="E24" s="53" t="s">
        <v>47</v>
      </c>
      <c r="F24" s="88"/>
      <c r="G24" s="90">
        <v>3899.08</v>
      </c>
      <c r="H24" s="90">
        <v>3899.08</v>
      </c>
      <c r="I24" s="90">
        <v>3899.08</v>
      </c>
      <c r="J24" s="90">
        <v>3899.08</v>
      </c>
      <c r="K24" s="90">
        <v>3899.08</v>
      </c>
      <c r="L24" s="90">
        <v>3899.08</v>
      </c>
      <c r="M24" s="90">
        <v>3899.08</v>
      </c>
      <c r="N24" s="90">
        <v>3899.08</v>
      </c>
      <c r="O24" s="90">
        <v>3899.08</v>
      </c>
      <c r="P24" s="90">
        <v>3899.08</v>
      </c>
      <c r="Q24" s="90">
        <v>3963.02</v>
      </c>
      <c r="R24" s="90">
        <f t="shared" ref="R24:R25" si="7">Q24</f>
        <v>3963.02</v>
      </c>
      <c r="S24" s="91">
        <f>IFERROR(__xludf.DUMMYFUNCTION("IFERROR(if(V24=true, SUM(FILTER(Timesheet!$F:$F,Timesheet!G:G = TRUE,Timesheet!B:B = A24,Timesheet!E:E &lt; DATE(2021,1,1))),0),0)"),1.4791666666666665)</f>
        <v>1.479166667</v>
      </c>
      <c r="T24" s="92">
        <f t="shared" si="2"/>
        <v>0.01726653696</v>
      </c>
      <c r="U24" s="93" t="str">
        <f t="shared" si="3"/>
        <v>Parcial</v>
      </c>
      <c r="V24" s="62" t="b">
        <v>1</v>
      </c>
    </row>
    <row r="25">
      <c r="A25" s="88" t="s">
        <v>2196</v>
      </c>
      <c r="B25" s="88" t="s">
        <v>2197</v>
      </c>
      <c r="C25" s="81"/>
      <c r="D25" s="88" t="s">
        <v>2198</v>
      </c>
      <c r="E25" s="88" t="s">
        <v>46</v>
      </c>
      <c r="F25" s="81"/>
      <c r="G25" s="90">
        <v>5566.87</v>
      </c>
      <c r="H25" s="90">
        <v>6123.88</v>
      </c>
      <c r="I25" s="90">
        <v>6123.88</v>
      </c>
      <c r="J25" s="90">
        <v>6123.88</v>
      </c>
      <c r="K25" s="90">
        <v>6123.88</v>
      </c>
      <c r="L25" s="90">
        <v>6123.88</v>
      </c>
      <c r="M25" s="90">
        <v>6123.88</v>
      </c>
      <c r="N25" s="90">
        <v>6123.88</v>
      </c>
      <c r="O25" s="90">
        <v>6123.88</v>
      </c>
      <c r="P25" s="90">
        <v>6123.88</v>
      </c>
      <c r="Q25" s="90">
        <v>6224.31</v>
      </c>
      <c r="R25" s="90">
        <f t="shared" si="7"/>
        <v>6224.31</v>
      </c>
      <c r="S25" s="91">
        <f>IFERROR(__xludf.DUMMYFUNCTION("IFERROR(if(V25=true, SUM(FILTER(Timesheet!$F:$F,Timesheet!G:G = TRUE,Timesheet!B:B = A25,Timesheet!E:E &lt; DATE(2021,1,1))),0),0)"),0.0)</f>
        <v>0</v>
      </c>
      <c r="T25" s="92">
        <f t="shared" si="2"/>
        <v>0</v>
      </c>
      <c r="U25" s="93" t="str">
        <f t="shared" si="3"/>
        <v>Parcial</v>
      </c>
      <c r="V25" s="62" t="b">
        <v>0</v>
      </c>
    </row>
    <row r="26">
      <c r="A26" s="62"/>
      <c r="B26" s="58"/>
      <c r="C26" s="58"/>
      <c r="D26" s="58"/>
      <c r="E26" s="58"/>
      <c r="F26" s="5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91">
        <f>IFERROR(__xludf.DUMMYFUNCTION("IFERROR(if(V26=true, SUM(FILTER(Timesheet!$F:$F,Timesheet!G:G = TRUE,Timesheet!B:B = A26,Timesheet!E:E &lt; DATE(2021,1,1))),0),0)"),0.0)</f>
        <v>0</v>
      </c>
      <c r="T26" s="92">
        <f t="shared" si="2"/>
        <v>0</v>
      </c>
      <c r="U26" s="93" t="str">
        <f t="shared" si="3"/>
        <v>Parcial</v>
      </c>
      <c r="V26" s="62" t="b">
        <v>0</v>
      </c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</row>
    <row r="29">
      <c r="A29" s="60" t="s">
        <v>2199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</row>
    <row r="30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</row>
    <row r="31">
      <c r="A31" s="96" t="s">
        <v>2200</v>
      </c>
      <c r="B31" s="97"/>
      <c r="C31" s="97"/>
      <c r="D31" s="97"/>
      <c r="E31" s="98"/>
      <c r="F31" s="99"/>
      <c r="G31" s="100"/>
      <c r="H31" s="101" t="s">
        <v>2201</v>
      </c>
      <c r="I31" s="102" t="s">
        <v>2202</v>
      </c>
      <c r="J31" s="103">
        <v>0.2</v>
      </c>
      <c r="K31" s="58"/>
      <c r="L31" s="58"/>
      <c r="M31" s="58"/>
      <c r="N31" s="58"/>
      <c r="O31" s="58"/>
      <c r="P31" s="58"/>
      <c r="Q31" s="58"/>
      <c r="R31" s="58"/>
      <c r="S31" s="58"/>
      <c r="T31" s="37"/>
      <c r="U31" s="104"/>
      <c r="V31" s="104"/>
    </row>
    <row r="32">
      <c r="A32" s="105" t="s">
        <v>2201</v>
      </c>
      <c r="B32" s="106" t="s">
        <v>2203</v>
      </c>
      <c r="C32" s="106" t="s">
        <v>2204</v>
      </c>
      <c r="D32" s="106" t="s">
        <v>2205</v>
      </c>
      <c r="E32" s="107" t="s">
        <v>17</v>
      </c>
      <c r="F32" s="108"/>
      <c r="G32" s="100"/>
      <c r="H32" s="109"/>
      <c r="I32" s="110" t="s">
        <v>11</v>
      </c>
      <c r="J32" s="111">
        <v>0.058</v>
      </c>
      <c r="K32" s="58"/>
      <c r="L32" s="58"/>
      <c r="M32" s="58"/>
      <c r="N32" s="58"/>
      <c r="O32" s="58"/>
      <c r="P32" s="58"/>
      <c r="Q32" s="58"/>
      <c r="R32" s="58"/>
      <c r="S32" s="37"/>
      <c r="T32" s="104">
        <f>IFERROR(__xludf.DUMMYFUNCTION("sum(FILTER(T37:T56,match(A37:A56,FILTER(A6:A25,U6:U25 = ""Parcial""))))"),300723.96873926383)</f>
        <v>300723.9687</v>
      </c>
      <c r="U32" s="104"/>
      <c r="V32" s="104"/>
    </row>
    <row r="33">
      <c r="A33" s="112">
        <f>sum(J31:J33)</f>
        <v>0.273</v>
      </c>
      <c r="B33" s="113">
        <v>0.08</v>
      </c>
      <c r="C33" s="114">
        <f>((1+(1/3))+A33+B33)/12</f>
        <v>0.1405277778</v>
      </c>
      <c r="D33" s="114">
        <f>(1+A33+B33)/12</f>
        <v>0.11275</v>
      </c>
      <c r="E33" s="115">
        <f>sum(A33:D33)</f>
        <v>0.6062777778</v>
      </c>
      <c r="F33" s="99"/>
      <c r="G33" s="100"/>
      <c r="H33" s="116"/>
      <c r="I33" s="110" t="s">
        <v>2206</v>
      </c>
      <c r="J33" s="111">
        <v>0.015</v>
      </c>
      <c r="K33" s="58"/>
      <c r="L33" s="58"/>
      <c r="M33" s="58"/>
      <c r="N33" s="58"/>
      <c r="O33" s="58"/>
      <c r="P33" s="58"/>
      <c r="Q33" s="58"/>
      <c r="R33" s="58"/>
      <c r="S33" s="37"/>
      <c r="T33" s="104">
        <f>IFERROR(__xludf.DUMMYFUNCTION("IFERROR(sum(FILTER(T37:T56,match(A37:A56,FILTER(A6:A25,U6:U25 = ""Exclusivo"")))),0)"),0.0)</f>
        <v>0</v>
      </c>
      <c r="U33" s="104"/>
      <c r="V33" s="104"/>
    </row>
    <row r="34">
      <c r="A34" s="112"/>
      <c r="B34" s="112"/>
      <c r="C34" s="112"/>
      <c r="D34" s="112"/>
      <c r="E34" s="117"/>
      <c r="F34" s="99"/>
      <c r="G34" s="99"/>
      <c r="H34" s="118"/>
      <c r="I34" s="119"/>
      <c r="J34" s="120"/>
      <c r="K34" s="58"/>
      <c r="L34" s="58"/>
      <c r="M34" s="58"/>
      <c r="N34" s="58"/>
      <c r="O34" s="58"/>
      <c r="P34" s="58"/>
      <c r="Q34" s="58"/>
      <c r="R34" s="58"/>
      <c r="S34" s="37"/>
      <c r="T34" s="104"/>
      <c r="U34" s="104"/>
      <c r="V34" s="104"/>
    </row>
    <row r="35">
      <c r="A35" s="58"/>
      <c r="B35" s="58"/>
      <c r="C35" s="58"/>
      <c r="D35" s="58"/>
      <c r="E35" s="58"/>
      <c r="F35" s="58"/>
      <c r="G35" s="58">
        <f t="shared" ref="G35:R35" si="8">NETWORKDAYS(DATE(2020,(LEFT(G$36,2)+0),1),DATE(2020,(LEFT(G$36,2)+0)+1,0),$A$62:$A$74)</f>
        <v>21</v>
      </c>
      <c r="H35" s="58">
        <f t="shared" si="8"/>
        <v>22</v>
      </c>
      <c r="I35" s="58">
        <f t="shared" si="8"/>
        <v>21</v>
      </c>
      <c r="J35" s="58">
        <f t="shared" si="8"/>
        <v>22</v>
      </c>
      <c r="K35" s="58">
        <f t="shared" si="8"/>
        <v>21</v>
      </c>
      <c r="L35" s="58">
        <f t="shared" si="8"/>
        <v>22</v>
      </c>
      <c r="M35" s="58">
        <f t="shared" si="8"/>
        <v>21</v>
      </c>
      <c r="N35" s="58">
        <f t="shared" si="8"/>
        <v>21</v>
      </c>
      <c r="O35" s="58">
        <f t="shared" si="8"/>
        <v>22</v>
      </c>
      <c r="P35" s="58">
        <f t="shared" si="8"/>
        <v>21</v>
      </c>
      <c r="Q35" s="58">
        <f t="shared" si="8"/>
        <v>22</v>
      </c>
      <c r="R35" s="58">
        <f t="shared" si="8"/>
        <v>21</v>
      </c>
      <c r="S35" s="104">
        <f t="shared" ref="S35:T35" si="9">sum(S37:S56)</f>
        <v>312686.5612</v>
      </c>
      <c r="T35" s="104">
        <f t="shared" si="9"/>
        <v>300723.9687</v>
      </c>
      <c r="U35" s="121">
        <f>T35-S35</f>
        <v>-11962.59247</v>
      </c>
      <c r="V35" s="121"/>
    </row>
    <row r="36">
      <c r="A36" s="61" t="s">
        <v>2133</v>
      </c>
      <c r="B36" s="61"/>
      <c r="C36" s="61"/>
      <c r="D36" s="61" t="str">
        <f t="array" ref="D36:D57">U5:U26</f>
        <v>Classificação</v>
      </c>
      <c r="E36" s="61" t="str">
        <f t="array" ref="E36:E57">E5:E26</f>
        <v>Formação</v>
      </c>
      <c r="F36" s="61" t="s">
        <v>2207</v>
      </c>
      <c r="G36" s="122">
        <v>43861.0</v>
      </c>
      <c r="H36" s="122">
        <v>43890.0</v>
      </c>
      <c r="I36" s="122">
        <v>43921.0</v>
      </c>
      <c r="J36" s="122">
        <v>43951.0</v>
      </c>
      <c r="K36" s="122">
        <v>43982.0</v>
      </c>
      <c r="L36" s="122">
        <v>44012.0</v>
      </c>
      <c r="M36" s="122">
        <v>44043.0</v>
      </c>
      <c r="N36" s="122">
        <v>44074.0</v>
      </c>
      <c r="O36" s="122">
        <v>44104.0</v>
      </c>
      <c r="P36" s="123">
        <v>44135.0</v>
      </c>
      <c r="Q36" s="123">
        <v>44165.0</v>
      </c>
      <c r="R36" s="123">
        <v>44196.0</v>
      </c>
      <c r="S36" s="74" t="s">
        <v>2208</v>
      </c>
      <c r="T36" s="74" t="s">
        <v>2209</v>
      </c>
      <c r="U36" s="87" t="s">
        <v>2153</v>
      </c>
      <c r="V36" s="124"/>
    </row>
    <row r="37">
      <c r="A37" s="62" t="str">
        <f t="array" ref="A37:A57">unique(A6:A26)</f>
        <v>Ademir Mararangoni</v>
      </c>
      <c r="B37" s="58"/>
      <c r="C37" s="58"/>
      <c r="D37" s="58" t="s">
        <v>119</v>
      </c>
      <c r="E37" s="58" t="s">
        <v>46</v>
      </c>
      <c r="F37" s="37"/>
      <c r="G37" s="67">
        <f t="shared" ref="G37:R37" si="10">vlookup($A37,$A$6:$R$26,month(G$36)+6)*(1+$E$33)/(G$35*8.8)</f>
        <v>63.06587281</v>
      </c>
      <c r="H37" s="67">
        <f t="shared" si="10"/>
        <v>60.19924223</v>
      </c>
      <c r="I37" s="67">
        <f t="shared" si="10"/>
        <v>63.06587281</v>
      </c>
      <c r="J37" s="67">
        <f t="shared" si="10"/>
        <v>60.19924223</v>
      </c>
      <c r="K37" s="67">
        <f t="shared" si="10"/>
        <v>63.06587281</v>
      </c>
      <c r="L37" s="67">
        <f t="shared" si="10"/>
        <v>60.19924223</v>
      </c>
      <c r="M37" s="67">
        <f t="shared" si="10"/>
        <v>63.06587281</v>
      </c>
      <c r="N37" s="67">
        <f t="shared" si="10"/>
        <v>63.06587281</v>
      </c>
      <c r="O37" s="67">
        <f t="shared" si="10"/>
        <v>63.20918775</v>
      </c>
      <c r="P37" s="67">
        <f t="shared" si="10"/>
        <v>66.21914907</v>
      </c>
      <c r="Q37" s="67">
        <f t="shared" si="10"/>
        <v>64.2458011</v>
      </c>
      <c r="R37" s="67">
        <f t="shared" si="10"/>
        <v>67.30512496</v>
      </c>
      <c r="S37" s="104">
        <f>SUMIF(Timesheet!B:B,A37,Timesheet!J:J)</f>
        <v>4540.375482</v>
      </c>
      <c r="T37" s="104">
        <f t="shared" ref="T37:T57" si="12">SUMIF(U37,TRUE,S37)</f>
        <v>0</v>
      </c>
      <c r="U37" s="62" t="b">
        <v>0</v>
      </c>
      <c r="V37" s="62"/>
    </row>
    <row r="38">
      <c r="A38" s="37" t="s">
        <v>744</v>
      </c>
      <c r="B38" s="58"/>
      <c r="C38" s="58"/>
      <c r="D38" s="58" t="s">
        <v>119</v>
      </c>
      <c r="E38" s="58" t="s">
        <v>48</v>
      </c>
      <c r="F38" s="37"/>
      <c r="G38" s="67">
        <f t="shared" ref="G38:R38" si="11">vlookup($A38,$A$6:$R$26,month(G$36)+6)*(1+$E$33)/(G$35*8.8)</f>
        <v>0</v>
      </c>
      <c r="H38" s="67">
        <f t="shared" si="11"/>
        <v>0</v>
      </c>
      <c r="I38" s="67">
        <f t="shared" si="11"/>
        <v>29.31239645</v>
      </c>
      <c r="J38" s="67">
        <f t="shared" si="11"/>
        <v>27.98001479</v>
      </c>
      <c r="K38" s="67">
        <f t="shared" si="11"/>
        <v>29.31239645</v>
      </c>
      <c r="L38" s="67">
        <f t="shared" si="11"/>
        <v>27.98001479</v>
      </c>
      <c r="M38" s="67">
        <f t="shared" si="11"/>
        <v>29.31239645</v>
      </c>
      <c r="N38" s="67">
        <f t="shared" si="11"/>
        <v>29.31239645</v>
      </c>
      <c r="O38" s="67">
        <f t="shared" si="11"/>
        <v>27.98001479</v>
      </c>
      <c r="P38" s="67">
        <f t="shared" si="11"/>
        <v>29.31239645</v>
      </c>
      <c r="Q38" s="67">
        <f t="shared" si="11"/>
        <v>29.86083664</v>
      </c>
      <c r="R38" s="67">
        <f t="shared" si="11"/>
        <v>31.28278124</v>
      </c>
      <c r="S38" s="104">
        <f>SUMIF(Timesheet!B:B,A38,Timesheet!J:J)</f>
        <v>26660.38923</v>
      </c>
      <c r="T38" s="104">
        <f t="shared" si="12"/>
        <v>26660.38923</v>
      </c>
      <c r="U38" s="62" t="b">
        <v>1</v>
      </c>
      <c r="V38" s="62"/>
    </row>
    <row r="39">
      <c r="A39" s="125" t="s">
        <v>591</v>
      </c>
      <c r="B39" s="126"/>
      <c r="C39" s="126"/>
      <c r="D39" s="126" t="s">
        <v>119</v>
      </c>
      <c r="E39" s="126" t="s">
        <v>47</v>
      </c>
      <c r="F39" s="125"/>
      <c r="G39" s="127">
        <f t="shared" ref="G39:R39" si="13">G8*(((1/3)*1/12)+1)/(G35*(44/5))</f>
        <v>169.0374654</v>
      </c>
      <c r="H39" s="127">
        <f t="shared" si="13"/>
        <v>161.3539443</v>
      </c>
      <c r="I39" s="127">
        <f t="shared" si="13"/>
        <v>169.0374654</v>
      </c>
      <c r="J39" s="127">
        <f t="shared" si="13"/>
        <v>161.3539443</v>
      </c>
      <c r="K39" s="127">
        <f t="shared" si="13"/>
        <v>169.0374654</v>
      </c>
      <c r="L39" s="127">
        <f t="shared" si="13"/>
        <v>161.3539443</v>
      </c>
      <c r="M39" s="127">
        <f t="shared" si="13"/>
        <v>169.0374654</v>
      </c>
      <c r="N39" s="127">
        <f t="shared" si="13"/>
        <v>169.0374654</v>
      </c>
      <c r="O39" s="127">
        <f t="shared" si="13"/>
        <v>161.3539443</v>
      </c>
      <c r="P39" s="127">
        <f t="shared" si="13"/>
        <v>169.0374654</v>
      </c>
      <c r="Q39" s="127">
        <f t="shared" si="13"/>
        <v>161.3539443</v>
      </c>
      <c r="R39" s="127">
        <f t="shared" si="13"/>
        <v>169.0374654</v>
      </c>
      <c r="S39" s="104">
        <f>SUMIF(Timesheet!B:B,A39,Timesheet!J:J)</f>
        <v>21958.22288</v>
      </c>
      <c r="T39" s="104">
        <f t="shared" si="12"/>
        <v>21958.22288</v>
      </c>
      <c r="U39" s="62" t="b">
        <v>1</v>
      </c>
      <c r="V39" s="62"/>
    </row>
    <row r="40">
      <c r="A40" s="37" t="s">
        <v>194</v>
      </c>
      <c r="B40" s="58"/>
      <c r="C40" s="58"/>
      <c r="D40" s="58" t="s">
        <v>119</v>
      </c>
      <c r="E40" s="58" t="s">
        <v>47</v>
      </c>
      <c r="F40" s="37"/>
      <c r="G40" s="67">
        <f t="shared" ref="G40:R40" si="14">vlookup($A40,$A$6:$R$26,month(G$36)+6)*(1+$E$33)/(G$35*8.8)</f>
        <v>68.40187891</v>
      </c>
      <c r="H40" s="67">
        <f t="shared" si="14"/>
        <v>65.2927026</v>
      </c>
      <c r="I40" s="67">
        <f t="shared" si="14"/>
        <v>68.40187891</v>
      </c>
      <c r="J40" s="67">
        <f t="shared" si="14"/>
        <v>65.2927026</v>
      </c>
      <c r="K40" s="67">
        <f t="shared" si="14"/>
        <v>68.40187891</v>
      </c>
      <c r="L40" s="67">
        <f t="shared" si="14"/>
        <v>65.2927026</v>
      </c>
      <c r="M40" s="67">
        <f t="shared" si="14"/>
        <v>68.40187891</v>
      </c>
      <c r="N40" s="67">
        <f t="shared" si="14"/>
        <v>68.40187891</v>
      </c>
      <c r="O40" s="67">
        <f t="shared" si="14"/>
        <v>72.47490486</v>
      </c>
      <c r="P40" s="67">
        <f t="shared" si="14"/>
        <v>75.92609081</v>
      </c>
      <c r="Q40" s="67">
        <f t="shared" si="14"/>
        <v>73.66351723</v>
      </c>
      <c r="R40" s="67">
        <f t="shared" si="14"/>
        <v>77.17130377</v>
      </c>
      <c r="S40" s="104">
        <f>SUMIF(Timesheet!B:B,A40,Timesheet!J:J)</f>
        <v>2106.899719</v>
      </c>
      <c r="T40" s="104">
        <f t="shared" si="12"/>
        <v>2106.899719</v>
      </c>
      <c r="U40" s="62" t="b">
        <v>1</v>
      </c>
      <c r="V40" s="62"/>
    </row>
    <row r="41">
      <c r="A41" s="37" t="s">
        <v>755</v>
      </c>
      <c r="B41" s="58"/>
      <c r="C41" s="58"/>
      <c r="D41" s="58" t="s">
        <v>119</v>
      </c>
      <c r="E41" s="58" t="s">
        <v>46</v>
      </c>
      <c r="F41" s="37"/>
      <c r="G41" s="67">
        <f t="shared" ref="G41:R41" si="15">vlookup($A41,$A$6:$R$26,month(G$36)+6)*(1+$E$33)/(G$35*8.8)</f>
        <v>21.6693652</v>
      </c>
      <c r="H41" s="67">
        <f t="shared" si="15"/>
        <v>20.68439405</v>
      </c>
      <c r="I41" s="67">
        <f t="shared" si="15"/>
        <v>21.6693652</v>
      </c>
      <c r="J41" s="67">
        <f t="shared" si="15"/>
        <v>20.68439405</v>
      </c>
      <c r="K41" s="67">
        <f t="shared" si="15"/>
        <v>21.6693652</v>
      </c>
      <c r="L41" s="67">
        <f t="shared" si="15"/>
        <v>20.68439405</v>
      </c>
      <c r="M41" s="67">
        <f t="shared" si="15"/>
        <v>21.6693652</v>
      </c>
      <c r="N41" s="67">
        <f t="shared" si="15"/>
        <v>21.6693652</v>
      </c>
      <c r="O41" s="67">
        <f t="shared" si="15"/>
        <v>22.99267164</v>
      </c>
      <c r="P41" s="67">
        <f t="shared" si="15"/>
        <v>24.08756076</v>
      </c>
      <c r="Q41" s="67">
        <f t="shared" si="15"/>
        <v>23.36976526</v>
      </c>
      <c r="R41" s="67">
        <f t="shared" si="15"/>
        <v>24.48261122</v>
      </c>
      <c r="S41" s="104">
        <f>SUMIF(Timesheet!B:B,A41,Timesheet!J:J)</f>
        <v>16066.77002</v>
      </c>
      <c r="T41" s="104">
        <f t="shared" si="12"/>
        <v>16066.77002</v>
      </c>
      <c r="U41" s="62" t="b">
        <v>1</v>
      </c>
      <c r="V41" s="62"/>
    </row>
    <row r="42">
      <c r="A42" s="58" t="s">
        <v>213</v>
      </c>
      <c r="B42" s="58"/>
      <c r="C42" s="58"/>
      <c r="D42" s="58" t="s">
        <v>119</v>
      </c>
      <c r="E42" s="58" t="s">
        <v>46</v>
      </c>
      <c r="F42" s="58"/>
      <c r="G42" s="67">
        <f t="shared" ref="G42:R42" si="16">vlookup($A42,$A$6:$R$26,month(G$36)+6)*(1+$E$33)/(G$35*8.8)</f>
        <v>43.55498684</v>
      </c>
      <c r="H42" s="67">
        <f t="shared" si="16"/>
        <v>41.57521471</v>
      </c>
      <c r="I42" s="67">
        <f t="shared" si="16"/>
        <v>43.55498684</v>
      </c>
      <c r="J42" s="67">
        <f t="shared" si="16"/>
        <v>41.57521471</v>
      </c>
      <c r="K42" s="67">
        <f t="shared" si="16"/>
        <v>43.55498684</v>
      </c>
      <c r="L42" s="67">
        <f t="shared" si="16"/>
        <v>41.57521471</v>
      </c>
      <c r="M42" s="67">
        <f t="shared" si="16"/>
        <v>43.55498684</v>
      </c>
      <c r="N42" s="67">
        <f t="shared" si="16"/>
        <v>43.55498684</v>
      </c>
      <c r="O42" s="67">
        <f t="shared" si="16"/>
        <v>41.57521471</v>
      </c>
      <c r="P42" s="67">
        <f t="shared" si="16"/>
        <v>43.55498684</v>
      </c>
      <c r="Q42" s="67">
        <f t="shared" si="16"/>
        <v>42.25705308</v>
      </c>
      <c r="R42" s="67">
        <f t="shared" si="16"/>
        <v>44.2692937</v>
      </c>
      <c r="S42" s="104">
        <f>SUMIF(Timesheet!B:B,A42,Timesheet!J:J)</f>
        <v>1032.824956</v>
      </c>
      <c r="T42" s="104">
        <f t="shared" si="12"/>
        <v>0</v>
      </c>
      <c r="U42" s="62" t="b">
        <v>0</v>
      </c>
      <c r="V42" s="62"/>
    </row>
    <row r="43">
      <c r="A43" s="58" t="s">
        <v>233</v>
      </c>
      <c r="B43" s="58"/>
      <c r="C43" s="58"/>
      <c r="D43" s="58" t="s">
        <v>119</v>
      </c>
      <c r="E43" s="58" t="s">
        <v>47</v>
      </c>
      <c r="F43" s="58"/>
      <c r="G43" s="67">
        <f t="shared" ref="G43:R43" si="17">vlookup($A43,$A$6:$R$26,month(G$36)+6)*(1+$E$33)/(G$35*8.8)</f>
        <v>54.0269966</v>
      </c>
      <c r="H43" s="67">
        <f t="shared" si="17"/>
        <v>51.57122403</v>
      </c>
      <c r="I43" s="67">
        <f t="shared" si="17"/>
        <v>54.0269966</v>
      </c>
      <c r="J43" s="67">
        <f t="shared" si="17"/>
        <v>51.57122403</v>
      </c>
      <c r="K43" s="67">
        <f t="shared" si="17"/>
        <v>54.0269966</v>
      </c>
      <c r="L43" s="67">
        <f t="shared" si="17"/>
        <v>51.57122403</v>
      </c>
      <c r="M43" s="67">
        <f t="shared" si="17"/>
        <v>54.0269966</v>
      </c>
      <c r="N43" s="67">
        <f t="shared" si="17"/>
        <v>54.0269966</v>
      </c>
      <c r="O43" s="67">
        <f t="shared" si="17"/>
        <v>51.57122403</v>
      </c>
      <c r="P43" s="67">
        <f t="shared" si="17"/>
        <v>54.0269966</v>
      </c>
      <c r="Q43" s="67">
        <f t="shared" si="17"/>
        <v>57.65865174</v>
      </c>
      <c r="R43" s="67">
        <f t="shared" si="17"/>
        <v>60.40430182</v>
      </c>
      <c r="S43" s="104">
        <f>SUMIF(Timesheet!B:B,A43,Timesheet!J:J)</f>
        <v>4335.820337</v>
      </c>
      <c r="T43" s="104">
        <f t="shared" si="12"/>
        <v>4335.820337</v>
      </c>
      <c r="U43" s="62" t="b">
        <v>1</v>
      </c>
      <c r="V43" s="62"/>
    </row>
    <row r="44">
      <c r="A44" s="58" t="s">
        <v>244</v>
      </c>
      <c r="B44" s="58"/>
      <c r="C44" s="58"/>
      <c r="D44" s="58" t="s">
        <v>119</v>
      </c>
      <c r="E44" s="58" t="s">
        <v>47</v>
      </c>
      <c r="F44" s="58"/>
      <c r="G44" s="67">
        <f t="shared" ref="G44:R44" si="18">vlookup($A44,$A$6:$R$26,month(G$36)+6)*(1+$E$33)/(G$35*8.8)</f>
        <v>48.3871189</v>
      </c>
      <c r="H44" s="67">
        <f t="shared" si="18"/>
        <v>46.1877044</v>
      </c>
      <c r="I44" s="67">
        <f t="shared" si="18"/>
        <v>48.3871189</v>
      </c>
      <c r="J44" s="67">
        <f t="shared" si="18"/>
        <v>46.1877044</v>
      </c>
      <c r="K44" s="67">
        <f t="shared" si="18"/>
        <v>48.3871189</v>
      </c>
      <c r="L44" s="67">
        <f t="shared" si="18"/>
        <v>46.1877044</v>
      </c>
      <c r="M44" s="67">
        <f t="shared" si="18"/>
        <v>48.3871189</v>
      </c>
      <c r="N44" s="67">
        <f t="shared" si="18"/>
        <v>48.3871189</v>
      </c>
      <c r="O44" s="67">
        <f t="shared" si="18"/>
        <v>49.88272408</v>
      </c>
      <c r="P44" s="67">
        <f t="shared" si="18"/>
        <v>52.25809189</v>
      </c>
      <c r="Q44" s="67">
        <f t="shared" si="18"/>
        <v>50.70079737</v>
      </c>
      <c r="R44" s="67">
        <f t="shared" si="18"/>
        <v>53.11512105</v>
      </c>
      <c r="S44" s="104">
        <f>SUMIF(Timesheet!B:B,A44,Timesheet!J:J)</f>
        <v>2223.135107</v>
      </c>
      <c r="T44" s="104">
        <f t="shared" si="12"/>
        <v>0</v>
      </c>
      <c r="U44" s="62" t="b">
        <v>0</v>
      </c>
      <c r="V44" s="62"/>
    </row>
    <row r="45">
      <c r="A45" s="58" t="s">
        <v>2171</v>
      </c>
      <c r="B45" s="58"/>
      <c r="C45" s="58"/>
      <c r="D45" s="58" t="s">
        <v>119</v>
      </c>
      <c r="E45" s="58" t="s">
        <v>47</v>
      </c>
      <c r="F45" s="58"/>
      <c r="G45" s="67">
        <f t="shared" ref="G45:R45" si="19">vlookup($A45,$A$6:$R$26,month(G$36)+6)*(1+$E$33)/(G$35*8.8)</f>
        <v>40.42439665</v>
      </c>
      <c r="H45" s="67">
        <f t="shared" si="19"/>
        <v>39.53816244</v>
      </c>
      <c r="I45" s="67">
        <f t="shared" si="19"/>
        <v>41.42093208</v>
      </c>
      <c r="J45" s="67">
        <f t="shared" si="19"/>
        <v>39.53816244</v>
      </c>
      <c r="K45" s="67">
        <f t="shared" si="19"/>
        <v>41.42093208</v>
      </c>
      <c r="L45" s="67">
        <f t="shared" si="19"/>
        <v>39.53816244</v>
      </c>
      <c r="M45" s="67">
        <f t="shared" si="19"/>
        <v>41.42093208</v>
      </c>
      <c r="N45" s="67">
        <f t="shared" si="19"/>
        <v>41.42093208</v>
      </c>
      <c r="O45" s="67">
        <f t="shared" si="19"/>
        <v>39.53816244</v>
      </c>
      <c r="P45" s="67">
        <f t="shared" si="19"/>
        <v>0</v>
      </c>
      <c r="Q45" s="67">
        <f t="shared" si="19"/>
        <v>0</v>
      </c>
      <c r="R45" s="67">
        <f t="shared" si="19"/>
        <v>0</v>
      </c>
      <c r="S45" s="104">
        <f>SUMIF(Timesheet!B:B,A45,Timesheet!J:J)</f>
        <v>0</v>
      </c>
      <c r="T45" s="104">
        <f t="shared" si="12"/>
        <v>0</v>
      </c>
      <c r="U45" s="62" t="b">
        <v>0</v>
      </c>
      <c r="V45" s="62"/>
    </row>
    <row r="46">
      <c r="A46" s="58" t="s">
        <v>1253</v>
      </c>
      <c r="B46" s="58"/>
      <c r="C46" s="58"/>
      <c r="D46" s="58" t="s">
        <v>119</v>
      </c>
      <c r="E46" s="58" t="s">
        <v>46</v>
      </c>
      <c r="F46" s="58"/>
      <c r="G46" s="67">
        <f t="shared" ref="G46:R46" si="20">vlookup($A46,$A$6:$R$26,month(G$36)+6)*(1+$E$33)/(G$35*8.8)</f>
        <v>29.31239645</v>
      </c>
      <c r="H46" s="67">
        <f t="shared" si="20"/>
        <v>27.98001479</v>
      </c>
      <c r="I46" s="67">
        <f t="shared" si="20"/>
        <v>29.31239645</v>
      </c>
      <c r="J46" s="67">
        <f t="shared" si="20"/>
        <v>27.98001479</v>
      </c>
      <c r="K46" s="67">
        <f t="shared" si="20"/>
        <v>29.31239645</v>
      </c>
      <c r="L46" s="67">
        <f t="shared" si="20"/>
        <v>27.98001479</v>
      </c>
      <c r="M46" s="67">
        <f t="shared" si="20"/>
        <v>29.31239645</v>
      </c>
      <c r="N46" s="67">
        <f t="shared" si="20"/>
        <v>29.31239645</v>
      </c>
      <c r="O46" s="67">
        <f t="shared" si="20"/>
        <v>30.80635015</v>
      </c>
      <c r="P46" s="67">
        <f t="shared" si="20"/>
        <v>32.2733192</v>
      </c>
      <c r="Q46" s="67">
        <f t="shared" si="20"/>
        <v>31.31154774</v>
      </c>
      <c r="R46" s="67">
        <f t="shared" si="20"/>
        <v>32.80257382</v>
      </c>
      <c r="S46" s="104">
        <f>SUMIF(Timesheet!B:B,A46,Timesheet!J:J)</f>
        <v>13911.69696</v>
      </c>
      <c r="T46" s="104">
        <f t="shared" si="12"/>
        <v>13911.69696</v>
      </c>
      <c r="U46" s="62" t="b">
        <v>1</v>
      </c>
      <c r="V46" s="62"/>
    </row>
    <row r="47">
      <c r="A47" s="58" t="s">
        <v>2090</v>
      </c>
      <c r="B47" s="58"/>
      <c r="C47" s="58"/>
      <c r="D47" s="58" t="s">
        <v>119</v>
      </c>
      <c r="E47" s="58" t="s">
        <v>48</v>
      </c>
      <c r="F47" s="58"/>
      <c r="G47" s="67">
        <f t="shared" ref="G47:R47" si="21">vlookup($A47,$A$6:$R$26,month(G$36)+6)*(1+$E$33)/(G$35*8.8)</f>
        <v>87.89016574</v>
      </c>
      <c r="H47" s="67">
        <f t="shared" si="21"/>
        <v>83.89515821</v>
      </c>
      <c r="I47" s="67">
        <f t="shared" si="21"/>
        <v>87.89016574</v>
      </c>
      <c r="J47" s="67">
        <f t="shared" si="21"/>
        <v>83.89515821</v>
      </c>
      <c r="K47" s="67">
        <f t="shared" si="21"/>
        <v>87.89016574</v>
      </c>
      <c r="L47" s="67">
        <f t="shared" si="21"/>
        <v>83.89515821</v>
      </c>
      <c r="M47" s="67">
        <f t="shared" si="21"/>
        <v>87.89016574</v>
      </c>
      <c r="N47" s="67">
        <f t="shared" si="21"/>
        <v>87.89016574</v>
      </c>
      <c r="O47" s="67">
        <f t="shared" si="21"/>
        <v>101.9374908</v>
      </c>
      <c r="P47" s="67">
        <f t="shared" si="21"/>
        <v>106.791657</v>
      </c>
      <c r="Q47" s="67">
        <f t="shared" si="21"/>
        <v>103.609231</v>
      </c>
      <c r="R47" s="67">
        <f t="shared" si="21"/>
        <v>108.543004</v>
      </c>
      <c r="S47" s="104">
        <f>SUMIF(Timesheet!B:B,A47,Timesheet!J:J)</f>
        <v>125391.2341</v>
      </c>
      <c r="T47" s="104">
        <f t="shared" si="12"/>
        <v>125391.2341</v>
      </c>
      <c r="U47" s="62" t="b">
        <v>1</v>
      </c>
      <c r="V47" s="62"/>
    </row>
    <row r="48">
      <c r="A48" s="58" t="s">
        <v>285</v>
      </c>
      <c r="B48" s="58"/>
      <c r="C48" s="58"/>
      <c r="D48" s="58" t="s">
        <v>119</v>
      </c>
      <c r="E48" s="58" t="s">
        <v>47</v>
      </c>
      <c r="F48" s="58"/>
      <c r="G48" s="67">
        <f t="shared" ref="G48:R48" si="22">vlookup($A48,$A$6:$R$26,month(G$36)+6)*(1+$E$33)/(G$35*8.8)</f>
        <v>32.23620445</v>
      </c>
      <c r="H48" s="67">
        <f t="shared" si="22"/>
        <v>30.77092243</v>
      </c>
      <c r="I48" s="67">
        <f t="shared" si="22"/>
        <v>32.23620445</v>
      </c>
      <c r="J48" s="67">
        <f t="shared" si="22"/>
        <v>30.77092243</v>
      </c>
      <c r="K48" s="67">
        <f t="shared" si="22"/>
        <v>32.23620445</v>
      </c>
      <c r="L48" s="67">
        <f t="shared" si="22"/>
        <v>30.77092243</v>
      </c>
      <c r="M48" s="67">
        <f t="shared" si="22"/>
        <v>32.23620445</v>
      </c>
      <c r="N48" s="67">
        <f t="shared" si="22"/>
        <v>32.23620445</v>
      </c>
      <c r="O48" s="67">
        <f t="shared" si="22"/>
        <v>33.2326095</v>
      </c>
      <c r="P48" s="67">
        <f t="shared" si="22"/>
        <v>34.81511472</v>
      </c>
      <c r="Q48" s="67">
        <f t="shared" si="22"/>
        <v>33.77763216</v>
      </c>
      <c r="R48" s="67">
        <f t="shared" si="22"/>
        <v>35.38609084</v>
      </c>
      <c r="S48" s="104">
        <f>SUMIF(Timesheet!B:B,A48,Timesheet!J:J)</f>
        <v>2075.449832</v>
      </c>
      <c r="T48" s="104">
        <f t="shared" si="12"/>
        <v>0</v>
      </c>
      <c r="U48" s="62" t="b">
        <v>0</v>
      </c>
      <c r="V48" s="62"/>
    </row>
    <row r="49">
      <c r="A49" s="58" t="s">
        <v>1306</v>
      </c>
      <c r="B49" s="58"/>
      <c r="C49" s="58"/>
      <c r="D49" s="58" t="s">
        <v>119</v>
      </c>
      <c r="E49" s="58" t="s">
        <v>46</v>
      </c>
      <c r="F49" s="58"/>
      <c r="G49" s="67">
        <f t="shared" ref="G49:R49" si="23">vlookup($A49,$A$6:$R$26,month(G$36)+6)*(1+$E$33)/(G$35*8.8)</f>
        <v>37.66052106</v>
      </c>
      <c r="H49" s="67">
        <f t="shared" si="23"/>
        <v>35.9486792</v>
      </c>
      <c r="I49" s="67">
        <f t="shared" si="23"/>
        <v>37.66052106</v>
      </c>
      <c r="J49" s="67">
        <f t="shared" si="23"/>
        <v>35.9486792</v>
      </c>
      <c r="K49" s="67">
        <f t="shared" si="23"/>
        <v>37.66052106</v>
      </c>
      <c r="L49" s="67">
        <f t="shared" si="23"/>
        <v>35.9486792</v>
      </c>
      <c r="M49" s="67">
        <f t="shared" si="23"/>
        <v>37.66052106</v>
      </c>
      <c r="N49" s="67">
        <f t="shared" si="23"/>
        <v>37.66052106</v>
      </c>
      <c r="O49" s="67">
        <f t="shared" si="23"/>
        <v>40.77871333</v>
      </c>
      <c r="P49" s="67">
        <f t="shared" si="23"/>
        <v>42.72055682</v>
      </c>
      <c r="Q49" s="67">
        <f t="shared" si="23"/>
        <v>41.44752558</v>
      </c>
      <c r="R49" s="67">
        <f t="shared" si="23"/>
        <v>43.42121728</v>
      </c>
      <c r="S49" s="104">
        <f>SUMIF(Timesheet!B:B,A49,Timesheet!J:J)</f>
        <v>52207.71065</v>
      </c>
      <c r="T49" s="104">
        <f t="shared" si="12"/>
        <v>52207.71065</v>
      </c>
      <c r="U49" s="62" t="b">
        <v>1</v>
      </c>
      <c r="V49" s="62"/>
    </row>
    <row r="50">
      <c r="A50" s="58" t="s">
        <v>356</v>
      </c>
      <c r="B50" s="58"/>
      <c r="C50" s="58"/>
      <c r="D50" s="58" t="s">
        <v>119</v>
      </c>
      <c r="E50" s="58" t="s">
        <v>47</v>
      </c>
      <c r="F50" s="58"/>
      <c r="G50" s="67">
        <f t="shared" ref="G50:R50" si="24">vlookup($A50,$A$6:$R$26,month(G$36)+6)*(1+$E$33)/(G$35*8.8)</f>
        <v>150.6048826</v>
      </c>
      <c r="H50" s="67">
        <f t="shared" si="24"/>
        <v>143.7592061</v>
      </c>
      <c r="I50" s="67">
        <f t="shared" si="24"/>
        <v>150.6048826</v>
      </c>
      <c r="J50" s="67">
        <f t="shared" si="24"/>
        <v>143.7592061</v>
      </c>
      <c r="K50" s="67">
        <f t="shared" si="24"/>
        <v>150.6048826</v>
      </c>
      <c r="L50" s="67">
        <f t="shared" si="24"/>
        <v>143.7592061</v>
      </c>
      <c r="M50" s="67">
        <f t="shared" si="24"/>
        <v>150.6048826</v>
      </c>
      <c r="N50" s="67">
        <f t="shared" si="24"/>
        <v>150.6048826</v>
      </c>
      <c r="O50" s="67">
        <f t="shared" si="24"/>
        <v>143.7592061</v>
      </c>
      <c r="P50" s="67">
        <f t="shared" si="24"/>
        <v>150.6048826</v>
      </c>
      <c r="Q50" s="67">
        <f t="shared" si="24"/>
        <v>146.1168502</v>
      </c>
      <c r="R50" s="67">
        <f t="shared" si="24"/>
        <v>153.0747954</v>
      </c>
      <c r="S50" s="104">
        <f>SUMIF(Timesheet!B:B,A50,Timesheet!J:J)</f>
        <v>36776.01446</v>
      </c>
      <c r="T50" s="104">
        <f t="shared" si="12"/>
        <v>36776.01446</v>
      </c>
      <c r="U50" s="62" t="b">
        <v>1</v>
      </c>
      <c r="V50" s="62"/>
    </row>
    <row r="51">
      <c r="A51" s="58" t="s">
        <v>2183</v>
      </c>
      <c r="B51" s="58"/>
      <c r="C51" s="58"/>
      <c r="D51" s="58" t="s">
        <v>119</v>
      </c>
      <c r="E51" s="58" t="s">
        <v>44</v>
      </c>
      <c r="F51" s="58"/>
      <c r="G51" s="67">
        <f t="shared" ref="G51:R51" si="25">vlookup($A51,$A$6:$R$26,month(G$36)+6)*(1+$E$33)/(G$35*8.8)</f>
        <v>21.66945212</v>
      </c>
      <c r="H51" s="67">
        <f t="shared" si="25"/>
        <v>20.68447702</v>
      </c>
      <c r="I51" s="67">
        <f t="shared" si="25"/>
        <v>21.66945212</v>
      </c>
      <c r="J51" s="67">
        <f t="shared" si="25"/>
        <v>20.68447702</v>
      </c>
      <c r="K51" s="67">
        <f t="shared" si="25"/>
        <v>21.66945212</v>
      </c>
      <c r="L51" s="67">
        <f t="shared" si="25"/>
        <v>20.68447702</v>
      </c>
      <c r="M51" s="67">
        <f t="shared" si="25"/>
        <v>21.66945212</v>
      </c>
      <c r="N51" s="67">
        <f t="shared" si="25"/>
        <v>21.66945212</v>
      </c>
      <c r="O51" s="67">
        <f t="shared" si="25"/>
        <v>25.18022948</v>
      </c>
      <c r="P51" s="67">
        <f t="shared" si="25"/>
        <v>26.37928803</v>
      </c>
      <c r="Q51" s="67">
        <f t="shared" si="25"/>
        <v>25.59316567</v>
      </c>
      <c r="R51" s="67">
        <f t="shared" si="25"/>
        <v>26.81188784</v>
      </c>
      <c r="S51" s="104">
        <f>SUMIF(Timesheet!B:B,A51,Timesheet!J:J)</f>
        <v>0</v>
      </c>
      <c r="T51" s="104">
        <f t="shared" si="12"/>
        <v>0</v>
      </c>
      <c r="U51" s="62" t="b">
        <v>0</v>
      </c>
      <c r="V51" s="62"/>
    </row>
    <row r="52">
      <c r="A52" s="58" t="s">
        <v>508</v>
      </c>
      <c r="B52" s="58"/>
      <c r="C52" s="58"/>
      <c r="D52" s="58" t="s">
        <v>119</v>
      </c>
      <c r="E52" s="58" t="s">
        <v>46</v>
      </c>
      <c r="F52" s="58"/>
      <c r="G52" s="67">
        <f t="shared" ref="G52:R52" si="26">vlookup($A52,$A$6:$R$26,month(G$36)+6)*(1+$E$33)/(G$35*8.8)</f>
        <v>32.23620445</v>
      </c>
      <c r="H52" s="67">
        <f t="shared" si="26"/>
        <v>30.77092243</v>
      </c>
      <c r="I52" s="67">
        <f t="shared" si="26"/>
        <v>32.23620445</v>
      </c>
      <c r="J52" s="67">
        <f t="shared" si="26"/>
        <v>30.77092243</v>
      </c>
      <c r="K52" s="67">
        <f t="shared" si="26"/>
        <v>32.23620445</v>
      </c>
      <c r="L52" s="67">
        <f t="shared" si="26"/>
        <v>30.77092243</v>
      </c>
      <c r="M52" s="67">
        <f t="shared" si="26"/>
        <v>32.23620445</v>
      </c>
      <c r="N52" s="67">
        <f t="shared" si="26"/>
        <v>32.23620445</v>
      </c>
      <c r="O52" s="67">
        <f t="shared" si="26"/>
        <v>30.77092243</v>
      </c>
      <c r="P52" s="67">
        <f t="shared" si="26"/>
        <v>32.23620445</v>
      </c>
      <c r="Q52" s="67">
        <f t="shared" si="26"/>
        <v>31.27553924</v>
      </c>
      <c r="R52" s="67">
        <f t="shared" si="26"/>
        <v>32.76485063</v>
      </c>
      <c r="S52" s="104">
        <f>SUMIF(Timesheet!B:B,A52,Timesheet!J:J)</f>
        <v>2090.807093</v>
      </c>
      <c r="T52" s="104">
        <f t="shared" si="12"/>
        <v>0</v>
      </c>
      <c r="U52" s="62" t="b">
        <v>0</v>
      </c>
      <c r="V52" s="62"/>
    </row>
    <row r="53">
      <c r="A53" s="58" t="s">
        <v>528</v>
      </c>
      <c r="B53" s="58"/>
      <c r="C53" s="58"/>
      <c r="D53" s="58" t="s">
        <v>119</v>
      </c>
      <c r="E53" s="58" t="s">
        <v>47</v>
      </c>
      <c r="F53" s="58"/>
      <c r="G53" s="67">
        <f t="shared" ref="G53:R53" si="27">vlookup($A53,$A$6:$R$26,month(G$36)+6)*(1+$E$33)/(G$35*8.8)</f>
        <v>40.33443466</v>
      </c>
      <c r="H53" s="67">
        <f t="shared" si="27"/>
        <v>41.57521471</v>
      </c>
      <c r="I53" s="67">
        <f t="shared" si="27"/>
        <v>43.55498684</v>
      </c>
      <c r="J53" s="67">
        <f t="shared" si="27"/>
        <v>41.57521471</v>
      </c>
      <c r="K53" s="67">
        <f t="shared" si="27"/>
        <v>43.55498684</v>
      </c>
      <c r="L53" s="67">
        <f t="shared" si="27"/>
        <v>41.57521471</v>
      </c>
      <c r="M53" s="67">
        <f t="shared" si="27"/>
        <v>43.55498684</v>
      </c>
      <c r="N53" s="67">
        <f t="shared" si="27"/>
        <v>43.55498684</v>
      </c>
      <c r="O53" s="67">
        <f t="shared" si="27"/>
        <v>41.57521471</v>
      </c>
      <c r="P53" s="67">
        <f t="shared" si="27"/>
        <v>43.55498684</v>
      </c>
      <c r="Q53" s="67">
        <f t="shared" si="27"/>
        <v>42.25705308</v>
      </c>
      <c r="R53" s="67">
        <f t="shared" si="27"/>
        <v>44.2692937</v>
      </c>
      <c r="S53" s="104">
        <f>SUMIF(Timesheet!B:B,A53,Timesheet!J:J)</f>
        <v>125.4074825</v>
      </c>
      <c r="T53" s="104">
        <f t="shared" si="12"/>
        <v>125.4074825</v>
      </c>
      <c r="U53" s="62" t="b">
        <v>1</v>
      </c>
      <c r="V53" s="62"/>
    </row>
    <row r="54">
      <c r="A54" s="62" t="s">
        <v>2191</v>
      </c>
      <c r="B54" s="58"/>
      <c r="C54" s="58"/>
      <c r="D54" s="58" t="s">
        <v>119</v>
      </c>
      <c r="E54" s="58" t="s">
        <v>48</v>
      </c>
      <c r="F54" s="58"/>
      <c r="G54" s="67">
        <f t="shared" ref="G54:R54" si="28">vlookup($A54,$A$6:$R$26,month(G$36)+6)*(1+$E$33)/(G$35*8.8)</f>
        <v>0</v>
      </c>
      <c r="H54" s="67">
        <f t="shared" si="28"/>
        <v>0</v>
      </c>
      <c r="I54" s="67">
        <f t="shared" si="28"/>
        <v>0</v>
      </c>
      <c r="J54" s="67">
        <f t="shared" si="28"/>
        <v>0</v>
      </c>
      <c r="K54" s="67">
        <f t="shared" si="28"/>
        <v>0</v>
      </c>
      <c r="L54" s="67">
        <f t="shared" si="28"/>
        <v>0</v>
      </c>
      <c r="M54" s="67">
        <f t="shared" si="28"/>
        <v>0</v>
      </c>
      <c r="N54" s="67">
        <f t="shared" si="28"/>
        <v>0</v>
      </c>
      <c r="O54" s="67">
        <f t="shared" si="28"/>
        <v>0</v>
      </c>
      <c r="P54" s="67">
        <f t="shared" si="28"/>
        <v>78.22781385</v>
      </c>
      <c r="Q54" s="67">
        <f t="shared" si="28"/>
        <v>74.67200413</v>
      </c>
      <c r="R54" s="67">
        <f t="shared" si="28"/>
        <v>0</v>
      </c>
      <c r="S54" s="104">
        <f>SUMIF(Timesheet!B:B,A54,Timesheet!J:J)</f>
        <v>0</v>
      </c>
      <c r="T54" s="104">
        <f t="shared" si="12"/>
        <v>0</v>
      </c>
      <c r="U54" s="62" t="b">
        <v>0</v>
      </c>
      <c r="V54" s="62"/>
    </row>
    <row r="55">
      <c r="A55" s="58" t="s">
        <v>532</v>
      </c>
      <c r="B55" s="58"/>
      <c r="C55" s="58"/>
      <c r="D55" s="58" t="s">
        <v>119</v>
      </c>
      <c r="E55" s="58" t="s">
        <v>47</v>
      </c>
      <c r="F55" s="58"/>
      <c r="G55" s="67">
        <f t="shared" ref="G55:R55" si="29">vlookup($A55,$A$6:$R$26,month(G$36)+6)*(1+$E$33)/(G$35*8.8)</f>
        <v>33.89072272</v>
      </c>
      <c r="H55" s="67">
        <f t="shared" si="29"/>
        <v>32.35023532</v>
      </c>
      <c r="I55" s="67">
        <f t="shared" si="29"/>
        <v>33.89072272</v>
      </c>
      <c r="J55" s="67">
        <f t="shared" si="29"/>
        <v>32.35023532</v>
      </c>
      <c r="K55" s="67">
        <f t="shared" si="29"/>
        <v>33.89072272</v>
      </c>
      <c r="L55" s="67">
        <f t="shared" si="29"/>
        <v>32.35023532</v>
      </c>
      <c r="M55" s="67">
        <f t="shared" si="29"/>
        <v>33.89072272</v>
      </c>
      <c r="N55" s="67">
        <f t="shared" si="29"/>
        <v>33.89072272</v>
      </c>
      <c r="O55" s="67">
        <f t="shared" si="29"/>
        <v>32.35023532</v>
      </c>
      <c r="P55" s="67">
        <f t="shared" si="29"/>
        <v>33.89072272</v>
      </c>
      <c r="Q55" s="67">
        <f t="shared" si="29"/>
        <v>32.88073842</v>
      </c>
      <c r="R55" s="67">
        <f t="shared" si="29"/>
        <v>34.44648787</v>
      </c>
      <c r="S55" s="104">
        <f>SUMIF(Timesheet!B:B,A55,Timesheet!J:J)</f>
        <v>1183.802902</v>
      </c>
      <c r="T55" s="104">
        <f t="shared" si="12"/>
        <v>1183.802902</v>
      </c>
      <c r="U55" s="62" t="b">
        <v>1</v>
      </c>
      <c r="V55" s="62"/>
    </row>
    <row r="56">
      <c r="A56" s="58" t="s">
        <v>2196</v>
      </c>
      <c r="B56" s="58"/>
      <c r="C56" s="58"/>
      <c r="D56" s="58" t="s">
        <v>119</v>
      </c>
      <c r="E56" s="58" t="s">
        <v>46</v>
      </c>
      <c r="F56" s="58"/>
      <c r="G56" s="67">
        <f t="shared" ref="G56:R56" si="30">vlookup($A56,$A$6:$R$26,month(G$36)+6)*(1+$E$33)/(G$35*8.8)</f>
        <v>48.3871189</v>
      </c>
      <c r="H56" s="67">
        <f t="shared" si="30"/>
        <v>50.80915474</v>
      </c>
      <c r="I56" s="67">
        <f t="shared" si="30"/>
        <v>53.2286383</v>
      </c>
      <c r="J56" s="67">
        <f t="shared" si="30"/>
        <v>50.80915474</v>
      </c>
      <c r="K56" s="67">
        <f t="shared" si="30"/>
        <v>53.2286383</v>
      </c>
      <c r="L56" s="67">
        <f t="shared" si="30"/>
        <v>50.80915474</v>
      </c>
      <c r="M56" s="67">
        <f t="shared" si="30"/>
        <v>53.2286383</v>
      </c>
      <c r="N56" s="67">
        <f t="shared" si="30"/>
        <v>53.2286383</v>
      </c>
      <c r="O56" s="67">
        <f t="shared" si="30"/>
        <v>50.80915474</v>
      </c>
      <c r="P56" s="67">
        <f t="shared" si="30"/>
        <v>53.2286383</v>
      </c>
      <c r="Q56" s="67">
        <f t="shared" si="30"/>
        <v>51.64241134</v>
      </c>
      <c r="R56" s="67">
        <f t="shared" si="30"/>
        <v>54.10157378</v>
      </c>
      <c r="S56" s="104">
        <f>SUMIF(Timesheet!B:B,A56,Timesheet!J:J)</f>
        <v>0</v>
      </c>
      <c r="T56" s="104">
        <f t="shared" si="12"/>
        <v>0</v>
      </c>
      <c r="U56" s="62" t="b">
        <v>0</v>
      </c>
      <c r="V56" s="62"/>
    </row>
    <row r="57">
      <c r="A57" s="58"/>
      <c r="B57" s="58"/>
      <c r="C57" s="58"/>
      <c r="D57" s="58" t="s">
        <v>119</v>
      </c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104">
        <f>SUMIF(Timesheet!B:B,A57,Timesheet!J:J)</f>
        <v>0</v>
      </c>
      <c r="T57" s="104">
        <f t="shared" si="12"/>
        <v>0</v>
      </c>
      <c r="U57" s="62" t="b">
        <v>0</v>
      </c>
      <c r="V57" s="62"/>
    </row>
    <row r="58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</row>
    <row r="59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</row>
    <row r="60">
      <c r="A60" s="60" t="s">
        <v>2210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</row>
    <row r="61">
      <c r="A61" s="58"/>
      <c r="B61" s="58"/>
      <c r="C61" s="58"/>
      <c r="D61" s="58"/>
      <c r="E61" s="58"/>
      <c r="F61" s="58"/>
      <c r="G61" s="12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</row>
    <row r="62">
      <c r="A62" s="129">
        <v>43831.0</v>
      </c>
      <c r="B62" s="130" t="s">
        <v>2211</v>
      </c>
      <c r="C62" s="130" t="s">
        <v>2212</v>
      </c>
      <c r="D62" s="130"/>
      <c r="E62" s="58"/>
      <c r="F62" s="62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</row>
    <row r="63">
      <c r="A63" s="131">
        <v>43885.0</v>
      </c>
      <c r="B63" s="132" t="s">
        <v>2213</v>
      </c>
      <c r="C63" s="132" t="s">
        <v>2214</v>
      </c>
      <c r="D63" s="132"/>
      <c r="E63" s="58"/>
      <c r="F63" s="62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</row>
    <row r="64">
      <c r="A64" s="129">
        <v>43886.0</v>
      </c>
      <c r="B64" s="130" t="s">
        <v>2215</v>
      </c>
      <c r="C64" s="130" t="s">
        <v>2214</v>
      </c>
      <c r="D64" s="130"/>
      <c r="E64" s="58"/>
      <c r="F64" s="62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</row>
    <row r="65">
      <c r="A65" s="131">
        <v>43931.0</v>
      </c>
      <c r="B65" s="132" t="s">
        <v>2216</v>
      </c>
      <c r="C65" s="132" t="s">
        <v>2217</v>
      </c>
      <c r="D65" s="132"/>
      <c r="E65" s="58"/>
      <c r="F65" s="62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</row>
    <row r="66">
      <c r="A66" s="129">
        <v>43942.0</v>
      </c>
      <c r="B66" s="130" t="s">
        <v>2215</v>
      </c>
      <c r="C66" s="130" t="s">
        <v>2218</v>
      </c>
      <c r="D66" s="130"/>
      <c r="E66" s="58"/>
      <c r="F66" s="62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</row>
    <row r="67">
      <c r="A67" s="131">
        <v>43952.0</v>
      </c>
      <c r="B67" s="132" t="s">
        <v>2216</v>
      </c>
      <c r="C67" s="132" t="s">
        <v>2219</v>
      </c>
      <c r="D67" s="132"/>
      <c r="E67" s="58"/>
      <c r="F67" s="62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</row>
    <row r="68">
      <c r="A68" s="129">
        <v>43993.0</v>
      </c>
      <c r="B68" s="130" t="s">
        <v>2220</v>
      </c>
      <c r="C68" s="130" t="s">
        <v>2221</v>
      </c>
      <c r="D68" s="130"/>
      <c r="E68" s="58"/>
      <c r="F68" s="62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</row>
    <row r="69">
      <c r="A69" s="131">
        <v>44081.0</v>
      </c>
      <c r="B69" s="132" t="s">
        <v>2213</v>
      </c>
      <c r="C69" s="132" t="s">
        <v>2222</v>
      </c>
      <c r="D69" s="132"/>
      <c r="E69" s="58"/>
      <c r="F69" s="62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</row>
    <row r="70">
      <c r="A70" s="129">
        <v>44116.0</v>
      </c>
      <c r="B70" s="130" t="s">
        <v>2213</v>
      </c>
      <c r="C70" s="130" t="s">
        <v>2223</v>
      </c>
      <c r="D70" s="130"/>
      <c r="E70" s="58"/>
      <c r="F70" s="62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</row>
    <row r="71">
      <c r="A71" s="131">
        <v>44137.0</v>
      </c>
      <c r="B71" s="132" t="s">
        <v>2213</v>
      </c>
      <c r="C71" s="132" t="s">
        <v>2224</v>
      </c>
      <c r="D71" s="132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</row>
    <row r="72">
      <c r="A72" s="129">
        <v>44189.0</v>
      </c>
      <c r="B72" s="130" t="s">
        <v>2220</v>
      </c>
      <c r="C72" s="130" t="s">
        <v>2225</v>
      </c>
      <c r="D72" s="130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</row>
    <row r="73">
      <c r="A73" s="131">
        <v>44190.0</v>
      </c>
      <c r="B73" s="132" t="s">
        <v>2216</v>
      </c>
      <c r="C73" s="132" t="s">
        <v>2226</v>
      </c>
      <c r="D73" s="132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</row>
    <row r="74">
      <c r="A74" s="129">
        <v>44196.0</v>
      </c>
      <c r="B74" s="130" t="s">
        <v>2220</v>
      </c>
      <c r="C74" s="130" t="s">
        <v>2227</v>
      </c>
      <c r="D74" s="130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</row>
  </sheetData>
  <mergeCells count="2">
    <mergeCell ref="A31:E31"/>
    <mergeCell ref="H31:H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5"/>
    <col customWidth="1" min="2" max="2" width="51.88"/>
    <col customWidth="1" min="5" max="6" width="4.13"/>
    <col customWidth="1" min="7" max="7" width="21.25"/>
    <col customWidth="1" min="9" max="9" width="4.13"/>
  </cols>
  <sheetData>
    <row r="1">
      <c r="B1" s="133" t="s">
        <v>2228</v>
      </c>
      <c r="C1" s="134">
        <f>IFERROR(__xludf.DUMMYFUNCTION("SUM(FILTER(Investimentos!J:J,Investimentos!L:L = TRUE,Investimentos!N:N = ""Material""))"),5084.709999999999)</f>
        <v>5084.71</v>
      </c>
      <c r="D1" s="135">
        <f>C1+C2</f>
        <v>377821.66</v>
      </c>
    </row>
    <row r="2">
      <c r="B2" s="133" t="s">
        <v>2229</v>
      </c>
      <c r="C2" s="134">
        <f>SUM(C4:C32)</f>
        <v>372736.95</v>
      </c>
    </row>
    <row r="4">
      <c r="B4" s="136" t="str">
        <f>IFERROR(__xludf.DUMMYFUNCTION("UNIQUE(FILTER(Investimentos!C:C,Investimentos!L:L = TRUE,Investimentos!N:N = ""Serviço""))"),"ALLPARK EMPREENDIMENTOS PARTICIPACOES SERVICOS S.A")</f>
        <v>ALLPARK EMPREENDIMENTOS PARTICIPACOES SERVICOS S.A</v>
      </c>
      <c r="C4" s="137">
        <f>SUMIF(Investimentos!C:C,B4,Investimentos!J:J)</f>
        <v>19</v>
      </c>
    </row>
    <row r="5">
      <c r="B5" s="136" t="str">
        <f>IFERROR(__xludf.DUMMYFUNCTION("""COMPUTED_VALUE"""),"Anderson Mendonça Lima")</f>
        <v>Anderson Mendonça Lima</v>
      </c>
      <c r="C5" s="137">
        <f>SUMIF(Investimentos!C:C,B5,Investimentos!J:J)</f>
        <v>6000</v>
      </c>
    </row>
    <row r="6">
      <c r="B6" s="136" t="str">
        <f>IFERROR(__xludf.DUMMYFUNCTION("""COMPUTED_VALUE"""),"B2W VIAGENS E TURISMO LTDA - Submarino viagens")</f>
        <v>B2W VIAGENS E TURISMO LTDA - Submarino viagens</v>
      </c>
      <c r="C6" s="137">
        <f>SUMIF(Investimentos!C:C,B6,Investimentos!J:J)</f>
        <v>610.74</v>
      </c>
    </row>
    <row r="7">
      <c r="B7" s="136" t="str">
        <f>IFERROR(__xludf.DUMMYFUNCTION("""COMPUTED_VALUE"""),"Bendito Gosto Eventos Ltda")</f>
        <v>Bendito Gosto Eventos Ltda</v>
      </c>
      <c r="C7" s="137">
        <f>SUMIF(Investimentos!C:C,B7,Investimentos!J:J)</f>
        <v>560</v>
      </c>
    </row>
    <row r="8">
      <c r="B8" s="136" t="str">
        <f>IFERROR(__xludf.DUMMYFUNCTION("""COMPUTED_VALUE"""),"Braseq Brasileira de Equipamentos Ltda")</f>
        <v>Braseq Brasileira de Equipamentos Ltda</v>
      </c>
      <c r="C8" s="137">
        <f>SUMIF(Investimentos!C:C,B8,Investimentos!J:J)</f>
        <v>3600</v>
      </c>
    </row>
    <row r="9">
      <c r="B9" s="136" t="str">
        <f>IFERROR(__xludf.DUMMYFUNCTION("""COMPUTED_VALUE"""),"BRAZILSUL Serviços Administrativos Ltda")</f>
        <v>BRAZILSUL Serviços Administrativos Ltda</v>
      </c>
      <c r="C9" s="137">
        <f>SUMIF(Investimentos!C:C,B9,Investimentos!J:J)</f>
        <v>16970</v>
      </c>
      <c r="E9" s="138"/>
      <c r="F9" s="139"/>
      <c r="G9" s="139"/>
      <c r="H9" s="139"/>
      <c r="I9" s="140"/>
    </row>
    <row r="10">
      <c r="B10" s="136" t="str">
        <f>IFERROR(__xludf.DUMMYFUNCTION("""COMPUTED_VALUE"""),"DECOLAR. COM LTDA - Decolar.com")</f>
        <v>DECOLAR. COM LTDA - Decolar.com</v>
      </c>
      <c r="C10" s="137">
        <f>SUMIF(Investimentos!C:C,B10,Investimentos!J:J)</f>
        <v>742.13</v>
      </c>
      <c r="E10" s="141"/>
      <c r="F10" s="142" t="s">
        <v>2230</v>
      </c>
      <c r="G10" s="142" t="s">
        <v>2231</v>
      </c>
      <c r="H10" s="143">
        <v>1.0745952845E8</v>
      </c>
      <c r="I10" s="144"/>
    </row>
    <row r="11">
      <c r="B11" s="136" t="str">
        <f>IFERROR(__xludf.DUMMYFUNCTION("""COMPUTED_VALUE"""),"DHL")</f>
        <v>DHL</v>
      </c>
      <c r="C11" s="137">
        <f>SUMIF(Investimentos!C:C,B11,Investimentos!J:J)</f>
        <v>1522.08</v>
      </c>
      <c r="E11" s="141"/>
      <c r="F11" s="142" t="s">
        <v>2232</v>
      </c>
      <c r="G11" s="142" t="s">
        <v>2233</v>
      </c>
      <c r="H11" s="143">
        <v>-1.694152777E7</v>
      </c>
      <c r="I11" s="144"/>
    </row>
    <row r="12">
      <c r="B12" s="136" t="str">
        <f>IFERROR(__xludf.DUMMYFUNCTION("""COMPUTED_VALUE"""),"DPR Turismo Ltda.")</f>
        <v>DPR Turismo Ltda.</v>
      </c>
      <c r="C12" s="137">
        <f>SUMIF(Investimentos!C:C,B12,Investimentos!J:J)</f>
        <v>22.9</v>
      </c>
      <c r="E12" s="141"/>
      <c r="I12" s="144"/>
    </row>
    <row r="13">
      <c r="B13" s="136" t="str">
        <f>IFERROR(__xludf.DUMMYFUNCTION("""COMPUTED_VALUE"""),"Elsevier Editora Ltda")</f>
        <v>Elsevier Editora Ltda</v>
      </c>
      <c r="C13" s="137">
        <f>SUMIF(Investimentos!C:C,B13,Investimentos!J:J)</f>
        <v>25200</v>
      </c>
      <c r="E13" s="141"/>
      <c r="F13" s="133" t="s">
        <v>2234</v>
      </c>
      <c r="H13" s="134">
        <f>H10+H11</f>
        <v>90518000.68</v>
      </c>
      <c r="I13" s="144"/>
    </row>
    <row r="14">
      <c r="B14" s="136" t="str">
        <f>IFERROR(__xludf.DUMMYFUNCTION("""COMPUTED_VALUE"""),"FUNDAÇÃO ARTHUR BERNARDES")</f>
        <v>FUNDAÇÃO ARTHUR BERNARDES</v>
      </c>
      <c r="C14" s="137">
        <f>SUMIF(Investimentos!C:C,B14,Investimentos!J:J)</f>
        <v>20576</v>
      </c>
      <c r="E14" s="145"/>
      <c r="F14" s="146"/>
      <c r="G14" s="146"/>
      <c r="H14" s="146"/>
      <c r="I14" s="147"/>
    </row>
    <row r="15">
      <c r="B15" s="136" t="str">
        <f>IFERROR(__xludf.DUMMYFUNCTION("""COMPUTED_VALUE"""),"Fundação de Apoio à Pesquisa e ao Desenvolvimento - FAPED")</f>
        <v>Fundação de Apoio à Pesquisa e ao Desenvolvimento - FAPED</v>
      </c>
      <c r="C15" s="137">
        <f>SUMIF(Investimentos!C:C,B15,Investimentos!J:J)</f>
        <v>4000</v>
      </c>
    </row>
    <row r="16">
      <c r="B16" s="136" t="str">
        <f>IFERROR(__xludf.DUMMYFUNCTION("""COMPUTED_VALUE"""),"Fundação de Apoio à Universidade de São Paulo")</f>
        <v>Fundação de Apoio à Universidade de São Paulo</v>
      </c>
      <c r="C16" s="137">
        <f>SUMIF(Investimentos!C:C,B16,Investimentos!J:J)</f>
        <v>678</v>
      </c>
    </row>
    <row r="17">
      <c r="B17" s="136" t="str">
        <f>IFERROR(__xludf.DUMMYFUNCTION("""COMPUTED_VALUE"""),"Fundação de desenv. da pesquisa do agronegócio - FUNDEPAG")</f>
        <v>Fundação de desenv. da pesquisa do agronegócio - FUNDEPAG</v>
      </c>
      <c r="C17" s="137">
        <f>SUMIF(Investimentos!C:C,B17,Investimentos!J:J)</f>
        <v>23903</v>
      </c>
    </row>
    <row r="18">
      <c r="B18" s="136" t="str">
        <f>IFERROR(__xludf.DUMMYFUNCTION("""COMPUTED_VALUE"""),"FUNDAÇÃO EDUCACIONAL CIÊNCIA E DESENVOLVIMENTO FECD")</f>
        <v>FUNDAÇÃO EDUCACIONAL CIÊNCIA E DESENVOLVIMENTO FECD</v>
      </c>
      <c r="C18" s="137">
        <f>SUMIF(Investimentos!C:C,B18,Investimentos!J:J)</f>
        <v>66285.43</v>
      </c>
    </row>
    <row r="19">
      <c r="B19" s="136" t="str">
        <f>IFERROR(__xludf.DUMMYFUNCTION("""COMPUTED_VALUE"""),"Grupo HU Viagens e Turismo S.A. - Hurb")</f>
        <v>Grupo HU Viagens e Turismo S.A. - Hurb</v>
      </c>
      <c r="C19" s="137">
        <f>SUMIF(Investimentos!C:C,B19,Investimentos!J:J)</f>
        <v>630.81</v>
      </c>
    </row>
    <row r="20">
      <c r="B20" s="136" t="str">
        <f>IFERROR(__xludf.DUMMYFUNCTION("""COMPUTED_VALUE"""),"Instituto Cristina Martins Educação e Pesquisa em Nutrição Ltda")</f>
        <v>Instituto Cristina Martins Educação e Pesquisa em Nutrição Ltda</v>
      </c>
      <c r="C20" s="137">
        <f>SUMIF(Investimentos!C:C,B20,Investimentos!J:J)</f>
        <v>3000</v>
      </c>
    </row>
    <row r="21">
      <c r="B21" s="136" t="str">
        <f>IFERROR(__xludf.DUMMYFUNCTION("""COMPUTED_VALUE"""),"J&amp;J Serviços de Entregas Ltda - ME")</f>
        <v>J&amp;J Serviços de Entregas Ltda - ME</v>
      </c>
      <c r="C21" s="137">
        <f>SUMIF(Investimentos!C:C,B21,Investimentos!J:J)</f>
        <v>3027.57</v>
      </c>
    </row>
    <row r="22">
      <c r="B22" s="136" t="str">
        <f>IFERROR(__xludf.DUMMYFUNCTION("""COMPUTED_VALUE"""),"KONTIK FRANSTUR VIAGENS E TURISMO LTDA")</f>
        <v>KONTIK FRANSTUR VIAGENS E TURISMO LTDA</v>
      </c>
      <c r="C22" s="137">
        <f>SUMIF(Investimentos!C:C,B22,Investimentos!J:J)</f>
        <v>551.26</v>
      </c>
    </row>
    <row r="23">
      <c r="B23" s="136" t="str">
        <f>IFERROR(__xludf.DUMMYFUNCTION("""COMPUTED_VALUE"""),"Labor Três Laboratórios e Consultoria Técnica Ltda")</f>
        <v>Labor Três Laboratórios e Consultoria Técnica Ltda</v>
      </c>
      <c r="C23" s="137">
        <f>SUMIF(Investimentos!C:C,B23,Investimentos!J:J)</f>
        <v>914</v>
      </c>
    </row>
    <row r="24">
      <c r="B24" s="136" t="str">
        <f>IFERROR(__xludf.DUMMYFUNCTION("""COMPUTED_VALUE"""),"Laboratório ALAC Ltda")</f>
        <v>Laboratório ALAC Ltda</v>
      </c>
      <c r="C24" s="137">
        <f>SUMIF(Investimentos!C:C,B24,Investimentos!J:J)</f>
        <v>159391.43</v>
      </c>
    </row>
    <row r="25">
      <c r="B25" s="136" t="str">
        <f>IFERROR(__xludf.DUMMYFUNCTION("""COMPUTED_VALUE"""),"LOCALIZA RENT A CAR S/A")</f>
        <v>LOCALIZA RENT A CAR S/A</v>
      </c>
      <c r="C25" s="137">
        <f>SUMIF(Investimentos!C:C,B25,Investimentos!J:J)</f>
        <v>315.84</v>
      </c>
    </row>
    <row r="26">
      <c r="B26" s="136" t="str">
        <f>IFERROR(__xludf.DUMMYFUNCTION("""COMPUTED_VALUE"""),"MM Turismo &amp; Viagens Ltda - Max Milhas")</f>
        <v>MM Turismo &amp; Viagens Ltda - Max Milhas</v>
      </c>
      <c r="C26" s="137">
        <f>SUMIF(Investimentos!C:C,B26,Investimentos!J:J)</f>
        <v>427.15</v>
      </c>
    </row>
    <row r="27">
      <c r="B27" s="136" t="str">
        <f>IFERROR(__xludf.DUMMYFUNCTION("""COMPUTED_VALUE"""),"Tetra Pak Ltda")</f>
        <v>Tetra Pak Ltda</v>
      </c>
      <c r="C27" s="137">
        <f>SUMIF(Investimentos!C:C,B27,Investimentos!J:J)</f>
        <v>27988.34</v>
      </c>
    </row>
    <row r="28">
      <c r="B28" s="136" t="str">
        <f>IFERROR(__xludf.DUMMYFUNCTION("""COMPUTED_VALUE"""),"Transmazili Transporte de Cargas e Logística Ltda")</f>
        <v>Transmazili Transporte de Cargas e Logística Ltda</v>
      </c>
      <c r="C28" s="137">
        <f>SUMIF(Investimentos!C:C,B28,Investimentos!J:J)</f>
        <v>5450</v>
      </c>
    </row>
    <row r="29">
      <c r="B29" s="136" t="str">
        <f>IFERROR(__xludf.DUMMYFUNCTION("""COMPUTED_VALUE"""),"TUV SUD SFDK Laboratório de Análise de Produtos Eireli")</f>
        <v>TUV SUD SFDK Laboratório de Análise de Produtos Eireli</v>
      </c>
      <c r="C29" s="137">
        <f>SUMIF(Investimentos!C:C,B29,Investimentos!J:J)</f>
        <v>330.16</v>
      </c>
    </row>
    <row r="30">
      <c r="B30" s="136" t="str">
        <f>IFERROR(__xludf.DUMMYFUNCTION("""COMPUTED_VALUE"""),"VIP CAR VEICULOS LTDA - VIPCars.com")</f>
        <v>VIP CAR VEICULOS LTDA - VIPCars.com</v>
      </c>
      <c r="C30" s="137">
        <f>SUMIF(Investimentos!C:C,B30,Investimentos!J:J)</f>
        <v>21.11</v>
      </c>
    </row>
    <row r="31">
      <c r="C31" s="137"/>
    </row>
    <row r="32">
      <c r="C32" s="137"/>
    </row>
  </sheetData>
  <mergeCells count="2">
    <mergeCell ref="D1:D2"/>
    <mergeCell ref="F13:G1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2" width="5.13"/>
    <col customWidth="1" min="3" max="3" width="46.0"/>
    <col customWidth="1" min="4" max="4" width="17.63"/>
    <col customWidth="1" min="5" max="5" width="28.63"/>
    <col customWidth="1" hidden="1" min="6" max="8" width="12.75"/>
    <col customWidth="1" min="14" max="14" width="14.63"/>
    <col customWidth="1" min="20" max="20" width="14.63"/>
    <col customWidth="1" min="21" max="21" width="49.63"/>
    <col customWidth="1" hidden="1" min="22" max="22" width="24.13"/>
    <col customWidth="1" min="23" max="23" width="12.25"/>
    <col customWidth="1" min="24" max="24" width="8.88"/>
  </cols>
  <sheetData>
    <row r="1" ht="12.0" customHeight="1">
      <c r="A1" s="57"/>
      <c r="B1" s="57"/>
      <c r="C1" s="57"/>
      <c r="D1" s="57"/>
      <c r="E1" s="58"/>
      <c r="F1" s="148"/>
      <c r="G1" s="148"/>
      <c r="H1" s="148"/>
      <c r="I1" s="149"/>
      <c r="J1" s="149"/>
      <c r="K1" s="148"/>
      <c r="L1" s="58"/>
      <c r="M1" s="58"/>
      <c r="N1" s="58"/>
      <c r="O1" s="58"/>
      <c r="P1" s="58"/>
      <c r="Q1" s="58"/>
      <c r="R1" s="58"/>
      <c r="S1" s="58"/>
      <c r="T1" s="58"/>
      <c r="U1" s="58"/>
      <c r="V1" s="150"/>
      <c r="W1" s="58"/>
      <c r="X1" s="58"/>
    </row>
    <row r="2">
      <c r="A2" s="59" t="s">
        <v>2235</v>
      </c>
      <c r="B2" s="59"/>
      <c r="C2" s="58"/>
      <c r="D2" s="58"/>
      <c r="E2" s="58"/>
      <c r="F2" s="148"/>
      <c r="G2" s="148"/>
      <c r="H2" s="148"/>
      <c r="I2" s="149"/>
      <c r="J2" s="149"/>
      <c r="K2" s="148"/>
      <c r="L2" s="58"/>
      <c r="M2" s="58"/>
      <c r="N2" s="58"/>
      <c r="O2" s="58"/>
      <c r="P2" s="58"/>
      <c r="Q2" s="58"/>
      <c r="R2" s="58"/>
      <c r="S2" s="58"/>
      <c r="T2" s="58"/>
      <c r="U2" s="58"/>
      <c r="V2" s="150"/>
      <c r="W2" s="58"/>
      <c r="X2" s="58"/>
    </row>
    <row r="3">
      <c r="A3" s="60"/>
      <c r="B3" s="60"/>
      <c r="C3" s="58"/>
      <c r="D3" s="58"/>
      <c r="E3" s="58"/>
      <c r="F3" s="148"/>
      <c r="G3" s="148"/>
      <c r="H3" s="148"/>
      <c r="I3" s="149"/>
      <c r="J3" s="149"/>
      <c r="K3" s="148"/>
      <c r="L3" s="58"/>
      <c r="M3" s="58"/>
      <c r="N3" s="58"/>
      <c r="O3" s="149">
        <f t="shared" ref="O3:S3" si="1">SUMIF($L$6:$L200,TRUE,O6:O200)</f>
        <v>275975.74</v>
      </c>
      <c r="P3" s="149">
        <f t="shared" si="1"/>
        <v>0</v>
      </c>
      <c r="Q3" s="149">
        <f t="shared" si="1"/>
        <v>85104.72</v>
      </c>
      <c r="R3" s="149">
        <f t="shared" si="1"/>
        <v>16741.2</v>
      </c>
      <c r="S3" s="149">
        <f t="shared" si="1"/>
        <v>0</v>
      </c>
      <c r="T3" s="58"/>
      <c r="U3" s="58"/>
      <c r="V3" s="150"/>
      <c r="W3" s="58"/>
      <c r="X3" s="58"/>
    </row>
    <row r="4">
      <c r="A4" s="60"/>
      <c r="B4" s="60"/>
      <c r="C4" s="58"/>
      <c r="D4" s="58"/>
      <c r="E4" s="58"/>
      <c r="F4" s="148"/>
      <c r="G4" s="148"/>
      <c r="H4" s="148"/>
      <c r="I4" s="151"/>
      <c r="J4" s="151">
        <f>SUM(J8:J200)</f>
        <v>377821.66</v>
      </c>
      <c r="K4" s="148"/>
      <c r="L4" s="58"/>
      <c r="M4" s="58"/>
      <c r="N4" s="58"/>
      <c r="O4" s="151">
        <f t="shared" ref="O4:S4" si="2">SUM(O6:O200)</f>
        <v>379871.33</v>
      </c>
      <c r="P4" s="151">
        <f t="shared" si="2"/>
        <v>0</v>
      </c>
      <c r="Q4" s="151">
        <f t="shared" si="2"/>
        <v>93654.53</v>
      </c>
      <c r="R4" s="151">
        <f t="shared" si="2"/>
        <v>26064.44</v>
      </c>
      <c r="S4" s="151">
        <f t="shared" si="2"/>
        <v>0</v>
      </c>
      <c r="T4" s="58"/>
      <c r="U4" s="58"/>
      <c r="V4" s="150"/>
      <c r="W4" s="58"/>
      <c r="X4" s="58"/>
    </row>
    <row r="5">
      <c r="A5" s="61" t="s">
        <v>122</v>
      </c>
      <c r="B5" s="61"/>
      <c r="C5" s="61" t="s">
        <v>2236</v>
      </c>
      <c r="D5" s="61" t="s">
        <v>2237</v>
      </c>
      <c r="E5" s="61" t="s">
        <v>77</v>
      </c>
      <c r="F5" s="152" t="s">
        <v>2238</v>
      </c>
      <c r="G5" s="153" t="s">
        <v>2239</v>
      </c>
      <c r="H5" s="153" t="s">
        <v>2240</v>
      </c>
      <c r="I5" s="154" t="s">
        <v>2241</v>
      </c>
      <c r="J5" s="154" t="s">
        <v>2242</v>
      </c>
      <c r="K5" s="155" t="s">
        <v>2243</v>
      </c>
      <c r="L5" s="152" t="s">
        <v>2244</v>
      </c>
      <c r="M5" s="61" t="s">
        <v>78</v>
      </c>
      <c r="N5" s="61" t="s">
        <v>2245</v>
      </c>
      <c r="O5" s="156" t="s">
        <v>57</v>
      </c>
      <c r="P5" s="156" t="s">
        <v>2246</v>
      </c>
      <c r="Q5" s="156" t="s">
        <v>61</v>
      </c>
      <c r="R5" s="156" t="s">
        <v>2247</v>
      </c>
      <c r="S5" s="156" t="s">
        <v>65</v>
      </c>
      <c r="T5" s="61" t="s">
        <v>2248</v>
      </c>
      <c r="U5" s="61" t="s">
        <v>69</v>
      </c>
      <c r="V5" s="157" t="s">
        <v>69</v>
      </c>
      <c r="W5" s="158" t="s">
        <v>2249</v>
      </c>
      <c r="X5" s="58"/>
    </row>
    <row r="6" hidden="1">
      <c r="A6" s="159">
        <v>21.0</v>
      </c>
      <c r="B6" s="159"/>
      <c r="C6" s="58" t="s">
        <v>2250</v>
      </c>
      <c r="D6" s="58" t="s">
        <v>2251</v>
      </c>
      <c r="E6" s="58" t="s">
        <v>2252</v>
      </c>
      <c r="F6" s="58" t="s">
        <v>2253</v>
      </c>
      <c r="G6" s="160"/>
      <c r="H6" s="160"/>
      <c r="I6" s="104">
        <v>2677.62</v>
      </c>
      <c r="J6" s="161" t="str">
        <f t="shared" ref="J6:J7" si="3">IF(L6=TRUE,I6,"")</f>
        <v/>
      </c>
      <c r="K6" s="162">
        <v>43874.0</v>
      </c>
      <c r="L6" s="163" t="b">
        <v>0</v>
      </c>
      <c r="M6" s="88"/>
      <c r="N6" s="62" t="s">
        <v>2254</v>
      </c>
      <c r="O6" s="164">
        <v>2677.62</v>
      </c>
      <c r="P6" s="164" t="s">
        <v>150</v>
      </c>
      <c r="Q6" s="164" t="s">
        <v>150</v>
      </c>
      <c r="R6" s="164" t="s">
        <v>150</v>
      </c>
      <c r="S6" s="164" t="s">
        <v>150</v>
      </c>
      <c r="T6" s="58" t="s">
        <v>2255</v>
      </c>
      <c r="U6" s="62" t="s">
        <v>2256</v>
      </c>
      <c r="V6" s="165" t="s">
        <v>2256</v>
      </c>
      <c r="W6" s="58" t="str">
        <f t="array" ref="W6:W200">VLOOKUP(U6:U200,Projetos!A:L,12,false)</f>
        <v>#N/A</v>
      </c>
      <c r="X6" s="58"/>
    </row>
    <row r="7" hidden="1">
      <c r="A7" s="159">
        <v>2.0</v>
      </c>
      <c r="B7" s="159"/>
      <c r="C7" s="58" t="s">
        <v>2257</v>
      </c>
      <c r="D7" s="58" t="s">
        <v>2258</v>
      </c>
      <c r="E7" s="58" t="s">
        <v>2259</v>
      </c>
      <c r="F7" s="58" t="s">
        <v>2260</v>
      </c>
      <c r="G7" s="160"/>
      <c r="H7" s="160"/>
      <c r="I7" s="104">
        <v>4000.0</v>
      </c>
      <c r="J7" s="161" t="str">
        <f t="shared" si="3"/>
        <v/>
      </c>
      <c r="K7" s="162">
        <v>43808.0</v>
      </c>
      <c r="L7" s="163" t="b">
        <v>0</v>
      </c>
      <c r="M7" s="88"/>
      <c r="N7" s="62" t="s">
        <v>2254</v>
      </c>
      <c r="O7" s="164">
        <v>4000.0</v>
      </c>
      <c r="P7" s="164" t="s">
        <v>150</v>
      </c>
      <c r="Q7" s="164" t="s">
        <v>150</v>
      </c>
      <c r="R7" s="164" t="s">
        <v>150</v>
      </c>
      <c r="S7" s="164" t="s">
        <v>150</v>
      </c>
      <c r="T7" s="58" t="s">
        <v>2255</v>
      </c>
      <c r="U7" s="62" t="s">
        <v>108</v>
      </c>
      <c r="V7" s="62"/>
      <c r="W7" s="58" t="b">
        <v>1</v>
      </c>
      <c r="X7" s="58"/>
    </row>
    <row r="8">
      <c r="A8" s="159">
        <v>50.0</v>
      </c>
      <c r="B8" s="159"/>
      <c r="C8" s="166" t="s">
        <v>2261</v>
      </c>
      <c r="D8" s="62" t="s">
        <v>2262</v>
      </c>
      <c r="E8" s="58" t="s">
        <v>2263</v>
      </c>
      <c r="F8" s="58" t="s">
        <v>2253</v>
      </c>
      <c r="G8" s="58"/>
      <c r="H8" s="58"/>
      <c r="I8" s="104">
        <v>19.0</v>
      </c>
      <c r="J8" s="161">
        <f t="shared" ref="J8:J10" si="4">IF(L8=TRUE,SUM(O8:S8),"")</f>
        <v>19</v>
      </c>
      <c r="K8" s="162">
        <v>43881.0</v>
      </c>
      <c r="L8" s="167" t="b">
        <v>1</v>
      </c>
      <c r="M8" s="88"/>
      <c r="N8" s="62" t="s">
        <v>2254</v>
      </c>
      <c r="O8" s="164">
        <v>19.0</v>
      </c>
      <c r="P8" s="164" t="s">
        <v>150</v>
      </c>
      <c r="Q8" s="164" t="s">
        <v>150</v>
      </c>
      <c r="R8" s="164" t="s">
        <v>150</v>
      </c>
      <c r="S8" s="164" t="s">
        <v>150</v>
      </c>
      <c r="T8" s="58" t="s">
        <v>2264</v>
      </c>
      <c r="U8" s="58" t="s">
        <v>88</v>
      </c>
      <c r="V8" s="58"/>
      <c r="W8" s="58" t="b">
        <v>1</v>
      </c>
      <c r="X8" s="58"/>
    </row>
    <row r="9">
      <c r="A9" s="159">
        <v>140.0</v>
      </c>
      <c r="B9" s="159"/>
      <c r="C9" s="166" t="s">
        <v>2265</v>
      </c>
      <c r="D9" s="62" t="s">
        <v>2266</v>
      </c>
      <c r="E9" s="58" t="s">
        <v>2267</v>
      </c>
      <c r="F9" s="58" t="s">
        <v>2268</v>
      </c>
      <c r="G9" s="58"/>
      <c r="H9" s="58"/>
      <c r="I9" s="104">
        <v>3000.0</v>
      </c>
      <c r="J9" s="161">
        <f t="shared" si="4"/>
        <v>3000</v>
      </c>
      <c r="K9" s="162">
        <v>44070.0</v>
      </c>
      <c r="L9" s="167" t="b">
        <v>1</v>
      </c>
      <c r="M9" s="37"/>
      <c r="N9" s="62" t="s">
        <v>2254</v>
      </c>
      <c r="O9" s="164" t="s">
        <v>150</v>
      </c>
      <c r="P9" s="164" t="s">
        <v>150</v>
      </c>
      <c r="Q9" s="164">
        <v>3000.0</v>
      </c>
      <c r="R9" s="164" t="s">
        <v>150</v>
      </c>
      <c r="S9" s="164" t="s">
        <v>150</v>
      </c>
      <c r="T9" s="58" t="s">
        <v>2255</v>
      </c>
      <c r="U9" s="58" t="s">
        <v>96</v>
      </c>
      <c r="V9" s="58"/>
      <c r="W9" s="58" t="b">
        <v>1</v>
      </c>
      <c r="X9" s="58"/>
    </row>
    <row r="10">
      <c r="A10" s="159">
        <v>180.0</v>
      </c>
      <c r="B10" s="159"/>
      <c r="C10" s="58" t="s">
        <v>2265</v>
      </c>
      <c r="D10" s="62" t="s">
        <v>2266</v>
      </c>
      <c r="E10" s="58" t="s">
        <v>2267</v>
      </c>
      <c r="F10" s="58" t="s">
        <v>2269</v>
      </c>
      <c r="G10" s="58"/>
      <c r="H10" s="58"/>
      <c r="I10" s="104">
        <v>3000.0</v>
      </c>
      <c r="J10" s="161">
        <f t="shared" si="4"/>
        <v>3000</v>
      </c>
      <c r="K10" s="162">
        <v>44125.0</v>
      </c>
      <c r="L10" s="62" t="b">
        <v>1</v>
      </c>
      <c r="M10" s="37"/>
      <c r="N10" s="62" t="s">
        <v>2254</v>
      </c>
      <c r="O10" s="164" t="s">
        <v>150</v>
      </c>
      <c r="P10" s="164" t="s">
        <v>150</v>
      </c>
      <c r="Q10" s="164">
        <v>3000.0</v>
      </c>
      <c r="R10" s="164" t="s">
        <v>150</v>
      </c>
      <c r="S10" s="164" t="s">
        <v>150</v>
      </c>
      <c r="T10" s="58" t="s">
        <v>2255</v>
      </c>
      <c r="U10" s="58" t="s">
        <v>2270</v>
      </c>
      <c r="V10" s="150" t="s">
        <v>2270</v>
      </c>
      <c r="W10" s="58" t="e">
        <v>#N/A</v>
      </c>
      <c r="X10" s="58"/>
    </row>
    <row r="11" hidden="1">
      <c r="A11" s="159">
        <v>66.0</v>
      </c>
      <c r="B11" s="159"/>
      <c r="C11" s="58" t="s">
        <v>2271</v>
      </c>
      <c r="D11" s="58" t="s">
        <v>2272</v>
      </c>
      <c r="E11" s="58" t="s">
        <v>2273</v>
      </c>
      <c r="F11" s="58" t="s">
        <v>2274</v>
      </c>
      <c r="G11" s="58"/>
      <c r="H11" s="58"/>
      <c r="I11" s="104">
        <v>780.0</v>
      </c>
      <c r="J11" s="161" t="str">
        <f t="shared" ref="J11:J16" si="5">IF(L11=TRUE,I11,"")</f>
        <v/>
      </c>
      <c r="K11" s="162">
        <v>43928.0</v>
      </c>
      <c r="L11" s="163" t="b">
        <v>0</v>
      </c>
      <c r="M11" s="88"/>
      <c r="N11" s="62" t="s">
        <v>2254</v>
      </c>
      <c r="O11" s="164">
        <v>97.5</v>
      </c>
      <c r="P11" s="164" t="s">
        <v>150</v>
      </c>
      <c r="Q11" s="164" t="s">
        <v>150</v>
      </c>
      <c r="R11" s="164" t="s">
        <v>150</v>
      </c>
      <c r="S11" s="164" t="s">
        <v>150</v>
      </c>
      <c r="T11" s="58" t="s">
        <v>2255</v>
      </c>
      <c r="U11" s="62" t="s">
        <v>2275</v>
      </c>
      <c r="V11" s="165" t="s">
        <v>2276</v>
      </c>
      <c r="W11" s="58" t="e">
        <v>#N/A</v>
      </c>
      <c r="X11" s="58"/>
    </row>
    <row r="12" hidden="1">
      <c r="A12" s="159">
        <v>78.0</v>
      </c>
      <c r="B12" s="159"/>
      <c r="C12" s="58" t="s">
        <v>2271</v>
      </c>
      <c r="D12" s="58" t="s">
        <v>2272</v>
      </c>
      <c r="E12" s="58" t="s">
        <v>2273</v>
      </c>
      <c r="F12" s="58" t="s">
        <v>2277</v>
      </c>
      <c r="G12" s="58"/>
      <c r="H12" s="58"/>
      <c r="I12" s="104">
        <v>780.0</v>
      </c>
      <c r="J12" s="149" t="str">
        <f t="shared" si="5"/>
        <v/>
      </c>
      <c r="K12" s="162">
        <v>43957.0</v>
      </c>
      <c r="L12" s="163" t="b">
        <v>0</v>
      </c>
      <c r="M12" s="88"/>
      <c r="N12" s="62" t="s">
        <v>2254</v>
      </c>
      <c r="O12" s="164">
        <v>97.5</v>
      </c>
      <c r="P12" s="164" t="s">
        <v>150</v>
      </c>
      <c r="Q12" s="164" t="s">
        <v>150</v>
      </c>
      <c r="R12" s="164" t="s">
        <v>150</v>
      </c>
      <c r="S12" s="164" t="s">
        <v>150</v>
      </c>
      <c r="T12" s="58" t="s">
        <v>2255</v>
      </c>
      <c r="U12" s="62" t="s">
        <v>2275</v>
      </c>
      <c r="V12" s="165" t="s">
        <v>2276</v>
      </c>
      <c r="W12" s="58" t="e">
        <v>#N/A</v>
      </c>
      <c r="X12" s="58"/>
    </row>
    <row r="13" hidden="1">
      <c r="A13" s="159">
        <v>105.0</v>
      </c>
      <c r="B13" s="159"/>
      <c r="C13" s="58" t="s">
        <v>2271</v>
      </c>
      <c r="D13" s="58" t="s">
        <v>2272</v>
      </c>
      <c r="E13" s="58" t="s">
        <v>2273</v>
      </c>
      <c r="F13" s="58" t="s">
        <v>2278</v>
      </c>
      <c r="G13" s="58"/>
      <c r="H13" s="58"/>
      <c r="I13" s="104">
        <v>780.0</v>
      </c>
      <c r="J13" s="161" t="str">
        <f t="shared" si="5"/>
        <v/>
      </c>
      <c r="K13" s="162">
        <v>44020.0</v>
      </c>
      <c r="L13" s="163" t="b">
        <v>0</v>
      </c>
      <c r="M13" s="88"/>
      <c r="N13" s="62" t="s">
        <v>2254</v>
      </c>
      <c r="O13" s="164">
        <v>97.6</v>
      </c>
      <c r="P13" s="164" t="s">
        <v>150</v>
      </c>
      <c r="Q13" s="164" t="s">
        <v>150</v>
      </c>
      <c r="R13" s="164" t="s">
        <v>150</v>
      </c>
      <c r="S13" s="164" t="s">
        <v>150</v>
      </c>
      <c r="T13" s="58" t="s">
        <v>2255</v>
      </c>
      <c r="U13" s="62" t="s">
        <v>2275</v>
      </c>
      <c r="V13" s="165" t="s">
        <v>2276</v>
      </c>
      <c r="W13" s="58" t="e">
        <v>#N/A</v>
      </c>
      <c r="X13" s="58"/>
    </row>
    <row r="14" hidden="1">
      <c r="A14" s="159">
        <v>122.0</v>
      </c>
      <c r="B14" s="159"/>
      <c r="C14" s="58" t="s">
        <v>2271</v>
      </c>
      <c r="D14" s="58" t="s">
        <v>2272</v>
      </c>
      <c r="E14" s="58" t="s">
        <v>2273</v>
      </c>
      <c r="F14" s="58" t="s">
        <v>2279</v>
      </c>
      <c r="G14" s="58"/>
      <c r="H14" s="58"/>
      <c r="I14" s="104">
        <v>780.0</v>
      </c>
      <c r="J14" s="149" t="str">
        <f t="shared" si="5"/>
        <v/>
      </c>
      <c r="K14" s="162">
        <v>44050.0</v>
      </c>
      <c r="L14" s="163" t="b">
        <v>0</v>
      </c>
      <c r="M14" s="37"/>
      <c r="N14" s="62" t="s">
        <v>2254</v>
      </c>
      <c r="O14" s="164">
        <v>97.5</v>
      </c>
      <c r="P14" s="164" t="s">
        <v>150</v>
      </c>
      <c r="Q14" s="164" t="s">
        <v>150</v>
      </c>
      <c r="R14" s="164" t="s">
        <v>150</v>
      </c>
      <c r="S14" s="164" t="s">
        <v>150</v>
      </c>
      <c r="T14" s="58" t="s">
        <v>2255</v>
      </c>
      <c r="U14" s="62" t="s">
        <v>2275</v>
      </c>
      <c r="V14" s="165" t="s">
        <v>2276</v>
      </c>
      <c r="W14" s="58" t="e">
        <v>#N/A</v>
      </c>
      <c r="X14" s="58"/>
    </row>
    <row r="15" hidden="1">
      <c r="A15" s="159">
        <v>152.0</v>
      </c>
      <c r="B15" s="159"/>
      <c r="C15" s="58" t="s">
        <v>2271</v>
      </c>
      <c r="D15" s="58" t="s">
        <v>2272</v>
      </c>
      <c r="E15" s="58" t="s">
        <v>2273</v>
      </c>
      <c r="F15" s="58" t="s">
        <v>2280</v>
      </c>
      <c r="G15" s="58"/>
      <c r="H15" s="58"/>
      <c r="I15" s="104">
        <v>780.0</v>
      </c>
      <c r="J15" s="149" t="str">
        <f t="shared" si="5"/>
        <v/>
      </c>
      <c r="K15" s="162">
        <v>44089.0</v>
      </c>
      <c r="L15" s="163" t="b">
        <v>0</v>
      </c>
      <c r="M15" s="37"/>
      <c r="N15" s="62" t="s">
        <v>2254</v>
      </c>
      <c r="O15" s="164">
        <v>97.5</v>
      </c>
      <c r="P15" s="164" t="s">
        <v>150</v>
      </c>
      <c r="Q15" s="164" t="s">
        <v>150</v>
      </c>
      <c r="R15" s="164" t="s">
        <v>150</v>
      </c>
      <c r="S15" s="164" t="s">
        <v>150</v>
      </c>
      <c r="T15" s="58" t="s">
        <v>2255</v>
      </c>
      <c r="U15" s="62" t="s">
        <v>2275</v>
      </c>
      <c r="V15" s="165" t="s">
        <v>2276</v>
      </c>
      <c r="W15" s="58" t="e">
        <v>#N/A</v>
      </c>
      <c r="X15" s="58"/>
    </row>
    <row r="16" hidden="1">
      <c r="A16" s="159">
        <v>11.0</v>
      </c>
      <c r="B16" s="159"/>
      <c r="C16" s="58" t="s">
        <v>2281</v>
      </c>
      <c r="D16" s="58" t="s">
        <v>2282</v>
      </c>
      <c r="E16" s="58" t="s">
        <v>2283</v>
      </c>
      <c r="F16" s="58" t="s">
        <v>2284</v>
      </c>
      <c r="G16" s="160"/>
      <c r="H16" s="160"/>
      <c r="I16" s="104">
        <v>7255.16</v>
      </c>
      <c r="J16" s="161" t="str">
        <f t="shared" si="5"/>
        <v/>
      </c>
      <c r="K16" s="162">
        <v>43838.0</v>
      </c>
      <c r="L16" s="167" t="b">
        <v>0</v>
      </c>
      <c r="M16" s="88"/>
      <c r="N16" s="62" t="s">
        <v>2254</v>
      </c>
      <c r="O16" s="164">
        <v>500.0</v>
      </c>
      <c r="P16" s="164" t="s">
        <v>150</v>
      </c>
      <c r="Q16" s="164" t="s">
        <v>150</v>
      </c>
      <c r="R16" s="164" t="s">
        <v>150</v>
      </c>
      <c r="S16" s="164" t="s">
        <v>150</v>
      </c>
      <c r="T16" s="58" t="s">
        <v>2255</v>
      </c>
      <c r="U16" s="62" t="s">
        <v>103</v>
      </c>
      <c r="V16" s="150" t="s">
        <v>2285</v>
      </c>
      <c r="W16" s="58" t="b">
        <v>1</v>
      </c>
      <c r="X16" s="58"/>
    </row>
    <row r="17">
      <c r="A17" s="159">
        <v>15.0</v>
      </c>
      <c r="B17" s="159"/>
      <c r="C17" s="166" t="s">
        <v>2286</v>
      </c>
      <c r="D17" s="62" t="s">
        <v>2287</v>
      </c>
      <c r="E17" s="58" t="s">
        <v>2288</v>
      </c>
      <c r="F17" s="58" t="s">
        <v>2289</v>
      </c>
      <c r="G17" s="58"/>
      <c r="H17" s="58"/>
      <c r="I17" s="104">
        <v>610.74</v>
      </c>
      <c r="J17" s="161">
        <f t="shared" ref="J17:J24" si="6">IF(L17=TRUE,SUM(O17:S17),"")</f>
        <v>610.74</v>
      </c>
      <c r="K17" s="162">
        <v>43864.0</v>
      </c>
      <c r="L17" s="167" t="b">
        <v>1</v>
      </c>
      <c r="M17" s="88"/>
      <c r="N17" s="62" t="s">
        <v>2254</v>
      </c>
      <c r="O17" s="164">
        <v>610.74</v>
      </c>
      <c r="P17" s="164" t="s">
        <v>150</v>
      </c>
      <c r="Q17" s="164" t="s">
        <v>150</v>
      </c>
      <c r="R17" s="164" t="s">
        <v>150</v>
      </c>
      <c r="S17" s="164" t="s">
        <v>150</v>
      </c>
      <c r="T17" s="58" t="s">
        <v>2255</v>
      </c>
      <c r="U17" s="58" t="s">
        <v>100</v>
      </c>
      <c r="V17" s="58"/>
      <c r="W17" s="58" t="b">
        <v>1</v>
      </c>
      <c r="X17" s="58"/>
    </row>
    <row r="18">
      <c r="A18" s="159">
        <v>43.0</v>
      </c>
      <c r="B18" s="159"/>
      <c r="C18" s="166" t="s">
        <v>2290</v>
      </c>
      <c r="D18" s="62" t="s">
        <v>2291</v>
      </c>
      <c r="E18" s="58" t="s">
        <v>2292</v>
      </c>
      <c r="F18" s="58" t="s">
        <v>2293</v>
      </c>
      <c r="G18" s="58"/>
      <c r="H18" s="58"/>
      <c r="I18" s="104">
        <v>560.0</v>
      </c>
      <c r="J18" s="161">
        <f t="shared" si="6"/>
        <v>560</v>
      </c>
      <c r="K18" s="162">
        <v>43895.0</v>
      </c>
      <c r="L18" s="167" t="b">
        <v>1</v>
      </c>
      <c r="M18" s="88"/>
      <c r="N18" s="62" t="s">
        <v>2254</v>
      </c>
      <c r="O18" s="164">
        <v>560.0</v>
      </c>
      <c r="P18" s="164" t="s">
        <v>150</v>
      </c>
      <c r="Q18" s="164" t="s">
        <v>150</v>
      </c>
      <c r="R18" s="164" t="s">
        <v>150</v>
      </c>
      <c r="S18" s="164" t="s">
        <v>150</v>
      </c>
      <c r="T18" s="58" t="s">
        <v>2255</v>
      </c>
      <c r="U18" s="62" t="s">
        <v>104</v>
      </c>
      <c r="V18" s="62"/>
      <c r="W18" s="58" t="b">
        <v>1</v>
      </c>
      <c r="X18" s="58"/>
    </row>
    <row r="19">
      <c r="A19" s="159">
        <v>3.0</v>
      </c>
      <c r="B19" s="159"/>
      <c r="C19" s="58" t="s">
        <v>2294</v>
      </c>
      <c r="D19" s="58" t="s">
        <v>2295</v>
      </c>
      <c r="E19" s="58" t="s">
        <v>214</v>
      </c>
      <c r="F19" s="58" t="s">
        <v>2296</v>
      </c>
      <c r="G19" s="58"/>
      <c r="H19" s="58"/>
      <c r="I19" s="104">
        <v>3600.0</v>
      </c>
      <c r="J19" s="161">
        <f t="shared" si="6"/>
        <v>3600</v>
      </c>
      <c r="K19" s="162">
        <v>43825.0</v>
      </c>
      <c r="L19" s="163" t="b">
        <v>1</v>
      </c>
      <c r="M19" s="88"/>
      <c r="N19" s="62" t="s">
        <v>2254</v>
      </c>
      <c r="O19" s="164">
        <v>2880.0</v>
      </c>
      <c r="P19" s="164" t="s">
        <v>150</v>
      </c>
      <c r="Q19" s="164">
        <v>720.0</v>
      </c>
      <c r="R19" s="164" t="s">
        <v>150</v>
      </c>
      <c r="S19" s="164" t="s">
        <v>150</v>
      </c>
      <c r="T19" s="58" t="s">
        <v>2255</v>
      </c>
      <c r="U19" s="58" t="s">
        <v>2297</v>
      </c>
      <c r="V19" s="150" t="s">
        <v>2297</v>
      </c>
      <c r="W19" s="58" t="e">
        <v>#N/A</v>
      </c>
      <c r="X19" s="58"/>
    </row>
    <row r="20">
      <c r="A20" s="159">
        <v>18.0</v>
      </c>
      <c r="B20" s="159"/>
      <c r="C20" s="166" t="s">
        <v>2298</v>
      </c>
      <c r="D20" s="62" t="s">
        <v>2299</v>
      </c>
      <c r="E20" s="58" t="s">
        <v>2300</v>
      </c>
      <c r="F20" s="58" t="s">
        <v>2301</v>
      </c>
      <c r="G20" s="58"/>
      <c r="H20" s="58"/>
      <c r="I20" s="104">
        <v>7100.0</v>
      </c>
      <c r="J20" s="161">
        <f t="shared" si="6"/>
        <v>7100</v>
      </c>
      <c r="K20" s="162">
        <v>43846.0</v>
      </c>
      <c r="L20" s="163" t="b">
        <v>1</v>
      </c>
      <c r="M20" s="88"/>
      <c r="N20" s="62" t="s">
        <v>2254</v>
      </c>
      <c r="O20" s="164">
        <v>7100.0</v>
      </c>
      <c r="P20" s="164" t="s">
        <v>150</v>
      </c>
      <c r="Q20" s="164" t="s">
        <v>150</v>
      </c>
      <c r="R20" s="164" t="s">
        <v>150</v>
      </c>
      <c r="S20" s="164" t="s">
        <v>150</v>
      </c>
      <c r="T20" s="58" t="s">
        <v>2255</v>
      </c>
      <c r="U20" s="62" t="s">
        <v>104</v>
      </c>
      <c r="V20" s="62"/>
      <c r="W20" s="58" t="b">
        <v>1</v>
      </c>
      <c r="X20" s="58"/>
    </row>
    <row r="21">
      <c r="A21" s="159">
        <v>118.0</v>
      </c>
      <c r="B21" s="159"/>
      <c r="C21" s="166" t="s">
        <v>2298</v>
      </c>
      <c r="D21" s="62" t="s">
        <v>2299</v>
      </c>
      <c r="E21" s="58" t="s">
        <v>2302</v>
      </c>
      <c r="F21" s="58" t="s">
        <v>2303</v>
      </c>
      <c r="G21" s="58"/>
      <c r="H21" s="58"/>
      <c r="I21" s="104">
        <v>2770.0</v>
      </c>
      <c r="J21" s="161">
        <f t="shared" si="6"/>
        <v>2770</v>
      </c>
      <c r="K21" s="162">
        <v>44046.0</v>
      </c>
      <c r="L21" s="167" t="b">
        <v>1</v>
      </c>
      <c r="M21" s="37"/>
      <c r="N21" s="62" t="s">
        <v>2254</v>
      </c>
      <c r="O21" s="164">
        <v>2770.0</v>
      </c>
      <c r="P21" s="164" t="s">
        <v>150</v>
      </c>
      <c r="Q21" s="164" t="s">
        <v>150</v>
      </c>
      <c r="R21" s="164" t="s">
        <v>150</v>
      </c>
      <c r="S21" s="164" t="s">
        <v>150</v>
      </c>
      <c r="T21" s="58" t="s">
        <v>2255</v>
      </c>
      <c r="U21" s="62" t="s">
        <v>104</v>
      </c>
      <c r="V21" s="62"/>
      <c r="W21" s="58" t="b">
        <v>1</v>
      </c>
      <c r="X21" s="58"/>
    </row>
    <row r="22">
      <c r="A22" s="159">
        <v>167.0</v>
      </c>
      <c r="B22" s="159"/>
      <c r="C22" s="166" t="s">
        <v>2298</v>
      </c>
      <c r="D22" s="62" t="s">
        <v>2299</v>
      </c>
      <c r="E22" s="58" t="s">
        <v>2302</v>
      </c>
      <c r="F22" s="58" t="s">
        <v>2301</v>
      </c>
      <c r="G22" s="58"/>
      <c r="H22" s="58"/>
      <c r="I22" s="104">
        <v>7100.0</v>
      </c>
      <c r="J22" s="161">
        <f t="shared" si="6"/>
        <v>7100</v>
      </c>
      <c r="K22" s="162">
        <v>43846.0</v>
      </c>
      <c r="L22" s="167" t="b">
        <v>1</v>
      </c>
      <c r="M22" s="37"/>
      <c r="N22" s="62" t="s">
        <v>2254</v>
      </c>
      <c r="O22" s="164">
        <v>7100.0</v>
      </c>
      <c r="P22" s="164" t="s">
        <v>150</v>
      </c>
      <c r="Q22" s="164" t="s">
        <v>150</v>
      </c>
      <c r="R22" s="164" t="s">
        <v>150</v>
      </c>
      <c r="S22" s="164" t="s">
        <v>150</v>
      </c>
      <c r="T22" s="58" t="s">
        <v>2255</v>
      </c>
      <c r="U22" s="62" t="s">
        <v>104</v>
      </c>
      <c r="V22" s="62"/>
      <c r="W22" s="58" t="b">
        <v>1</v>
      </c>
      <c r="X22" s="58"/>
    </row>
    <row r="23">
      <c r="A23" s="159">
        <v>14.0</v>
      </c>
      <c r="B23" s="159"/>
      <c r="C23" s="166" t="s">
        <v>2304</v>
      </c>
      <c r="D23" s="62" t="s">
        <v>2305</v>
      </c>
      <c r="E23" s="58" t="s">
        <v>2306</v>
      </c>
      <c r="F23" s="58" t="s">
        <v>2289</v>
      </c>
      <c r="G23" s="58"/>
      <c r="H23" s="58"/>
      <c r="I23" s="104">
        <v>297.57</v>
      </c>
      <c r="J23" s="161">
        <f t="shared" si="6"/>
        <v>297.57</v>
      </c>
      <c r="K23" s="162">
        <v>43866.0</v>
      </c>
      <c r="L23" s="167" t="b">
        <v>1</v>
      </c>
      <c r="M23" s="88"/>
      <c r="N23" s="62" t="s">
        <v>2254</v>
      </c>
      <c r="O23" s="164">
        <v>297.57</v>
      </c>
      <c r="P23" s="164" t="s">
        <v>150</v>
      </c>
      <c r="Q23" s="164" t="s">
        <v>150</v>
      </c>
      <c r="R23" s="164" t="s">
        <v>150</v>
      </c>
      <c r="S23" s="164" t="s">
        <v>150</v>
      </c>
      <c r="T23" s="58" t="s">
        <v>2255</v>
      </c>
      <c r="U23" s="62" t="s">
        <v>108</v>
      </c>
      <c r="V23" s="62"/>
      <c r="W23" s="58" t="b">
        <v>1</v>
      </c>
      <c r="X23" s="58"/>
    </row>
    <row r="24">
      <c r="A24" s="159">
        <v>16.0</v>
      </c>
      <c r="B24" s="159"/>
      <c r="C24" s="166" t="s">
        <v>2304</v>
      </c>
      <c r="D24" s="62" t="s">
        <v>2305</v>
      </c>
      <c r="E24" s="58" t="s">
        <v>2307</v>
      </c>
      <c r="F24" s="58" t="s">
        <v>2289</v>
      </c>
      <c r="G24" s="58"/>
      <c r="H24" s="58"/>
      <c r="I24" s="104">
        <v>444.56</v>
      </c>
      <c r="J24" s="161">
        <f t="shared" si="6"/>
        <v>444.56</v>
      </c>
      <c r="K24" s="162">
        <v>43864.0</v>
      </c>
      <c r="L24" s="167" t="b">
        <v>1</v>
      </c>
      <c r="M24" s="88"/>
      <c r="N24" s="62" t="s">
        <v>2254</v>
      </c>
      <c r="O24" s="164">
        <v>444.56</v>
      </c>
      <c r="P24" s="164" t="s">
        <v>150</v>
      </c>
      <c r="Q24" s="164" t="s">
        <v>150</v>
      </c>
      <c r="R24" s="164" t="s">
        <v>150</v>
      </c>
      <c r="S24" s="164" t="s">
        <v>150</v>
      </c>
      <c r="T24" s="58" t="s">
        <v>2255</v>
      </c>
      <c r="U24" s="58" t="s">
        <v>100</v>
      </c>
      <c r="V24" s="58"/>
      <c r="W24" s="58" t="b">
        <v>1</v>
      </c>
      <c r="X24" s="58"/>
    </row>
    <row r="25" hidden="1">
      <c r="A25" s="159">
        <v>20.0</v>
      </c>
      <c r="B25" s="159"/>
      <c r="C25" s="58" t="s">
        <v>2308</v>
      </c>
      <c r="D25" s="58" t="s">
        <v>2251</v>
      </c>
      <c r="E25" s="58" t="s">
        <v>2308</v>
      </c>
      <c r="F25" s="58" t="s">
        <v>2289</v>
      </c>
      <c r="G25" s="160"/>
      <c r="H25" s="160"/>
      <c r="I25" s="104">
        <v>334.51</v>
      </c>
      <c r="J25" s="168" t="str">
        <f>IF(L25=TRUE,I25,"")</f>
        <v/>
      </c>
      <c r="K25" s="162">
        <v>43859.0</v>
      </c>
      <c r="L25" s="163" t="b">
        <v>0</v>
      </c>
      <c r="M25" s="88"/>
      <c r="N25" s="62" t="s">
        <v>2254</v>
      </c>
      <c r="O25" s="164">
        <v>334.51</v>
      </c>
      <c r="P25" s="164" t="s">
        <v>150</v>
      </c>
      <c r="Q25" s="164" t="s">
        <v>150</v>
      </c>
      <c r="R25" s="164" t="s">
        <v>150</v>
      </c>
      <c r="S25" s="164" t="s">
        <v>150</v>
      </c>
      <c r="T25" s="58" t="s">
        <v>2255</v>
      </c>
      <c r="U25" s="62" t="s">
        <v>104</v>
      </c>
      <c r="V25" s="62"/>
      <c r="W25" s="58" t="b">
        <v>1</v>
      </c>
      <c r="X25" s="58"/>
    </row>
    <row r="26">
      <c r="A26" s="159">
        <v>136.0</v>
      </c>
      <c r="B26" s="159"/>
      <c r="C26" s="166" t="s">
        <v>2309</v>
      </c>
      <c r="D26" s="62" t="s">
        <v>2310</v>
      </c>
      <c r="E26" s="58" t="s">
        <v>2311</v>
      </c>
      <c r="F26" s="58" t="s">
        <v>2312</v>
      </c>
      <c r="G26" s="58"/>
      <c r="H26" s="58"/>
      <c r="I26" s="104">
        <v>1522.08</v>
      </c>
      <c r="J26" s="161">
        <f>IF(L26=TRUE,SUM(O26:S26),"")</f>
        <v>1522.08</v>
      </c>
      <c r="K26" s="162">
        <v>44054.0</v>
      </c>
      <c r="L26" s="167" t="b">
        <v>1</v>
      </c>
      <c r="M26" s="37"/>
      <c r="N26" s="62" t="s">
        <v>2254</v>
      </c>
      <c r="O26" s="164">
        <v>1522.08</v>
      </c>
      <c r="P26" s="164" t="s">
        <v>150</v>
      </c>
      <c r="Q26" s="164" t="s">
        <v>150</v>
      </c>
      <c r="R26" s="164" t="s">
        <v>150</v>
      </c>
      <c r="S26" s="164" t="s">
        <v>150</v>
      </c>
      <c r="T26" s="58" t="s">
        <v>2255</v>
      </c>
      <c r="U26" s="62" t="s">
        <v>108</v>
      </c>
      <c r="V26" s="62"/>
      <c r="W26" s="58" t="b">
        <v>1</v>
      </c>
      <c r="X26" s="58"/>
    </row>
    <row r="27" hidden="1">
      <c r="A27" s="159">
        <v>22.0</v>
      </c>
      <c r="B27" s="159"/>
      <c r="C27" s="58" t="s">
        <v>2313</v>
      </c>
      <c r="D27" s="58" t="s">
        <v>2314</v>
      </c>
      <c r="E27" s="58" t="s">
        <v>2315</v>
      </c>
      <c r="F27" s="58" t="s">
        <v>2316</v>
      </c>
      <c r="G27" s="160"/>
      <c r="H27" s="160"/>
      <c r="I27" s="104">
        <v>102.3</v>
      </c>
      <c r="J27" s="161" t="str">
        <f t="shared" ref="J27:J29" si="7">IF(L27=TRUE,I27,"")</f>
        <v/>
      </c>
      <c r="K27" s="162">
        <v>43873.0</v>
      </c>
      <c r="L27" s="163" t="b">
        <v>0</v>
      </c>
      <c r="M27" s="169" t="s">
        <v>2317</v>
      </c>
      <c r="N27" s="62" t="s">
        <v>9</v>
      </c>
      <c r="O27" s="164">
        <v>102.3</v>
      </c>
      <c r="P27" s="164" t="s">
        <v>150</v>
      </c>
      <c r="Q27" s="164" t="s">
        <v>150</v>
      </c>
      <c r="R27" s="164" t="s">
        <v>150</v>
      </c>
      <c r="S27" s="164" t="s">
        <v>150</v>
      </c>
      <c r="T27" s="58" t="s">
        <v>2264</v>
      </c>
      <c r="U27" s="62" t="s">
        <v>138</v>
      </c>
      <c r="V27" s="62"/>
      <c r="W27" s="58" t="b">
        <v>1</v>
      </c>
      <c r="X27" s="58"/>
    </row>
    <row r="28" hidden="1">
      <c r="A28" s="159">
        <v>23.0</v>
      </c>
      <c r="B28" s="159"/>
      <c r="C28" s="58" t="s">
        <v>2313</v>
      </c>
      <c r="D28" s="58" t="s">
        <v>2314</v>
      </c>
      <c r="E28" s="58" t="s">
        <v>2318</v>
      </c>
      <c r="F28" s="58" t="s">
        <v>2319</v>
      </c>
      <c r="G28" s="160"/>
      <c r="H28" s="160"/>
      <c r="I28" s="104">
        <v>269.95</v>
      </c>
      <c r="J28" s="161" t="str">
        <f t="shared" si="7"/>
        <v/>
      </c>
      <c r="K28" s="162">
        <v>43873.0</v>
      </c>
      <c r="L28" s="163" t="b">
        <v>0</v>
      </c>
      <c r="M28" s="169" t="s">
        <v>2317</v>
      </c>
      <c r="N28" s="62" t="s">
        <v>9</v>
      </c>
      <c r="O28" s="164">
        <v>269.95</v>
      </c>
      <c r="P28" s="164" t="s">
        <v>150</v>
      </c>
      <c r="Q28" s="164" t="s">
        <v>150</v>
      </c>
      <c r="R28" s="164" t="s">
        <v>150</v>
      </c>
      <c r="S28" s="164" t="s">
        <v>150</v>
      </c>
      <c r="T28" s="58" t="s">
        <v>2264</v>
      </c>
      <c r="U28" s="62" t="s">
        <v>108</v>
      </c>
      <c r="V28" s="62"/>
      <c r="W28" s="58" t="b">
        <v>1</v>
      </c>
      <c r="X28" s="58"/>
    </row>
    <row r="29" hidden="1">
      <c r="A29" s="159">
        <v>24.0</v>
      </c>
      <c r="B29" s="159"/>
      <c r="C29" s="58" t="s">
        <v>2320</v>
      </c>
      <c r="D29" s="58" t="s">
        <v>2321</v>
      </c>
      <c r="E29" s="58" t="s">
        <v>2322</v>
      </c>
      <c r="F29" s="58" t="s">
        <v>2323</v>
      </c>
      <c r="G29" s="160"/>
      <c r="H29" s="160"/>
      <c r="I29" s="104">
        <v>6100.0</v>
      </c>
      <c r="J29" s="161" t="str">
        <f t="shared" si="7"/>
        <v/>
      </c>
      <c r="K29" s="162">
        <v>43872.0</v>
      </c>
      <c r="L29" s="163" t="b">
        <v>0</v>
      </c>
      <c r="M29" s="88"/>
      <c r="N29" s="62" t="s">
        <v>2254</v>
      </c>
      <c r="O29" s="164">
        <v>2500.0</v>
      </c>
      <c r="P29" s="164" t="s">
        <v>150</v>
      </c>
      <c r="Q29" s="164" t="s">
        <v>150</v>
      </c>
      <c r="R29" s="164" t="s">
        <v>150</v>
      </c>
      <c r="S29" s="164" t="s">
        <v>150</v>
      </c>
      <c r="T29" s="58" t="s">
        <v>2255</v>
      </c>
      <c r="U29" s="62" t="s">
        <v>104</v>
      </c>
      <c r="V29" s="62"/>
      <c r="W29" s="58" t="b">
        <v>1</v>
      </c>
      <c r="X29" s="58"/>
    </row>
    <row r="30">
      <c r="A30" s="159">
        <v>185.0</v>
      </c>
      <c r="B30" s="159"/>
      <c r="C30" s="166" t="s">
        <v>2324</v>
      </c>
      <c r="D30" s="62" t="s">
        <v>2325</v>
      </c>
      <c r="E30" s="58" t="s">
        <v>2326</v>
      </c>
      <c r="F30" s="58" t="s">
        <v>2327</v>
      </c>
      <c r="G30" s="58"/>
      <c r="H30" s="58"/>
      <c r="I30" s="104">
        <v>22.9</v>
      </c>
      <c r="J30" s="161">
        <f t="shared" ref="J30:J34" si="8">IF(L30=TRUE,SUM(O30:S30),"")</f>
        <v>22.9</v>
      </c>
      <c r="K30" s="162">
        <v>44139.0</v>
      </c>
      <c r="L30" s="62" t="b">
        <v>1</v>
      </c>
      <c r="M30" s="37"/>
      <c r="N30" s="62" t="s">
        <v>2254</v>
      </c>
      <c r="O30" s="164">
        <v>22.9</v>
      </c>
      <c r="P30" s="164" t="s">
        <v>150</v>
      </c>
      <c r="Q30" s="164" t="s">
        <v>150</v>
      </c>
      <c r="R30" s="164" t="s">
        <v>150</v>
      </c>
      <c r="S30" s="164" t="s">
        <v>150</v>
      </c>
      <c r="T30" s="58" t="s">
        <v>2255</v>
      </c>
      <c r="U30" s="62" t="s">
        <v>108</v>
      </c>
      <c r="V30" s="62"/>
      <c r="W30" s="58" t="b">
        <v>1</v>
      </c>
      <c r="X30" s="58"/>
    </row>
    <row r="31">
      <c r="A31" s="159">
        <v>41.0</v>
      </c>
      <c r="B31" s="159"/>
      <c r="C31" s="62" t="s">
        <v>2328</v>
      </c>
      <c r="D31" s="62" t="s">
        <v>2329</v>
      </c>
      <c r="E31" s="58" t="s">
        <v>2330</v>
      </c>
      <c r="F31" s="58" t="s">
        <v>2331</v>
      </c>
      <c r="G31" s="58"/>
      <c r="H31" s="58"/>
      <c r="I31" s="104">
        <v>25200.0</v>
      </c>
      <c r="J31" s="161">
        <f t="shared" si="8"/>
        <v>25200</v>
      </c>
      <c r="K31" s="162">
        <v>43866.0</v>
      </c>
      <c r="L31" s="163" t="b">
        <v>1</v>
      </c>
      <c r="M31" s="88"/>
      <c r="N31" s="62" t="s">
        <v>2254</v>
      </c>
      <c r="O31" s="164">
        <v>25200.0</v>
      </c>
      <c r="P31" s="164" t="s">
        <v>150</v>
      </c>
      <c r="Q31" s="164" t="s">
        <v>150</v>
      </c>
      <c r="R31" s="164" t="s">
        <v>150</v>
      </c>
      <c r="S31" s="164" t="s">
        <v>150</v>
      </c>
      <c r="T31" s="58" t="s">
        <v>2255</v>
      </c>
      <c r="U31" s="58" t="s">
        <v>2332</v>
      </c>
      <c r="V31" s="150" t="s">
        <v>2332</v>
      </c>
      <c r="W31" s="58" t="e">
        <v>#N/A</v>
      </c>
      <c r="X31" s="58"/>
    </row>
    <row r="32">
      <c r="A32" s="159">
        <v>54.0</v>
      </c>
      <c r="B32" s="159"/>
      <c r="C32" s="166" t="s">
        <v>2333</v>
      </c>
      <c r="D32" s="62" t="s">
        <v>2334</v>
      </c>
      <c r="E32" s="58" t="s">
        <v>2335</v>
      </c>
      <c r="F32" s="58" t="s">
        <v>2336</v>
      </c>
      <c r="G32" s="58"/>
      <c r="H32" s="58"/>
      <c r="I32" s="104">
        <v>5144.0</v>
      </c>
      <c r="J32" s="161">
        <f t="shared" si="8"/>
        <v>5144</v>
      </c>
      <c r="K32" s="162">
        <v>43917.0</v>
      </c>
      <c r="L32" s="163" t="b">
        <v>1</v>
      </c>
      <c r="M32" s="88"/>
      <c r="N32" s="62" t="s">
        <v>2254</v>
      </c>
      <c r="O32" s="164">
        <v>5144.0</v>
      </c>
      <c r="P32" s="164" t="s">
        <v>150</v>
      </c>
      <c r="Q32" s="164" t="s">
        <v>150</v>
      </c>
      <c r="R32" s="164" t="s">
        <v>150</v>
      </c>
      <c r="S32" s="164" t="s">
        <v>150</v>
      </c>
      <c r="T32" s="58" t="s">
        <v>2255</v>
      </c>
      <c r="U32" s="62" t="s">
        <v>108</v>
      </c>
      <c r="V32" s="62"/>
      <c r="W32" s="58" t="b">
        <v>1</v>
      </c>
      <c r="X32" s="58"/>
    </row>
    <row r="33">
      <c r="A33" s="159">
        <v>67.0</v>
      </c>
      <c r="B33" s="159"/>
      <c r="C33" s="166" t="s">
        <v>2333</v>
      </c>
      <c r="D33" s="62" t="s">
        <v>2334</v>
      </c>
      <c r="E33" s="58" t="s">
        <v>2337</v>
      </c>
      <c r="F33" s="58" t="s">
        <v>2338</v>
      </c>
      <c r="G33" s="58"/>
      <c r="H33" s="58"/>
      <c r="I33" s="104">
        <v>5144.0</v>
      </c>
      <c r="J33" s="161">
        <f t="shared" si="8"/>
        <v>5144</v>
      </c>
      <c r="K33" s="162">
        <v>43948.0</v>
      </c>
      <c r="L33" s="167" t="b">
        <v>1</v>
      </c>
      <c r="M33" s="88"/>
      <c r="N33" s="62" t="s">
        <v>2254</v>
      </c>
      <c r="O33" s="164">
        <v>5144.0</v>
      </c>
      <c r="P33" s="164" t="s">
        <v>150</v>
      </c>
      <c r="Q33" s="164" t="s">
        <v>150</v>
      </c>
      <c r="R33" s="164" t="s">
        <v>150</v>
      </c>
      <c r="S33" s="164" t="s">
        <v>150</v>
      </c>
      <c r="T33" s="58" t="s">
        <v>2255</v>
      </c>
      <c r="U33" s="62" t="s">
        <v>108</v>
      </c>
      <c r="V33" s="62"/>
      <c r="W33" s="58" t="b">
        <v>1</v>
      </c>
      <c r="X33" s="58"/>
    </row>
    <row r="34">
      <c r="A34" s="159">
        <v>86.0</v>
      </c>
      <c r="B34" s="159"/>
      <c r="C34" s="166" t="s">
        <v>2333</v>
      </c>
      <c r="D34" s="62" t="s">
        <v>2334</v>
      </c>
      <c r="E34" s="58" t="s">
        <v>2339</v>
      </c>
      <c r="F34" s="58" t="s">
        <v>2340</v>
      </c>
      <c r="G34" s="58"/>
      <c r="H34" s="58"/>
      <c r="I34" s="104">
        <v>5144.0</v>
      </c>
      <c r="J34" s="161">
        <f t="shared" si="8"/>
        <v>5144</v>
      </c>
      <c r="K34" s="162">
        <v>43991.0</v>
      </c>
      <c r="L34" s="167" t="b">
        <v>1</v>
      </c>
      <c r="M34" s="88"/>
      <c r="N34" s="62" t="s">
        <v>2254</v>
      </c>
      <c r="O34" s="164">
        <v>5144.0</v>
      </c>
      <c r="P34" s="164" t="s">
        <v>150</v>
      </c>
      <c r="Q34" s="164" t="s">
        <v>150</v>
      </c>
      <c r="R34" s="164" t="s">
        <v>150</v>
      </c>
      <c r="S34" s="164" t="s">
        <v>150</v>
      </c>
      <c r="T34" s="58" t="s">
        <v>2255</v>
      </c>
      <c r="U34" s="62" t="s">
        <v>108</v>
      </c>
      <c r="V34" s="62"/>
      <c r="W34" s="58" t="b">
        <v>1</v>
      </c>
      <c r="X34" s="58"/>
    </row>
    <row r="35" hidden="1">
      <c r="A35" s="159">
        <v>30.0</v>
      </c>
      <c r="B35" s="159"/>
      <c r="C35" s="58" t="s">
        <v>2341</v>
      </c>
      <c r="D35" s="58" t="s">
        <v>2342</v>
      </c>
      <c r="E35" s="58" t="s">
        <v>2343</v>
      </c>
      <c r="F35" s="58" t="s">
        <v>2253</v>
      </c>
      <c r="G35" s="160"/>
      <c r="H35" s="160"/>
      <c r="I35" s="104">
        <v>1000.0</v>
      </c>
      <c r="J35" s="161" t="str">
        <f t="shared" ref="J35:J39" si="9">IF(L35=TRUE,I35,"")</f>
        <v/>
      </c>
      <c r="K35" s="162">
        <v>43888.0</v>
      </c>
      <c r="L35" s="163" t="b">
        <v>0</v>
      </c>
      <c r="M35" s="88"/>
      <c r="N35" s="62" t="s">
        <v>2254</v>
      </c>
      <c r="O35" s="164">
        <v>500.0</v>
      </c>
      <c r="P35" s="164" t="s">
        <v>150</v>
      </c>
      <c r="Q35" s="164" t="s">
        <v>150</v>
      </c>
      <c r="R35" s="164" t="s">
        <v>150</v>
      </c>
      <c r="S35" s="164" t="s">
        <v>150</v>
      </c>
      <c r="T35" s="58" t="s">
        <v>2255</v>
      </c>
      <c r="U35" s="62" t="s">
        <v>104</v>
      </c>
      <c r="V35" s="62"/>
      <c r="W35" s="58" t="b">
        <v>1</v>
      </c>
      <c r="X35" s="58"/>
    </row>
    <row r="36" hidden="1">
      <c r="A36" s="159">
        <v>31.0</v>
      </c>
      <c r="B36" s="159"/>
      <c r="C36" s="58" t="s">
        <v>2341</v>
      </c>
      <c r="D36" s="58" t="s">
        <v>2342</v>
      </c>
      <c r="E36" s="58" t="s">
        <v>2344</v>
      </c>
      <c r="F36" s="58" t="s">
        <v>2253</v>
      </c>
      <c r="G36" s="160"/>
      <c r="H36" s="160"/>
      <c r="I36" s="104">
        <v>1000.0</v>
      </c>
      <c r="J36" s="161" t="str">
        <f t="shared" si="9"/>
        <v/>
      </c>
      <c r="K36" s="162">
        <v>43888.0</v>
      </c>
      <c r="L36" s="163" t="b">
        <v>0</v>
      </c>
      <c r="M36" s="88"/>
      <c r="N36" s="62" t="s">
        <v>2254</v>
      </c>
      <c r="O36" s="164">
        <v>500.0</v>
      </c>
      <c r="P36" s="164" t="s">
        <v>150</v>
      </c>
      <c r="Q36" s="164" t="s">
        <v>150</v>
      </c>
      <c r="R36" s="164" t="s">
        <v>150</v>
      </c>
      <c r="S36" s="164" t="s">
        <v>150</v>
      </c>
      <c r="T36" s="58" t="s">
        <v>2255</v>
      </c>
      <c r="U36" s="62" t="s">
        <v>104</v>
      </c>
      <c r="V36" s="62"/>
      <c r="W36" s="58" t="b">
        <v>1</v>
      </c>
      <c r="X36" s="58"/>
    </row>
    <row r="37" hidden="1">
      <c r="A37" s="159">
        <v>32.0</v>
      </c>
      <c r="B37" s="159"/>
      <c r="C37" s="58" t="s">
        <v>2345</v>
      </c>
      <c r="D37" s="58" t="s">
        <v>2346</v>
      </c>
      <c r="E37" s="58" t="s">
        <v>2347</v>
      </c>
      <c r="F37" s="58" t="s">
        <v>2348</v>
      </c>
      <c r="G37" s="160"/>
      <c r="H37" s="160"/>
      <c r="I37" s="104">
        <v>3710.0</v>
      </c>
      <c r="J37" s="168" t="str">
        <f t="shared" si="9"/>
        <v/>
      </c>
      <c r="K37" s="162">
        <v>43888.0</v>
      </c>
      <c r="L37" s="163" t="b">
        <v>0</v>
      </c>
      <c r="M37" s="88"/>
      <c r="N37" s="62" t="s">
        <v>2254</v>
      </c>
      <c r="O37" s="164">
        <v>3710.0</v>
      </c>
      <c r="P37" s="164" t="s">
        <v>150</v>
      </c>
      <c r="Q37" s="164" t="s">
        <v>150</v>
      </c>
      <c r="R37" s="164" t="s">
        <v>150</v>
      </c>
      <c r="S37" s="164" t="s">
        <v>150</v>
      </c>
      <c r="T37" s="58" t="s">
        <v>2255</v>
      </c>
      <c r="U37" s="62" t="s">
        <v>104</v>
      </c>
      <c r="V37" s="62"/>
      <c r="W37" s="58" t="b">
        <v>1</v>
      </c>
      <c r="X37" s="58"/>
    </row>
    <row r="38" hidden="1">
      <c r="A38" s="159">
        <v>33.0</v>
      </c>
      <c r="B38" s="159"/>
      <c r="C38" s="58" t="s">
        <v>2349</v>
      </c>
      <c r="D38" s="58" t="s">
        <v>2350</v>
      </c>
      <c r="E38" s="58" t="s">
        <v>2351</v>
      </c>
      <c r="F38" s="58" t="s">
        <v>2253</v>
      </c>
      <c r="G38" s="160"/>
      <c r="H38" s="160"/>
      <c r="I38" s="104">
        <v>450.0</v>
      </c>
      <c r="J38" s="161" t="str">
        <f t="shared" si="9"/>
        <v/>
      </c>
      <c r="K38" s="162">
        <v>43881.0</v>
      </c>
      <c r="L38" s="163" t="b">
        <v>0</v>
      </c>
      <c r="M38" s="88"/>
      <c r="N38" s="62" t="s">
        <v>2254</v>
      </c>
      <c r="O38" s="164">
        <v>450.0</v>
      </c>
      <c r="P38" s="164" t="s">
        <v>150</v>
      </c>
      <c r="Q38" s="164" t="s">
        <v>150</v>
      </c>
      <c r="R38" s="164" t="s">
        <v>150</v>
      </c>
      <c r="S38" s="164" t="s">
        <v>150</v>
      </c>
      <c r="T38" s="58" t="s">
        <v>2255</v>
      </c>
      <c r="U38" s="62" t="s">
        <v>104</v>
      </c>
      <c r="V38" s="62"/>
      <c r="W38" s="58" t="b">
        <v>1</v>
      </c>
      <c r="X38" s="58"/>
    </row>
    <row r="39" hidden="1">
      <c r="A39" s="159">
        <v>34.0</v>
      </c>
      <c r="B39" s="159"/>
      <c r="C39" s="58" t="s">
        <v>2352</v>
      </c>
      <c r="D39" s="58" t="s">
        <v>2353</v>
      </c>
      <c r="E39" s="58" t="s">
        <v>2354</v>
      </c>
      <c r="F39" s="58" t="s">
        <v>2253</v>
      </c>
      <c r="G39" s="160"/>
      <c r="H39" s="160"/>
      <c r="I39" s="104">
        <v>291.98</v>
      </c>
      <c r="J39" s="161" t="str">
        <f t="shared" si="9"/>
        <v/>
      </c>
      <c r="K39" s="162">
        <v>43882.0</v>
      </c>
      <c r="L39" s="163" t="b">
        <v>0</v>
      </c>
      <c r="M39" s="88"/>
      <c r="N39" s="62" t="s">
        <v>2254</v>
      </c>
      <c r="O39" s="164">
        <v>291.98</v>
      </c>
      <c r="P39" s="164" t="s">
        <v>150</v>
      </c>
      <c r="Q39" s="164" t="s">
        <v>150</v>
      </c>
      <c r="R39" s="164" t="s">
        <v>150</v>
      </c>
      <c r="S39" s="164" t="s">
        <v>150</v>
      </c>
      <c r="T39" s="58" t="s">
        <v>2255</v>
      </c>
      <c r="U39" s="62" t="s">
        <v>104</v>
      </c>
      <c r="V39" s="62"/>
      <c r="W39" s="58" t="b">
        <v>1</v>
      </c>
      <c r="X39" s="58"/>
    </row>
    <row r="40">
      <c r="A40" s="159">
        <v>106.0</v>
      </c>
      <c r="B40" s="159"/>
      <c r="C40" s="166" t="s">
        <v>2333</v>
      </c>
      <c r="D40" s="62" t="s">
        <v>2334</v>
      </c>
      <c r="E40" s="58" t="s">
        <v>2355</v>
      </c>
      <c r="F40" s="58" t="s">
        <v>2356</v>
      </c>
      <c r="G40" s="58"/>
      <c r="H40" s="58"/>
      <c r="I40" s="104">
        <v>5144.0</v>
      </c>
      <c r="J40" s="161">
        <f t="shared" ref="J40:J46" si="10">IF(L40=TRUE,SUM(O40:S40),"")</f>
        <v>5144</v>
      </c>
      <c r="K40" s="162">
        <v>44032.0</v>
      </c>
      <c r="L40" s="163" t="b">
        <v>1</v>
      </c>
      <c r="M40" s="88"/>
      <c r="N40" s="62" t="s">
        <v>2254</v>
      </c>
      <c r="O40" s="164">
        <v>5144.0</v>
      </c>
      <c r="P40" s="164" t="s">
        <v>150</v>
      </c>
      <c r="Q40" s="164" t="s">
        <v>150</v>
      </c>
      <c r="R40" s="164" t="s">
        <v>150</v>
      </c>
      <c r="S40" s="164" t="s">
        <v>150</v>
      </c>
      <c r="T40" s="58" t="s">
        <v>2255</v>
      </c>
      <c r="U40" s="62" t="s">
        <v>108</v>
      </c>
      <c r="V40" s="62"/>
      <c r="W40" s="58" t="b">
        <v>1</v>
      </c>
      <c r="X40" s="58"/>
    </row>
    <row r="41">
      <c r="A41" s="159">
        <v>1.0</v>
      </c>
      <c r="B41" s="159"/>
      <c r="C41" s="166" t="s">
        <v>2357</v>
      </c>
      <c r="D41" s="62" t="s">
        <v>2258</v>
      </c>
      <c r="E41" s="58" t="s">
        <v>2358</v>
      </c>
      <c r="F41" s="58" t="s">
        <v>2359</v>
      </c>
      <c r="G41" s="58"/>
      <c r="H41" s="58"/>
      <c r="I41" s="104">
        <v>4000.0</v>
      </c>
      <c r="J41" s="161">
        <f t="shared" si="10"/>
        <v>4000</v>
      </c>
      <c r="K41" s="162">
        <v>43837.0</v>
      </c>
      <c r="L41" s="167" t="b">
        <v>1</v>
      </c>
      <c r="M41" s="88"/>
      <c r="N41" s="62" t="s">
        <v>2254</v>
      </c>
      <c r="O41" s="164">
        <v>4000.0</v>
      </c>
      <c r="P41" s="164" t="s">
        <v>150</v>
      </c>
      <c r="Q41" s="164" t="s">
        <v>150</v>
      </c>
      <c r="R41" s="164" t="s">
        <v>150</v>
      </c>
      <c r="S41" s="164" t="s">
        <v>150</v>
      </c>
      <c r="T41" s="58" t="s">
        <v>2255</v>
      </c>
      <c r="U41" s="62" t="s">
        <v>108</v>
      </c>
      <c r="V41" s="62"/>
      <c r="W41" s="58" t="b">
        <v>1</v>
      </c>
      <c r="X41" s="58"/>
    </row>
    <row r="42">
      <c r="A42" s="159">
        <v>48.0</v>
      </c>
      <c r="B42" s="159"/>
      <c r="C42" s="166" t="s">
        <v>2360</v>
      </c>
      <c r="D42" s="62" t="s">
        <v>2361</v>
      </c>
      <c r="E42" s="58" t="s">
        <v>2362</v>
      </c>
      <c r="F42" s="58" t="s">
        <v>2363</v>
      </c>
      <c r="G42" s="58"/>
      <c r="H42" s="58"/>
      <c r="I42" s="104">
        <v>678.0</v>
      </c>
      <c r="J42" s="161">
        <f t="shared" si="10"/>
        <v>678</v>
      </c>
      <c r="K42" s="162">
        <v>43903.0</v>
      </c>
      <c r="L42" s="167" t="b">
        <v>1</v>
      </c>
      <c r="M42" s="88"/>
      <c r="N42" s="62" t="s">
        <v>2254</v>
      </c>
      <c r="O42" s="164">
        <v>678.0</v>
      </c>
      <c r="P42" s="164" t="s">
        <v>150</v>
      </c>
      <c r="Q42" s="164" t="s">
        <v>150</v>
      </c>
      <c r="R42" s="164" t="s">
        <v>150</v>
      </c>
      <c r="S42" s="164" t="s">
        <v>150</v>
      </c>
      <c r="T42" s="58" t="s">
        <v>2255</v>
      </c>
      <c r="U42" s="62" t="s">
        <v>108</v>
      </c>
      <c r="V42" s="62"/>
      <c r="W42" s="58" t="b">
        <v>1</v>
      </c>
      <c r="X42" s="58"/>
    </row>
    <row r="43">
      <c r="A43" s="159">
        <v>25.0</v>
      </c>
      <c r="B43" s="159"/>
      <c r="C43" s="58" t="s">
        <v>2364</v>
      </c>
      <c r="D43" s="58" t="s">
        <v>2365</v>
      </c>
      <c r="E43" s="58" t="s">
        <v>2366</v>
      </c>
      <c r="F43" s="58" t="s">
        <v>2367</v>
      </c>
      <c r="G43" s="58"/>
      <c r="H43" s="58"/>
      <c r="I43" s="104">
        <v>2001.0</v>
      </c>
      <c r="J43" s="161">
        <f t="shared" si="10"/>
        <v>2001</v>
      </c>
      <c r="K43" s="162">
        <v>43868.0</v>
      </c>
      <c r="L43" s="167" t="b">
        <v>1</v>
      </c>
      <c r="M43" s="88"/>
      <c r="N43" s="62" t="s">
        <v>2254</v>
      </c>
      <c r="O43" s="164" t="s">
        <v>150</v>
      </c>
      <c r="P43" s="164" t="s">
        <v>150</v>
      </c>
      <c r="Q43" s="164">
        <v>2001.0</v>
      </c>
      <c r="R43" s="164" t="s">
        <v>150</v>
      </c>
      <c r="S43" s="164" t="s">
        <v>150</v>
      </c>
      <c r="T43" s="58" t="s">
        <v>2255</v>
      </c>
      <c r="U43" s="58" t="s">
        <v>2368</v>
      </c>
      <c r="V43" s="150" t="s">
        <v>2368</v>
      </c>
      <c r="W43" s="58" t="e">
        <v>#N/A</v>
      </c>
      <c r="X43" s="58"/>
    </row>
    <row r="44">
      <c r="A44" s="159">
        <v>6.0</v>
      </c>
      <c r="B44" s="159"/>
      <c r="C44" s="166" t="s">
        <v>2364</v>
      </c>
      <c r="D44" s="62" t="s">
        <v>2365</v>
      </c>
      <c r="E44" s="58" t="s">
        <v>2366</v>
      </c>
      <c r="F44" s="58" t="s">
        <v>2369</v>
      </c>
      <c r="G44" s="58"/>
      <c r="H44" s="58"/>
      <c r="I44" s="104">
        <v>612.0</v>
      </c>
      <c r="J44" s="161">
        <f t="shared" si="10"/>
        <v>612</v>
      </c>
      <c r="K44" s="162">
        <v>43846.0</v>
      </c>
      <c r="L44" s="167" t="b">
        <v>1</v>
      </c>
      <c r="M44" s="88"/>
      <c r="N44" s="62" t="s">
        <v>2254</v>
      </c>
      <c r="O44" s="164">
        <v>612.0</v>
      </c>
      <c r="P44" s="164" t="s">
        <v>150</v>
      </c>
      <c r="Q44" s="164" t="s">
        <v>150</v>
      </c>
      <c r="R44" s="164" t="s">
        <v>150</v>
      </c>
      <c r="S44" s="164" t="s">
        <v>150</v>
      </c>
      <c r="T44" s="58" t="s">
        <v>2255</v>
      </c>
      <c r="U44" s="62" t="s">
        <v>116</v>
      </c>
      <c r="V44" s="150" t="s">
        <v>2370</v>
      </c>
      <c r="W44" s="58" t="b">
        <v>1</v>
      </c>
      <c r="X44" s="58"/>
    </row>
    <row r="45">
      <c r="A45" s="159">
        <v>8.0</v>
      </c>
      <c r="B45" s="159"/>
      <c r="C45" s="166" t="s">
        <v>2364</v>
      </c>
      <c r="D45" s="62" t="s">
        <v>2365</v>
      </c>
      <c r="E45" s="58" t="s">
        <v>2366</v>
      </c>
      <c r="F45" s="58" t="s">
        <v>2371</v>
      </c>
      <c r="G45" s="58"/>
      <c r="H45" s="58"/>
      <c r="I45" s="104">
        <v>612.0</v>
      </c>
      <c r="J45" s="161">
        <f t="shared" si="10"/>
        <v>612</v>
      </c>
      <c r="K45" s="162">
        <v>43846.0</v>
      </c>
      <c r="L45" s="167" t="b">
        <v>1</v>
      </c>
      <c r="M45" s="88"/>
      <c r="N45" s="62" t="s">
        <v>2254</v>
      </c>
      <c r="O45" s="164">
        <v>612.0</v>
      </c>
      <c r="P45" s="164" t="s">
        <v>150</v>
      </c>
      <c r="Q45" s="164" t="s">
        <v>150</v>
      </c>
      <c r="R45" s="164" t="s">
        <v>150</v>
      </c>
      <c r="S45" s="164" t="s">
        <v>150</v>
      </c>
      <c r="T45" s="58" t="s">
        <v>2255</v>
      </c>
      <c r="U45" s="62" t="s">
        <v>116</v>
      </c>
      <c r="V45" s="150" t="s">
        <v>2370</v>
      </c>
      <c r="W45" s="58" t="b">
        <v>1</v>
      </c>
      <c r="X45" s="58"/>
    </row>
    <row r="46">
      <c r="A46" s="159">
        <v>9.0</v>
      </c>
      <c r="B46" s="159"/>
      <c r="C46" s="166" t="s">
        <v>2364</v>
      </c>
      <c r="D46" s="62" t="s">
        <v>2365</v>
      </c>
      <c r="E46" s="58" t="s">
        <v>2366</v>
      </c>
      <c r="F46" s="58" t="s">
        <v>2372</v>
      </c>
      <c r="G46" s="58"/>
      <c r="H46" s="58"/>
      <c r="I46" s="104">
        <v>1224.0</v>
      </c>
      <c r="J46" s="161">
        <f t="shared" si="10"/>
        <v>1224</v>
      </c>
      <c r="K46" s="162">
        <v>43840.0</v>
      </c>
      <c r="L46" s="167" t="b">
        <v>1</v>
      </c>
      <c r="M46" s="88"/>
      <c r="N46" s="62" t="s">
        <v>2254</v>
      </c>
      <c r="O46" s="164">
        <v>1224.0</v>
      </c>
      <c r="P46" s="164" t="s">
        <v>150</v>
      </c>
      <c r="Q46" s="164" t="s">
        <v>150</v>
      </c>
      <c r="R46" s="164" t="s">
        <v>150</v>
      </c>
      <c r="S46" s="164" t="s">
        <v>150</v>
      </c>
      <c r="T46" s="58" t="s">
        <v>2255</v>
      </c>
      <c r="U46" s="58" t="s">
        <v>94</v>
      </c>
      <c r="V46" s="58"/>
      <c r="W46" s="58" t="b">
        <v>1</v>
      </c>
      <c r="X46" s="58"/>
    </row>
    <row r="47" hidden="1">
      <c r="A47" s="159">
        <v>42.0</v>
      </c>
      <c r="B47" s="159"/>
      <c r="C47" s="58" t="s">
        <v>2373</v>
      </c>
      <c r="D47" s="58" t="s">
        <v>2374</v>
      </c>
      <c r="E47" s="58" t="s">
        <v>2375</v>
      </c>
      <c r="F47" s="58" t="s">
        <v>2376</v>
      </c>
      <c r="G47" s="160"/>
      <c r="H47" s="160"/>
      <c r="I47" s="104">
        <v>5887.5</v>
      </c>
      <c r="J47" s="161" t="str">
        <f>IF(L47=TRUE,I47,"")</f>
        <v/>
      </c>
      <c r="K47" s="162">
        <v>43896.0</v>
      </c>
      <c r="L47" s="163" t="b">
        <v>0</v>
      </c>
      <c r="M47" s="88"/>
      <c r="N47" s="62" t="s">
        <v>2254</v>
      </c>
      <c r="O47" s="164">
        <v>5887.5</v>
      </c>
      <c r="P47" s="164" t="s">
        <v>150</v>
      </c>
      <c r="Q47" s="164" t="s">
        <v>150</v>
      </c>
      <c r="R47" s="164" t="s">
        <v>150</v>
      </c>
      <c r="S47" s="164" t="s">
        <v>150</v>
      </c>
      <c r="T47" s="58" t="s">
        <v>2255</v>
      </c>
      <c r="U47" s="58" t="s">
        <v>83</v>
      </c>
      <c r="V47" s="58"/>
      <c r="W47" s="58" t="b">
        <v>0</v>
      </c>
      <c r="X47" s="58"/>
    </row>
    <row r="48">
      <c r="A48" s="159">
        <v>10.0</v>
      </c>
      <c r="B48" s="159"/>
      <c r="C48" s="166" t="s">
        <v>2364</v>
      </c>
      <c r="D48" s="62" t="s">
        <v>2365</v>
      </c>
      <c r="E48" s="58" t="s">
        <v>2366</v>
      </c>
      <c r="F48" s="58" t="s">
        <v>2377</v>
      </c>
      <c r="G48" s="58"/>
      <c r="H48" s="58"/>
      <c r="I48" s="104">
        <v>1224.0</v>
      </c>
      <c r="J48" s="161">
        <f>IF(L48=TRUE,SUM(O48:S48),"")</f>
        <v>1224</v>
      </c>
      <c r="K48" s="162">
        <v>43837.0</v>
      </c>
      <c r="L48" s="167" t="b">
        <v>1</v>
      </c>
      <c r="M48" s="88"/>
      <c r="N48" s="62" t="s">
        <v>2254</v>
      </c>
      <c r="O48" s="164">
        <v>1224.0</v>
      </c>
      <c r="P48" s="164" t="s">
        <v>150</v>
      </c>
      <c r="Q48" s="164" t="s">
        <v>150</v>
      </c>
      <c r="R48" s="164" t="s">
        <v>150</v>
      </c>
      <c r="S48" s="164" t="s">
        <v>150</v>
      </c>
      <c r="T48" s="58" t="s">
        <v>2255</v>
      </c>
      <c r="U48" s="58" t="s">
        <v>94</v>
      </c>
      <c r="V48" s="58"/>
      <c r="W48" s="58" t="b">
        <v>1</v>
      </c>
      <c r="X48" s="58"/>
    </row>
    <row r="49" hidden="1">
      <c r="A49" s="159">
        <v>44.0</v>
      </c>
      <c r="B49" s="159"/>
      <c r="C49" s="58" t="s">
        <v>2320</v>
      </c>
      <c r="D49" s="58" t="s">
        <v>2321</v>
      </c>
      <c r="E49" s="58" t="s">
        <v>2322</v>
      </c>
      <c r="F49" s="58" t="s">
        <v>2378</v>
      </c>
      <c r="G49" s="160"/>
      <c r="H49" s="160"/>
      <c r="I49" s="104">
        <v>87.03</v>
      </c>
      <c r="J49" s="161" t="str">
        <f t="shared" ref="J49:J52" si="11">IF(L49=TRUE,I49,"")</f>
        <v/>
      </c>
      <c r="K49" s="162">
        <v>43896.0</v>
      </c>
      <c r="L49" s="167" t="b">
        <v>0</v>
      </c>
      <c r="M49" s="88"/>
      <c r="N49" s="62" t="s">
        <v>2254</v>
      </c>
      <c r="O49" s="164">
        <v>87.03</v>
      </c>
      <c r="P49" s="164" t="s">
        <v>150</v>
      </c>
      <c r="Q49" s="164" t="s">
        <v>150</v>
      </c>
      <c r="R49" s="164" t="s">
        <v>150</v>
      </c>
      <c r="S49" s="164" t="s">
        <v>150</v>
      </c>
      <c r="T49" s="58" t="s">
        <v>2255</v>
      </c>
      <c r="U49" s="62" t="s">
        <v>2379</v>
      </c>
      <c r="V49" s="165" t="s">
        <v>2380</v>
      </c>
      <c r="W49" s="58" t="e">
        <v>#N/A</v>
      </c>
      <c r="X49" s="58"/>
    </row>
    <row r="50" hidden="1">
      <c r="A50" s="159">
        <v>45.0</v>
      </c>
      <c r="B50" s="159"/>
      <c r="C50" s="58" t="s">
        <v>2320</v>
      </c>
      <c r="D50" s="58" t="s">
        <v>2321</v>
      </c>
      <c r="E50" s="58" t="s">
        <v>2322</v>
      </c>
      <c r="F50" s="58" t="s">
        <v>2381</v>
      </c>
      <c r="G50" s="160"/>
      <c r="H50" s="160"/>
      <c r="I50" s="104">
        <v>6100.0</v>
      </c>
      <c r="J50" s="161" t="str">
        <f t="shared" si="11"/>
        <v/>
      </c>
      <c r="K50" s="162">
        <v>43896.0</v>
      </c>
      <c r="L50" s="163" t="b">
        <v>0</v>
      </c>
      <c r="M50" s="88"/>
      <c r="N50" s="62" t="s">
        <v>2254</v>
      </c>
      <c r="O50" s="164">
        <v>5000.0</v>
      </c>
      <c r="P50" s="164" t="s">
        <v>150</v>
      </c>
      <c r="Q50" s="164" t="s">
        <v>150</v>
      </c>
      <c r="R50" s="164" t="s">
        <v>150</v>
      </c>
      <c r="S50" s="164" t="s">
        <v>150</v>
      </c>
      <c r="T50" s="58" t="s">
        <v>2255</v>
      </c>
      <c r="U50" s="62" t="s">
        <v>2379</v>
      </c>
      <c r="V50" s="165" t="s">
        <v>2380</v>
      </c>
      <c r="W50" s="58" t="e">
        <v>#N/A</v>
      </c>
      <c r="X50" s="58"/>
    </row>
    <row r="51" hidden="1">
      <c r="A51" s="159">
        <v>46.0</v>
      </c>
      <c r="B51" s="159"/>
      <c r="C51" s="58" t="s">
        <v>2382</v>
      </c>
      <c r="D51" s="58" t="s">
        <v>2282</v>
      </c>
      <c r="E51" s="58" t="s">
        <v>2283</v>
      </c>
      <c r="F51" s="58" t="s">
        <v>2383</v>
      </c>
      <c r="G51" s="160"/>
      <c r="H51" s="160"/>
      <c r="I51" s="104">
        <v>12591.75</v>
      </c>
      <c r="J51" s="149" t="str">
        <f t="shared" si="11"/>
        <v/>
      </c>
      <c r="K51" s="162">
        <v>43893.0</v>
      </c>
      <c r="L51" s="163" t="b">
        <v>0</v>
      </c>
      <c r="M51" s="88"/>
      <c r="N51" s="62" t="s">
        <v>2254</v>
      </c>
      <c r="O51" s="164">
        <v>4000.0</v>
      </c>
      <c r="P51" s="164" t="s">
        <v>150</v>
      </c>
      <c r="Q51" s="164" t="s">
        <v>150</v>
      </c>
      <c r="R51" s="164" t="s">
        <v>150</v>
      </c>
      <c r="S51" s="164" t="s">
        <v>150</v>
      </c>
      <c r="T51" s="58" t="s">
        <v>2255</v>
      </c>
      <c r="U51" s="62" t="s">
        <v>2379</v>
      </c>
      <c r="V51" s="165" t="s">
        <v>2380</v>
      </c>
      <c r="W51" s="58" t="e">
        <v>#N/A</v>
      </c>
      <c r="X51" s="58"/>
    </row>
    <row r="52" hidden="1">
      <c r="A52" s="159">
        <v>47.0</v>
      </c>
      <c r="B52" s="159"/>
      <c r="C52" s="58" t="s">
        <v>2384</v>
      </c>
      <c r="D52" s="58" t="s">
        <v>2251</v>
      </c>
      <c r="E52" s="58" t="s">
        <v>2385</v>
      </c>
      <c r="F52" s="58" t="s">
        <v>2386</v>
      </c>
      <c r="G52" s="160"/>
      <c r="H52" s="160"/>
      <c r="I52" s="104">
        <v>720.88</v>
      </c>
      <c r="J52" s="161" t="str">
        <f t="shared" si="11"/>
        <v/>
      </c>
      <c r="K52" s="162">
        <v>43892.0</v>
      </c>
      <c r="L52" s="163" t="b">
        <v>0</v>
      </c>
      <c r="M52" s="169" t="s">
        <v>2317</v>
      </c>
      <c r="N52" s="62" t="s">
        <v>9</v>
      </c>
      <c r="O52" s="164">
        <v>720.88</v>
      </c>
      <c r="P52" s="164" t="s">
        <v>150</v>
      </c>
      <c r="Q52" s="164" t="s">
        <v>150</v>
      </c>
      <c r="R52" s="164" t="s">
        <v>150</v>
      </c>
      <c r="S52" s="164" t="s">
        <v>150</v>
      </c>
      <c r="T52" s="58" t="s">
        <v>2264</v>
      </c>
      <c r="U52" s="62" t="s">
        <v>108</v>
      </c>
      <c r="V52" s="62"/>
      <c r="W52" s="58" t="b">
        <v>1</v>
      </c>
      <c r="X52" s="58"/>
    </row>
    <row r="53">
      <c r="A53" s="159">
        <v>28.0</v>
      </c>
      <c r="B53" s="159"/>
      <c r="C53" s="166" t="s">
        <v>2364</v>
      </c>
      <c r="D53" s="62" t="s">
        <v>2365</v>
      </c>
      <c r="E53" s="58" t="s">
        <v>2387</v>
      </c>
      <c r="F53" s="58" t="s">
        <v>2388</v>
      </c>
      <c r="G53" s="58"/>
      <c r="H53" s="58"/>
      <c r="I53" s="104">
        <v>667.0</v>
      </c>
      <c r="J53" s="161">
        <f t="shared" ref="J53:J64" si="12">IF(L53=TRUE,SUM(O53:S53),"")</f>
        <v>667</v>
      </c>
      <c r="K53" s="162">
        <v>43878.0</v>
      </c>
      <c r="L53" s="167" t="b">
        <v>1</v>
      </c>
      <c r="M53" s="88"/>
      <c r="N53" s="62" t="s">
        <v>2254</v>
      </c>
      <c r="O53" s="164">
        <v>667.0</v>
      </c>
      <c r="P53" s="164" t="s">
        <v>150</v>
      </c>
      <c r="Q53" s="164" t="s">
        <v>150</v>
      </c>
      <c r="R53" s="164" t="s">
        <v>150</v>
      </c>
      <c r="S53" s="164" t="s">
        <v>150</v>
      </c>
      <c r="T53" s="58" t="s">
        <v>2255</v>
      </c>
      <c r="U53" s="58" t="s">
        <v>94</v>
      </c>
      <c r="V53" s="58"/>
      <c r="W53" s="58" t="b">
        <v>1</v>
      </c>
      <c r="X53" s="58"/>
    </row>
    <row r="54">
      <c r="A54" s="159">
        <v>107.0</v>
      </c>
      <c r="B54" s="159"/>
      <c r="C54" s="166" t="s">
        <v>2364</v>
      </c>
      <c r="D54" s="62" t="s">
        <v>2365</v>
      </c>
      <c r="E54" s="58" t="s">
        <v>2366</v>
      </c>
      <c r="F54" s="58" t="s">
        <v>2389</v>
      </c>
      <c r="G54" s="58"/>
      <c r="H54" s="58"/>
      <c r="I54" s="104">
        <v>667.0</v>
      </c>
      <c r="J54" s="161">
        <f t="shared" si="12"/>
        <v>667</v>
      </c>
      <c r="K54" s="162">
        <v>44029.0</v>
      </c>
      <c r="L54" s="167" t="b">
        <v>1</v>
      </c>
      <c r="M54" s="88"/>
      <c r="N54" s="62" t="s">
        <v>2254</v>
      </c>
      <c r="O54" s="164" t="s">
        <v>150</v>
      </c>
      <c r="P54" s="164" t="s">
        <v>150</v>
      </c>
      <c r="Q54" s="164">
        <v>667.0</v>
      </c>
      <c r="R54" s="164" t="s">
        <v>150</v>
      </c>
      <c r="S54" s="164" t="s">
        <v>150</v>
      </c>
      <c r="T54" s="58" t="s">
        <v>2255</v>
      </c>
      <c r="U54" s="62" t="s">
        <v>96</v>
      </c>
      <c r="V54" s="62"/>
      <c r="W54" s="58" t="b">
        <v>1</v>
      </c>
      <c r="X54" s="58"/>
    </row>
    <row r="55">
      <c r="A55" s="159">
        <v>126.0</v>
      </c>
      <c r="B55" s="159"/>
      <c r="C55" s="166" t="s">
        <v>2364</v>
      </c>
      <c r="D55" s="62" t="s">
        <v>2365</v>
      </c>
      <c r="E55" s="58" t="s">
        <v>2366</v>
      </c>
      <c r="F55" s="58" t="s">
        <v>2390</v>
      </c>
      <c r="G55" s="58"/>
      <c r="H55" s="58"/>
      <c r="I55" s="104">
        <v>667.0</v>
      </c>
      <c r="J55" s="161">
        <f t="shared" si="12"/>
        <v>667</v>
      </c>
      <c r="K55" s="162">
        <v>44053.0</v>
      </c>
      <c r="L55" s="167" t="b">
        <v>1</v>
      </c>
      <c r="M55" s="37"/>
      <c r="N55" s="62" t="s">
        <v>2254</v>
      </c>
      <c r="O55" s="164" t="s">
        <v>150</v>
      </c>
      <c r="P55" s="164" t="s">
        <v>150</v>
      </c>
      <c r="Q55" s="164">
        <v>667.0</v>
      </c>
      <c r="R55" s="164" t="s">
        <v>150</v>
      </c>
      <c r="S55" s="164" t="s">
        <v>150</v>
      </c>
      <c r="T55" s="58" t="s">
        <v>2255</v>
      </c>
      <c r="U55" s="58" t="s">
        <v>91</v>
      </c>
      <c r="V55" s="58"/>
      <c r="W55" s="58" t="b">
        <v>1</v>
      </c>
      <c r="X55" s="58"/>
    </row>
    <row r="56">
      <c r="A56" s="159">
        <v>129.0</v>
      </c>
      <c r="B56" s="159"/>
      <c r="C56" s="166" t="s">
        <v>2364</v>
      </c>
      <c r="D56" s="62" t="s">
        <v>2365</v>
      </c>
      <c r="E56" s="58" t="s">
        <v>2366</v>
      </c>
      <c r="F56" s="58" t="s">
        <v>2391</v>
      </c>
      <c r="G56" s="58"/>
      <c r="H56" s="58"/>
      <c r="I56" s="104">
        <v>667.0</v>
      </c>
      <c r="J56" s="161">
        <f t="shared" si="12"/>
        <v>667</v>
      </c>
      <c r="K56" s="162">
        <v>44050.0</v>
      </c>
      <c r="L56" s="167" t="b">
        <v>1</v>
      </c>
      <c r="M56" s="37"/>
      <c r="N56" s="62" t="s">
        <v>2254</v>
      </c>
      <c r="O56" s="164" t="s">
        <v>150</v>
      </c>
      <c r="P56" s="164" t="s">
        <v>150</v>
      </c>
      <c r="Q56" s="164">
        <v>667.0</v>
      </c>
      <c r="R56" s="164" t="s">
        <v>150</v>
      </c>
      <c r="S56" s="164" t="s">
        <v>150</v>
      </c>
      <c r="T56" s="58" t="s">
        <v>2255</v>
      </c>
      <c r="U56" s="58" t="s">
        <v>2392</v>
      </c>
      <c r="V56" s="150" t="s">
        <v>2392</v>
      </c>
      <c r="W56" s="58" t="b">
        <v>1</v>
      </c>
      <c r="X56" s="58"/>
    </row>
    <row r="57">
      <c r="A57" s="159">
        <v>131.0</v>
      </c>
      <c r="B57" s="159"/>
      <c r="C57" s="166" t="s">
        <v>2364</v>
      </c>
      <c r="D57" s="62" t="s">
        <v>2365</v>
      </c>
      <c r="E57" s="58" t="s">
        <v>2366</v>
      </c>
      <c r="F57" s="58" t="s">
        <v>2393</v>
      </c>
      <c r="G57" s="58"/>
      <c r="H57" s="58"/>
      <c r="I57" s="104">
        <v>667.0</v>
      </c>
      <c r="J57" s="161">
        <f t="shared" si="12"/>
        <v>667</v>
      </c>
      <c r="K57" s="162">
        <v>44056.0</v>
      </c>
      <c r="L57" s="163" t="b">
        <v>1</v>
      </c>
      <c r="M57" s="37"/>
      <c r="N57" s="62" t="s">
        <v>2254</v>
      </c>
      <c r="O57" s="164" t="s">
        <v>150</v>
      </c>
      <c r="P57" s="164" t="s">
        <v>150</v>
      </c>
      <c r="Q57" s="164">
        <v>667.0</v>
      </c>
      <c r="R57" s="164" t="s">
        <v>150</v>
      </c>
      <c r="S57" s="164" t="s">
        <v>150</v>
      </c>
      <c r="T57" s="58" t="s">
        <v>2255</v>
      </c>
      <c r="U57" s="58" t="s">
        <v>96</v>
      </c>
      <c r="V57" s="58"/>
      <c r="W57" s="58" t="b">
        <v>1</v>
      </c>
      <c r="X57" s="58"/>
    </row>
    <row r="58">
      <c r="A58" s="159">
        <v>49.0</v>
      </c>
      <c r="B58" s="159"/>
      <c r="C58" s="166" t="s">
        <v>2364</v>
      </c>
      <c r="D58" s="62" t="s">
        <v>2365</v>
      </c>
      <c r="E58" s="58" t="s">
        <v>2366</v>
      </c>
      <c r="F58" s="58" t="s">
        <v>2394</v>
      </c>
      <c r="G58" s="58"/>
      <c r="H58" s="58"/>
      <c r="I58" s="104">
        <v>2668.0</v>
      </c>
      <c r="J58" s="161">
        <f t="shared" si="12"/>
        <v>2668</v>
      </c>
      <c r="K58" s="162">
        <v>43909.0</v>
      </c>
      <c r="L58" s="167" t="b">
        <v>1</v>
      </c>
      <c r="M58" s="88"/>
      <c r="N58" s="62" t="s">
        <v>2254</v>
      </c>
      <c r="O58" s="164">
        <v>2668.0</v>
      </c>
      <c r="P58" s="164" t="s">
        <v>150</v>
      </c>
      <c r="Q58" s="164" t="s">
        <v>150</v>
      </c>
      <c r="R58" s="164" t="s">
        <v>150</v>
      </c>
      <c r="S58" s="164" t="s">
        <v>150</v>
      </c>
      <c r="T58" s="58" t="s">
        <v>2255</v>
      </c>
      <c r="U58" s="62" t="s">
        <v>108</v>
      </c>
      <c r="V58" s="62"/>
      <c r="W58" s="58" t="b">
        <v>1</v>
      </c>
      <c r="X58" s="58"/>
    </row>
    <row r="59">
      <c r="A59" s="159">
        <v>160.0</v>
      </c>
      <c r="B59" s="159"/>
      <c r="C59" s="166" t="s">
        <v>2364</v>
      </c>
      <c r="D59" s="62" t="s">
        <v>2365</v>
      </c>
      <c r="E59" s="58" t="s">
        <v>2366</v>
      </c>
      <c r="F59" s="58" t="s">
        <v>2395</v>
      </c>
      <c r="G59" s="58"/>
      <c r="H59" s="58"/>
      <c r="I59" s="104">
        <v>667.0</v>
      </c>
      <c r="J59" s="161">
        <f t="shared" si="12"/>
        <v>667</v>
      </c>
      <c r="K59" s="162">
        <v>44111.0</v>
      </c>
      <c r="L59" s="170" t="b">
        <v>1</v>
      </c>
      <c r="M59" s="37"/>
      <c r="N59" s="62" t="s">
        <v>2254</v>
      </c>
      <c r="O59" s="164">
        <v>667.0</v>
      </c>
      <c r="P59" s="164" t="s">
        <v>150</v>
      </c>
      <c r="Q59" s="164" t="s">
        <v>150</v>
      </c>
      <c r="R59" s="164" t="s">
        <v>150</v>
      </c>
      <c r="S59" s="164" t="s">
        <v>150</v>
      </c>
      <c r="T59" s="58" t="s">
        <v>2255</v>
      </c>
      <c r="U59" s="62" t="s">
        <v>104</v>
      </c>
      <c r="V59" s="62"/>
      <c r="W59" s="58" t="b">
        <v>1</v>
      </c>
      <c r="X59" s="58"/>
    </row>
    <row r="60">
      <c r="A60" s="159">
        <v>163.0</v>
      </c>
      <c r="B60" s="159"/>
      <c r="C60" s="166" t="s">
        <v>2364</v>
      </c>
      <c r="D60" s="62" t="s">
        <v>2365</v>
      </c>
      <c r="E60" s="58" t="s">
        <v>2366</v>
      </c>
      <c r="F60" s="58" t="s">
        <v>2396</v>
      </c>
      <c r="G60" s="58"/>
      <c r="H60" s="58"/>
      <c r="I60" s="104">
        <v>1334.0</v>
      </c>
      <c r="J60" s="161">
        <f t="shared" si="12"/>
        <v>1334</v>
      </c>
      <c r="K60" s="162">
        <v>44118.0</v>
      </c>
      <c r="L60" s="167" t="b">
        <v>1</v>
      </c>
      <c r="M60" s="37"/>
      <c r="N60" s="62" t="s">
        <v>2254</v>
      </c>
      <c r="O60" s="164">
        <v>1334.0</v>
      </c>
      <c r="P60" s="164" t="s">
        <v>150</v>
      </c>
      <c r="Q60" s="164" t="s">
        <v>150</v>
      </c>
      <c r="R60" s="164" t="s">
        <v>150</v>
      </c>
      <c r="S60" s="164" t="s">
        <v>150</v>
      </c>
      <c r="T60" s="58" t="s">
        <v>2255</v>
      </c>
      <c r="U60" s="58" t="s">
        <v>100</v>
      </c>
      <c r="V60" s="58"/>
      <c r="W60" s="58" t="b">
        <v>1</v>
      </c>
      <c r="X60" s="58"/>
    </row>
    <row r="61">
      <c r="A61" s="159">
        <v>178.0</v>
      </c>
      <c r="B61" s="159"/>
      <c r="C61" s="166" t="s">
        <v>2364</v>
      </c>
      <c r="D61" s="62" t="s">
        <v>2365</v>
      </c>
      <c r="E61" s="58" t="s">
        <v>2366</v>
      </c>
      <c r="F61" s="58" t="s">
        <v>2397</v>
      </c>
      <c r="G61" s="58"/>
      <c r="H61" s="58"/>
      <c r="I61" s="104">
        <v>667.0</v>
      </c>
      <c r="J61" s="161">
        <f t="shared" si="12"/>
        <v>667</v>
      </c>
      <c r="K61" s="162">
        <v>44124.0</v>
      </c>
      <c r="L61" s="171" t="b">
        <v>1</v>
      </c>
      <c r="M61" s="58"/>
      <c r="N61" s="62" t="s">
        <v>2254</v>
      </c>
      <c r="O61" s="164" t="s">
        <v>150</v>
      </c>
      <c r="P61" s="164" t="s">
        <v>150</v>
      </c>
      <c r="Q61" s="164" t="s">
        <v>150</v>
      </c>
      <c r="R61" s="164">
        <v>667.0</v>
      </c>
      <c r="S61" s="164" t="s">
        <v>150</v>
      </c>
      <c r="T61" s="58" t="s">
        <v>2255</v>
      </c>
      <c r="U61" s="62" t="s">
        <v>101</v>
      </c>
      <c r="V61" s="150" t="s">
        <v>2398</v>
      </c>
      <c r="W61" s="58" t="b">
        <v>1</v>
      </c>
      <c r="X61" s="58"/>
    </row>
    <row r="62">
      <c r="A62" s="159">
        <v>181.0</v>
      </c>
      <c r="B62" s="159"/>
      <c r="C62" s="166" t="s">
        <v>2364</v>
      </c>
      <c r="D62" s="62" t="s">
        <v>2365</v>
      </c>
      <c r="E62" s="58" t="s">
        <v>2366</v>
      </c>
      <c r="F62" s="58" t="s">
        <v>2399</v>
      </c>
      <c r="G62" s="58"/>
      <c r="H62" s="58"/>
      <c r="I62" s="104">
        <v>2001.0</v>
      </c>
      <c r="J62" s="161">
        <f t="shared" si="12"/>
        <v>1334</v>
      </c>
      <c r="K62" s="162">
        <v>44123.0</v>
      </c>
      <c r="L62" s="62" t="b">
        <v>1</v>
      </c>
      <c r="M62" s="37"/>
      <c r="N62" s="62" t="s">
        <v>2254</v>
      </c>
      <c r="O62" s="164">
        <v>1334.0</v>
      </c>
      <c r="P62" s="164" t="s">
        <v>150</v>
      </c>
      <c r="Q62" s="164" t="s">
        <v>150</v>
      </c>
      <c r="R62" s="164" t="s">
        <v>150</v>
      </c>
      <c r="S62" s="164" t="s">
        <v>150</v>
      </c>
      <c r="T62" s="58" t="s">
        <v>2255</v>
      </c>
      <c r="U62" s="62" t="s">
        <v>101</v>
      </c>
      <c r="V62" s="165"/>
      <c r="W62" s="58" t="b">
        <v>1</v>
      </c>
      <c r="X62" s="58"/>
    </row>
    <row r="63">
      <c r="A63" s="159">
        <v>192.0</v>
      </c>
      <c r="B63" s="159"/>
      <c r="C63" s="166" t="s">
        <v>2364</v>
      </c>
      <c r="D63" s="62" t="s">
        <v>2365</v>
      </c>
      <c r="E63" s="58" t="s">
        <v>2366</v>
      </c>
      <c r="F63" s="58" t="s">
        <v>2400</v>
      </c>
      <c r="G63" s="58"/>
      <c r="H63" s="58"/>
      <c r="I63" s="104">
        <v>667.0</v>
      </c>
      <c r="J63" s="161">
        <f t="shared" si="12"/>
        <v>667</v>
      </c>
      <c r="K63" s="162">
        <v>44144.0</v>
      </c>
      <c r="L63" s="62" t="b">
        <v>1</v>
      </c>
      <c r="M63" s="62"/>
      <c r="N63" s="62" t="s">
        <v>2254</v>
      </c>
      <c r="O63" s="164" t="s">
        <v>150</v>
      </c>
      <c r="P63" s="164" t="s">
        <v>150</v>
      </c>
      <c r="Q63" s="164">
        <v>667.0</v>
      </c>
      <c r="R63" s="164" t="s">
        <v>150</v>
      </c>
      <c r="S63" s="164" t="s">
        <v>150</v>
      </c>
      <c r="T63" s="58" t="s">
        <v>2255</v>
      </c>
      <c r="U63" s="58" t="s">
        <v>92</v>
      </c>
      <c r="V63" s="150" t="s">
        <v>92</v>
      </c>
      <c r="W63" s="58" t="b">
        <v>1</v>
      </c>
      <c r="X63" s="58"/>
    </row>
    <row r="64">
      <c r="A64" s="159">
        <v>65.0</v>
      </c>
      <c r="B64" s="159"/>
      <c r="C64" s="166" t="s">
        <v>2364</v>
      </c>
      <c r="D64" s="62" t="s">
        <v>2365</v>
      </c>
      <c r="E64" s="58" t="s">
        <v>2401</v>
      </c>
      <c r="F64" s="58" t="s">
        <v>2402</v>
      </c>
      <c r="G64" s="58"/>
      <c r="H64" s="58"/>
      <c r="I64" s="104">
        <v>138.0</v>
      </c>
      <c r="J64" s="161">
        <f t="shared" si="12"/>
        <v>138</v>
      </c>
      <c r="K64" s="162">
        <v>43927.0</v>
      </c>
      <c r="L64" s="167" t="b">
        <v>1</v>
      </c>
      <c r="M64" s="88"/>
      <c r="N64" s="62" t="s">
        <v>2254</v>
      </c>
      <c r="O64" s="164">
        <v>138.0</v>
      </c>
      <c r="P64" s="164" t="s">
        <v>150</v>
      </c>
      <c r="Q64" s="164" t="s">
        <v>150</v>
      </c>
      <c r="R64" s="164" t="s">
        <v>150</v>
      </c>
      <c r="S64" s="164" t="s">
        <v>150</v>
      </c>
      <c r="T64" s="58" t="s">
        <v>2255</v>
      </c>
      <c r="U64" s="62" t="s">
        <v>108</v>
      </c>
      <c r="V64" s="62"/>
      <c r="W64" s="58" t="b">
        <v>1</v>
      </c>
      <c r="X64" s="58"/>
    </row>
    <row r="65" hidden="1">
      <c r="A65" s="159">
        <v>59.0</v>
      </c>
      <c r="B65" s="159"/>
      <c r="C65" s="58" t="s">
        <v>2403</v>
      </c>
      <c r="D65" s="58" t="s">
        <v>2404</v>
      </c>
      <c r="E65" s="58" t="s">
        <v>2405</v>
      </c>
      <c r="F65" s="58" t="s">
        <v>2406</v>
      </c>
      <c r="G65" s="160"/>
      <c r="H65" s="160"/>
      <c r="I65" s="104">
        <v>1200.0</v>
      </c>
      <c r="J65" s="149" t="str">
        <f>IF(L65=TRUE,I65,"")</f>
        <v/>
      </c>
      <c r="K65" s="162">
        <v>43893.0</v>
      </c>
      <c r="L65" s="167" t="b">
        <v>0</v>
      </c>
      <c r="M65" s="88"/>
      <c r="N65" s="62" t="s">
        <v>2254</v>
      </c>
      <c r="O65" s="164">
        <v>1200.0</v>
      </c>
      <c r="P65" s="164" t="s">
        <v>150</v>
      </c>
      <c r="Q65" s="164" t="s">
        <v>150</v>
      </c>
      <c r="R65" s="164" t="s">
        <v>150</v>
      </c>
      <c r="S65" s="164" t="s">
        <v>150</v>
      </c>
      <c r="T65" s="58" t="s">
        <v>2255</v>
      </c>
      <c r="U65" s="62" t="s">
        <v>108</v>
      </c>
      <c r="V65" s="62"/>
      <c r="W65" s="58" t="b">
        <v>1</v>
      </c>
      <c r="X65" s="58"/>
    </row>
    <row r="66">
      <c r="A66" s="159">
        <v>62.0</v>
      </c>
      <c r="B66" s="159"/>
      <c r="C66" s="58" t="s">
        <v>2364</v>
      </c>
      <c r="D66" s="58" t="s">
        <v>2365</v>
      </c>
      <c r="E66" s="58" t="s">
        <v>2366</v>
      </c>
      <c r="F66" s="58" t="s">
        <v>2407</v>
      </c>
      <c r="G66" s="58"/>
      <c r="H66" s="58"/>
      <c r="I66" s="104">
        <v>1334.0</v>
      </c>
      <c r="J66" s="161">
        <f t="shared" ref="J66:J68" si="13">IF(L66=TRUE,SUM(O66:S66),"")</f>
        <v>1334</v>
      </c>
      <c r="K66" s="162">
        <v>43922.0</v>
      </c>
      <c r="L66" s="167" t="b">
        <v>1</v>
      </c>
      <c r="M66" s="88"/>
      <c r="N66" s="62" t="s">
        <v>2254</v>
      </c>
      <c r="O66" s="164">
        <v>1334.0</v>
      </c>
      <c r="P66" s="164" t="s">
        <v>150</v>
      </c>
      <c r="Q66" s="164" t="s">
        <v>150</v>
      </c>
      <c r="R66" s="164" t="s">
        <v>150</v>
      </c>
      <c r="S66" s="164" t="s">
        <v>150</v>
      </c>
      <c r="T66" s="58" t="s">
        <v>2255</v>
      </c>
      <c r="U66" s="62" t="s">
        <v>2408</v>
      </c>
      <c r="V66" s="165" t="s">
        <v>2409</v>
      </c>
      <c r="W66" s="58" t="e">
        <v>#N/A</v>
      </c>
      <c r="X66" s="58"/>
    </row>
    <row r="67">
      <c r="A67" s="159">
        <v>83.0</v>
      </c>
      <c r="B67" s="159"/>
      <c r="C67" s="58" t="s">
        <v>2364</v>
      </c>
      <c r="D67" s="58" t="s">
        <v>2365</v>
      </c>
      <c r="E67" s="58" t="s">
        <v>2410</v>
      </c>
      <c r="F67" s="58" t="s">
        <v>2411</v>
      </c>
      <c r="G67" s="58"/>
      <c r="H67" s="58"/>
      <c r="I67" s="104">
        <v>750.0</v>
      </c>
      <c r="J67" s="161">
        <f t="shared" si="13"/>
        <v>750</v>
      </c>
      <c r="K67" s="162">
        <v>43984.0</v>
      </c>
      <c r="L67" s="167" t="b">
        <v>1</v>
      </c>
      <c r="M67" s="88"/>
      <c r="N67" s="62" t="s">
        <v>2254</v>
      </c>
      <c r="O67" s="164">
        <v>750.0</v>
      </c>
      <c r="P67" s="164" t="s">
        <v>150</v>
      </c>
      <c r="Q67" s="164" t="s">
        <v>150</v>
      </c>
      <c r="R67" s="164" t="s">
        <v>150</v>
      </c>
      <c r="S67" s="164" t="s">
        <v>150</v>
      </c>
      <c r="T67" s="58" t="s">
        <v>2255</v>
      </c>
      <c r="U67" s="58" t="s">
        <v>2412</v>
      </c>
      <c r="V67" s="150" t="s">
        <v>2412</v>
      </c>
      <c r="W67" s="58" t="e">
        <v>#N/A</v>
      </c>
      <c r="X67" s="58"/>
    </row>
    <row r="68">
      <c r="A68" s="159">
        <v>87.0</v>
      </c>
      <c r="B68" s="159"/>
      <c r="C68" s="58" t="s">
        <v>2364</v>
      </c>
      <c r="D68" s="58" t="s">
        <v>2365</v>
      </c>
      <c r="E68" s="58" t="s">
        <v>2366</v>
      </c>
      <c r="F68" s="58" t="s">
        <v>2413</v>
      </c>
      <c r="G68" s="58"/>
      <c r="H68" s="58"/>
      <c r="I68" s="104">
        <v>667.0</v>
      </c>
      <c r="J68" s="161">
        <f t="shared" si="13"/>
        <v>667</v>
      </c>
      <c r="K68" s="162">
        <v>43990.0</v>
      </c>
      <c r="L68" s="167" t="b">
        <v>1</v>
      </c>
      <c r="M68" s="88"/>
      <c r="N68" s="62" t="s">
        <v>2254</v>
      </c>
      <c r="O68" s="164" t="s">
        <v>150</v>
      </c>
      <c r="P68" s="164" t="s">
        <v>150</v>
      </c>
      <c r="Q68" s="164">
        <v>667.0</v>
      </c>
      <c r="R68" s="164" t="s">
        <v>150</v>
      </c>
      <c r="S68" s="164" t="s">
        <v>150</v>
      </c>
      <c r="T68" s="58" t="s">
        <v>2255</v>
      </c>
      <c r="U68" s="58" t="s">
        <v>2414</v>
      </c>
      <c r="V68" s="150" t="s">
        <v>2414</v>
      </c>
      <c r="W68" s="58" t="e">
        <v>#N/A</v>
      </c>
      <c r="X68" s="58"/>
    </row>
    <row r="69" hidden="1">
      <c r="A69" s="159">
        <v>63.0</v>
      </c>
      <c r="B69" s="159"/>
      <c r="C69" s="58" t="s">
        <v>2382</v>
      </c>
      <c r="D69" s="58" t="s">
        <v>2282</v>
      </c>
      <c r="E69" s="58" t="s">
        <v>2283</v>
      </c>
      <c r="F69" s="58" t="s">
        <v>2415</v>
      </c>
      <c r="G69" s="160"/>
      <c r="H69" s="160"/>
      <c r="I69" s="104">
        <v>12591.75</v>
      </c>
      <c r="J69" s="161" t="str">
        <f>IF(L69=TRUE,I69,"")</f>
        <v/>
      </c>
      <c r="K69" s="162">
        <v>43922.0</v>
      </c>
      <c r="L69" s="163" t="b">
        <v>0</v>
      </c>
      <c r="M69" s="88"/>
      <c r="N69" s="62" t="s">
        <v>2254</v>
      </c>
      <c r="O69" s="164">
        <v>5000.0</v>
      </c>
      <c r="P69" s="164" t="s">
        <v>150</v>
      </c>
      <c r="Q69" s="164" t="s">
        <v>150</v>
      </c>
      <c r="R69" s="164" t="s">
        <v>150</v>
      </c>
      <c r="S69" s="164" t="s">
        <v>150</v>
      </c>
      <c r="T69" s="58" t="s">
        <v>2255</v>
      </c>
      <c r="U69" s="62" t="s">
        <v>2416</v>
      </c>
      <c r="V69" s="165" t="s">
        <v>2417</v>
      </c>
      <c r="W69" s="58" t="e">
        <v>#N/A</v>
      </c>
      <c r="X69" s="58"/>
    </row>
    <row r="70">
      <c r="A70" s="159">
        <v>97.0</v>
      </c>
      <c r="B70" s="159"/>
      <c r="C70" s="58" t="s">
        <v>2364</v>
      </c>
      <c r="D70" s="58" t="s">
        <v>2365</v>
      </c>
      <c r="E70" s="58" t="s">
        <v>2366</v>
      </c>
      <c r="F70" s="58" t="s">
        <v>2418</v>
      </c>
      <c r="G70" s="58"/>
      <c r="H70" s="58"/>
      <c r="I70" s="104">
        <v>667.0</v>
      </c>
      <c r="J70" s="161">
        <f t="shared" ref="J70:J76" si="14">IF(L70=TRUE,SUM(O70:S70),"")</f>
        <v>667</v>
      </c>
      <c r="K70" s="162">
        <v>44014.0</v>
      </c>
      <c r="L70" s="167" t="b">
        <v>1</v>
      </c>
      <c r="M70" s="88"/>
      <c r="N70" s="62" t="s">
        <v>2254</v>
      </c>
      <c r="O70" s="164" t="s">
        <v>150</v>
      </c>
      <c r="P70" s="164" t="s">
        <v>150</v>
      </c>
      <c r="Q70" s="164">
        <v>667.0</v>
      </c>
      <c r="R70" s="164" t="s">
        <v>150</v>
      </c>
      <c r="S70" s="164" t="s">
        <v>150</v>
      </c>
      <c r="T70" s="58" t="s">
        <v>2255</v>
      </c>
      <c r="U70" s="58" t="s">
        <v>2414</v>
      </c>
      <c r="V70" s="150" t="s">
        <v>2414</v>
      </c>
      <c r="W70" s="58" t="e">
        <v>#N/A</v>
      </c>
      <c r="X70" s="58"/>
    </row>
    <row r="71">
      <c r="A71" s="159">
        <v>134.0</v>
      </c>
      <c r="B71" s="159"/>
      <c r="C71" s="58" t="s">
        <v>2364</v>
      </c>
      <c r="D71" s="58" t="s">
        <v>2365</v>
      </c>
      <c r="E71" s="58" t="s">
        <v>2366</v>
      </c>
      <c r="F71" s="58" t="s">
        <v>2419</v>
      </c>
      <c r="G71" s="58"/>
      <c r="H71" s="58"/>
      <c r="I71" s="104">
        <v>2668.0</v>
      </c>
      <c r="J71" s="161">
        <f t="shared" si="14"/>
        <v>2668</v>
      </c>
      <c r="K71" s="162">
        <v>44061.0</v>
      </c>
      <c r="L71" s="167" t="b">
        <v>1</v>
      </c>
      <c r="M71" s="37"/>
      <c r="N71" s="62" t="s">
        <v>2254</v>
      </c>
      <c r="O71" s="164" t="s">
        <v>150</v>
      </c>
      <c r="P71" s="164" t="s">
        <v>150</v>
      </c>
      <c r="Q71" s="164">
        <v>2668.0</v>
      </c>
      <c r="R71" s="164" t="s">
        <v>150</v>
      </c>
      <c r="S71" s="164" t="s">
        <v>150</v>
      </c>
      <c r="T71" s="58" t="s">
        <v>2255</v>
      </c>
      <c r="U71" s="58" t="s">
        <v>2420</v>
      </c>
      <c r="V71" s="150" t="s">
        <v>2420</v>
      </c>
      <c r="W71" s="58" t="e">
        <v>#N/A</v>
      </c>
      <c r="X71" s="58"/>
    </row>
    <row r="72">
      <c r="A72" s="159">
        <v>137.0</v>
      </c>
      <c r="B72" s="159"/>
      <c r="C72" s="58" t="s">
        <v>2364</v>
      </c>
      <c r="D72" s="58" t="s">
        <v>2365</v>
      </c>
      <c r="E72" s="58" t="s">
        <v>2366</v>
      </c>
      <c r="F72" s="58" t="s">
        <v>2421</v>
      </c>
      <c r="G72" s="58"/>
      <c r="H72" s="58"/>
      <c r="I72" s="104">
        <v>1334.0</v>
      </c>
      <c r="J72" s="161">
        <f t="shared" si="14"/>
        <v>1334</v>
      </c>
      <c r="K72" s="162">
        <v>44063.0</v>
      </c>
      <c r="L72" s="170" t="b">
        <v>1</v>
      </c>
      <c r="M72" s="37"/>
      <c r="N72" s="62" t="s">
        <v>2254</v>
      </c>
      <c r="O72" s="164">
        <v>667.0</v>
      </c>
      <c r="P72" s="164" t="s">
        <v>150</v>
      </c>
      <c r="Q72" s="164">
        <v>667.0</v>
      </c>
      <c r="R72" s="164" t="s">
        <v>150</v>
      </c>
      <c r="S72" s="164" t="s">
        <v>150</v>
      </c>
      <c r="T72" s="58" t="s">
        <v>2255</v>
      </c>
      <c r="U72" s="62" t="s">
        <v>2422</v>
      </c>
      <c r="V72" s="150" t="s">
        <v>2423</v>
      </c>
      <c r="W72" s="58" t="e">
        <v>#N/A</v>
      </c>
      <c r="X72" s="58"/>
    </row>
    <row r="73">
      <c r="A73" s="159">
        <v>53.0</v>
      </c>
      <c r="B73" s="159"/>
      <c r="C73" s="166" t="s">
        <v>2424</v>
      </c>
      <c r="D73" s="62" t="s">
        <v>2425</v>
      </c>
      <c r="E73" s="58" t="s">
        <v>2426</v>
      </c>
      <c r="F73" s="58" t="s">
        <v>2427</v>
      </c>
      <c r="G73" s="58"/>
      <c r="H73" s="58"/>
      <c r="I73" s="104">
        <v>66285.43</v>
      </c>
      <c r="J73" s="161">
        <f t="shared" si="14"/>
        <v>66285.43</v>
      </c>
      <c r="K73" s="162">
        <v>43892.0</v>
      </c>
      <c r="L73" s="167" t="b">
        <v>1</v>
      </c>
      <c r="M73" s="88"/>
      <c r="N73" s="62" t="s">
        <v>2254</v>
      </c>
      <c r="O73" s="164">
        <v>66285.43</v>
      </c>
      <c r="P73" s="164" t="s">
        <v>150</v>
      </c>
      <c r="Q73" s="164" t="s">
        <v>150</v>
      </c>
      <c r="R73" s="164" t="s">
        <v>150</v>
      </c>
      <c r="S73" s="164" t="s">
        <v>150</v>
      </c>
      <c r="T73" s="58" t="s">
        <v>2255</v>
      </c>
      <c r="U73" s="62" t="s">
        <v>104</v>
      </c>
      <c r="V73" s="62"/>
      <c r="W73" s="58" t="b">
        <v>1</v>
      </c>
      <c r="X73" s="58"/>
    </row>
    <row r="74">
      <c r="A74" s="159">
        <v>13.0</v>
      </c>
      <c r="B74" s="159"/>
      <c r="C74" s="166" t="s">
        <v>2428</v>
      </c>
      <c r="D74" s="62" t="s">
        <v>2429</v>
      </c>
      <c r="E74" s="58" t="s">
        <v>2430</v>
      </c>
      <c r="F74" s="58" t="s">
        <v>2289</v>
      </c>
      <c r="G74" s="58"/>
      <c r="H74" s="58"/>
      <c r="I74" s="104">
        <v>630.81</v>
      </c>
      <c r="J74" s="161">
        <f t="shared" si="14"/>
        <v>630.81</v>
      </c>
      <c r="K74" s="162">
        <v>43866.0</v>
      </c>
      <c r="L74" s="167" t="b">
        <v>1</v>
      </c>
      <c r="M74" s="88"/>
      <c r="N74" s="62" t="s">
        <v>2254</v>
      </c>
      <c r="O74" s="164">
        <v>630.81</v>
      </c>
      <c r="P74" s="164" t="s">
        <v>150</v>
      </c>
      <c r="Q74" s="164" t="s">
        <v>150</v>
      </c>
      <c r="R74" s="164" t="s">
        <v>150</v>
      </c>
      <c r="S74" s="164" t="s">
        <v>150</v>
      </c>
      <c r="T74" s="58" t="s">
        <v>2255</v>
      </c>
      <c r="U74" s="62" t="s">
        <v>108</v>
      </c>
      <c r="V74" s="62"/>
      <c r="W74" s="58" t="b">
        <v>1</v>
      </c>
      <c r="X74" s="58"/>
    </row>
    <row r="75">
      <c r="A75" s="159">
        <v>116.0</v>
      </c>
      <c r="B75" s="159"/>
      <c r="C75" s="58" t="s">
        <v>2431</v>
      </c>
      <c r="D75" s="58" t="s">
        <v>2432</v>
      </c>
      <c r="E75" s="58" t="s">
        <v>2433</v>
      </c>
      <c r="F75" s="58" t="s">
        <v>2434</v>
      </c>
      <c r="G75" s="58"/>
      <c r="H75" s="58"/>
      <c r="I75" s="104">
        <v>3000.0</v>
      </c>
      <c r="J75" s="161">
        <f t="shared" si="14"/>
        <v>3000</v>
      </c>
      <c r="K75" s="162">
        <v>44028.0</v>
      </c>
      <c r="L75" s="170" t="b">
        <v>1</v>
      </c>
      <c r="M75" s="37"/>
      <c r="N75" s="62" t="s">
        <v>2254</v>
      </c>
      <c r="O75" s="164" t="s">
        <v>150</v>
      </c>
      <c r="P75" s="164" t="s">
        <v>150</v>
      </c>
      <c r="Q75" s="164">
        <v>3000.0</v>
      </c>
      <c r="R75" s="164" t="s">
        <v>150</v>
      </c>
      <c r="S75" s="164" t="s">
        <v>150</v>
      </c>
      <c r="T75" s="58" t="s">
        <v>2255</v>
      </c>
      <c r="U75" s="58" t="s">
        <v>2435</v>
      </c>
      <c r="V75" s="150" t="s">
        <v>2435</v>
      </c>
      <c r="W75" s="58" t="e">
        <v>#N/A</v>
      </c>
      <c r="X75" s="58"/>
    </row>
    <row r="76">
      <c r="A76" s="159">
        <v>26.0</v>
      </c>
      <c r="B76" s="159"/>
      <c r="C76" s="58" t="s">
        <v>2436</v>
      </c>
      <c r="D76" s="58" t="s">
        <v>2437</v>
      </c>
      <c r="E76" s="58" t="s">
        <v>2438</v>
      </c>
      <c r="F76" s="58" t="s">
        <v>2439</v>
      </c>
      <c r="G76" s="58"/>
      <c r="H76" s="58"/>
      <c r="I76" s="104">
        <v>141.6</v>
      </c>
      <c r="J76" s="161">
        <f t="shared" si="14"/>
        <v>90.4</v>
      </c>
      <c r="K76" s="162">
        <v>43872.0</v>
      </c>
      <c r="L76" s="167" t="b">
        <v>1</v>
      </c>
      <c r="M76" s="88"/>
      <c r="N76" s="62" t="s">
        <v>2254</v>
      </c>
      <c r="O76" s="164" t="s">
        <v>150</v>
      </c>
      <c r="P76" s="164" t="s">
        <v>150</v>
      </c>
      <c r="Q76" s="164">
        <v>90.4</v>
      </c>
      <c r="R76" s="164" t="s">
        <v>150</v>
      </c>
      <c r="S76" s="164" t="s">
        <v>150</v>
      </c>
      <c r="T76" s="58" t="s">
        <v>2255</v>
      </c>
      <c r="U76" s="58" t="s">
        <v>2368</v>
      </c>
      <c r="V76" s="150" t="s">
        <v>2368</v>
      </c>
      <c r="W76" s="58" t="e">
        <v>#N/A</v>
      </c>
      <c r="X76" s="58"/>
    </row>
    <row r="77" hidden="1">
      <c r="A77" s="159">
        <v>71.0</v>
      </c>
      <c r="B77" s="159"/>
      <c r="C77" s="58" t="s">
        <v>2440</v>
      </c>
      <c r="D77" s="58" t="s">
        <v>2441</v>
      </c>
      <c r="E77" s="58" t="s">
        <v>2442</v>
      </c>
      <c r="F77" s="58" t="s">
        <v>2443</v>
      </c>
      <c r="G77" s="160"/>
      <c r="H77" s="160"/>
      <c r="I77" s="104">
        <v>74.0</v>
      </c>
      <c r="J77" s="161" t="str">
        <f>IF(L77=TRUE,I77,"")</f>
        <v/>
      </c>
      <c r="K77" s="162">
        <v>43943.0</v>
      </c>
      <c r="L77" s="163" t="b">
        <v>0</v>
      </c>
      <c r="M77" s="88"/>
      <c r="N77" s="62" t="s">
        <v>2254</v>
      </c>
      <c r="O77" s="164">
        <v>74.0</v>
      </c>
      <c r="P77" s="164" t="s">
        <v>150</v>
      </c>
      <c r="Q77" s="164" t="s">
        <v>150</v>
      </c>
      <c r="R77" s="164" t="s">
        <v>150</v>
      </c>
      <c r="S77" s="164" t="s">
        <v>150</v>
      </c>
      <c r="T77" s="58" t="s">
        <v>2255</v>
      </c>
      <c r="U77" s="62" t="s">
        <v>138</v>
      </c>
      <c r="V77" s="62"/>
      <c r="W77" s="58" t="b">
        <v>1</v>
      </c>
      <c r="X77" s="58"/>
    </row>
    <row r="78">
      <c r="A78" s="159">
        <v>39.0</v>
      </c>
      <c r="B78" s="159"/>
      <c r="C78" s="166" t="s">
        <v>2436</v>
      </c>
      <c r="D78" s="62" t="s">
        <v>2437</v>
      </c>
      <c r="E78" s="58" t="s">
        <v>2438</v>
      </c>
      <c r="F78" s="58" t="s">
        <v>2444</v>
      </c>
      <c r="G78" s="58"/>
      <c r="H78" s="58"/>
      <c r="I78" s="104">
        <v>105.55</v>
      </c>
      <c r="J78" s="161">
        <f t="shared" ref="J78:J85" si="15">IF(L78=TRUE,SUM(O78:S78),"")</f>
        <v>105.55</v>
      </c>
      <c r="K78" s="162">
        <v>43893.0</v>
      </c>
      <c r="L78" s="163" t="b">
        <v>1</v>
      </c>
      <c r="M78" s="88"/>
      <c r="N78" s="62" t="s">
        <v>2254</v>
      </c>
      <c r="O78" s="164">
        <v>105.55</v>
      </c>
      <c r="P78" s="164" t="s">
        <v>150</v>
      </c>
      <c r="Q78" s="164" t="s">
        <v>150</v>
      </c>
      <c r="R78" s="164" t="s">
        <v>150</v>
      </c>
      <c r="S78" s="164" t="s">
        <v>150</v>
      </c>
      <c r="T78" s="58" t="s">
        <v>2255</v>
      </c>
      <c r="U78" s="62" t="s">
        <v>108</v>
      </c>
      <c r="V78" s="62"/>
      <c r="W78" s="58" t="b">
        <v>1</v>
      </c>
      <c r="X78" s="58"/>
    </row>
    <row r="79">
      <c r="A79" s="159">
        <v>5.0</v>
      </c>
      <c r="B79" s="159"/>
      <c r="C79" s="166" t="s">
        <v>2436</v>
      </c>
      <c r="D79" s="62" t="s">
        <v>2437</v>
      </c>
      <c r="E79" s="58" t="s">
        <v>2438</v>
      </c>
      <c r="F79" s="58" t="s">
        <v>2445</v>
      </c>
      <c r="G79" s="58"/>
      <c r="H79" s="58"/>
      <c r="I79" s="104">
        <v>120.9</v>
      </c>
      <c r="J79" s="161">
        <f t="shared" si="15"/>
        <v>120.9</v>
      </c>
      <c r="K79" s="162">
        <v>43851.0</v>
      </c>
      <c r="L79" s="167" t="b">
        <v>1</v>
      </c>
      <c r="M79" s="88"/>
      <c r="N79" s="62" t="s">
        <v>2254</v>
      </c>
      <c r="O79" s="164">
        <v>120.9</v>
      </c>
      <c r="P79" s="164" t="s">
        <v>150</v>
      </c>
      <c r="Q79" s="164" t="s">
        <v>150</v>
      </c>
      <c r="R79" s="164" t="s">
        <v>150</v>
      </c>
      <c r="S79" s="164" t="s">
        <v>150</v>
      </c>
      <c r="T79" s="58" t="s">
        <v>2255</v>
      </c>
      <c r="U79" s="58" t="s">
        <v>94</v>
      </c>
      <c r="V79" s="58"/>
      <c r="W79" s="58" t="b">
        <v>1</v>
      </c>
      <c r="X79" s="58"/>
    </row>
    <row r="80">
      <c r="A80" s="159">
        <v>74.0</v>
      </c>
      <c r="B80" s="159"/>
      <c r="C80" s="166" t="s">
        <v>2436</v>
      </c>
      <c r="D80" s="62" t="s">
        <v>2437</v>
      </c>
      <c r="E80" s="58" t="s">
        <v>2438</v>
      </c>
      <c r="F80" s="58" t="s">
        <v>2446</v>
      </c>
      <c r="G80" s="58"/>
      <c r="H80" s="58"/>
      <c r="I80" s="104">
        <v>112.3</v>
      </c>
      <c r="J80" s="161">
        <f t="shared" si="15"/>
        <v>36.45</v>
      </c>
      <c r="K80" s="162">
        <v>43963.0</v>
      </c>
      <c r="L80" s="163" t="b">
        <v>1</v>
      </c>
      <c r="M80" s="88"/>
      <c r="N80" s="62" t="s">
        <v>2254</v>
      </c>
      <c r="O80" s="164">
        <v>36.45</v>
      </c>
      <c r="P80" s="164" t="s">
        <v>150</v>
      </c>
      <c r="Q80" s="164" t="s">
        <v>150</v>
      </c>
      <c r="R80" s="164" t="s">
        <v>150</v>
      </c>
      <c r="S80" s="164" t="s">
        <v>150</v>
      </c>
      <c r="T80" s="58" t="s">
        <v>2255</v>
      </c>
      <c r="U80" s="62" t="s">
        <v>138</v>
      </c>
      <c r="V80" s="62"/>
      <c r="W80" s="58" t="b">
        <v>1</v>
      </c>
      <c r="X80" s="58"/>
    </row>
    <row r="81">
      <c r="A81" s="159">
        <v>94.0</v>
      </c>
      <c r="B81" s="159"/>
      <c r="C81" s="166" t="s">
        <v>2436</v>
      </c>
      <c r="D81" s="62" t="s">
        <v>2437</v>
      </c>
      <c r="E81" s="58" t="s">
        <v>2438</v>
      </c>
      <c r="F81" s="58" t="s">
        <v>2447</v>
      </c>
      <c r="G81" s="58"/>
      <c r="H81" s="58"/>
      <c r="I81" s="104">
        <v>348.3</v>
      </c>
      <c r="J81" s="161">
        <f t="shared" si="15"/>
        <v>51</v>
      </c>
      <c r="K81" s="162">
        <v>44004.0</v>
      </c>
      <c r="L81" s="167" t="b">
        <v>1</v>
      </c>
      <c r="M81" s="88"/>
      <c r="N81" s="62" t="s">
        <v>2254</v>
      </c>
      <c r="O81" s="164" t="s">
        <v>150</v>
      </c>
      <c r="P81" s="164" t="s">
        <v>150</v>
      </c>
      <c r="Q81" s="164">
        <v>51.0</v>
      </c>
      <c r="R81" s="164" t="s">
        <v>150</v>
      </c>
      <c r="S81" s="164" t="s">
        <v>150</v>
      </c>
      <c r="T81" s="58" t="s">
        <v>2255</v>
      </c>
      <c r="U81" s="58" t="s">
        <v>96</v>
      </c>
      <c r="V81" s="58"/>
      <c r="W81" s="58" t="b">
        <v>1</v>
      </c>
      <c r="X81" s="58"/>
    </row>
    <row r="82">
      <c r="A82" s="159">
        <v>95.0</v>
      </c>
      <c r="B82" s="159"/>
      <c r="C82" s="166" t="s">
        <v>2436</v>
      </c>
      <c r="D82" s="62" t="s">
        <v>2437</v>
      </c>
      <c r="E82" s="58" t="s">
        <v>2438</v>
      </c>
      <c r="F82" s="58" t="s">
        <v>2448</v>
      </c>
      <c r="G82" s="58"/>
      <c r="H82" s="58"/>
      <c r="I82" s="104">
        <v>182.65</v>
      </c>
      <c r="J82" s="161">
        <f t="shared" si="15"/>
        <v>122.6</v>
      </c>
      <c r="K82" s="162">
        <v>44013.0</v>
      </c>
      <c r="L82" s="163" t="b">
        <v>1</v>
      </c>
      <c r="M82" s="88"/>
      <c r="N82" s="62" t="s">
        <v>2254</v>
      </c>
      <c r="O82" s="164">
        <v>122.6</v>
      </c>
      <c r="P82" s="164" t="s">
        <v>150</v>
      </c>
      <c r="Q82" s="164" t="s">
        <v>150</v>
      </c>
      <c r="R82" s="164" t="s">
        <v>150</v>
      </c>
      <c r="S82" s="164" t="s">
        <v>150</v>
      </c>
      <c r="T82" s="58" t="s">
        <v>2255</v>
      </c>
      <c r="U82" s="58" t="s">
        <v>100</v>
      </c>
      <c r="V82" s="58"/>
      <c r="W82" s="58" t="b">
        <v>1</v>
      </c>
      <c r="X82" s="58"/>
    </row>
    <row r="83">
      <c r="A83" s="159">
        <v>132.0</v>
      </c>
      <c r="B83" s="159"/>
      <c r="C83" s="166" t="s">
        <v>2436</v>
      </c>
      <c r="D83" s="62" t="s">
        <v>2437</v>
      </c>
      <c r="E83" s="58" t="s">
        <v>2438</v>
      </c>
      <c r="F83" s="58" t="s">
        <v>2449</v>
      </c>
      <c r="G83" s="58"/>
      <c r="H83" s="58"/>
      <c r="I83" s="104">
        <v>109.35</v>
      </c>
      <c r="J83" s="161">
        <f t="shared" si="15"/>
        <v>36.45</v>
      </c>
      <c r="K83" s="162">
        <v>44055.0</v>
      </c>
      <c r="L83" s="167" t="b">
        <v>1</v>
      </c>
      <c r="M83" s="37"/>
      <c r="N83" s="62" t="s">
        <v>2254</v>
      </c>
      <c r="O83" s="164" t="s">
        <v>150</v>
      </c>
      <c r="P83" s="164" t="s">
        <v>150</v>
      </c>
      <c r="Q83" s="164">
        <v>36.45</v>
      </c>
      <c r="R83" s="164" t="s">
        <v>150</v>
      </c>
      <c r="S83" s="164" t="s">
        <v>150</v>
      </c>
      <c r="T83" s="58" t="s">
        <v>2255</v>
      </c>
      <c r="U83" s="62" t="s">
        <v>101</v>
      </c>
      <c r="V83" s="150" t="s">
        <v>2398</v>
      </c>
      <c r="W83" s="58" t="b">
        <v>1</v>
      </c>
      <c r="X83" s="58"/>
    </row>
    <row r="84">
      <c r="A84" s="159">
        <v>79.0</v>
      </c>
      <c r="B84" s="159"/>
      <c r="C84" s="58" t="s">
        <v>2436</v>
      </c>
      <c r="D84" s="58" t="s">
        <v>2437</v>
      </c>
      <c r="E84" s="58" t="s">
        <v>2438</v>
      </c>
      <c r="F84" s="58" t="s">
        <v>2450</v>
      </c>
      <c r="G84" s="58"/>
      <c r="H84" s="58"/>
      <c r="I84" s="104">
        <v>289.08</v>
      </c>
      <c r="J84" s="161">
        <f t="shared" si="15"/>
        <v>213.23</v>
      </c>
      <c r="K84" s="162">
        <v>43972.0</v>
      </c>
      <c r="L84" s="163" t="b">
        <v>1</v>
      </c>
      <c r="M84" s="88"/>
      <c r="N84" s="62" t="s">
        <v>2254</v>
      </c>
      <c r="O84" s="164" t="s">
        <v>150</v>
      </c>
      <c r="P84" s="164" t="s">
        <v>150</v>
      </c>
      <c r="Q84" s="164">
        <v>213.23</v>
      </c>
      <c r="R84" s="164" t="s">
        <v>150</v>
      </c>
      <c r="S84" s="164" t="s">
        <v>150</v>
      </c>
      <c r="T84" s="58" t="s">
        <v>2255</v>
      </c>
      <c r="U84" s="62" t="s">
        <v>2451</v>
      </c>
      <c r="V84" s="150" t="s">
        <v>2452</v>
      </c>
      <c r="W84" s="58" t="e">
        <v>#N/A</v>
      </c>
      <c r="X84" s="58"/>
    </row>
    <row r="85">
      <c r="A85" s="159">
        <v>84.0</v>
      </c>
      <c r="B85" s="159"/>
      <c r="C85" s="58" t="s">
        <v>2436</v>
      </c>
      <c r="D85" s="58" t="s">
        <v>2437</v>
      </c>
      <c r="E85" s="58" t="s">
        <v>2438</v>
      </c>
      <c r="F85" s="58" t="s">
        <v>2453</v>
      </c>
      <c r="G85" s="58"/>
      <c r="H85" s="58"/>
      <c r="I85" s="104">
        <v>316.09</v>
      </c>
      <c r="J85" s="161">
        <f t="shared" si="15"/>
        <v>130.74</v>
      </c>
      <c r="K85" s="162">
        <v>43984.0</v>
      </c>
      <c r="L85" s="167" t="b">
        <v>1</v>
      </c>
      <c r="M85" s="88"/>
      <c r="N85" s="62" t="s">
        <v>2254</v>
      </c>
      <c r="O85" s="164">
        <v>65.37</v>
      </c>
      <c r="P85" s="164" t="s">
        <v>150</v>
      </c>
      <c r="Q85" s="164">
        <v>65.37</v>
      </c>
      <c r="R85" s="164" t="s">
        <v>150</v>
      </c>
      <c r="S85" s="164" t="s">
        <v>150</v>
      </c>
      <c r="T85" s="58" t="s">
        <v>2255</v>
      </c>
      <c r="U85" s="62" t="s">
        <v>2454</v>
      </c>
      <c r="V85" s="165" t="s">
        <v>2454</v>
      </c>
      <c r="W85" s="58" t="e">
        <v>#N/A</v>
      </c>
      <c r="X85" s="58"/>
    </row>
    <row r="86" hidden="1">
      <c r="A86" s="159">
        <v>80.0</v>
      </c>
      <c r="B86" s="159"/>
      <c r="C86" s="58" t="s">
        <v>2455</v>
      </c>
      <c r="D86" s="58" t="s">
        <v>2456</v>
      </c>
      <c r="E86" s="58" t="s">
        <v>2457</v>
      </c>
      <c r="F86" s="58" t="s">
        <v>2458</v>
      </c>
      <c r="G86" s="160"/>
      <c r="H86" s="160"/>
      <c r="I86" s="104">
        <v>100.0</v>
      </c>
      <c r="J86" s="149" t="str">
        <f>IF(L86=TRUE,I86,"")</f>
        <v/>
      </c>
      <c r="K86" s="162">
        <v>43977.0</v>
      </c>
      <c r="L86" s="167" t="b">
        <v>0</v>
      </c>
      <c r="M86" s="88"/>
      <c r="N86" s="62" t="s">
        <v>2254</v>
      </c>
      <c r="O86" s="164">
        <v>100.0</v>
      </c>
      <c r="P86" s="164" t="s">
        <v>150</v>
      </c>
      <c r="Q86" s="164" t="s">
        <v>150</v>
      </c>
      <c r="R86" s="164" t="s">
        <v>150</v>
      </c>
      <c r="S86" s="164" t="s">
        <v>150</v>
      </c>
      <c r="T86" s="58" t="s">
        <v>2255</v>
      </c>
      <c r="U86" s="62" t="s">
        <v>104</v>
      </c>
      <c r="V86" s="62"/>
      <c r="W86" s="58" t="b">
        <v>1</v>
      </c>
      <c r="X86" s="58"/>
    </row>
    <row r="87">
      <c r="A87" s="159">
        <v>148.0</v>
      </c>
      <c r="B87" s="159"/>
      <c r="C87" s="166" t="s">
        <v>2436</v>
      </c>
      <c r="D87" s="62" t="s">
        <v>2437</v>
      </c>
      <c r="E87" s="58" t="s">
        <v>2438</v>
      </c>
      <c r="F87" s="58" t="s">
        <v>2459</v>
      </c>
      <c r="G87" s="58"/>
      <c r="H87" s="58"/>
      <c r="I87" s="104">
        <v>793.74</v>
      </c>
      <c r="J87" s="161">
        <f t="shared" ref="J87:J93" si="16">IF(L87=TRUE,SUM(O87:S87),"")</f>
        <v>153.84</v>
      </c>
      <c r="K87" s="162">
        <v>44092.0</v>
      </c>
      <c r="L87" s="167" t="b">
        <v>1</v>
      </c>
      <c r="M87" s="37"/>
      <c r="N87" s="62" t="s">
        <v>2254</v>
      </c>
      <c r="O87" s="164">
        <v>153.84</v>
      </c>
      <c r="P87" s="164" t="s">
        <v>150</v>
      </c>
      <c r="Q87" s="164" t="s">
        <v>150</v>
      </c>
      <c r="R87" s="164" t="s">
        <v>150</v>
      </c>
      <c r="S87" s="164" t="s">
        <v>150</v>
      </c>
      <c r="T87" s="58" t="s">
        <v>2255</v>
      </c>
      <c r="U87" s="62" t="s">
        <v>104</v>
      </c>
      <c r="V87" s="62"/>
      <c r="W87" s="58" t="b">
        <v>1</v>
      </c>
      <c r="X87" s="58"/>
    </row>
    <row r="88">
      <c r="A88" s="159">
        <v>92.0</v>
      </c>
      <c r="B88" s="159"/>
      <c r="C88" s="58" t="s">
        <v>2436</v>
      </c>
      <c r="D88" s="58" t="s">
        <v>2437</v>
      </c>
      <c r="E88" s="58" t="s">
        <v>2438</v>
      </c>
      <c r="F88" s="58" t="s">
        <v>2460</v>
      </c>
      <c r="G88" s="58"/>
      <c r="H88" s="58"/>
      <c r="I88" s="104">
        <v>451.14</v>
      </c>
      <c r="J88" s="161">
        <f t="shared" si="16"/>
        <v>282.79</v>
      </c>
      <c r="K88" s="162">
        <v>43994.0</v>
      </c>
      <c r="L88" s="167" t="b">
        <v>1</v>
      </c>
      <c r="M88" s="88"/>
      <c r="N88" s="62" t="s">
        <v>2254</v>
      </c>
      <c r="O88" s="164" t="s">
        <v>150</v>
      </c>
      <c r="P88" s="164" t="s">
        <v>150</v>
      </c>
      <c r="Q88" s="164">
        <v>282.79</v>
      </c>
      <c r="R88" s="164" t="s">
        <v>150</v>
      </c>
      <c r="S88" s="164" t="s">
        <v>150</v>
      </c>
      <c r="T88" s="58" t="s">
        <v>2255</v>
      </c>
      <c r="U88" s="58" t="s">
        <v>2461</v>
      </c>
      <c r="V88" s="150" t="s">
        <v>2461</v>
      </c>
      <c r="W88" s="58" t="e">
        <v>#N/A</v>
      </c>
      <c r="X88" s="58"/>
    </row>
    <row r="89">
      <c r="A89" s="159">
        <v>182.0</v>
      </c>
      <c r="B89" s="159"/>
      <c r="C89" s="166" t="s">
        <v>2436</v>
      </c>
      <c r="D89" s="62" t="s">
        <v>2437</v>
      </c>
      <c r="E89" s="58" t="s">
        <v>2438</v>
      </c>
      <c r="F89" s="58" t="s">
        <v>2462</v>
      </c>
      <c r="G89" s="58"/>
      <c r="H89" s="58"/>
      <c r="I89" s="104">
        <v>853.15</v>
      </c>
      <c r="J89" s="161">
        <f t="shared" si="16"/>
        <v>87.25</v>
      </c>
      <c r="K89" s="162">
        <v>44123.0</v>
      </c>
      <c r="L89" s="62" t="b">
        <v>1</v>
      </c>
      <c r="M89" s="37"/>
      <c r="N89" s="62" t="s">
        <v>2254</v>
      </c>
      <c r="O89" s="164" t="s">
        <v>150</v>
      </c>
      <c r="P89" s="164" t="s">
        <v>150</v>
      </c>
      <c r="Q89" s="164">
        <v>87.25</v>
      </c>
      <c r="R89" s="164" t="s">
        <v>150</v>
      </c>
      <c r="S89" s="164" t="s">
        <v>150</v>
      </c>
      <c r="T89" s="58" t="s">
        <v>2255</v>
      </c>
      <c r="U89" s="58" t="s">
        <v>92</v>
      </c>
      <c r="V89" s="150" t="s">
        <v>92</v>
      </c>
      <c r="W89" s="58" t="b">
        <v>1</v>
      </c>
      <c r="X89" s="58"/>
    </row>
    <row r="90">
      <c r="A90" s="159">
        <v>103.0</v>
      </c>
      <c r="B90" s="159"/>
      <c r="C90" s="58" t="s">
        <v>2436</v>
      </c>
      <c r="D90" s="58" t="s">
        <v>2437</v>
      </c>
      <c r="E90" s="58" t="s">
        <v>2438</v>
      </c>
      <c r="F90" s="58" t="s">
        <v>2463</v>
      </c>
      <c r="G90" s="58"/>
      <c r="H90" s="58"/>
      <c r="I90" s="104">
        <v>643.78</v>
      </c>
      <c r="J90" s="161">
        <f t="shared" si="16"/>
        <v>406.43</v>
      </c>
      <c r="K90" s="162">
        <v>44025.0</v>
      </c>
      <c r="L90" s="167" t="b">
        <v>1</v>
      </c>
      <c r="M90" s="88"/>
      <c r="N90" s="62" t="s">
        <v>2254</v>
      </c>
      <c r="O90" s="164" t="s">
        <v>150</v>
      </c>
      <c r="P90" s="164" t="s">
        <v>150</v>
      </c>
      <c r="Q90" s="164">
        <v>406.43</v>
      </c>
      <c r="R90" s="164" t="s">
        <v>150</v>
      </c>
      <c r="S90" s="164" t="s">
        <v>150</v>
      </c>
      <c r="T90" s="58" t="s">
        <v>2255</v>
      </c>
      <c r="U90" s="58" t="s">
        <v>2464</v>
      </c>
      <c r="V90" s="150" t="s">
        <v>2464</v>
      </c>
      <c r="W90" s="58" t="e">
        <v>#N/A</v>
      </c>
      <c r="X90" s="58"/>
    </row>
    <row r="91">
      <c r="A91" s="159">
        <v>108.0</v>
      </c>
      <c r="B91" s="159"/>
      <c r="C91" s="58" t="s">
        <v>2436</v>
      </c>
      <c r="D91" s="58" t="s">
        <v>2437</v>
      </c>
      <c r="E91" s="58" t="s">
        <v>2438</v>
      </c>
      <c r="F91" s="58" t="s">
        <v>2465</v>
      </c>
      <c r="G91" s="58"/>
      <c r="H91" s="58"/>
      <c r="I91" s="104">
        <v>487.98</v>
      </c>
      <c r="J91" s="161">
        <f t="shared" si="16"/>
        <v>379.69</v>
      </c>
      <c r="K91" s="162">
        <v>44033.0</v>
      </c>
      <c r="L91" s="163" t="b">
        <v>1</v>
      </c>
      <c r="M91" s="88"/>
      <c r="N91" s="62" t="s">
        <v>2254</v>
      </c>
      <c r="O91" s="164" t="s">
        <v>150</v>
      </c>
      <c r="P91" s="164" t="s">
        <v>150</v>
      </c>
      <c r="Q91" s="164">
        <v>379.69</v>
      </c>
      <c r="R91" s="164" t="s">
        <v>150</v>
      </c>
      <c r="S91" s="164" t="s">
        <v>150</v>
      </c>
      <c r="T91" s="58" t="s">
        <v>2255</v>
      </c>
      <c r="U91" s="58" t="s">
        <v>2466</v>
      </c>
      <c r="V91" s="150" t="s">
        <v>2466</v>
      </c>
      <c r="W91" s="58" t="e">
        <v>#N/A</v>
      </c>
      <c r="X91" s="58"/>
    </row>
    <row r="92">
      <c r="A92" s="159">
        <v>115.0</v>
      </c>
      <c r="B92" s="159"/>
      <c r="C92" s="58" t="s">
        <v>2436</v>
      </c>
      <c r="D92" s="58" t="s">
        <v>2437</v>
      </c>
      <c r="E92" s="58" t="s">
        <v>2438</v>
      </c>
      <c r="F92" s="58" t="s">
        <v>2467</v>
      </c>
      <c r="G92" s="58"/>
      <c r="H92" s="58"/>
      <c r="I92" s="104">
        <v>454.58</v>
      </c>
      <c r="J92" s="161">
        <f t="shared" si="16"/>
        <v>358.08</v>
      </c>
      <c r="K92" s="162">
        <v>44044.0</v>
      </c>
      <c r="L92" s="167" t="b">
        <v>1</v>
      </c>
      <c r="M92" s="37"/>
      <c r="N92" s="62" t="s">
        <v>2254</v>
      </c>
      <c r="O92" s="164">
        <v>179.04</v>
      </c>
      <c r="P92" s="164" t="s">
        <v>150</v>
      </c>
      <c r="Q92" s="164">
        <v>179.04</v>
      </c>
      <c r="R92" s="164" t="s">
        <v>150</v>
      </c>
      <c r="S92" s="164" t="s">
        <v>150</v>
      </c>
      <c r="T92" s="58" t="s">
        <v>2255</v>
      </c>
      <c r="U92" s="62" t="s">
        <v>2468</v>
      </c>
      <c r="V92" s="165" t="s">
        <v>2468</v>
      </c>
      <c r="W92" s="58" t="e">
        <v>#N/A</v>
      </c>
      <c r="X92" s="58"/>
    </row>
    <row r="93">
      <c r="A93" s="159">
        <v>141.0</v>
      </c>
      <c r="B93" s="159"/>
      <c r="C93" s="58" t="s">
        <v>2436</v>
      </c>
      <c r="D93" s="58" t="s">
        <v>2437</v>
      </c>
      <c r="E93" s="58" t="s">
        <v>2438</v>
      </c>
      <c r="F93" s="58" t="s">
        <v>2469</v>
      </c>
      <c r="G93" s="58"/>
      <c r="H93" s="58"/>
      <c r="I93" s="104">
        <v>221.54</v>
      </c>
      <c r="J93" s="161">
        <f t="shared" si="16"/>
        <v>96.3</v>
      </c>
      <c r="K93" s="162">
        <v>44076.0</v>
      </c>
      <c r="L93" s="167" t="b">
        <v>1</v>
      </c>
      <c r="M93" s="37"/>
      <c r="N93" s="62" t="s">
        <v>2254</v>
      </c>
      <c r="O93" s="164">
        <v>48.15</v>
      </c>
      <c r="P93" s="164" t="s">
        <v>150</v>
      </c>
      <c r="Q93" s="164">
        <v>48.15</v>
      </c>
      <c r="R93" s="164" t="s">
        <v>150</v>
      </c>
      <c r="S93" s="164" t="s">
        <v>150</v>
      </c>
      <c r="T93" s="58" t="s">
        <v>2255</v>
      </c>
      <c r="U93" s="62" t="s">
        <v>2470</v>
      </c>
      <c r="V93" s="165" t="s">
        <v>2471</v>
      </c>
      <c r="W93" s="58" t="e">
        <v>#N/A</v>
      </c>
      <c r="X93" s="58"/>
    </row>
    <row r="94" hidden="1">
      <c r="A94" s="159">
        <v>88.0</v>
      </c>
      <c r="B94" s="159"/>
      <c r="C94" s="58" t="s">
        <v>2364</v>
      </c>
      <c r="D94" s="58" t="s">
        <v>2365</v>
      </c>
      <c r="E94" s="58" t="s">
        <v>2410</v>
      </c>
      <c r="F94" s="58" t="s">
        <v>2472</v>
      </c>
      <c r="G94" s="160"/>
      <c r="H94" s="160"/>
      <c r="I94" s="104">
        <v>750.0</v>
      </c>
      <c r="J94" s="161" t="str">
        <f t="shared" ref="J94:J97" si="17">IF(L94=TRUE,I94,"")</f>
        <v/>
      </c>
      <c r="K94" s="162">
        <v>43992.0</v>
      </c>
      <c r="L94" s="167" t="b">
        <v>0</v>
      </c>
      <c r="M94" s="88"/>
      <c r="N94" s="62" t="s">
        <v>2254</v>
      </c>
      <c r="O94" s="164" t="s">
        <v>150</v>
      </c>
      <c r="P94" s="164" t="s">
        <v>150</v>
      </c>
      <c r="Q94" s="164">
        <v>750.0</v>
      </c>
      <c r="R94" s="164" t="s">
        <v>150</v>
      </c>
      <c r="S94" s="164" t="s">
        <v>150</v>
      </c>
      <c r="T94" s="58" t="s">
        <v>2255</v>
      </c>
      <c r="U94" s="58" t="s">
        <v>2412</v>
      </c>
      <c r="V94" s="150" t="s">
        <v>2412</v>
      </c>
      <c r="W94" s="58" t="e">
        <v>#N/A</v>
      </c>
      <c r="X94" s="58"/>
    </row>
    <row r="95" hidden="1">
      <c r="A95" s="159">
        <v>89.0</v>
      </c>
      <c r="B95" s="159"/>
      <c r="C95" s="58" t="s">
        <v>2473</v>
      </c>
      <c r="D95" s="58" t="s">
        <v>2251</v>
      </c>
      <c r="E95" s="58" t="s">
        <v>2474</v>
      </c>
      <c r="F95" s="58" t="s">
        <v>2475</v>
      </c>
      <c r="G95" s="160"/>
      <c r="H95" s="160"/>
      <c r="I95" s="104">
        <v>9406.25</v>
      </c>
      <c r="J95" s="161" t="str">
        <f t="shared" si="17"/>
        <v/>
      </c>
      <c r="K95" s="162">
        <v>43993.0</v>
      </c>
      <c r="L95" s="167" t="b">
        <v>0</v>
      </c>
      <c r="M95" s="88"/>
      <c r="N95" s="62" t="s">
        <v>2254</v>
      </c>
      <c r="O95" s="164">
        <v>4703.13</v>
      </c>
      <c r="P95" s="164" t="s">
        <v>150</v>
      </c>
      <c r="Q95" s="164">
        <v>4703.13</v>
      </c>
      <c r="R95" s="164" t="s">
        <v>150</v>
      </c>
      <c r="S95" s="164" t="s">
        <v>150</v>
      </c>
      <c r="T95" s="58" t="s">
        <v>2255</v>
      </c>
      <c r="U95" s="58" t="s">
        <v>2368</v>
      </c>
      <c r="V95" s="150" t="s">
        <v>2368</v>
      </c>
      <c r="W95" s="58" t="e">
        <v>#N/A</v>
      </c>
      <c r="X95" s="58"/>
    </row>
    <row r="96" hidden="1">
      <c r="A96" s="159">
        <v>90.0</v>
      </c>
      <c r="B96" s="159"/>
      <c r="C96" s="58" t="s">
        <v>2271</v>
      </c>
      <c r="D96" s="58" t="s">
        <v>2272</v>
      </c>
      <c r="E96" s="58" t="s">
        <v>2273</v>
      </c>
      <c r="F96" s="58" t="s">
        <v>2476</v>
      </c>
      <c r="G96" s="160"/>
      <c r="H96" s="160"/>
      <c r="I96" s="104">
        <v>780.0</v>
      </c>
      <c r="J96" s="161" t="str">
        <f t="shared" si="17"/>
        <v/>
      </c>
      <c r="K96" s="162">
        <v>43994.0</v>
      </c>
      <c r="L96" s="167" t="b">
        <v>0</v>
      </c>
      <c r="M96" s="88"/>
      <c r="N96" s="62" t="s">
        <v>2254</v>
      </c>
      <c r="O96" s="164">
        <v>97.5</v>
      </c>
      <c r="P96" s="164" t="s">
        <v>150</v>
      </c>
      <c r="Q96" s="164" t="s">
        <v>150</v>
      </c>
      <c r="R96" s="164" t="s">
        <v>150</v>
      </c>
      <c r="S96" s="164" t="s">
        <v>150</v>
      </c>
      <c r="T96" s="58" t="s">
        <v>2255</v>
      </c>
      <c r="U96" s="62" t="s">
        <v>2275</v>
      </c>
      <c r="V96" s="165" t="s">
        <v>2276</v>
      </c>
      <c r="W96" s="58" t="e">
        <v>#N/A</v>
      </c>
      <c r="X96" s="58"/>
    </row>
    <row r="97" hidden="1">
      <c r="A97" s="159">
        <v>91.0</v>
      </c>
      <c r="B97" s="159"/>
      <c r="C97" s="58" t="s">
        <v>2320</v>
      </c>
      <c r="D97" s="58" t="s">
        <v>2321</v>
      </c>
      <c r="E97" s="58" t="s">
        <v>2477</v>
      </c>
      <c r="F97" s="58" t="s">
        <v>2478</v>
      </c>
      <c r="G97" s="160"/>
      <c r="H97" s="160"/>
      <c r="I97" s="104">
        <v>10669.5</v>
      </c>
      <c r="J97" s="161" t="str">
        <f t="shared" si="17"/>
        <v/>
      </c>
      <c r="K97" s="162">
        <v>43997.0</v>
      </c>
      <c r="L97" s="167" t="b">
        <v>0</v>
      </c>
      <c r="M97" s="88"/>
      <c r="N97" s="62" t="s">
        <v>2254</v>
      </c>
      <c r="O97" s="164">
        <v>5000.0</v>
      </c>
      <c r="P97" s="164" t="s">
        <v>150</v>
      </c>
      <c r="Q97" s="164" t="s">
        <v>150</v>
      </c>
      <c r="R97" s="164" t="s">
        <v>150</v>
      </c>
      <c r="S97" s="164" t="s">
        <v>150</v>
      </c>
      <c r="T97" s="58" t="s">
        <v>2255</v>
      </c>
      <c r="U97" s="62" t="s">
        <v>2408</v>
      </c>
      <c r="V97" s="165" t="s">
        <v>2409</v>
      </c>
      <c r="W97" s="58" t="e">
        <v>#N/A</v>
      </c>
      <c r="X97" s="58"/>
    </row>
    <row r="98">
      <c r="A98" s="159">
        <v>156.0</v>
      </c>
      <c r="B98" s="159"/>
      <c r="C98" s="58" t="s">
        <v>2436</v>
      </c>
      <c r="D98" s="58" t="s">
        <v>2437</v>
      </c>
      <c r="E98" s="58" t="s">
        <v>2438</v>
      </c>
      <c r="F98" s="58" t="s">
        <v>2479</v>
      </c>
      <c r="G98" s="58"/>
      <c r="H98" s="58"/>
      <c r="I98" s="104">
        <v>881.42</v>
      </c>
      <c r="J98" s="161">
        <f t="shared" ref="J98:J103" si="18">IF(L98=TRUE,SUM(O98:S98),"")</f>
        <v>355.87</v>
      </c>
      <c r="K98" s="162">
        <v>44109.0</v>
      </c>
      <c r="L98" s="167" t="b">
        <v>1</v>
      </c>
      <c r="M98" s="37"/>
      <c r="N98" s="62" t="s">
        <v>2254</v>
      </c>
      <c r="O98" s="164">
        <v>355.87</v>
      </c>
      <c r="P98" s="164" t="s">
        <v>150</v>
      </c>
      <c r="Q98" s="164" t="s">
        <v>150</v>
      </c>
      <c r="R98" s="164" t="s">
        <v>150</v>
      </c>
      <c r="S98" s="164" t="s">
        <v>150</v>
      </c>
      <c r="T98" s="58" t="s">
        <v>2255</v>
      </c>
      <c r="U98" s="62" t="s">
        <v>2480</v>
      </c>
      <c r="V98" s="165" t="s">
        <v>2480</v>
      </c>
      <c r="W98" s="58" t="e">
        <v>#N/A</v>
      </c>
      <c r="X98" s="58"/>
    </row>
    <row r="99">
      <c r="A99" s="159">
        <v>55.0</v>
      </c>
      <c r="B99" s="159"/>
      <c r="C99" s="166" t="s">
        <v>2481</v>
      </c>
      <c r="D99" s="62" t="s">
        <v>2353</v>
      </c>
      <c r="E99" s="58" t="s">
        <v>2482</v>
      </c>
      <c r="F99" s="58" t="s">
        <v>2253</v>
      </c>
      <c r="G99" s="58"/>
      <c r="H99" s="58"/>
      <c r="I99" s="104">
        <v>153.56</v>
      </c>
      <c r="J99" s="161">
        <f t="shared" si="18"/>
        <v>153.56</v>
      </c>
      <c r="K99" s="162">
        <v>43893.0</v>
      </c>
      <c r="L99" s="167" t="b">
        <v>1</v>
      </c>
      <c r="M99" s="88"/>
      <c r="N99" s="62" t="s">
        <v>2254</v>
      </c>
      <c r="O99" s="164">
        <v>153.56</v>
      </c>
      <c r="P99" s="164" t="s">
        <v>150</v>
      </c>
      <c r="Q99" s="164" t="s">
        <v>150</v>
      </c>
      <c r="R99" s="164" t="s">
        <v>150</v>
      </c>
      <c r="S99" s="164" t="s">
        <v>150</v>
      </c>
      <c r="T99" s="58" t="s">
        <v>2255</v>
      </c>
      <c r="U99" s="62" t="s">
        <v>104</v>
      </c>
      <c r="V99" s="62"/>
      <c r="W99" s="58" t="b">
        <v>1</v>
      </c>
      <c r="X99" s="58"/>
    </row>
    <row r="100">
      <c r="A100" s="159">
        <v>19.0</v>
      </c>
      <c r="B100" s="159"/>
      <c r="C100" s="166" t="s">
        <v>2481</v>
      </c>
      <c r="D100" s="62" t="s">
        <v>2353</v>
      </c>
      <c r="E100" s="58" t="s">
        <v>2483</v>
      </c>
      <c r="F100" s="58" t="s">
        <v>2289</v>
      </c>
      <c r="G100" s="58"/>
      <c r="H100" s="58"/>
      <c r="I100" s="104">
        <v>397.7</v>
      </c>
      <c r="J100" s="161">
        <f t="shared" si="18"/>
        <v>397.7</v>
      </c>
      <c r="K100" s="162">
        <v>43859.0</v>
      </c>
      <c r="L100" s="167" t="b">
        <v>1</v>
      </c>
      <c r="M100" s="88"/>
      <c r="N100" s="62" t="s">
        <v>2254</v>
      </c>
      <c r="O100" s="164">
        <v>397.7</v>
      </c>
      <c r="P100" s="164" t="s">
        <v>150</v>
      </c>
      <c r="Q100" s="164" t="s">
        <v>150</v>
      </c>
      <c r="R100" s="164" t="s">
        <v>150</v>
      </c>
      <c r="S100" s="164" t="s">
        <v>150</v>
      </c>
      <c r="T100" s="58" t="s">
        <v>2255</v>
      </c>
      <c r="U100" s="62" t="s">
        <v>104</v>
      </c>
      <c r="V100" s="62"/>
      <c r="W100" s="58" t="b">
        <v>1</v>
      </c>
      <c r="X100" s="58"/>
    </row>
    <row r="101">
      <c r="A101" s="159">
        <v>37.0</v>
      </c>
      <c r="B101" s="159"/>
      <c r="C101" s="136" t="s">
        <v>2440</v>
      </c>
      <c r="D101" s="62" t="s">
        <v>2441</v>
      </c>
      <c r="E101" s="58" t="s">
        <v>2484</v>
      </c>
      <c r="F101" s="58" t="s">
        <v>2485</v>
      </c>
      <c r="G101" s="58"/>
      <c r="H101" s="58"/>
      <c r="I101" s="104">
        <v>825.0</v>
      </c>
      <c r="J101" s="161">
        <f t="shared" si="18"/>
        <v>825</v>
      </c>
      <c r="K101" s="162">
        <v>43893.0</v>
      </c>
      <c r="L101" s="163" t="b">
        <v>1</v>
      </c>
      <c r="M101" s="88"/>
      <c r="N101" s="62" t="s">
        <v>2254</v>
      </c>
      <c r="O101" s="164">
        <v>825.0</v>
      </c>
      <c r="P101" s="164" t="s">
        <v>150</v>
      </c>
      <c r="Q101" s="164" t="s">
        <v>150</v>
      </c>
      <c r="R101" s="164" t="s">
        <v>150</v>
      </c>
      <c r="S101" s="164" t="s">
        <v>150</v>
      </c>
      <c r="T101" s="58" t="s">
        <v>2255</v>
      </c>
      <c r="U101" s="62" t="s">
        <v>108</v>
      </c>
      <c r="V101" s="62"/>
      <c r="W101" s="58" t="b">
        <v>1</v>
      </c>
      <c r="X101" s="58"/>
    </row>
    <row r="102">
      <c r="A102" s="159">
        <v>188.0</v>
      </c>
      <c r="B102" s="159"/>
      <c r="C102" s="136" t="s">
        <v>2440</v>
      </c>
      <c r="D102" s="62" t="s">
        <v>2441</v>
      </c>
      <c r="E102" s="58" t="s">
        <v>218</v>
      </c>
      <c r="F102" s="58" t="s">
        <v>2486</v>
      </c>
      <c r="G102" s="58"/>
      <c r="H102" s="58"/>
      <c r="I102" s="104">
        <v>939.0</v>
      </c>
      <c r="J102" s="161">
        <f t="shared" si="18"/>
        <v>89</v>
      </c>
      <c r="K102" s="162">
        <v>44141.0</v>
      </c>
      <c r="L102" s="62" t="b">
        <v>1</v>
      </c>
      <c r="M102" s="62"/>
      <c r="N102" s="62" t="s">
        <v>2254</v>
      </c>
      <c r="O102" s="164">
        <v>89.0</v>
      </c>
      <c r="P102" s="164" t="s">
        <v>150</v>
      </c>
      <c r="Q102" s="164" t="s">
        <v>150</v>
      </c>
      <c r="R102" s="164" t="s">
        <v>150</v>
      </c>
      <c r="S102" s="164" t="s">
        <v>150</v>
      </c>
      <c r="T102" s="58" t="s">
        <v>2255</v>
      </c>
      <c r="U102" s="62" t="s">
        <v>138</v>
      </c>
      <c r="V102" s="62"/>
      <c r="W102" s="58" t="b">
        <v>1</v>
      </c>
      <c r="X102" s="58"/>
    </row>
    <row r="103">
      <c r="A103" s="159">
        <v>7.0</v>
      </c>
      <c r="B103" s="159"/>
      <c r="C103" s="58" t="s">
        <v>2487</v>
      </c>
      <c r="D103" s="58" t="s">
        <v>2488</v>
      </c>
      <c r="E103" s="58" t="s">
        <v>2489</v>
      </c>
      <c r="F103" s="58" t="s">
        <v>2490</v>
      </c>
      <c r="G103" s="58"/>
      <c r="H103" s="58"/>
      <c r="I103" s="104">
        <v>10256.32</v>
      </c>
      <c r="J103" s="161">
        <f t="shared" si="18"/>
        <v>10256.32</v>
      </c>
      <c r="K103" s="162">
        <v>43845.0</v>
      </c>
      <c r="L103" s="167" t="b">
        <v>1</v>
      </c>
      <c r="M103" s="88"/>
      <c r="N103" s="62" t="s">
        <v>2254</v>
      </c>
      <c r="O103" s="164">
        <v>10256.32</v>
      </c>
      <c r="P103" s="164" t="s">
        <v>150</v>
      </c>
      <c r="Q103" s="164" t="s">
        <v>150</v>
      </c>
      <c r="R103" s="164" t="s">
        <v>150</v>
      </c>
      <c r="S103" s="164" t="s">
        <v>150</v>
      </c>
      <c r="T103" s="58" t="s">
        <v>2255</v>
      </c>
      <c r="U103" s="58" t="s">
        <v>2491</v>
      </c>
      <c r="V103" s="150" t="s">
        <v>2491</v>
      </c>
      <c r="W103" s="58" t="e">
        <v>#N/A</v>
      </c>
      <c r="X103" s="58"/>
    </row>
    <row r="104" hidden="1">
      <c r="A104" s="159">
        <v>98.0</v>
      </c>
      <c r="B104" s="159"/>
      <c r="C104" s="58" t="s">
        <v>2382</v>
      </c>
      <c r="D104" s="58" t="s">
        <v>2282</v>
      </c>
      <c r="E104" s="58" t="s">
        <v>2283</v>
      </c>
      <c r="F104" s="58" t="s">
        <v>2492</v>
      </c>
      <c r="G104" s="160"/>
      <c r="H104" s="160"/>
      <c r="I104" s="104">
        <v>8750.0</v>
      </c>
      <c r="J104" s="161" t="str">
        <f t="shared" ref="J104:J106" si="19">IF(L104=TRUE,I104,"")</f>
        <v/>
      </c>
      <c r="K104" s="162">
        <v>44013.0</v>
      </c>
      <c r="L104" s="163" t="b">
        <v>0</v>
      </c>
      <c r="M104" s="88"/>
      <c r="N104" s="62" t="s">
        <v>2254</v>
      </c>
      <c r="O104" s="164">
        <v>1333.33</v>
      </c>
      <c r="P104" s="164" t="s">
        <v>150</v>
      </c>
      <c r="Q104" s="164">
        <v>666.67</v>
      </c>
      <c r="R104" s="164" t="s">
        <v>150</v>
      </c>
      <c r="S104" s="164" t="s">
        <v>150</v>
      </c>
      <c r="T104" s="58" t="s">
        <v>2255</v>
      </c>
      <c r="U104" s="62" t="s">
        <v>2493</v>
      </c>
      <c r="V104" s="165" t="s">
        <v>2493</v>
      </c>
      <c r="W104" s="58" t="e">
        <v>#N/A</v>
      </c>
      <c r="X104" s="58"/>
    </row>
    <row r="105" hidden="1">
      <c r="A105" s="159">
        <v>99.0</v>
      </c>
      <c r="B105" s="159"/>
      <c r="C105" s="58" t="s">
        <v>2494</v>
      </c>
      <c r="D105" s="58" t="s">
        <v>2495</v>
      </c>
      <c r="E105" s="58" t="s">
        <v>2496</v>
      </c>
      <c r="F105" s="58" t="s">
        <v>2497</v>
      </c>
      <c r="G105" s="160"/>
      <c r="H105" s="160"/>
      <c r="I105" s="104">
        <v>299.5</v>
      </c>
      <c r="J105" s="161" t="str">
        <f t="shared" si="19"/>
        <v/>
      </c>
      <c r="K105" s="162">
        <v>44013.0</v>
      </c>
      <c r="L105" s="163" t="b">
        <v>0</v>
      </c>
      <c r="M105" s="88"/>
      <c r="N105" s="62" t="s">
        <v>2254</v>
      </c>
      <c r="O105" s="164">
        <v>75.0</v>
      </c>
      <c r="P105" s="164" t="s">
        <v>150</v>
      </c>
      <c r="Q105" s="164">
        <v>25.0</v>
      </c>
      <c r="R105" s="164" t="s">
        <v>150</v>
      </c>
      <c r="S105" s="164" t="s">
        <v>150</v>
      </c>
      <c r="T105" s="58" t="s">
        <v>2255</v>
      </c>
      <c r="U105" s="62" t="s">
        <v>2498</v>
      </c>
      <c r="V105" s="165" t="s">
        <v>2499</v>
      </c>
      <c r="W105" s="58" t="e">
        <v>#N/A</v>
      </c>
      <c r="X105" s="58"/>
    </row>
    <row r="106" hidden="1">
      <c r="A106" s="159">
        <v>100.0</v>
      </c>
      <c r="B106" s="159"/>
      <c r="C106" s="58" t="s">
        <v>2500</v>
      </c>
      <c r="D106" s="58" t="s">
        <v>2501</v>
      </c>
      <c r="E106" s="58" t="s">
        <v>2502</v>
      </c>
      <c r="F106" s="58" t="s">
        <v>2503</v>
      </c>
      <c r="G106" s="160"/>
      <c r="H106" s="160"/>
      <c r="I106" s="104">
        <v>1662.6</v>
      </c>
      <c r="J106" s="161" t="str">
        <f t="shared" si="19"/>
        <v/>
      </c>
      <c r="K106" s="162">
        <v>44013.0</v>
      </c>
      <c r="L106" s="163" t="b">
        <v>0</v>
      </c>
      <c r="M106" s="88"/>
      <c r="N106" s="62" t="s">
        <v>2254</v>
      </c>
      <c r="O106" s="164">
        <v>1662.6</v>
      </c>
      <c r="P106" s="164" t="s">
        <v>150</v>
      </c>
      <c r="Q106" s="164" t="s">
        <v>150</v>
      </c>
      <c r="R106" s="164" t="s">
        <v>150</v>
      </c>
      <c r="S106" s="164" t="s">
        <v>150</v>
      </c>
      <c r="T106" s="58" t="s">
        <v>2255</v>
      </c>
      <c r="U106" s="62" t="s">
        <v>104</v>
      </c>
      <c r="V106" s="62"/>
      <c r="W106" s="58" t="b">
        <v>1</v>
      </c>
      <c r="X106" s="58"/>
    </row>
    <row r="107">
      <c r="A107" s="159">
        <v>29.0</v>
      </c>
      <c r="B107" s="159"/>
      <c r="C107" s="58" t="s">
        <v>2487</v>
      </c>
      <c r="D107" s="58" t="s">
        <v>2488</v>
      </c>
      <c r="E107" s="58" t="s">
        <v>2504</v>
      </c>
      <c r="F107" s="58" t="s">
        <v>2505</v>
      </c>
      <c r="G107" s="58"/>
      <c r="H107" s="58"/>
      <c r="I107" s="104">
        <v>5692.6</v>
      </c>
      <c r="J107" s="161">
        <f t="shared" ref="J107:J109" si="20">IF(L107=TRUE,SUM(O107:S107),"")</f>
        <v>5692.6</v>
      </c>
      <c r="K107" s="162">
        <v>43880.0</v>
      </c>
      <c r="L107" s="167" t="b">
        <v>1</v>
      </c>
      <c r="M107" s="88"/>
      <c r="N107" s="62" t="s">
        <v>2254</v>
      </c>
      <c r="O107" s="164">
        <v>5692.6</v>
      </c>
      <c r="P107" s="164" t="s">
        <v>150</v>
      </c>
      <c r="Q107" s="164" t="s">
        <v>150</v>
      </c>
      <c r="R107" s="164" t="s">
        <v>150</v>
      </c>
      <c r="S107" s="164" t="s">
        <v>150</v>
      </c>
      <c r="T107" s="58" t="s">
        <v>2255</v>
      </c>
      <c r="U107" s="58" t="s">
        <v>2506</v>
      </c>
      <c r="V107" s="150" t="s">
        <v>2506</v>
      </c>
      <c r="W107" s="58" t="e">
        <v>#N/A</v>
      </c>
      <c r="X107" s="58"/>
    </row>
    <row r="108">
      <c r="A108" s="159">
        <v>52.0</v>
      </c>
      <c r="B108" s="159"/>
      <c r="C108" s="58" t="s">
        <v>2487</v>
      </c>
      <c r="D108" s="58" t="s">
        <v>2488</v>
      </c>
      <c r="E108" s="58" t="s">
        <v>2507</v>
      </c>
      <c r="F108" s="58" t="s">
        <v>2508</v>
      </c>
      <c r="G108" s="58"/>
      <c r="H108" s="58"/>
      <c r="I108" s="104">
        <v>3228.21</v>
      </c>
      <c r="J108" s="161">
        <f t="shared" si="20"/>
        <v>3228.21</v>
      </c>
      <c r="K108" s="162">
        <v>43913.0</v>
      </c>
      <c r="L108" s="167" t="b">
        <v>1</v>
      </c>
      <c r="M108" s="88"/>
      <c r="N108" s="62" t="s">
        <v>2254</v>
      </c>
      <c r="O108" s="164">
        <v>2287.2</v>
      </c>
      <c r="P108" s="164" t="s">
        <v>150</v>
      </c>
      <c r="Q108" s="164">
        <v>941.01</v>
      </c>
      <c r="R108" s="164" t="s">
        <v>150</v>
      </c>
      <c r="S108" s="164" t="s">
        <v>150</v>
      </c>
      <c r="T108" s="58" t="s">
        <v>2255</v>
      </c>
      <c r="U108" s="62" t="s">
        <v>2509</v>
      </c>
      <c r="V108" s="165" t="s">
        <v>2510</v>
      </c>
      <c r="W108" s="58" t="e">
        <v>#N/A</v>
      </c>
      <c r="X108" s="58"/>
    </row>
    <row r="109">
      <c r="A109" s="159">
        <v>64.0</v>
      </c>
      <c r="B109" s="159"/>
      <c r="C109" s="58" t="s">
        <v>2487</v>
      </c>
      <c r="D109" s="58" t="s">
        <v>2488</v>
      </c>
      <c r="E109" s="58" t="s">
        <v>2504</v>
      </c>
      <c r="F109" s="58" t="s">
        <v>2511</v>
      </c>
      <c r="G109" s="58"/>
      <c r="H109" s="58"/>
      <c r="I109" s="104">
        <v>2794.65</v>
      </c>
      <c r="J109" s="161">
        <f t="shared" si="20"/>
        <v>2794.65</v>
      </c>
      <c r="K109" s="162">
        <v>43923.0</v>
      </c>
      <c r="L109" s="167" t="b">
        <v>1</v>
      </c>
      <c r="M109" s="88"/>
      <c r="N109" s="62" t="s">
        <v>2254</v>
      </c>
      <c r="O109" s="164">
        <v>2104.9</v>
      </c>
      <c r="P109" s="164" t="s">
        <v>150</v>
      </c>
      <c r="Q109" s="164">
        <v>689.75</v>
      </c>
      <c r="R109" s="164" t="s">
        <v>150</v>
      </c>
      <c r="S109" s="164" t="s">
        <v>150</v>
      </c>
      <c r="T109" s="58" t="s">
        <v>2255</v>
      </c>
      <c r="U109" s="62" t="s">
        <v>2512</v>
      </c>
      <c r="V109" s="165" t="s">
        <v>2512</v>
      </c>
      <c r="W109" s="58" t="e">
        <v>#N/A</v>
      </c>
      <c r="X109" s="58"/>
    </row>
    <row r="110" hidden="1">
      <c r="A110" s="159">
        <v>104.0</v>
      </c>
      <c r="B110" s="159"/>
      <c r="C110" s="58" t="s">
        <v>2313</v>
      </c>
      <c r="D110" s="58" t="s">
        <v>2314</v>
      </c>
      <c r="E110" s="58" t="s">
        <v>2315</v>
      </c>
      <c r="F110" s="58" t="s">
        <v>2513</v>
      </c>
      <c r="G110" s="160"/>
      <c r="H110" s="160"/>
      <c r="I110" s="104">
        <v>122.27</v>
      </c>
      <c r="J110" s="161" t="str">
        <f>IF(L110=TRUE,I110,"")</f>
        <v/>
      </c>
      <c r="K110" s="162">
        <v>44029.0</v>
      </c>
      <c r="L110" s="163" t="b">
        <v>0</v>
      </c>
      <c r="M110" s="169" t="s">
        <v>2317</v>
      </c>
      <c r="N110" s="62" t="s">
        <v>9</v>
      </c>
      <c r="O110" s="164" t="s">
        <v>150</v>
      </c>
      <c r="P110" s="164" t="s">
        <v>150</v>
      </c>
      <c r="Q110" s="164">
        <v>122.27</v>
      </c>
      <c r="R110" s="164" t="s">
        <v>150</v>
      </c>
      <c r="S110" s="164" t="s">
        <v>150</v>
      </c>
      <c r="T110" s="58" t="s">
        <v>2264</v>
      </c>
      <c r="U110" s="58" t="s">
        <v>2270</v>
      </c>
      <c r="V110" s="150" t="s">
        <v>2270</v>
      </c>
      <c r="W110" s="58" t="e">
        <v>#N/A</v>
      </c>
      <c r="X110" s="58"/>
    </row>
    <row r="111">
      <c r="A111" s="159">
        <v>68.0</v>
      </c>
      <c r="B111" s="159"/>
      <c r="C111" s="58" t="s">
        <v>2487</v>
      </c>
      <c r="D111" s="58" t="s">
        <v>2488</v>
      </c>
      <c r="E111" s="58" t="s">
        <v>2514</v>
      </c>
      <c r="F111" s="58" t="s">
        <v>2515</v>
      </c>
      <c r="G111" s="58"/>
      <c r="H111" s="58"/>
      <c r="I111" s="104">
        <v>9094.48</v>
      </c>
      <c r="J111" s="161">
        <f t="shared" ref="J111:J114" si="21">IF(L111=TRUE,SUM(O111:S111),"")</f>
        <v>9094.48</v>
      </c>
      <c r="K111" s="162">
        <v>43945.0</v>
      </c>
      <c r="L111" s="167" t="b">
        <v>1</v>
      </c>
      <c r="M111" s="88"/>
      <c r="N111" s="62" t="s">
        <v>2254</v>
      </c>
      <c r="O111" s="164">
        <v>4547.24</v>
      </c>
      <c r="P111" s="164" t="s">
        <v>150</v>
      </c>
      <c r="Q111" s="164" t="s">
        <v>150</v>
      </c>
      <c r="R111" s="164">
        <v>4547.24</v>
      </c>
      <c r="S111" s="164" t="s">
        <v>150</v>
      </c>
      <c r="T111" s="58" t="s">
        <v>2255</v>
      </c>
      <c r="U111" s="58" t="s">
        <v>118</v>
      </c>
      <c r="V111" s="150" t="s">
        <v>118</v>
      </c>
      <c r="W111" s="58" t="e">
        <v>#N/A</v>
      </c>
      <c r="X111" s="58"/>
    </row>
    <row r="112">
      <c r="A112" s="159">
        <v>69.0</v>
      </c>
      <c r="B112" s="159"/>
      <c r="C112" s="58" t="s">
        <v>2487</v>
      </c>
      <c r="D112" s="58" t="s">
        <v>2488</v>
      </c>
      <c r="E112" s="58" t="s">
        <v>2516</v>
      </c>
      <c r="F112" s="58" t="s">
        <v>2517</v>
      </c>
      <c r="G112" s="58"/>
      <c r="H112" s="58"/>
      <c r="I112" s="104">
        <v>1945.25</v>
      </c>
      <c r="J112" s="161">
        <f t="shared" si="21"/>
        <v>1610.8</v>
      </c>
      <c r="K112" s="162">
        <v>43930.0</v>
      </c>
      <c r="L112" s="163" t="b">
        <v>1</v>
      </c>
      <c r="M112" s="88"/>
      <c r="N112" s="62" t="s">
        <v>2254</v>
      </c>
      <c r="O112" s="164" t="s">
        <v>150</v>
      </c>
      <c r="P112" s="164" t="s">
        <v>150</v>
      </c>
      <c r="Q112" s="164">
        <v>1610.8</v>
      </c>
      <c r="R112" s="164" t="s">
        <v>150</v>
      </c>
      <c r="S112" s="164" t="s">
        <v>150</v>
      </c>
      <c r="T112" s="58" t="s">
        <v>2255</v>
      </c>
      <c r="U112" s="58" t="s">
        <v>2461</v>
      </c>
      <c r="V112" s="150" t="s">
        <v>2461</v>
      </c>
      <c r="W112" s="58" t="e">
        <v>#N/A</v>
      </c>
      <c r="X112" s="58"/>
    </row>
    <row r="113">
      <c r="A113" s="159">
        <v>75.0</v>
      </c>
      <c r="B113" s="159"/>
      <c r="C113" s="58" t="s">
        <v>2487</v>
      </c>
      <c r="D113" s="58" t="s">
        <v>2488</v>
      </c>
      <c r="E113" s="58" t="s">
        <v>2518</v>
      </c>
      <c r="F113" s="58" t="s">
        <v>2519</v>
      </c>
      <c r="G113" s="58"/>
      <c r="H113" s="58"/>
      <c r="I113" s="104">
        <v>3508.04</v>
      </c>
      <c r="J113" s="161">
        <f t="shared" si="21"/>
        <v>3078.03</v>
      </c>
      <c r="K113" s="162">
        <v>43963.0</v>
      </c>
      <c r="L113" s="167" t="b">
        <v>1</v>
      </c>
      <c r="M113" s="88"/>
      <c r="N113" s="62" t="s">
        <v>2254</v>
      </c>
      <c r="O113" s="164" t="s">
        <v>150</v>
      </c>
      <c r="P113" s="164" t="s">
        <v>150</v>
      </c>
      <c r="Q113" s="164">
        <v>3078.03</v>
      </c>
      <c r="R113" s="164" t="s">
        <v>150</v>
      </c>
      <c r="S113" s="164" t="s">
        <v>150</v>
      </c>
      <c r="T113" s="58" t="s">
        <v>2255</v>
      </c>
      <c r="U113" s="58" t="s">
        <v>2520</v>
      </c>
      <c r="V113" s="150" t="s">
        <v>2520</v>
      </c>
      <c r="W113" s="58" t="e">
        <v>#N/A</v>
      </c>
      <c r="X113" s="58"/>
    </row>
    <row r="114">
      <c r="A114" s="159">
        <v>76.0</v>
      </c>
      <c r="B114" s="159"/>
      <c r="C114" s="58" t="s">
        <v>2487</v>
      </c>
      <c r="D114" s="58" t="s">
        <v>2488</v>
      </c>
      <c r="E114" s="58" t="s">
        <v>2521</v>
      </c>
      <c r="F114" s="58" t="s">
        <v>2522</v>
      </c>
      <c r="G114" s="58"/>
      <c r="H114" s="58"/>
      <c r="I114" s="104">
        <v>4944.27</v>
      </c>
      <c r="J114" s="161">
        <f t="shared" si="21"/>
        <v>3759.24</v>
      </c>
      <c r="K114" s="162">
        <v>43956.0</v>
      </c>
      <c r="L114" s="167" t="b">
        <v>1</v>
      </c>
      <c r="M114" s="88"/>
      <c r="N114" s="62" t="s">
        <v>2254</v>
      </c>
      <c r="O114" s="164">
        <v>1879.62</v>
      </c>
      <c r="P114" s="164" t="s">
        <v>150</v>
      </c>
      <c r="Q114" s="164">
        <v>1879.62</v>
      </c>
      <c r="R114" s="164" t="s">
        <v>150</v>
      </c>
      <c r="S114" s="164" t="s">
        <v>150</v>
      </c>
      <c r="T114" s="58" t="s">
        <v>2255</v>
      </c>
      <c r="U114" s="62" t="s">
        <v>2523</v>
      </c>
      <c r="V114" s="165" t="s">
        <v>2523</v>
      </c>
      <c r="W114" s="58" t="e">
        <v>#N/A</v>
      </c>
      <c r="X114" s="58"/>
    </row>
    <row r="115" hidden="1">
      <c r="A115" s="159">
        <v>109.0</v>
      </c>
      <c r="B115" s="159"/>
      <c r="C115" s="58" t="s">
        <v>2313</v>
      </c>
      <c r="D115" s="58" t="s">
        <v>2314</v>
      </c>
      <c r="E115" s="58" t="s">
        <v>2315</v>
      </c>
      <c r="F115" s="58" t="s">
        <v>2524</v>
      </c>
      <c r="G115" s="160"/>
      <c r="H115" s="160"/>
      <c r="I115" s="104">
        <v>25.47</v>
      </c>
      <c r="J115" s="161" t="str">
        <f>IF(L115=TRUE,I115,"")</f>
        <v/>
      </c>
      <c r="K115" s="162">
        <v>44035.0</v>
      </c>
      <c r="L115" s="167" t="b">
        <v>0</v>
      </c>
      <c r="M115" s="88"/>
      <c r="N115" s="62" t="s">
        <v>9</v>
      </c>
      <c r="O115" s="164" t="s">
        <v>150</v>
      </c>
      <c r="P115" s="164" t="s">
        <v>150</v>
      </c>
      <c r="Q115" s="164">
        <v>25.47</v>
      </c>
      <c r="R115" s="164" t="s">
        <v>150</v>
      </c>
      <c r="S115" s="164" t="s">
        <v>150</v>
      </c>
      <c r="T115" s="58" t="s">
        <v>2264</v>
      </c>
      <c r="U115" s="58" t="s">
        <v>2525</v>
      </c>
      <c r="V115" s="150" t="s">
        <v>2525</v>
      </c>
      <c r="W115" s="58" t="e">
        <v>#N/A</v>
      </c>
      <c r="X115" s="58"/>
    </row>
    <row r="116">
      <c r="A116" s="159">
        <v>77.0</v>
      </c>
      <c r="B116" s="159"/>
      <c r="C116" s="58" t="s">
        <v>2487</v>
      </c>
      <c r="D116" s="58" t="s">
        <v>2488</v>
      </c>
      <c r="E116" s="58" t="s">
        <v>2521</v>
      </c>
      <c r="F116" s="58" t="s">
        <v>2526</v>
      </c>
      <c r="G116" s="58"/>
      <c r="H116" s="58"/>
      <c r="I116" s="104">
        <v>7775.55</v>
      </c>
      <c r="J116" s="161">
        <f t="shared" ref="J116:J117" si="22">IF(L116=TRUE,SUM(O116:S116),"")</f>
        <v>7775.55</v>
      </c>
      <c r="K116" s="162">
        <v>43958.0</v>
      </c>
      <c r="L116" s="167" t="b">
        <v>1</v>
      </c>
      <c r="M116" s="88"/>
      <c r="N116" s="62" t="s">
        <v>2254</v>
      </c>
      <c r="O116" s="164">
        <v>6179.7</v>
      </c>
      <c r="P116" s="164" t="s">
        <v>150</v>
      </c>
      <c r="Q116" s="164">
        <v>1595.85</v>
      </c>
      <c r="R116" s="164" t="s">
        <v>150</v>
      </c>
      <c r="S116" s="164" t="s">
        <v>150</v>
      </c>
      <c r="T116" s="58" t="s">
        <v>2255</v>
      </c>
      <c r="U116" s="58" t="s">
        <v>2527</v>
      </c>
      <c r="V116" s="150" t="s">
        <v>2527</v>
      </c>
      <c r="W116" s="58" t="e">
        <v>#N/A</v>
      </c>
      <c r="X116" s="58"/>
    </row>
    <row r="117">
      <c r="A117" s="159">
        <v>81.0</v>
      </c>
      <c r="B117" s="159"/>
      <c r="C117" s="58" t="s">
        <v>2487</v>
      </c>
      <c r="D117" s="58" t="s">
        <v>2488</v>
      </c>
      <c r="E117" s="58" t="s">
        <v>2521</v>
      </c>
      <c r="F117" s="58" t="s">
        <v>2528</v>
      </c>
      <c r="G117" s="58"/>
      <c r="H117" s="58"/>
      <c r="I117" s="104">
        <v>8879.65</v>
      </c>
      <c r="J117" s="161">
        <f t="shared" si="22"/>
        <v>8879.65</v>
      </c>
      <c r="K117" s="162">
        <v>43978.0</v>
      </c>
      <c r="L117" s="163" t="b">
        <v>1</v>
      </c>
      <c r="M117" s="88"/>
      <c r="N117" s="62" t="s">
        <v>2254</v>
      </c>
      <c r="O117" s="164" t="s">
        <v>150</v>
      </c>
      <c r="P117" s="164" t="s">
        <v>150</v>
      </c>
      <c r="Q117" s="164">
        <v>8879.65</v>
      </c>
      <c r="R117" s="164" t="s">
        <v>150</v>
      </c>
      <c r="S117" s="164" t="s">
        <v>150</v>
      </c>
      <c r="T117" s="58" t="s">
        <v>2255</v>
      </c>
      <c r="U117" s="58" t="s">
        <v>2529</v>
      </c>
      <c r="V117" s="150" t="s">
        <v>2529</v>
      </c>
      <c r="W117" s="58" t="e">
        <v>#N/A</v>
      </c>
      <c r="X117" s="58"/>
    </row>
    <row r="118" hidden="1">
      <c r="A118" s="159">
        <v>112.0</v>
      </c>
      <c r="B118" s="159"/>
      <c r="C118" s="58" t="s">
        <v>2530</v>
      </c>
      <c r="D118" s="58" t="s">
        <v>2531</v>
      </c>
      <c r="E118" s="58" t="s">
        <v>2532</v>
      </c>
      <c r="F118" s="58" t="s">
        <v>2253</v>
      </c>
      <c r="G118" s="160"/>
      <c r="H118" s="160"/>
      <c r="I118" s="104">
        <v>186.83</v>
      </c>
      <c r="J118" s="149" t="str">
        <f>IF(L118=TRUE,I118,"")</f>
        <v/>
      </c>
      <c r="K118" s="162">
        <v>44036.0</v>
      </c>
      <c r="L118" s="163" t="b">
        <v>0</v>
      </c>
      <c r="M118" s="37"/>
      <c r="N118" s="62" t="s">
        <v>2254</v>
      </c>
      <c r="O118" s="164">
        <v>186.83</v>
      </c>
      <c r="P118" s="164" t="s">
        <v>150</v>
      </c>
      <c r="Q118" s="164" t="s">
        <v>150</v>
      </c>
      <c r="R118" s="164" t="s">
        <v>150</v>
      </c>
      <c r="S118" s="164" t="s">
        <v>150</v>
      </c>
      <c r="T118" s="58" t="s">
        <v>2255</v>
      </c>
      <c r="U118" s="62" t="s">
        <v>104</v>
      </c>
      <c r="V118" s="62"/>
      <c r="W118" s="58" t="b">
        <v>1</v>
      </c>
      <c r="X118" s="58"/>
    </row>
    <row r="119">
      <c r="A119" s="159">
        <v>85.0</v>
      </c>
      <c r="B119" s="159"/>
      <c r="C119" s="58" t="s">
        <v>2487</v>
      </c>
      <c r="D119" s="58" t="s">
        <v>2488</v>
      </c>
      <c r="E119" s="58" t="s">
        <v>2521</v>
      </c>
      <c r="F119" s="58" t="s">
        <v>2533</v>
      </c>
      <c r="G119" s="58"/>
      <c r="H119" s="58"/>
      <c r="I119" s="104">
        <v>5234.57</v>
      </c>
      <c r="J119" s="161">
        <f>IF(L119=TRUE,SUM(O119:S119),"")</f>
        <v>5234.58</v>
      </c>
      <c r="K119" s="162">
        <v>43986.0</v>
      </c>
      <c r="L119" s="167" t="b">
        <v>1</v>
      </c>
      <c r="M119" s="88"/>
      <c r="N119" s="62" t="s">
        <v>2254</v>
      </c>
      <c r="O119" s="164">
        <v>2617.29</v>
      </c>
      <c r="P119" s="164" t="s">
        <v>150</v>
      </c>
      <c r="Q119" s="164">
        <v>2617.29</v>
      </c>
      <c r="R119" s="164" t="s">
        <v>150</v>
      </c>
      <c r="S119" s="164" t="s">
        <v>150</v>
      </c>
      <c r="T119" s="58" t="s">
        <v>2255</v>
      </c>
      <c r="U119" s="62" t="s">
        <v>2534</v>
      </c>
      <c r="V119" s="165" t="s">
        <v>2535</v>
      </c>
      <c r="W119" s="58" t="e">
        <v>#N/A</v>
      </c>
      <c r="X119" s="58"/>
    </row>
    <row r="120" hidden="1">
      <c r="A120" s="159">
        <v>114.0</v>
      </c>
      <c r="B120" s="159"/>
      <c r="C120" s="58" t="s">
        <v>2313</v>
      </c>
      <c r="D120" s="58" t="s">
        <v>2314</v>
      </c>
      <c r="E120" s="58" t="s">
        <v>2315</v>
      </c>
      <c r="F120" s="58" t="s">
        <v>2536</v>
      </c>
      <c r="G120" s="160"/>
      <c r="H120" s="160"/>
      <c r="I120" s="104">
        <v>23.33</v>
      </c>
      <c r="J120" s="149" t="str">
        <f>IF(L120=TRUE,I120,"")</f>
        <v/>
      </c>
      <c r="K120" s="162">
        <v>44040.0</v>
      </c>
      <c r="L120" s="163" t="b">
        <v>0</v>
      </c>
      <c r="M120" s="169" t="s">
        <v>2317</v>
      </c>
      <c r="N120" s="62" t="s">
        <v>9</v>
      </c>
      <c r="O120" s="164">
        <v>23.33</v>
      </c>
      <c r="P120" s="164" t="s">
        <v>150</v>
      </c>
      <c r="Q120" s="164" t="s">
        <v>150</v>
      </c>
      <c r="R120" s="164" t="s">
        <v>150</v>
      </c>
      <c r="S120" s="164" t="s">
        <v>150</v>
      </c>
      <c r="T120" s="58" t="s">
        <v>2264</v>
      </c>
      <c r="U120" s="62" t="s">
        <v>138</v>
      </c>
      <c r="V120" s="62"/>
      <c r="W120" s="58" t="b">
        <v>1</v>
      </c>
      <c r="X120" s="58"/>
    </row>
    <row r="121">
      <c r="A121" s="159">
        <v>96.0</v>
      </c>
      <c r="B121" s="159"/>
      <c r="C121" s="58" t="s">
        <v>2487</v>
      </c>
      <c r="D121" s="58" t="s">
        <v>2488</v>
      </c>
      <c r="E121" s="58" t="s">
        <v>2521</v>
      </c>
      <c r="F121" s="58" t="s">
        <v>2537</v>
      </c>
      <c r="G121" s="58"/>
      <c r="H121" s="58"/>
      <c r="I121" s="104">
        <v>2916.21</v>
      </c>
      <c r="J121" s="161">
        <f t="shared" ref="J121:J122" si="23">IF(L121=TRUE,SUM(O121:S121),"")</f>
        <v>2727.2</v>
      </c>
      <c r="K121" s="162">
        <v>44014.0</v>
      </c>
      <c r="L121" s="167" t="b">
        <v>1</v>
      </c>
      <c r="M121" s="88"/>
      <c r="N121" s="62" t="s">
        <v>2254</v>
      </c>
      <c r="O121" s="164" t="s">
        <v>150</v>
      </c>
      <c r="P121" s="164" t="s">
        <v>150</v>
      </c>
      <c r="Q121" s="164">
        <v>2727.2</v>
      </c>
      <c r="R121" s="164" t="s">
        <v>150</v>
      </c>
      <c r="S121" s="164" t="s">
        <v>150</v>
      </c>
      <c r="T121" s="58" t="s">
        <v>2255</v>
      </c>
      <c r="U121" s="58" t="s">
        <v>2414</v>
      </c>
      <c r="V121" s="150" t="s">
        <v>2414</v>
      </c>
      <c r="W121" s="58" t="e">
        <v>#N/A</v>
      </c>
      <c r="X121" s="58"/>
    </row>
    <row r="122">
      <c r="A122" s="159">
        <v>102.0</v>
      </c>
      <c r="B122" s="159"/>
      <c r="C122" s="58" t="s">
        <v>2487</v>
      </c>
      <c r="D122" s="58" t="s">
        <v>2488</v>
      </c>
      <c r="E122" s="58" t="s">
        <v>2521</v>
      </c>
      <c r="F122" s="58" t="s">
        <v>2538</v>
      </c>
      <c r="G122" s="58"/>
      <c r="H122" s="58"/>
      <c r="I122" s="104">
        <v>5137.19</v>
      </c>
      <c r="J122" s="161">
        <f t="shared" si="23"/>
        <v>3398.74</v>
      </c>
      <c r="K122" s="162">
        <v>44025.0</v>
      </c>
      <c r="L122" s="167" t="b">
        <v>1</v>
      </c>
      <c r="M122" s="88"/>
      <c r="N122" s="62" t="s">
        <v>2254</v>
      </c>
      <c r="O122" s="164" t="s">
        <v>150</v>
      </c>
      <c r="P122" s="164" t="s">
        <v>150</v>
      </c>
      <c r="Q122" s="164">
        <v>3398.74</v>
      </c>
      <c r="R122" s="164" t="s">
        <v>150</v>
      </c>
      <c r="S122" s="164" t="s">
        <v>150</v>
      </c>
      <c r="T122" s="58" t="s">
        <v>2255</v>
      </c>
      <c r="U122" s="58" t="s">
        <v>2539</v>
      </c>
      <c r="V122" s="150" t="s">
        <v>2539</v>
      </c>
      <c r="W122" s="58" t="e">
        <v>#N/A</v>
      </c>
      <c r="X122" s="58"/>
    </row>
    <row r="123" hidden="1">
      <c r="A123" s="159">
        <v>117.0</v>
      </c>
      <c r="B123" s="159"/>
      <c r="C123" s="58" t="s">
        <v>2540</v>
      </c>
      <c r="D123" s="58" t="s">
        <v>2541</v>
      </c>
      <c r="E123" s="62" t="s">
        <v>2542</v>
      </c>
      <c r="F123" s="58" t="s">
        <v>2543</v>
      </c>
      <c r="G123" s="160"/>
      <c r="H123" s="160"/>
      <c r="I123" s="104">
        <v>3857.0</v>
      </c>
      <c r="J123" s="149" t="str">
        <f>IF(L123=TRUE,I123,"")</f>
        <v/>
      </c>
      <c r="K123" s="162">
        <v>44046.0</v>
      </c>
      <c r="L123" s="163" t="b">
        <v>0</v>
      </c>
      <c r="M123" s="37"/>
      <c r="N123" s="62" t="s">
        <v>2254</v>
      </c>
      <c r="O123" s="164">
        <v>3857.0</v>
      </c>
      <c r="P123" s="164" t="s">
        <v>150</v>
      </c>
      <c r="Q123" s="164" t="s">
        <v>150</v>
      </c>
      <c r="R123" s="164" t="s">
        <v>150</v>
      </c>
      <c r="S123" s="164" t="s">
        <v>150</v>
      </c>
      <c r="T123" s="58" t="s">
        <v>2255</v>
      </c>
      <c r="U123" s="62" t="s">
        <v>104</v>
      </c>
      <c r="V123" s="62"/>
      <c r="W123" s="58" t="b">
        <v>1</v>
      </c>
      <c r="X123" s="58"/>
    </row>
    <row r="124">
      <c r="A124" s="159">
        <v>110.0</v>
      </c>
      <c r="B124" s="159"/>
      <c r="C124" s="58" t="s">
        <v>2487</v>
      </c>
      <c r="D124" s="58" t="s">
        <v>2488</v>
      </c>
      <c r="E124" s="58" t="s">
        <v>2521</v>
      </c>
      <c r="F124" s="58" t="s">
        <v>2544</v>
      </c>
      <c r="G124" s="58"/>
      <c r="H124" s="58"/>
      <c r="I124" s="104">
        <v>2454.87</v>
      </c>
      <c r="J124" s="161">
        <f t="shared" ref="J124:J125" si="24">IF(L124=TRUE,SUM(O124:S124),"")</f>
        <v>2454.88</v>
      </c>
      <c r="K124" s="162">
        <v>44033.0</v>
      </c>
      <c r="L124" s="163" t="b">
        <v>1</v>
      </c>
      <c r="M124" s="88"/>
      <c r="N124" s="62" t="s">
        <v>2254</v>
      </c>
      <c r="O124" s="164">
        <v>1227.44</v>
      </c>
      <c r="P124" s="164" t="s">
        <v>150</v>
      </c>
      <c r="Q124" s="164">
        <v>1227.44</v>
      </c>
      <c r="R124" s="164" t="s">
        <v>150</v>
      </c>
      <c r="S124" s="164" t="s">
        <v>150</v>
      </c>
      <c r="T124" s="58" t="s">
        <v>2255</v>
      </c>
      <c r="U124" s="58" t="s">
        <v>2545</v>
      </c>
      <c r="V124" s="150" t="s">
        <v>2545</v>
      </c>
      <c r="W124" s="58" t="e">
        <v>#N/A</v>
      </c>
      <c r="X124" s="58"/>
    </row>
    <row r="125">
      <c r="A125" s="159">
        <v>111.0</v>
      </c>
      <c r="B125" s="159"/>
      <c r="C125" s="58" t="s">
        <v>2487</v>
      </c>
      <c r="D125" s="58" t="s">
        <v>2488</v>
      </c>
      <c r="E125" s="58" t="s">
        <v>2521</v>
      </c>
      <c r="F125" s="58" t="s">
        <v>2546</v>
      </c>
      <c r="G125" s="58"/>
      <c r="H125" s="58"/>
      <c r="I125" s="104">
        <v>1482.19</v>
      </c>
      <c r="J125" s="161">
        <f t="shared" si="24"/>
        <v>1482.19</v>
      </c>
      <c r="K125" s="162">
        <v>44035.0</v>
      </c>
      <c r="L125" s="163" t="b">
        <v>1</v>
      </c>
      <c r="M125" s="88"/>
      <c r="N125" s="62" t="s">
        <v>2254</v>
      </c>
      <c r="O125" s="164" t="s">
        <v>150</v>
      </c>
      <c r="P125" s="164" t="s">
        <v>150</v>
      </c>
      <c r="Q125" s="164">
        <v>1482.19</v>
      </c>
      <c r="R125" s="164" t="s">
        <v>150</v>
      </c>
      <c r="S125" s="164" t="s">
        <v>150</v>
      </c>
      <c r="T125" s="58" t="s">
        <v>2255</v>
      </c>
      <c r="U125" s="58" t="s">
        <v>2464</v>
      </c>
      <c r="V125" s="150" t="s">
        <v>2464</v>
      </c>
      <c r="W125" s="58" t="e">
        <v>#N/A</v>
      </c>
      <c r="X125" s="58"/>
    </row>
    <row r="126" hidden="1">
      <c r="A126" s="159">
        <v>120.0</v>
      </c>
      <c r="B126" s="159"/>
      <c r="C126" s="58" t="s">
        <v>2547</v>
      </c>
      <c r="D126" s="58" t="s">
        <v>2548</v>
      </c>
      <c r="E126" s="58" t="s">
        <v>2549</v>
      </c>
      <c r="F126" s="58" t="s">
        <v>2550</v>
      </c>
      <c r="G126" s="160"/>
      <c r="H126" s="160"/>
      <c r="I126" s="104">
        <v>1170.0</v>
      </c>
      <c r="J126" s="149" t="str">
        <f t="shared" ref="J126:J127" si="25">IF(L126=TRUE,I126,"")</f>
        <v/>
      </c>
      <c r="K126" s="162">
        <v>44043.0</v>
      </c>
      <c r="L126" s="163" t="b">
        <v>0</v>
      </c>
      <c r="M126" s="88"/>
      <c r="N126" s="62" t="s">
        <v>2254</v>
      </c>
      <c r="O126" s="164">
        <v>1170.0</v>
      </c>
      <c r="P126" s="164" t="s">
        <v>150</v>
      </c>
      <c r="Q126" s="164" t="s">
        <v>150</v>
      </c>
      <c r="R126" s="164" t="s">
        <v>150</v>
      </c>
      <c r="S126" s="164" t="s">
        <v>150</v>
      </c>
      <c r="T126" s="58" t="s">
        <v>2255</v>
      </c>
      <c r="U126" s="62" t="s">
        <v>104</v>
      </c>
      <c r="V126" s="62"/>
      <c r="W126" s="58" t="b">
        <v>1</v>
      </c>
      <c r="X126" s="58"/>
    </row>
    <row r="127" hidden="1">
      <c r="A127" s="159">
        <v>121.0</v>
      </c>
      <c r="B127" s="159"/>
      <c r="C127" s="58" t="s">
        <v>2382</v>
      </c>
      <c r="D127" s="58" t="s">
        <v>2282</v>
      </c>
      <c r="E127" s="58" t="s">
        <v>2283</v>
      </c>
      <c r="F127" s="58" t="s">
        <v>2551</v>
      </c>
      <c r="G127" s="160"/>
      <c r="H127" s="160"/>
      <c r="I127" s="104">
        <v>8750.0</v>
      </c>
      <c r="J127" s="149" t="str">
        <f t="shared" si="25"/>
        <v/>
      </c>
      <c r="K127" s="162">
        <v>44046.0</v>
      </c>
      <c r="L127" s="163" t="b">
        <v>0</v>
      </c>
      <c r="M127" s="88"/>
      <c r="N127" s="62" t="s">
        <v>2254</v>
      </c>
      <c r="O127" s="164">
        <v>1500.0</v>
      </c>
      <c r="P127" s="164" t="s">
        <v>150</v>
      </c>
      <c r="Q127" s="164" t="s">
        <v>150</v>
      </c>
      <c r="R127" s="164" t="s">
        <v>150</v>
      </c>
      <c r="S127" s="164" t="s">
        <v>150</v>
      </c>
      <c r="T127" s="58" t="s">
        <v>2255</v>
      </c>
      <c r="U127" s="62" t="s">
        <v>104</v>
      </c>
      <c r="V127" s="62"/>
      <c r="W127" s="58" t="b">
        <v>1</v>
      </c>
      <c r="X127" s="58"/>
    </row>
    <row r="128">
      <c r="A128" s="159">
        <v>113.0</v>
      </c>
      <c r="B128" s="159"/>
      <c r="C128" s="58" t="s">
        <v>2487</v>
      </c>
      <c r="D128" s="58" t="s">
        <v>2488</v>
      </c>
      <c r="E128" s="58" t="s">
        <v>2521</v>
      </c>
      <c r="F128" s="58" t="s">
        <v>2552</v>
      </c>
      <c r="G128" s="58"/>
      <c r="H128" s="58"/>
      <c r="I128" s="104">
        <v>885.4</v>
      </c>
      <c r="J128" s="161">
        <f t="shared" ref="J128:J130" si="26">IF(L128=TRUE,SUM(O128:S128),"")</f>
        <v>885.4</v>
      </c>
      <c r="K128" s="162">
        <v>44040.0</v>
      </c>
      <c r="L128" s="167" t="b">
        <v>1</v>
      </c>
      <c r="M128" s="37"/>
      <c r="N128" s="62" t="s">
        <v>2254</v>
      </c>
      <c r="O128" s="164" t="s">
        <v>150</v>
      </c>
      <c r="P128" s="164" t="s">
        <v>150</v>
      </c>
      <c r="Q128" s="164">
        <v>885.4</v>
      </c>
      <c r="R128" s="164" t="s">
        <v>150</v>
      </c>
      <c r="S128" s="164" t="s">
        <v>150</v>
      </c>
      <c r="T128" s="58" t="s">
        <v>2255</v>
      </c>
      <c r="U128" s="58" t="s">
        <v>2464</v>
      </c>
      <c r="V128" s="150" t="s">
        <v>2464</v>
      </c>
      <c r="W128" s="58" t="e">
        <v>#N/A</v>
      </c>
      <c r="X128" s="58"/>
    </row>
    <row r="129">
      <c r="A129" s="159">
        <v>56.0</v>
      </c>
      <c r="B129" s="172"/>
      <c r="C129" s="166" t="s">
        <v>2487</v>
      </c>
      <c r="D129" s="62" t="s">
        <v>2488</v>
      </c>
      <c r="E129" s="58" t="s">
        <v>2553</v>
      </c>
      <c r="F129" s="58" t="s">
        <v>2554</v>
      </c>
      <c r="G129" s="58"/>
      <c r="H129" s="58"/>
      <c r="I129" s="104">
        <v>3326.7</v>
      </c>
      <c r="J129" s="161">
        <f t="shared" si="26"/>
        <v>2960.25</v>
      </c>
      <c r="K129" s="162">
        <v>43917.0</v>
      </c>
      <c r="L129" s="167" t="b">
        <v>1</v>
      </c>
      <c r="M129" s="88"/>
      <c r="N129" s="62" t="s">
        <v>2254</v>
      </c>
      <c r="O129" s="164">
        <v>2960.25</v>
      </c>
      <c r="P129" s="164" t="s">
        <v>150</v>
      </c>
      <c r="Q129" s="164" t="s">
        <v>150</v>
      </c>
      <c r="R129" s="164" t="s">
        <v>150</v>
      </c>
      <c r="S129" s="164" t="s">
        <v>150</v>
      </c>
      <c r="T129" s="58" t="s">
        <v>2255</v>
      </c>
      <c r="U129" s="62" t="s">
        <v>108</v>
      </c>
      <c r="V129" s="62"/>
      <c r="W129" s="58" t="b">
        <v>1</v>
      </c>
      <c r="X129" s="58"/>
    </row>
    <row r="130">
      <c r="A130" s="159">
        <v>4.0</v>
      </c>
      <c r="B130" s="172"/>
      <c r="C130" s="166" t="s">
        <v>2487</v>
      </c>
      <c r="D130" s="62" t="s">
        <v>2488</v>
      </c>
      <c r="E130" s="58" t="s">
        <v>2555</v>
      </c>
      <c r="F130" s="58" t="s">
        <v>2556</v>
      </c>
      <c r="G130" s="58"/>
      <c r="H130" s="58"/>
      <c r="I130" s="104">
        <v>3949.2</v>
      </c>
      <c r="J130" s="161">
        <f t="shared" si="26"/>
        <v>3949.2</v>
      </c>
      <c r="K130" s="162">
        <v>43853.0</v>
      </c>
      <c r="L130" s="167" t="b">
        <v>1</v>
      </c>
      <c r="M130" s="88"/>
      <c r="N130" s="62" t="s">
        <v>2254</v>
      </c>
      <c r="O130" s="164">
        <v>3949.2</v>
      </c>
      <c r="P130" s="164" t="s">
        <v>150</v>
      </c>
      <c r="Q130" s="164" t="s">
        <v>150</v>
      </c>
      <c r="R130" s="164" t="s">
        <v>150</v>
      </c>
      <c r="S130" s="164" t="s">
        <v>150</v>
      </c>
      <c r="T130" s="58" t="s">
        <v>2255</v>
      </c>
      <c r="U130" s="58" t="s">
        <v>94</v>
      </c>
      <c r="V130" s="58"/>
      <c r="W130" s="58" t="b">
        <v>1</v>
      </c>
      <c r="X130" s="58"/>
    </row>
    <row r="131" hidden="1">
      <c r="A131" s="159">
        <v>127.0</v>
      </c>
      <c r="B131" s="159"/>
      <c r="C131" s="58" t="s">
        <v>2487</v>
      </c>
      <c r="D131" s="58" t="s">
        <v>2488</v>
      </c>
      <c r="E131" s="58" t="s">
        <v>2557</v>
      </c>
      <c r="F131" s="58" t="s">
        <v>2558</v>
      </c>
      <c r="G131" s="160"/>
      <c r="H131" s="160"/>
      <c r="I131" s="104">
        <v>2137.25</v>
      </c>
      <c r="J131" s="149" t="str">
        <f>IF(L131=TRUE,I131,"")</f>
        <v/>
      </c>
      <c r="K131" s="162">
        <v>44047.0</v>
      </c>
      <c r="L131" s="167" t="b">
        <v>0</v>
      </c>
      <c r="M131" s="37"/>
      <c r="N131" s="62" t="s">
        <v>2254</v>
      </c>
      <c r="O131" s="164" t="s">
        <v>150</v>
      </c>
      <c r="P131" s="164" t="s">
        <v>150</v>
      </c>
      <c r="Q131" s="164">
        <v>2137.25</v>
      </c>
      <c r="R131" s="164" t="s">
        <v>150</v>
      </c>
      <c r="S131" s="164" t="s">
        <v>150</v>
      </c>
      <c r="T131" s="58" t="s">
        <v>2255</v>
      </c>
      <c r="U131" s="58" t="s">
        <v>2420</v>
      </c>
      <c r="V131" s="150" t="s">
        <v>2420</v>
      </c>
      <c r="W131" s="58" t="e">
        <v>#N/A</v>
      </c>
      <c r="X131" s="58"/>
    </row>
    <row r="132">
      <c r="A132" s="159">
        <v>27.0</v>
      </c>
      <c r="B132" s="172"/>
      <c r="C132" s="166" t="s">
        <v>2487</v>
      </c>
      <c r="D132" s="62" t="s">
        <v>2488</v>
      </c>
      <c r="E132" s="58" t="s">
        <v>2559</v>
      </c>
      <c r="F132" s="58" t="s">
        <v>2560</v>
      </c>
      <c r="G132" s="58"/>
      <c r="H132" s="58"/>
      <c r="I132" s="104">
        <v>4271.67</v>
      </c>
      <c r="J132" s="161">
        <f t="shared" ref="J132:J133" si="27">IF(L132=TRUE,SUM(O132:S132),"")</f>
        <v>2560.59</v>
      </c>
      <c r="K132" s="162">
        <v>43887.0</v>
      </c>
      <c r="L132" s="167" t="b">
        <v>1</v>
      </c>
      <c r="M132" s="88"/>
      <c r="N132" s="62" t="s">
        <v>2254</v>
      </c>
      <c r="O132" s="164">
        <v>2560.59</v>
      </c>
      <c r="P132" s="164" t="s">
        <v>150</v>
      </c>
      <c r="Q132" s="164" t="s">
        <v>150</v>
      </c>
      <c r="R132" s="164" t="s">
        <v>150</v>
      </c>
      <c r="S132" s="164" t="s">
        <v>150</v>
      </c>
      <c r="T132" s="58" t="s">
        <v>2255</v>
      </c>
      <c r="U132" s="58" t="s">
        <v>94</v>
      </c>
      <c r="V132" s="58"/>
      <c r="W132" s="58" t="b">
        <v>1</v>
      </c>
      <c r="X132" s="58"/>
    </row>
    <row r="133">
      <c r="A133" s="159">
        <v>70.0</v>
      </c>
      <c r="B133" s="172"/>
      <c r="C133" s="166" t="s">
        <v>2487</v>
      </c>
      <c r="D133" s="62" t="s">
        <v>2488</v>
      </c>
      <c r="E133" s="58" t="s">
        <v>2561</v>
      </c>
      <c r="F133" s="58" t="s">
        <v>2562</v>
      </c>
      <c r="G133" s="58"/>
      <c r="H133" s="58"/>
      <c r="I133" s="104">
        <v>2287.36</v>
      </c>
      <c r="J133" s="161">
        <f t="shared" si="27"/>
        <v>1839.91</v>
      </c>
      <c r="K133" s="162">
        <v>43937.0</v>
      </c>
      <c r="L133" s="167" t="b">
        <v>1</v>
      </c>
      <c r="M133" s="88"/>
      <c r="N133" s="62" t="s">
        <v>2254</v>
      </c>
      <c r="O133" s="164">
        <v>1839.91</v>
      </c>
      <c r="P133" s="164" t="s">
        <v>150</v>
      </c>
      <c r="Q133" s="164" t="s">
        <v>150</v>
      </c>
      <c r="R133" s="164" t="s">
        <v>150</v>
      </c>
      <c r="S133" s="164" t="s">
        <v>150</v>
      </c>
      <c r="T133" s="58" t="s">
        <v>2255</v>
      </c>
      <c r="U133" s="62" t="s">
        <v>104</v>
      </c>
      <c r="V133" s="62"/>
      <c r="W133" s="58" t="b">
        <v>1</v>
      </c>
      <c r="X133" s="58"/>
    </row>
    <row r="134" hidden="1">
      <c r="A134" s="159">
        <v>130.0</v>
      </c>
      <c r="B134" s="159"/>
      <c r="C134" s="58" t="s">
        <v>2313</v>
      </c>
      <c r="D134" s="58" t="s">
        <v>2314</v>
      </c>
      <c r="E134" s="58" t="s">
        <v>2318</v>
      </c>
      <c r="F134" s="58" t="s">
        <v>2563</v>
      </c>
      <c r="G134" s="160"/>
      <c r="H134" s="160"/>
      <c r="I134" s="104">
        <v>2584.24</v>
      </c>
      <c r="J134" s="149" t="str">
        <f t="shared" ref="J134:J136" si="28">IF(L134=TRUE,I134,"")</f>
        <v/>
      </c>
      <c r="K134" s="162">
        <v>44049.0</v>
      </c>
      <c r="L134" s="167" t="b">
        <v>0</v>
      </c>
      <c r="M134" s="37"/>
      <c r="N134" s="62" t="s">
        <v>9</v>
      </c>
      <c r="O134" s="164" t="s">
        <v>150</v>
      </c>
      <c r="P134" s="164" t="s">
        <v>150</v>
      </c>
      <c r="Q134" s="164" t="s">
        <v>150</v>
      </c>
      <c r="R134" s="164">
        <v>2584.24</v>
      </c>
      <c r="S134" s="164" t="s">
        <v>150</v>
      </c>
      <c r="T134" s="58" t="s">
        <v>2264</v>
      </c>
      <c r="U134" s="62" t="s">
        <v>101</v>
      </c>
      <c r="V134" s="150" t="s">
        <v>2398</v>
      </c>
      <c r="W134" s="58" t="b">
        <v>1</v>
      </c>
      <c r="X134" s="58"/>
    </row>
    <row r="135" hidden="1">
      <c r="A135" s="159">
        <v>124.0</v>
      </c>
      <c r="B135" s="159"/>
      <c r="C135" s="58" t="s">
        <v>2564</v>
      </c>
      <c r="D135" s="58" t="s">
        <v>2251</v>
      </c>
      <c r="E135" s="58" t="s">
        <v>85</v>
      </c>
      <c r="F135" s="58" t="s">
        <v>2565</v>
      </c>
      <c r="G135" s="160"/>
      <c r="H135" s="160"/>
      <c r="I135" s="104">
        <v>551.0</v>
      </c>
      <c r="J135" s="149" t="str">
        <f t="shared" si="28"/>
        <v/>
      </c>
      <c r="K135" s="162">
        <v>44060.0</v>
      </c>
      <c r="L135" s="163" t="b">
        <v>0</v>
      </c>
      <c r="M135" s="37"/>
      <c r="N135" s="62" t="s">
        <v>2254</v>
      </c>
      <c r="O135" s="164">
        <v>551.0</v>
      </c>
      <c r="P135" s="164" t="s">
        <v>150</v>
      </c>
      <c r="Q135" s="164" t="s">
        <v>150</v>
      </c>
      <c r="R135" s="164" t="s">
        <v>150</v>
      </c>
      <c r="S135" s="164" t="s">
        <v>150</v>
      </c>
      <c r="T135" s="58" t="s">
        <v>2255</v>
      </c>
      <c r="U135" s="58" t="s">
        <v>57</v>
      </c>
      <c r="V135" s="150" t="s">
        <v>57</v>
      </c>
      <c r="W135" s="58" t="e">
        <v>#N/A</v>
      </c>
      <c r="X135" s="58"/>
    </row>
    <row r="136" hidden="1">
      <c r="A136" s="159">
        <v>125.0</v>
      </c>
      <c r="B136" s="159"/>
      <c r="C136" s="58" t="s">
        <v>2564</v>
      </c>
      <c r="D136" s="58" t="s">
        <v>2251</v>
      </c>
      <c r="E136" s="58" t="s">
        <v>85</v>
      </c>
      <c r="F136" s="58" t="s">
        <v>2566</v>
      </c>
      <c r="G136" s="160"/>
      <c r="H136" s="160"/>
      <c r="I136" s="104">
        <v>551.0</v>
      </c>
      <c r="J136" s="149" t="str">
        <f t="shared" si="28"/>
        <v/>
      </c>
      <c r="K136" s="162">
        <v>44060.0</v>
      </c>
      <c r="L136" s="163" t="b">
        <v>0</v>
      </c>
      <c r="M136" s="37"/>
      <c r="N136" s="62" t="s">
        <v>2254</v>
      </c>
      <c r="O136" s="164">
        <v>551.0</v>
      </c>
      <c r="P136" s="164" t="s">
        <v>150</v>
      </c>
      <c r="Q136" s="164" t="s">
        <v>150</v>
      </c>
      <c r="R136" s="164" t="s">
        <v>150</v>
      </c>
      <c r="S136" s="164" t="s">
        <v>150</v>
      </c>
      <c r="T136" s="58" t="s">
        <v>2255</v>
      </c>
      <c r="U136" s="58" t="s">
        <v>57</v>
      </c>
      <c r="V136" s="150" t="s">
        <v>57</v>
      </c>
      <c r="W136" s="58" t="e">
        <v>#N/A</v>
      </c>
      <c r="X136" s="58"/>
    </row>
    <row r="137">
      <c r="A137" s="159">
        <v>93.0</v>
      </c>
      <c r="B137" s="172"/>
      <c r="C137" s="166" t="s">
        <v>2487</v>
      </c>
      <c r="D137" s="62" t="s">
        <v>2488</v>
      </c>
      <c r="E137" s="58" t="s">
        <v>2521</v>
      </c>
      <c r="F137" s="58" t="s">
        <v>2567</v>
      </c>
      <c r="G137" s="58"/>
      <c r="H137" s="58"/>
      <c r="I137" s="104">
        <v>12157.03</v>
      </c>
      <c r="J137" s="161">
        <f t="shared" ref="J137:J147" si="29">IF(L137=TRUE,SUM(O137:S137),"")</f>
        <v>10690.33</v>
      </c>
      <c r="K137" s="162">
        <v>44007.0</v>
      </c>
      <c r="L137" s="167" t="b">
        <v>1</v>
      </c>
      <c r="M137" s="88"/>
      <c r="N137" s="62" t="s">
        <v>2254</v>
      </c>
      <c r="O137" s="164" t="s">
        <v>150</v>
      </c>
      <c r="P137" s="164" t="s">
        <v>150</v>
      </c>
      <c r="Q137" s="164">
        <v>10690.33</v>
      </c>
      <c r="R137" s="164" t="s">
        <v>150</v>
      </c>
      <c r="S137" s="164" t="s">
        <v>150</v>
      </c>
      <c r="T137" s="58" t="s">
        <v>2255</v>
      </c>
      <c r="U137" s="58" t="s">
        <v>96</v>
      </c>
      <c r="V137" s="58"/>
      <c r="W137" s="58" t="b">
        <v>1</v>
      </c>
      <c r="X137" s="58"/>
    </row>
    <row r="138">
      <c r="A138" s="159">
        <v>119.0</v>
      </c>
      <c r="B138" s="172"/>
      <c r="C138" s="166" t="s">
        <v>2487</v>
      </c>
      <c r="D138" s="62" t="s">
        <v>2488</v>
      </c>
      <c r="E138" s="58" t="s">
        <v>2521</v>
      </c>
      <c r="F138" s="58" t="s">
        <v>2568</v>
      </c>
      <c r="G138" s="58"/>
      <c r="H138" s="58"/>
      <c r="I138" s="104">
        <v>366.45</v>
      </c>
      <c r="J138" s="161">
        <f t="shared" si="29"/>
        <v>366.45</v>
      </c>
      <c r="K138" s="162">
        <v>44046.0</v>
      </c>
      <c r="L138" s="167" t="b">
        <v>1</v>
      </c>
      <c r="M138" s="37"/>
      <c r="N138" s="62" t="s">
        <v>2254</v>
      </c>
      <c r="O138" s="164">
        <v>366.45</v>
      </c>
      <c r="P138" s="164" t="s">
        <v>150</v>
      </c>
      <c r="Q138" s="164" t="s">
        <v>150</v>
      </c>
      <c r="R138" s="164" t="s">
        <v>150</v>
      </c>
      <c r="S138" s="164" t="s">
        <v>150</v>
      </c>
      <c r="T138" s="58" t="s">
        <v>2255</v>
      </c>
      <c r="U138" s="62" t="s">
        <v>138</v>
      </c>
      <c r="V138" s="62"/>
      <c r="W138" s="58" t="b">
        <v>1</v>
      </c>
      <c r="X138" s="58"/>
    </row>
    <row r="139">
      <c r="A139" s="159">
        <v>128.0</v>
      </c>
      <c r="B139" s="172"/>
      <c r="C139" s="166" t="s">
        <v>2487</v>
      </c>
      <c r="D139" s="62" t="s">
        <v>2488</v>
      </c>
      <c r="E139" s="58" t="s">
        <v>2569</v>
      </c>
      <c r="F139" s="58" t="s">
        <v>2570</v>
      </c>
      <c r="G139" s="58"/>
      <c r="H139" s="58"/>
      <c r="I139" s="104">
        <v>1787.27</v>
      </c>
      <c r="J139" s="161">
        <f t="shared" si="29"/>
        <v>1787.27</v>
      </c>
      <c r="K139" s="162">
        <v>44049.0</v>
      </c>
      <c r="L139" s="167" t="b">
        <v>1</v>
      </c>
      <c r="M139" s="37"/>
      <c r="N139" s="62" t="s">
        <v>2254</v>
      </c>
      <c r="O139" s="164" t="s">
        <v>150</v>
      </c>
      <c r="P139" s="164" t="s">
        <v>150</v>
      </c>
      <c r="Q139" s="164">
        <v>1787.27</v>
      </c>
      <c r="R139" s="164" t="s">
        <v>150</v>
      </c>
      <c r="S139" s="164" t="s">
        <v>150</v>
      </c>
      <c r="T139" s="58" t="s">
        <v>2255</v>
      </c>
      <c r="U139" s="58" t="s">
        <v>91</v>
      </c>
      <c r="V139" s="58"/>
      <c r="W139" s="58" t="b">
        <v>1</v>
      </c>
      <c r="X139" s="58"/>
    </row>
    <row r="140">
      <c r="A140" s="159">
        <v>133.0</v>
      </c>
      <c r="B140" s="159"/>
      <c r="C140" s="58" t="s">
        <v>2487</v>
      </c>
      <c r="D140" s="58" t="s">
        <v>2488</v>
      </c>
      <c r="E140" s="58" t="s">
        <v>2521</v>
      </c>
      <c r="F140" s="58" t="s">
        <v>2571</v>
      </c>
      <c r="G140" s="58"/>
      <c r="H140" s="58"/>
      <c r="I140" s="104">
        <v>1611.47</v>
      </c>
      <c r="J140" s="161">
        <f t="shared" si="29"/>
        <v>1611.47</v>
      </c>
      <c r="K140" s="162">
        <v>44057.0</v>
      </c>
      <c r="L140" s="167" t="b">
        <v>1</v>
      </c>
      <c r="M140" s="37"/>
      <c r="N140" s="62" t="s">
        <v>2254</v>
      </c>
      <c r="O140" s="164">
        <v>1168.77</v>
      </c>
      <c r="P140" s="164" t="s">
        <v>150</v>
      </c>
      <c r="Q140" s="164">
        <v>442.7</v>
      </c>
      <c r="R140" s="164" t="s">
        <v>150</v>
      </c>
      <c r="S140" s="164" t="s">
        <v>150</v>
      </c>
      <c r="T140" s="58" t="s">
        <v>2255</v>
      </c>
      <c r="U140" s="62" t="s">
        <v>2572</v>
      </c>
      <c r="V140" s="165" t="s">
        <v>2572</v>
      </c>
      <c r="W140" s="58" t="e">
        <v>#N/A</v>
      </c>
      <c r="X140" s="58"/>
    </row>
    <row r="141">
      <c r="A141" s="159">
        <v>135.0</v>
      </c>
      <c r="B141" s="159"/>
      <c r="C141" s="58" t="s">
        <v>2487</v>
      </c>
      <c r="D141" s="58" t="s">
        <v>2488</v>
      </c>
      <c r="E141" s="58" t="s">
        <v>2521</v>
      </c>
      <c r="F141" s="58" t="s">
        <v>2573</v>
      </c>
      <c r="G141" s="58"/>
      <c r="H141" s="58"/>
      <c r="I141" s="104">
        <v>2406.96</v>
      </c>
      <c r="J141" s="161">
        <f t="shared" si="29"/>
        <v>2406.96</v>
      </c>
      <c r="K141" s="162">
        <v>44054.0</v>
      </c>
      <c r="L141" s="167" t="b">
        <v>1</v>
      </c>
      <c r="M141" s="37"/>
      <c r="N141" s="62" t="s">
        <v>2254</v>
      </c>
      <c r="O141" s="164" t="s">
        <v>150</v>
      </c>
      <c r="P141" s="164" t="s">
        <v>150</v>
      </c>
      <c r="Q141" s="164">
        <v>2406.96</v>
      </c>
      <c r="R141" s="164" t="s">
        <v>150</v>
      </c>
      <c r="S141" s="164" t="s">
        <v>150</v>
      </c>
      <c r="T141" s="58" t="s">
        <v>2255</v>
      </c>
      <c r="U141" s="58" t="s">
        <v>2574</v>
      </c>
      <c r="V141" s="150" t="s">
        <v>2574</v>
      </c>
      <c r="W141" s="58" t="e">
        <v>#N/A</v>
      </c>
      <c r="X141" s="58"/>
    </row>
    <row r="142">
      <c r="A142" s="159">
        <v>138.0</v>
      </c>
      <c r="B142" s="172"/>
      <c r="C142" s="166" t="s">
        <v>2487</v>
      </c>
      <c r="D142" s="62" t="s">
        <v>2488</v>
      </c>
      <c r="E142" s="58" t="s">
        <v>2521</v>
      </c>
      <c r="F142" s="58" t="s">
        <v>2575</v>
      </c>
      <c r="G142" s="58"/>
      <c r="H142" s="58"/>
      <c r="I142" s="104">
        <v>802.32</v>
      </c>
      <c r="J142" s="161">
        <f t="shared" si="29"/>
        <v>802.32</v>
      </c>
      <c r="K142" s="162">
        <v>44064.0</v>
      </c>
      <c r="L142" s="163" t="b">
        <v>1</v>
      </c>
      <c r="M142" s="37"/>
      <c r="N142" s="62" t="s">
        <v>2254</v>
      </c>
      <c r="O142" s="164" t="s">
        <v>150</v>
      </c>
      <c r="P142" s="164" t="s">
        <v>150</v>
      </c>
      <c r="Q142" s="164">
        <v>802.32</v>
      </c>
      <c r="R142" s="164" t="s">
        <v>150</v>
      </c>
      <c r="S142" s="164" t="s">
        <v>150</v>
      </c>
      <c r="T142" s="58" t="s">
        <v>2255</v>
      </c>
      <c r="U142" s="58" t="s">
        <v>96</v>
      </c>
      <c r="V142" s="58"/>
      <c r="W142" s="58" t="b">
        <v>1</v>
      </c>
      <c r="X142" s="58"/>
    </row>
    <row r="143">
      <c r="A143" s="159">
        <v>139.0</v>
      </c>
      <c r="B143" s="172"/>
      <c r="C143" s="166" t="s">
        <v>2487</v>
      </c>
      <c r="D143" s="62" t="s">
        <v>2488</v>
      </c>
      <c r="E143" s="58" t="s">
        <v>2521</v>
      </c>
      <c r="F143" s="58" t="s">
        <v>2576</v>
      </c>
      <c r="G143" s="58"/>
      <c r="H143" s="58"/>
      <c r="I143" s="104">
        <v>2683.49</v>
      </c>
      <c r="J143" s="161">
        <f t="shared" si="29"/>
        <v>2683.49</v>
      </c>
      <c r="K143" s="162">
        <v>44070.0</v>
      </c>
      <c r="L143" s="163" t="b">
        <v>1</v>
      </c>
      <c r="M143" s="37"/>
      <c r="N143" s="62" t="s">
        <v>2254</v>
      </c>
      <c r="O143" s="164" t="s">
        <v>150</v>
      </c>
      <c r="P143" s="164" t="s">
        <v>150</v>
      </c>
      <c r="Q143" s="164" t="s">
        <v>150</v>
      </c>
      <c r="R143" s="164">
        <v>2683.49</v>
      </c>
      <c r="S143" s="164" t="s">
        <v>150</v>
      </c>
      <c r="T143" s="58" t="s">
        <v>2255</v>
      </c>
      <c r="U143" s="62" t="s">
        <v>101</v>
      </c>
      <c r="V143" s="150" t="s">
        <v>2398</v>
      </c>
      <c r="W143" s="58" t="b">
        <v>1</v>
      </c>
      <c r="X143" s="58"/>
    </row>
    <row r="144">
      <c r="A144" s="159">
        <v>146.0</v>
      </c>
      <c r="B144" s="172"/>
      <c r="C144" s="166" t="s">
        <v>2487</v>
      </c>
      <c r="D144" s="62" t="s">
        <v>2488</v>
      </c>
      <c r="E144" s="58" t="s">
        <v>2521</v>
      </c>
      <c r="F144" s="58" t="s">
        <v>2577</v>
      </c>
      <c r="G144" s="58"/>
      <c r="H144" s="58"/>
      <c r="I144" s="104">
        <v>3071.96</v>
      </c>
      <c r="J144" s="161">
        <f t="shared" si="29"/>
        <v>1360.8</v>
      </c>
      <c r="K144" s="162">
        <v>44078.0</v>
      </c>
      <c r="L144" s="167" t="b">
        <v>1</v>
      </c>
      <c r="M144" s="37"/>
      <c r="N144" s="62" t="s">
        <v>2254</v>
      </c>
      <c r="O144" s="164">
        <v>1360.8</v>
      </c>
      <c r="P144" s="164" t="s">
        <v>150</v>
      </c>
      <c r="Q144" s="164" t="s">
        <v>150</v>
      </c>
      <c r="R144" s="164" t="s">
        <v>150</v>
      </c>
      <c r="S144" s="164" t="s">
        <v>150</v>
      </c>
      <c r="T144" s="58" t="s">
        <v>2255</v>
      </c>
      <c r="U144" s="62" t="s">
        <v>138</v>
      </c>
      <c r="V144" s="62"/>
      <c r="W144" s="58" t="b">
        <v>1</v>
      </c>
      <c r="X144" s="58"/>
    </row>
    <row r="145">
      <c r="A145" s="159">
        <v>147.0</v>
      </c>
      <c r="B145" s="172"/>
      <c r="C145" s="166" t="s">
        <v>2487</v>
      </c>
      <c r="D145" s="62" t="s">
        <v>2488</v>
      </c>
      <c r="E145" s="58" t="s">
        <v>2521</v>
      </c>
      <c r="F145" s="58" t="s">
        <v>2578</v>
      </c>
      <c r="G145" s="58"/>
      <c r="H145" s="58"/>
      <c r="I145" s="104">
        <v>2662.77</v>
      </c>
      <c r="J145" s="161">
        <f t="shared" si="29"/>
        <v>2662.77</v>
      </c>
      <c r="K145" s="162">
        <v>44067.0</v>
      </c>
      <c r="L145" s="167" t="b">
        <v>1</v>
      </c>
      <c r="M145" s="37"/>
      <c r="N145" s="62" t="s">
        <v>2254</v>
      </c>
      <c r="O145" s="164" t="s">
        <v>150</v>
      </c>
      <c r="P145" s="164" t="s">
        <v>150</v>
      </c>
      <c r="Q145" s="164">
        <v>2662.77</v>
      </c>
      <c r="R145" s="164" t="s">
        <v>150</v>
      </c>
      <c r="S145" s="164" t="s">
        <v>150</v>
      </c>
      <c r="T145" s="58" t="s">
        <v>2255</v>
      </c>
      <c r="U145" s="58" t="s">
        <v>99</v>
      </c>
      <c r="V145" s="58"/>
      <c r="W145" s="58" t="b">
        <v>1</v>
      </c>
      <c r="X145" s="58"/>
    </row>
    <row r="146">
      <c r="A146" s="159">
        <v>143.0</v>
      </c>
      <c r="B146" s="159"/>
      <c r="C146" s="58" t="s">
        <v>2487</v>
      </c>
      <c r="D146" s="58" t="s">
        <v>2488</v>
      </c>
      <c r="E146" s="58" t="s">
        <v>2521</v>
      </c>
      <c r="F146" s="58" t="s">
        <v>2579</v>
      </c>
      <c r="G146" s="58"/>
      <c r="H146" s="58"/>
      <c r="I146" s="104">
        <v>552.0</v>
      </c>
      <c r="J146" s="161">
        <f t="shared" si="29"/>
        <v>552</v>
      </c>
      <c r="K146" s="162">
        <v>44078.0</v>
      </c>
      <c r="L146" s="167" t="b">
        <v>1</v>
      </c>
      <c r="M146" s="37"/>
      <c r="N146" s="62" t="s">
        <v>2254</v>
      </c>
      <c r="O146" s="164" t="s">
        <v>150</v>
      </c>
      <c r="P146" s="164" t="s">
        <v>150</v>
      </c>
      <c r="Q146" s="164">
        <v>552.0</v>
      </c>
      <c r="R146" s="164" t="s">
        <v>150</v>
      </c>
      <c r="S146" s="164" t="s">
        <v>150</v>
      </c>
      <c r="T146" s="58" t="s">
        <v>2255</v>
      </c>
      <c r="U146" s="62" t="s">
        <v>2580</v>
      </c>
      <c r="V146" s="150" t="s">
        <v>2581</v>
      </c>
      <c r="W146" s="58" t="e">
        <v>#N/A</v>
      </c>
      <c r="X146" s="58"/>
    </row>
    <row r="147">
      <c r="A147" s="159">
        <v>164.0</v>
      </c>
      <c r="B147" s="172"/>
      <c r="C147" s="166" t="s">
        <v>2487</v>
      </c>
      <c r="D147" s="62" t="s">
        <v>2488</v>
      </c>
      <c r="E147" s="58" t="s">
        <v>2521</v>
      </c>
      <c r="F147" s="58" t="s">
        <v>2582</v>
      </c>
      <c r="G147" s="58"/>
      <c r="H147" s="58"/>
      <c r="I147" s="104">
        <v>1115.74</v>
      </c>
      <c r="J147" s="161">
        <f t="shared" si="29"/>
        <v>1115.74</v>
      </c>
      <c r="K147" s="162">
        <v>44117.0</v>
      </c>
      <c r="L147" s="167" t="b">
        <v>1</v>
      </c>
      <c r="M147" s="37"/>
      <c r="N147" s="62" t="s">
        <v>2254</v>
      </c>
      <c r="O147" s="164">
        <v>1115.74</v>
      </c>
      <c r="P147" s="164" t="s">
        <v>150</v>
      </c>
      <c r="Q147" s="164" t="s">
        <v>150</v>
      </c>
      <c r="R147" s="164" t="s">
        <v>150</v>
      </c>
      <c r="S147" s="164" t="s">
        <v>150</v>
      </c>
      <c r="T147" s="58" t="s">
        <v>2255</v>
      </c>
      <c r="U147" s="58" t="s">
        <v>100</v>
      </c>
      <c r="V147" s="58"/>
      <c r="W147" s="58" t="b">
        <v>1</v>
      </c>
      <c r="X147" s="58"/>
    </row>
    <row r="148" hidden="1">
      <c r="A148" s="159">
        <v>142.0</v>
      </c>
      <c r="B148" s="159"/>
      <c r="C148" s="58" t="s">
        <v>2382</v>
      </c>
      <c r="D148" s="58" t="s">
        <v>2282</v>
      </c>
      <c r="E148" s="58" t="s">
        <v>2283</v>
      </c>
      <c r="F148" s="58" t="s">
        <v>2583</v>
      </c>
      <c r="G148" s="160"/>
      <c r="H148" s="160"/>
      <c r="I148" s="104">
        <v>8750.0</v>
      </c>
      <c r="J148" s="149" t="str">
        <f>IF(L148=TRUE,I148,"")</f>
        <v/>
      </c>
      <c r="K148" s="162">
        <v>44075.0</v>
      </c>
      <c r="L148" s="163" t="b">
        <v>0</v>
      </c>
      <c r="M148" s="88"/>
      <c r="N148" s="62" t="s">
        <v>2254</v>
      </c>
      <c r="O148" s="164">
        <v>2000.0</v>
      </c>
      <c r="P148" s="164" t="s">
        <v>150</v>
      </c>
      <c r="Q148" s="164" t="s">
        <v>150</v>
      </c>
      <c r="R148" s="164" t="s">
        <v>150</v>
      </c>
      <c r="S148" s="164" t="s">
        <v>150</v>
      </c>
      <c r="T148" s="58" t="s">
        <v>2255</v>
      </c>
      <c r="U148" s="62" t="s">
        <v>2584</v>
      </c>
      <c r="V148" s="165" t="s">
        <v>2584</v>
      </c>
      <c r="W148" s="58" t="e">
        <v>#N/A</v>
      </c>
      <c r="X148" s="58"/>
    </row>
    <row r="149">
      <c r="A149" s="159">
        <v>191.0</v>
      </c>
      <c r="B149" s="172"/>
      <c r="C149" s="166" t="s">
        <v>2487</v>
      </c>
      <c r="D149" s="62" t="s">
        <v>2488</v>
      </c>
      <c r="E149" s="58" t="s">
        <v>2521</v>
      </c>
      <c r="F149" s="58" t="s">
        <v>2585</v>
      </c>
      <c r="G149" s="58"/>
      <c r="H149" s="58"/>
      <c r="I149" s="104">
        <v>1978.68</v>
      </c>
      <c r="J149" s="161">
        <f t="shared" ref="J149:J150" si="30">IF(L149=TRUE,SUM(O149:S149),"")</f>
        <v>1000.88</v>
      </c>
      <c r="K149" s="162">
        <v>44146.0</v>
      </c>
      <c r="L149" s="62" t="b">
        <v>1</v>
      </c>
      <c r="M149" s="62"/>
      <c r="N149" s="62" t="s">
        <v>2254</v>
      </c>
      <c r="O149" s="164">
        <v>1000.88</v>
      </c>
      <c r="P149" s="164" t="s">
        <v>150</v>
      </c>
      <c r="Q149" s="164" t="s">
        <v>150</v>
      </c>
      <c r="R149" s="164" t="s">
        <v>150</v>
      </c>
      <c r="S149" s="164" t="s">
        <v>150</v>
      </c>
      <c r="T149" s="58" t="s">
        <v>2255</v>
      </c>
      <c r="U149" s="62" t="s">
        <v>138</v>
      </c>
      <c r="V149" s="62"/>
      <c r="W149" s="58" t="b">
        <v>1</v>
      </c>
      <c r="X149" s="58"/>
    </row>
    <row r="150">
      <c r="A150" s="159">
        <v>149.0</v>
      </c>
      <c r="B150" s="159"/>
      <c r="C150" s="58" t="s">
        <v>2487</v>
      </c>
      <c r="D150" s="58" t="s">
        <v>2488</v>
      </c>
      <c r="E150" s="58" t="s">
        <v>2586</v>
      </c>
      <c r="F150" s="58" t="s">
        <v>2587</v>
      </c>
      <c r="G150" s="58"/>
      <c r="H150" s="58"/>
      <c r="I150" s="104">
        <v>6677.0</v>
      </c>
      <c r="J150" s="161">
        <f t="shared" si="30"/>
        <v>6677</v>
      </c>
      <c r="K150" s="162">
        <v>44090.0</v>
      </c>
      <c r="L150" s="167" t="b">
        <v>1</v>
      </c>
      <c r="M150" s="37"/>
      <c r="N150" s="62" t="s">
        <v>2254</v>
      </c>
      <c r="O150" s="164">
        <v>4136.23</v>
      </c>
      <c r="P150" s="164" t="s">
        <v>150</v>
      </c>
      <c r="Q150" s="164">
        <v>144.69</v>
      </c>
      <c r="R150" s="164">
        <v>2396.08</v>
      </c>
      <c r="S150" s="164" t="s">
        <v>150</v>
      </c>
      <c r="T150" s="58" t="s">
        <v>2255</v>
      </c>
      <c r="U150" s="62" t="s">
        <v>2588</v>
      </c>
      <c r="V150" s="165" t="s">
        <v>2589</v>
      </c>
      <c r="W150" s="58" t="e">
        <v>#N/A</v>
      </c>
      <c r="X150" s="58"/>
    </row>
    <row r="151" hidden="1">
      <c r="A151" s="159">
        <v>145.0</v>
      </c>
      <c r="B151" s="159"/>
      <c r="C151" s="58" t="s">
        <v>2590</v>
      </c>
      <c r="D151" s="58" t="s">
        <v>2591</v>
      </c>
      <c r="E151" s="58" t="s">
        <v>2592</v>
      </c>
      <c r="F151" s="58" t="s">
        <v>2593</v>
      </c>
      <c r="G151" s="160"/>
      <c r="H151" s="160"/>
      <c r="I151" s="104">
        <v>1643.61</v>
      </c>
      <c r="J151" s="149" t="str">
        <f>IF(L151=TRUE,I151,"")</f>
        <v/>
      </c>
      <c r="K151" s="162">
        <v>44084.0</v>
      </c>
      <c r="L151" s="163" t="b">
        <v>0</v>
      </c>
      <c r="M151" s="88"/>
      <c r="N151" s="62" t="s">
        <v>2254</v>
      </c>
      <c r="O151" s="164">
        <v>1643.61</v>
      </c>
      <c r="P151" s="164" t="s">
        <v>150</v>
      </c>
      <c r="Q151" s="164" t="s">
        <v>150</v>
      </c>
      <c r="R151" s="164" t="s">
        <v>150</v>
      </c>
      <c r="S151" s="164" t="s">
        <v>150</v>
      </c>
      <c r="T151" s="58" t="s">
        <v>2255</v>
      </c>
      <c r="U151" s="62" t="s">
        <v>104</v>
      </c>
      <c r="V151" s="62"/>
      <c r="W151" s="58" t="b">
        <v>1</v>
      </c>
      <c r="X151" s="58"/>
    </row>
    <row r="152">
      <c r="A152" s="159">
        <v>150.0</v>
      </c>
      <c r="B152" s="159"/>
      <c r="C152" s="58" t="s">
        <v>2487</v>
      </c>
      <c r="D152" s="58" t="s">
        <v>2488</v>
      </c>
      <c r="E152" s="58" t="s">
        <v>2586</v>
      </c>
      <c r="F152" s="58" t="s">
        <v>2594</v>
      </c>
      <c r="G152" s="58"/>
      <c r="H152" s="58"/>
      <c r="I152" s="104">
        <v>6504.42</v>
      </c>
      <c r="J152" s="161">
        <f t="shared" ref="J152:J158" si="31">IF(L152=TRUE,SUM(O152:S152),"")</f>
        <v>4793.23</v>
      </c>
      <c r="K152" s="162">
        <v>44085.0</v>
      </c>
      <c r="L152" s="167" t="b">
        <v>1</v>
      </c>
      <c r="M152" s="37"/>
      <c r="N152" s="62" t="s">
        <v>2254</v>
      </c>
      <c r="O152" s="164">
        <v>3852.22</v>
      </c>
      <c r="P152" s="164" t="s">
        <v>150</v>
      </c>
      <c r="Q152" s="164" t="s">
        <v>150</v>
      </c>
      <c r="R152" s="164">
        <v>941.01</v>
      </c>
      <c r="S152" s="164" t="s">
        <v>150</v>
      </c>
      <c r="T152" s="58" t="s">
        <v>2255</v>
      </c>
      <c r="U152" s="62" t="s">
        <v>2595</v>
      </c>
      <c r="V152" s="165" t="s">
        <v>2596</v>
      </c>
      <c r="W152" s="58" t="e">
        <v>#N/A</v>
      </c>
      <c r="X152" s="58"/>
    </row>
    <row r="153">
      <c r="A153" s="159">
        <v>154.0</v>
      </c>
      <c r="B153" s="159"/>
      <c r="C153" s="58" t="s">
        <v>2487</v>
      </c>
      <c r="D153" s="58" t="s">
        <v>2488</v>
      </c>
      <c r="E153" s="58" t="s">
        <v>2521</v>
      </c>
      <c r="F153" s="58" t="s">
        <v>2597</v>
      </c>
      <c r="G153" s="58"/>
      <c r="H153" s="58"/>
      <c r="I153" s="104">
        <v>2141.58</v>
      </c>
      <c r="J153" s="161">
        <f t="shared" si="31"/>
        <v>2141.58</v>
      </c>
      <c r="K153" s="162">
        <v>44099.0</v>
      </c>
      <c r="L153" s="163" t="b">
        <v>1</v>
      </c>
      <c r="M153" s="37"/>
      <c r="N153" s="62" t="s">
        <v>2254</v>
      </c>
      <c r="O153" s="164" t="s">
        <v>150</v>
      </c>
      <c r="P153" s="164" t="s">
        <v>150</v>
      </c>
      <c r="Q153" s="164">
        <v>2141.58</v>
      </c>
      <c r="R153" s="164" t="s">
        <v>150</v>
      </c>
      <c r="S153" s="164" t="s">
        <v>150</v>
      </c>
      <c r="T153" s="58" t="s">
        <v>2255</v>
      </c>
      <c r="U153" s="58" t="s">
        <v>2598</v>
      </c>
      <c r="V153" s="150" t="s">
        <v>2598</v>
      </c>
      <c r="W153" s="58" t="e">
        <v>#N/A</v>
      </c>
      <c r="X153" s="58"/>
    </row>
    <row r="154">
      <c r="A154" s="159">
        <v>157.0</v>
      </c>
      <c r="B154" s="159"/>
      <c r="C154" s="58" t="s">
        <v>2487</v>
      </c>
      <c r="D154" s="58" t="s">
        <v>2488</v>
      </c>
      <c r="E154" s="58" t="s">
        <v>2521</v>
      </c>
      <c r="F154" s="58" t="s">
        <v>2599</v>
      </c>
      <c r="G154" s="58"/>
      <c r="H154" s="58"/>
      <c r="I154" s="104">
        <v>14596.52</v>
      </c>
      <c r="J154" s="161">
        <f t="shared" si="31"/>
        <v>11896.52</v>
      </c>
      <c r="K154" s="162">
        <v>44105.0</v>
      </c>
      <c r="L154" s="163" t="b">
        <v>1</v>
      </c>
      <c r="M154" s="37"/>
      <c r="N154" s="62" t="s">
        <v>2254</v>
      </c>
      <c r="O154" s="164">
        <v>11896.52</v>
      </c>
      <c r="P154" s="164" t="s">
        <v>150</v>
      </c>
      <c r="Q154" s="164" t="s">
        <v>150</v>
      </c>
      <c r="R154" s="164" t="s">
        <v>150</v>
      </c>
      <c r="S154" s="164" t="s">
        <v>150</v>
      </c>
      <c r="T154" s="58" t="s">
        <v>2255</v>
      </c>
      <c r="U154" s="62" t="s">
        <v>2600</v>
      </c>
      <c r="V154" s="165" t="s">
        <v>2600</v>
      </c>
      <c r="W154" s="58" t="e">
        <v>#N/A</v>
      </c>
      <c r="X154" s="58"/>
    </row>
    <row r="155">
      <c r="A155" s="159">
        <v>159.0</v>
      </c>
      <c r="B155" s="159"/>
      <c r="C155" s="58" t="s">
        <v>2487</v>
      </c>
      <c r="D155" s="58" t="s">
        <v>2488</v>
      </c>
      <c r="E155" s="58" t="s">
        <v>2521</v>
      </c>
      <c r="F155" s="58" t="s">
        <v>2601</v>
      </c>
      <c r="G155" s="58"/>
      <c r="H155" s="58"/>
      <c r="I155" s="104">
        <v>4367.06</v>
      </c>
      <c r="J155" s="161">
        <f t="shared" si="31"/>
        <v>4367.06</v>
      </c>
      <c r="K155" s="162">
        <v>44113.0</v>
      </c>
      <c r="L155" s="167" t="b">
        <v>1</v>
      </c>
      <c r="M155" s="37"/>
      <c r="N155" s="62" t="s">
        <v>2254</v>
      </c>
      <c r="O155" s="164" t="s">
        <v>150</v>
      </c>
      <c r="P155" s="164" t="s">
        <v>150</v>
      </c>
      <c r="Q155" s="164">
        <v>4367.06</v>
      </c>
      <c r="R155" s="164" t="s">
        <v>150</v>
      </c>
      <c r="S155" s="164" t="s">
        <v>150</v>
      </c>
      <c r="T155" s="58" t="s">
        <v>2255</v>
      </c>
      <c r="U155" s="58" t="s">
        <v>118</v>
      </c>
      <c r="V155" s="150" t="s">
        <v>118</v>
      </c>
      <c r="W155" s="58" t="e">
        <v>#N/A</v>
      </c>
      <c r="X155" s="58"/>
    </row>
    <row r="156">
      <c r="A156" s="159">
        <v>165.0</v>
      </c>
      <c r="B156" s="159"/>
      <c r="C156" s="58" t="s">
        <v>2487</v>
      </c>
      <c r="D156" s="58" t="s">
        <v>2488</v>
      </c>
      <c r="E156" s="58" t="s">
        <v>2521</v>
      </c>
      <c r="F156" s="58" t="s">
        <v>2602</v>
      </c>
      <c r="G156" s="58"/>
      <c r="H156" s="58"/>
      <c r="I156" s="104">
        <v>3780.97</v>
      </c>
      <c r="J156" s="161">
        <f t="shared" si="31"/>
        <v>3780.97</v>
      </c>
      <c r="K156" s="162">
        <v>44111.0</v>
      </c>
      <c r="L156" s="167" t="b">
        <v>1</v>
      </c>
      <c r="M156" s="37"/>
      <c r="N156" s="62" t="s">
        <v>2254</v>
      </c>
      <c r="O156" s="164">
        <v>557.87</v>
      </c>
      <c r="P156" s="164" t="s">
        <v>150</v>
      </c>
      <c r="Q156" s="164">
        <v>3223.1</v>
      </c>
      <c r="R156" s="164" t="s">
        <v>150</v>
      </c>
      <c r="S156" s="164" t="s">
        <v>150</v>
      </c>
      <c r="T156" s="58" t="s">
        <v>2255</v>
      </c>
      <c r="U156" s="62" t="s">
        <v>2603</v>
      </c>
      <c r="V156" s="165" t="s">
        <v>2603</v>
      </c>
      <c r="W156" s="58" t="e">
        <v>#N/A</v>
      </c>
      <c r="X156" s="58"/>
    </row>
    <row r="157">
      <c r="A157" s="159">
        <v>177.0</v>
      </c>
      <c r="B157" s="159"/>
      <c r="C157" s="58" t="s">
        <v>2487</v>
      </c>
      <c r="D157" s="58" t="s">
        <v>2488</v>
      </c>
      <c r="E157" s="58" t="s">
        <v>2521</v>
      </c>
      <c r="F157" s="58" t="s">
        <v>2604</v>
      </c>
      <c r="G157" s="58"/>
      <c r="H157" s="58"/>
      <c r="I157" s="104">
        <v>8232.84</v>
      </c>
      <c r="J157" s="161">
        <f t="shared" si="31"/>
        <v>8232.84</v>
      </c>
      <c r="K157" s="162">
        <v>44130.0</v>
      </c>
      <c r="L157" s="62" t="b">
        <v>1</v>
      </c>
      <c r="M157" s="37"/>
      <c r="N157" s="62" t="s">
        <v>2254</v>
      </c>
      <c r="O157" s="164">
        <v>6494.39</v>
      </c>
      <c r="P157" s="164" t="s">
        <v>150</v>
      </c>
      <c r="Q157" s="164" t="s">
        <v>150</v>
      </c>
      <c r="R157" s="164">
        <v>1738.45</v>
      </c>
      <c r="S157" s="164" t="s">
        <v>150</v>
      </c>
      <c r="T157" s="58" t="s">
        <v>2255</v>
      </c>
      <c r="U157" s="62" t="s">
        <v>2605</v>
      </c>
      <c r="V157" s="150" t="s">
        <v>2606</v>
      </c>
      <c r="W157" s="58" t="e">
        <v>#N/A</v>
      </c>
      <c r="X157" s="58"/>
    </row>
    <row r="158">
      <c r="A158" s="159">
        <v>179.0</v>
      </c>
      <c r="B158" s="159"/>
      <c r="C158" s="58" t="s">
        <v>2487</v>
      </c>
      <c r="D158" s="58" t="s">
        <v>2488</v>
      </c>
      <c r="E158" s="58" t="s">
        <v>2521</v>
      </c>
      <c r="F158" s="58" t="s">
        <v>2607</v>
      </c>
      <c r="G158" s="58"/>
      <c r="H158" s="58"/>
      <c r="I158" s="104">
        <v>1360.19</v>
      </c>
      <c r="J158" s="161">
        <f t="shared" si="31"/>
        <v>1360.19</v>
      </c>
      <c r="K158" s="162">
        <v>44124.0</v>
      </c>
      <c r="L158" s="62" t="b">
        <v>1</v>
      </c>
      <c r="M158" s="37"/>
      <c r="N158" s="62" t="s">
        <v>2254</v>
      </c>
      <c r="O158" s="164" t="s">
        <v>150</v>
      </c>
      <c r="P158" s="164" t="s">
        <v>150</v>
      </c>
      <c r="Q158" s="164">
        <v>802.32</v>
      </c>
      <c r="R158" s="164">
        <v>557.87</v>
      </c>
      <c r="S158" s="164" t="s">
        <v>150</v>
      </c>
      <c r="T158" s="58" t="s">
        <v>2255</v>
      </c>
      <c r="U158" s="62" t="s">
        <v>2608</v>
      </c>
      <c r="V158" s="150" t="s">
        <v>2609</v>
      </c>
      <c r="W158" s="58" t="e">
        <v>#N/A</v>
      </c>
      <c r="X158" s="58"/>
    </row>
    <row r="159" hidden="1">
      <c r="A159" s="159">
        <v>153.0</v>
      </c>
      <c r="B159" s="159"/>
      <c r="C159" s="58" t="s">
        <v>2610</v>
      </c>
      <c r="D159" s="58" t="s">
        <v>2548</v>
      </c>
      <c r="E159" s="58" t="s">
        <v>2611</v>
      </c>
      <c r="F159" s="58" t="s">
        <v>2612</v>
      </c>
      <c r="G159" s="160"/>
      <c r="H159" s="160"/>
      <c r="I159" s="104">
        <v>2395.0</v>
      </c>
      <c r="J159" s="149" t="str">
        <f>IF(L159=TRUE,I159,"")</f>
        <v/>
      </c>
      <c r="K159" s="162">
        <v>44095.0</v>
      </c>
      <c r="L159" s="163" t="b">
        <v>0</v>
      </c>
      <c r="M159" s="37"/>
      <c r="N159" s="62" t="s">
        <v>2254</v>
      </c>
      <c r="O159" s="164">
        <v>2395.0</v>
      </c>
      <c r="P159" s="164" t="s">
        <v>150</v>
      </c>
      <c r="Q159" s="164" t="s">
        <v>150</v>
      </c>
      <c r="R159" s="164" t="s">
        <v>150</v>
      </c>
      <c r="S159" s="164" t="s">
        <v>150</v>
      </c>
      <c r="T159" s="58" t="s">
        <v>2255</v>
      </c>
      <c r="U159" s="62" t="s">
        <v>104</v>
      </c>
      <c r="V159" s="62"/>
      <c r="W159" s="58" t="b">
        <v>1</v>
      </c>
      <c r="X159" s="58"/>
    </row>
    <row r="160">
      <c r="A160" s="159">
        <v>193.0</v>
      </c>
      <c r="B160" s="159"/>
      <c r="C160" s="58" t="s">
        <v>2487</v>
      </c>
      <c r="D160" s="58" t="s">
        <v>2488</v>
      </c>
      <c r="E160" s="58" t="s">
        <v>2613</v>
      </c>
      <c r="F160" s="58" t="s">
        <v>2614</v>
      </c>
      <c r="G160" s="58"/>
      <c r="H160" s="58"/>
      <c r="I160" s="104">
        <v>5439.09</v>
      </c>
      <c r="J160" s="161">
        <f>IF(L160=TRUE,SUM(O160:S160),"")</f>
        <v>5439.09</v>
      </c>
      <c r="K160" s="162">
        <v>44148.0</v>
      </c>
      <c r="L160" s="62" t="b">
        <v>1</v>
      </c>
      <c r="M160" s="62"/>
      <c r="N160" s="62" t="s">
        <v>2254</v>
      </c>
      <c r="O160" s="164">
        <v>3298.14</v>
      </c>
      <c r="P160" s="164" t="s">
        <v>150</v>
      </c>
      <c r="Q160" s="164">
        <v>2140.95</v>
      </c>
      <c r="R160" s="164" t="s">
        <v>150</v>
      </c>
      <c r="S160" s="164" t="s">
        <v>150</v>
      </c>
      <c r="T160" s="58" t="s">
        <v>2255</v>
      </c>
      <c r="U160" s="58" t="s">
        <v>2615</v>
      </c>
      <c r="V160" s="150" t="s">
        <v>2615</v>
      </c>
      <c r="W160" s="58" t="e">
        <v>#N/A</v>
      </c>
      <c r="X160" s="58"/>
    </row>
    <row r="161" hidden="1">
      <c r="A161" s="159">
        <v>155.0</v>
      </c>
      <c r="B161" s="159"/>
      <c r="C161" s="58" t="s">
        <v>2251</v>
      </c>
      <c r="D161" s="58" t="s">
        <v>2251</v>
      </c>
      <c r="E161" s="58" t="s">
        <v>2616</v>
      </c>
      <c r="F161" s="58" t="s">
        <v>2289</v>
      </c>
      <c r="G161" s="160"/>
      <c r="H161" s="160"/>
      <c r="I161" s="104">
        <v>1921.68</v>
      </c>
      <c r="J161" s="149" t="str">
        <f t="shared" ref="J161:J162" si="32">IF(L161=TRUE,I161,"")</f>
        <v/>
      </c>
      <c r="K161" s="162">
        <v>44103.0</v>
      </c>
      <c r="L161" s="173" t="b">
        <v>0</v>
      </c>
      <c r="M161" s="37"/>
      <c r="N161" s="62" t="s">
        <v>2254</v>
      </c>
      <c r="O161" s="164">
        <v>1921.68</v>
      </c>
      <c r="P161" s="164" t="s">
        <v>150</v>
      </c>
      <c r="Q161" s="164" t="s">
        <v>150</v>
      </c>
      <c r="R161" s="164" t="s">
        <v>150</v>
      </c>
      <c r="S161" s="164" t="s">
        <v>150</v>
      </c>
      <c r="T161" s="58" t="s">
        <v>2255</v>
      </c>
      <c r="U161" s="62" t="s">
        <v>108</v>
      </c>
      <c r="V161" s="62"/>
      <c r="W161" s="58" t="b">
        <v>1</v>
      </c>
      <c r="X161" s="58"/>
    </row>
    <row r="162" hidden="1">
      <c r="A162" s="159">
        <v>51.0</v>
      </c>
      <c r="B162" s="159"/>
      <c r="C162" s="58" t="s">
        <v>2617</v>
      </c>
      <c r="D162" s="58" t="s">
        <v>2618</v>
      </c>
      <c r="E162" s="58" t="s">
        <v>2619</v>
      </c>
      <c r="F162" s="58" t="s">
        <v>2253</v>
      </c>
      <c r="G162" s="58"/>
      <c r="H162" s="58"/>
      <c r="I162" s="104">
        <v>120.02</v>
      </c>
      <c r="J162" s="161" t="str">
        <f t="shared" si="32"/>
        <v/>
      </c>
      <c r="K162" s="162">
        <v>43879.0</v>
      </c>
      <c r="L162" s="163" t="b">
        <v>0</v>
      </c>
      <c r="M162" s="88"/>
      <c r="N162" s="62" t="s">
        <v>9</v>
      </c>
      <c r="O162" s="164" t="s">
        <v>150</v>
      </c>
      <c r="P162" s="164" t="s">
        <v>150</v>
      </c>
      <c r="Q162" s="164">
        <v>120.02</v>
      </c>
      <c r="R162" s="164" t="s">
        <v>150</v>
      </c>
      <c r="S162" s="164" t="s">
        <v>150</v>
      </c>
      <c r="T162" s="58" t="s">
        <v>2264</v>
      </c>
      <c r="U162" s="58" t="s">
        <v>2620</v>
      </c>
      <c r="V162" s="150" t="s">
        <v>2620</v>
      </c>
      <c r="W162" s="58" t="e">
        <v>#N/A</v>
      </c>
      <c r="X162" s="58"/>
    </row>
    <row r="163">
      <c r="A163" s="159">
        <v>72.0</v>
      </c>
      <c r="B163" s="159"/>
      <c r="C163" s="166" t="s">
        <v>2621</v>
      </c>
      <c r="D163" s="62" t="s">
        <v>2622</v>
      </c>
      <c r="E163" s="58" t="s">
        <v>2623</v>
      </c>
      <c r="F163" s="58" t="s">
        <v>2253</v>
      </c>
      <c r="G163" s="58"/>
      <c r="H163" s="58"/>
      <c r="I163" s="104">
        <v>69.62</v>
      </c>
      <c r="J163" s="161">
        <f>IF(L163=TRUE,SUM(O163:S163),"")</f>
        <v>69.62</v>
      </c>
      <c r="K163" s="162">
        <v>43924.0</v>
      </c>
      <c r="L163" s="167" t="b">
        <v>1</v>
      </c>
      <c r="M163" s="88"/>
      <c r="N163" s="62" t="s">
        <v>9</v>
      </c>
      <c r="O163" s="164">
        <v>69.62</v>
      </c>
      <c r="P163" s="164" t="s">
        <v>150</v>
      </c>
      <c r="Q163" s="164" t="s">
        <v>150</v>
      </c>
      <c r="R163" s="164" t="s">
        <v>150</v>
      </c>
      <c r="S163" s="164" t="s">
        <v>150</v>
      </c>
      <c r="T163" s="58" t="s">
        <v>2264</v>
      </c>
      <c r="U163" s="62" t="s">
        <v>104</v>
      </c>
      <c r="V163" s="62"/>
      <c r="W163" s="58" t="b">
        <v>1</v>
      </c>
      <c r="X163" s="58"/>
    </row>
    <row r="164" hidden="1">
      <c r="A164" s="159">
        <v>158.0</v>
      </c>
      <c r="B164" s="159"/>
      <c r="C164" s="58" t="s">
        <v>2320</v>
      </c>
      <c r="D164" s="58" t="s">
        <v>2321</v>
      </c>
      <c r="E164" s="58" t="s">
        <v>2477</v>
      </c>
      <c r="F164" s="58" t="s">
        <v>2624</v>
      </c>
      <c r="G164" s="160"/>
      <c r="H164" s="160"/>
      <c r="I164" s="104">
        <v>10890.0</v>
      </c>
      <c r="J164" s="149" t="str">
        <f>IF(L164=TRUE,I164,"")</f>
        <v/>
      </c>
      <c r="K164" s="162">
        <v>44111.0</v>
      </c>
      <c r="L164" s="167" t="b">
        <v>0</v>
      </c>
      <c r="M164" s="37"/>
      <c r="N164" s="62" t="s">
        <v>2254</v>
      </c>
      <c r="O164" s="164">
        <v>5000.0</v>
      </c>
      <c r="P164" s="164" t="s">
        <v>150</v>
      </c>
      <c r="Q164" s="164" t="s">
        <v>150</v>
      </c>
      <c r="R164" s="164" t="s">
        <v>150</v>
      </c>
      <c r="S164" s="164" t="s">
        <v>150</v>
      </c>
      <c r="T164" s="58" t="s">
        <v>2255</v>
      </c>
      <c r="U164" s="62" t="s">
        <v>2625</v>
      </c>
      <c r="V164" s="165" t="s">
        <v>2626</v>
      </c>
      <c r="W164" s="58" t="e">
        <v>#N/A</v>
      </c>
      <c r="X164" s="58"/>
    </row>
    <row r="165">
      <c r="A165" s="159">
        <v>50.0</v>
      </c>
      <c r="B165" s="159"/>
      <c r="C165" s="58" t="s">
        <v>2627</v>
      </c>
      <c r="D165" s="58" t="s">
        <v>2628</v>
      </c>
      <c r="E165" s="58" t="s">
        <v>2623</v>
      </c>
      <c r="F165" s="58" t="s">
        <v>2253</v>
      </c>
      <c r="G165" s="58"/>
      <c r="H165" s="58"/>
      <c r="I165" s="104">
        <v>362.9</v>
      </c>
      <c r="J165" s="161">
        <f t="shared" ref="J165:J166" si="33">IF(L165=TRUE,SUM(O165:S165),"")</f>
        <v>362.9</v>
      </c>
      <c r="K165" s="162">
        <v>43873.0</v>
      </c>
      <c r="L165" s="167" t="b">
        <v>1</v>
      </c>
      <c r="M165" s="88"/>
      <c r="N165" s="62" t="s">
        <v>9</v>
      </c>
      <c r="O165" s="164" t="s">
        <v>150</v>
      </c>
      <c r="P165" s="164" t="s">
        <v>150</v>
      </c>
      <c r="Q165" s="164">
        <v>362.9</v>
      </c>
      <c r="R165" s="164" t="s">
        <v>150</v>
      </c>
      <c r="S165" s="164" t="s">
        <v>150</v>
      </c>
      <c r="T165" s="58" t="s">
        <v>2264</v>
      </c>
      <c r="U165" s="58" t="s">
        <v>2620</v>
      </c>
      <c r="V165" s="150" t="s">
        <v>2620</v>
      </c>
      <c r="W165" s="58" t="e">
        <v>#N/A</v>
      </c>
      <c r="X165" s="58"/>
    </row>
    <row r="166">
      <c r="A166" s="159">
        <v>170.0</v>
      </c>
      <c r="B166" s="159"/>
      <c r="C166" s="166" t="s">
        <v>2629</v>
      </c>
      <c r="D166" s="62" t="s">
        <v>2630</v>
      </c>
      <c r="E166" s="58" t="s">
        <v>2631</v>
      </c>
      <c r="F166" s="58" t="s">
        <v>2632</v>
      </c>
      <c r="G166" s="58"/>
      <c r="H166" s="58"/>
      <c r="I166" s="104">
        <v>315.84</v>
      </c>
      <c r="J166" s="161">
        <f t="shared" si="33"/>
        <v>315.84</v>
      </c>
      <c r="K166" s="162">
        <v>44126.0</v>
      </c>
      <c r="L166" s="167" t="b">
        <v>1</v>
      </c>
      <c r="M166" s="37"/>
      <c r="N166" s="62" t="s">
        <v>2254</v>
      </c>
      <c r="O166" s="164">
        <v>315.84</v>
      </c>
      <c r="P166" s="164" t="s">
        <v>150</v>
      </c>
      <c r="Q166" s="164" t="s">
        <v>150</v>
      </c>
      <c r="R166" s="164" t="s">
        <v>150</v>
      </c>
      <c r="S166" s="164" t="s">
        <v>150</v>
      </c>
      <c r="T166" s="58" t="s">
        <v>2255</v>
      </c>
      <c r="U166" s="62" t="s">
        <v>108</v>
      </c>
      <c r="V166" s="62"/>
      <c r="W166" s="58" t="b">
        <v>1</v>
      </c>
      <c r="X166" s="58"/>
    </row>
    <row r="167" hidden="1">
      <c r="A167" s="159">
        <v>161.0</v>
      </c>
      <c r="B167" s="159"/>
      <c r="C167" s="58" t="s">
        <v>2313</v>
      </c>
      <c r="D167" s="58" t="s">
        <v>2314</v>
      </c>
      <c r="E167" s="58" t="s">
        <v>2633</v>
      </c>
      <c r="F167" s="58" t="s">
        <v>2634</v>
      </c>
      <c r="G167" s="160"/>
      <c r="H167" s="160"/>
      <c r="I167" s="104">
        <v>17.08</v>
      </c>
      <c r="J167" s="149" t="str">
        <f t="shared" ref="J167:J168" si="34">IF(L167=TRUE,I167,"")</f>
        <v/>
      </c>
      <c r="K167" s="162">
        <v>44112.0</v>
      </c>
      <c r="L167" s="163" t="b">
        <v>0</v>
      </c>
      <c r="M167" s="169" t="s">
        <v>2317</v>
      </c>
      <c r="N167" s="62" t="s">
        <v>9</v>
      </c>
      <c r="O167" s="164">
        <v>17.08</v>
      </c>
      <c r="P167" s="164" t="s">
        <v>150</v>
      </c>
      <c r="Q167" s="164" t="s">
        <v>150</v>
      </c>
      <c r="R167" s="164" t="s">
        <v>150</v>
      </c>
      <c r="S167" s="164" t="s">
        <v>150</v>
      </c>
      <c r="T167" s="58" t="s">
        <v>2264</v>
      </c>
      <c r="U167" s="62" t="s">
        <v>138</v>
      </c>
      <c r="V167" s="62"/>
      <c r="W167" s="58" t="b">
        <v>1</v>
      </c>
      <c r="X167" s="58"/>
    </row>
    <row r="168" hidden="1">
      <c r="A168" s="159">
        <v>162.0</v>
      </c>
      <c r="B168" s="159"/>
      <c r="C168" s="58" t="s">
        <v>2313</v>
      </c>
      <c r="D168" s="58" t="s">
        <v>2314</v>
      </c>
      <c r="E168" s="58" t="s">
        <v>2635</v>
      </c>
      <c r="F168" s="58" t="s">
        <v>2636</v>
      </c>
      <c r="G168" s="160"/>
      <c r="H168" s="160"/>
      <c r="I168" s="104">
        <v>349.29</v>
      </c>
      <c r="J168" s="149" t="str">
        <f t="shared" si="34"/>
        <v/>
      </c>
      <c r="K168" s="162">
        <v>44113.0</v>
      </c>
      <c r="L168" s="163" t="b">
        <v>0</v>
      </c>
      <c r="M168" s="169" t="s">
        <v>2317</v>
      </c>
      <c r="N168" s="62" t="s">
        <v>9</v>
      </c>
      <c r="O168" s="164">
        <v>349.29</v>
      </c>
      <c r="P168" s="164" t="s">
        <v>150</v>
      </c>
      <c r="Q168" s="164" t="s">
        <v>150</v>
      </c>
      <c r="R168" s="164" t="s">
        <v>150</v>
      </c>
      <c r="S168" s="164" t="s">
        <v>150</v>
      </c>
      <c r="T168" s="58" t="s">
        <v>2264</v>
      </c>
      <c r="U168" s="62" t="s">
        <v>108</v>
      </c>
      <c r="V168" s="62"/>
      <c r="W168" s="58" t="b">
        <v>1</v>
      </c>
      <c r="X168" s="58"/>
    </row>
    <row r="169">
      <c r="A169" s="159">
        <v>12.0</v>
      </c>
      <c r="B169" s="159"/>
      <c r="C169" s="166" t="s">
        <v>2637</v>
      </c>
      <c r="D169" s="62" t="s">
        <v>2638</v>
      </c>
      <c r="E169" s="58" t="s">
        <v>2639</v>
      </c>
      <c r="F169" s="58" t="s">
        <v>2289</v>
      </c>
      <c r="G169" s="58"/>
      <c r="H169" s="58"/>
      <c r="I169" s="104">
        <v>427.15</v>
      </c>
      <c r="J169" s="161">
        <f t="shared" ref="J169:J171" si="35">IF(L169=TRUE,SUM(O169:S169),"")</f>
        <v>427.15</v>
      </c>
      <c r="K169" s="162">
        <v>43866.0</v>
      </c>
      <c r="L169" s="167" t="b">
        <v>1</v>
      </c>
      <c r="M169" s="88"/>
      <c r="N169" s="62" t="s">
        <v>2254</v>
      </c>
      <c r="O169" s="164">
        <v>427.15</v>
      </c>
      <c r="P169" s="164" t="s">
        <v>150</v>
      </c>
      <c r="Q169" s="164" t="s">
        <v>150</v>
      </c>
      <c r="R169" s="164" t="s">
        <v>150</v>
      </c>
      <c r="S169" s="164" t="s">
        <v>150</v>
      </c>
      <c r="T169" s="58" t="s">
        <v>2255</v>
      </c>
      <c r="U169" s="62" t="s">
        <v>108</v>
      </c>
      <c r="V169" s="62"/>
      <c r="W169" s="58" t="b">
        <v>1</v>
      </c>
      <c r="X169" s="58"/>
    </row>
    <row r="170">
      <c r="A170" s="159">
        <v>73.0</v>
      </c>
      <c r="B170" s="159"/>
      <c r="C170" s="166" t="s">
        <v>2640</v>
      </c>
      <c r="D170" s="62" t="s">
        <v>2641</v>
      </c>
      <c r="E170" s="58" t="s">
        <v>2623</v>
      </c>
      <c r="F170" s="58" t="s">
        <v>2253</v>
      </c>
      <c r="G170" s="58"/>
      <c r="H170" s="58"/>
      <c r="I170" s="104">
        <v>194.35</v>
      </c>
      <c r="J170" s="161">
        <f t="shared" si="35"/>
        <v>194.35</v>
      </c>
      <c r="K170" s="162">
        <v>43929.0</v>
      </c>
      <c r="L170" s="163" t="b">
        <v>1</v>
      </c>
      <c r="M170" s="88"/>
      <c r="N170" s="62" t="s">
        <v>9</v>
      </c>
      <c r="O170" s="164">
        <v>194.35</v>
      </c>
      <c r="P170" s="164" t="s">
        <v>150</v>
      </c>
      <c r="Q170" s="164" t="s">
        <v>150</v>
      </c>
      <c r="R170" s="164" t="s">
        <v>150</v>
      </c>
      <c r="S170" s="164" t="s">
        <v>150</v>
      </c>
      <c r="T170" s="58" t="s">
        <v>2264</v>
      </c>
      <c r="U170" s="62" t="s">
        <v>103</v>
      </c>
      <c r="V170" s="150" t="s">
        <v>2642</v>
      </c>
      <c r="W170" s="58" t="b">
        <v>1</v>
      </c>
      <c r="X170" s="58"/>
    </row>
    <row r="171">
      <c r="A171" s="159">
        <v>151.0</v>
      </c>
      <c r="B171" s="159"/>
      <c r="C171" s="166" t="s">
        <v>2313</v>
      </c>
      <c r="D171" s="62" t="s">
        <v>2314</v>
      </c>
      <c r="E171" s="58" t="s">
        <v>2643</v>
      </c>
      <c r="F171" s="58" t="s">
        <v>2644</v>
      </c>
      <c r="G171" s="58"/>
      <c r="H171" s="58"/>
      <c r="I171" s="104">
        <v>3210.06</v>
      </c>
      <c r="J171" s="161">
        <f t="shared" si="35"/>
        <v>3210.06</v>
      </c>
      <c r="K171" s="162">
        <v>44092.0</v>
      </c>
      <c r="L171" s="163" t="b">
        <v>1</v>
      </c>
      <c r="M171" s="37"/>
      <c r="N171" s="62" t="s">
        <v>9</v>
      </c>
      <c r="O171" s="164" t="s">
        <v>150</v>
      </c>
      <c r="P171" s="164" t="s">
        <v>150</v>
      </c>
      <c r="Q171" s="164" t="s">
        <v>150</v>
      </c>
      <c r="R171" s="164">
        <v>3210.06</v>
      </c>
      <c r="S171" s="164" t="s">
        <v>150</v>
      </c>
      <c r="T171" s="58" t="s">
        <v>2264</v>
      </c>
      <c r="U171" s="62" t="s">
        <v>101</v>
      </c>
      <c r="V171" s="150" t="s">
        <v>2398</v>
      </c>
      <c r="W171" s="58" t="b">
        <v>1</v>
      </c>
      <c r="X171" s="58"/>
    </row>
    <row r="172" hidden="1">
      <c r="A172" s="159">
        <v>166.0</v>
      </c>
      <c r="B172" s="159"/>
      <c r="C172" s="58" t="s">
        <v>2645</v>
      </c>
      <c r="D172" s="58" t="s">
        <v>2251</v>
      </c>
      <c r="E172" s="62" t="s">
        <v>2646</v>
      </c>
      <c r="F172" s="58" t="s">
        <v>2253</v>
      </c>
      <c r="G172" s="160"/>
      <c r="H172" s="160"/>
      <c r="I172" s="104">
        <v>560.0</v>
      </c>
      <c r="J172" s="149" t="str">
        <f t="shared" ref="J172:J179" si="36">IF(L172=TRUE,I172,"")</f>
        <v/>
      </c>
      <c r="K172" s="162">
        <v>44104.0</v>
      </c>
      <c r="L172" s="163" t="b">
        <v>0</v>
      </c>
      <c r="M172" s="37"/>
      <c r="N172" s="62" t="s">
        <v>2254</v>
      </c>
      <c r="O172" s="164">
        <v>560.0</v>
      </c>
      <c r="P172" s="164" t="s">
        <v>150</v>
      </c>
      <c r="Q172" s="164" t="s">
        <v>150</v>
      </c>
      <c r="R172" s="164" t="s">
        <v>150</v>
      </c>
      <c r="S172" s="164" t="s">
        <v>150</v>
      </c>
      <c r="T172" s="58" t="s">
        <v>2255</v>
      </c>
      <c r="U172" s="62" t="s">
        <v>104</v>
      </c>
      <c r="V172" s="62"/>
      <c r="W172" s="58" t="b">
        <v>1</v>
      </c>
      <c r="X172" s="58"/>
    </row>
    <row r="173" hidden="1">
      <c r="A173" s="159">
        <v>101.0</v>
      </c>
      <c r="B173" s="159"/>
      <c r="C173" s="58" t="s">
        <v>2320</v>
      </c>
      <c r="D173" s="58" t="s">
        <v>2321</v>
      </c>
      <c r="E173" s="58" t="s">
        <v>2477</v>
      </c>
      <c r="F173" s="58" t="s">
        <v>2647</v>
      </c>
      <c r="G173" s="58"/>
      <c r="H173" s="58"/>
      <c r="I173" s="104">
        <v>10669.5</v>
      </c>
      <c r="J173" s="161" t="str">
        <f t="shared" si="36"/>
        <v/>
      </c>
      <c r="K173" s="162">
        <v>44018.0</v>
      </c>
      <c r="L173" s="163" t="b">
        <v>0</v>
      </c>
      <c r="M173" s="88"/>
      <c r="N173" s="62" t="s">
        <v>2254</v>
      </c>
      <c r="O173" s="164">
        <v>5000.0</v>
      </c>
      <c r="P173" s="164" t="s">
        <v>150</v>
      </c>
      <c r="Q173" s="164" t="s">
        <v>150</v>
      </c>
      <c r="R173" s="164" t="s">
        <v>150</v>
      </c>
      <c r="S173" s="164" t="s">
        <v>150</v>
      </c>
      <c r="T173" s="58" t="s">
        <v>2255</v>
      </c>
      <c r="U173" s="62" t="s">
        <v>2648</v>
      </c>
      <c r="V173" s="165" t="s">
        <v>2649</v>
      </c>
      <c r="W173" s="58" t="e">
        <v>#N/A</v>
      </c>
      <c r="X173" s="58"/>
    </row>
    <row r="174" hidden="1">
      <c r="A174" s="159">
        <v>168.0</v>
      </c>
      <c r="B174" s="159"/>
      <c r="C174" s="58" t="s">
        <v>356</v>
      </c>
      <c r="D174" s="58" t="s">
        <v>2251</v>
      </c>
      <c r="E174" s="58" t="s">
        <v>2650</v>
      </c>
      <c r="F174" s="58" t="s">
        <v>2289</v>
      </c>
      <c r="G174" s="160"/>
      <c r="H174" s="160"/>
      <c r="I174" s="104">
        <v>642.38</v>
      </c>
      <c r="J174" s="149" t="str">
        <f t="shared" si="36"/>
        <v/>
      </c>
      <c r="K174" s="162">
        <v>44134.0</v>
      </c>
      <c r="L174" s="167" t="b">
        <v>0</v>
      </c>
      <c r="M174" s="37"/>
      <c r="N174" s="62" t="s">
        <v>9</v>
      </c>
      <c r="O174" s="164">
        <v>642.38</v>
      </c>
      <c r="P174" s="164" t="s">
        <v>150</v>
      </c>
      <c r="Q174" s="164" t="s">
        <v>150</v>
      </c>
      <c r="R174" s="164" t="s">
        <v>150</v>
      </c>
      <c r="S174" s="164" t="s">
        <v>150</v>
      </c>
      <c r="T174" s="58" t="s">
        <v>2264</v>
      </c>
      <c r="U174" s="62" t="s">
        <v>108</v>
      </c>
      <c r="V174" s="62"/>
      <c r="W174" s="58" t="b">
        <v>1</v>
      </c>
      <c r="X174" s="58"/>
    </row>
    <row r="175" hidden="1">
      <c r="A175" s="159">
        <v>169.0</v>
      </c>
      <c r="B175" s="159"/>
      <c r="C175" s="58" t="s">
        <v>1306</v>
      </c>
      <c r="D175" s="58" t="s">
        <v>2251</v>
      </c>
      <c r="E175" s="58" t="s">
        <v>2650</v>
      </c>
      <c r="F175" s="58" t="s">
        <v>2289</v>
      </c>
      <c r="G175" s="160"/>
      <c r="H175" s="160"/>
      <c r="I175" s="104">
        <v>632.47</v>
      </c>
      <c r="J175" s="149" t="str">
        <f t="shared" si="36"/>
        <v/>
      </c>
      <c r="K175" s="162">
        <v>44134.0</v>
      </c>
      <c r="L175" s="167" t="b">
        <v>0</v>
      </c>
      <c r="M175" s="37"/>
      <c r="N175" s="62" t="s">
        <v>9</v>
      </c>
      <c r="O175" s="164">
        <v>632.47</v>
      </c>
      <c r="P175" s="164" t="s">
        <v>150</v>
      </c>
      <c r="Q175" s="164" t="s">
        <v>150</v>
      </c>
      <c r="R175" s="164" t="s">
        <v>150</v>
      </c>
      <c r="S175" s="164" t="s">
        <v>150</v>
      </c>
      <c r="T175" s="58" t="s">
        <v>2264</v>
      </c>
      <c r="U175" s="62" t="s">
        <v>108</v>
      </c>
      <c r="V175" s="62"/>
      <c r="W175" s="58" t="b">
        <v>1</v>
      </c>
      <c r="X175" s="58"/>
    </row>
    <row r="176" hidden="1">
      <c r="A176" s="159">
        <v>123.0</v>
      </c>
      <c r="B176" s="159"/>
      <c r="C176" s="58" t="s">
        <v>2320</v>
      </c>
      <c r="D176" s="58" t="s">
        <v>2321</v>
      </c>
      <c r="E176" s="58" t="s">
        <v>2477</v>
      </c>
      <c r="F176" s="58" t="s">
        <v>2651</v>
      </c>
      <c r="G176" s="58"/>
      <c r="H176" s="58"/>
      <c r="I176" s="104">
        <v>10784.48</v>
      </c>
      <c r="J176" s="149" t="str">
        <f t="shared" si="36"/>
        <v/>
      </c>
      <c r="K176" s="162">
        <v>44050.0</v>
      </c>
      <c r="L176" s="163" t="b">
        <v>0</v>
      </c>
      <c r="M176" s="37"/>
      <c r="N176" s="62" t="s">
        <v>2254</v>
      </c>
      <c r="O176" s="164">
        <v>5000.0</v>
      </c>
      <c r="P176" s="164" t="s">
        <v>150</v>
      </c>
      <c r="Q176" s="164" t="s">
        <v>150</v>
      </c>
      <c r="R176" s="164" t="s">
        <v>150</v>
      </c>
      <c r="S176" s="164" t="s">
        <v>150</v>
      </c>
      <c r="T176" s="58" t="s">
        <v>2255</v>
      </c>
      <c r="U176" s="62" t="s">
        <v>2652</v>
      </c>
      <c r="V176" s="165" t="s">
        <v>2653</v>
      </c>
      <c r="W176" s="58" t="e">
        <v>#N/A</v>
      </c>
      <c r="X176" s="58"/>
    </row>
    <row r="177" hidden="1">
      <c r="A177" s="159">
        <v>144.0</v>
      </c>
      <c r="B177" s="159"/>
      <c r="C177" s="58" t="s">
        <v>2320</v>
      </c>
      <c r="D177" s="58" t="s">
        <v>2321</v>
      </c>
      <c r="E177" s="58" t="s">
        <v>2477</v>
      </c>
      <c r="F177" s="58" t="s">
        <v>2654</v>
      </c>
      <c r="G177" s="58"/>
      <c r="H177" s="58"/>
      <c r="I177" s="104">
        <v>10677.0</v>
      </c>
      <c r="J177" s="149" t="str">
        <f t="shared" si="36"/>
        <v/>
      </c>
      <c r="K177" s="162">
        <v>44084.0</v>
      </c>
      <c r="L177" s="163" t="b">
        <v>0</v>
      </c>
      <c r="M177" s="37"/>
      <c r="N177" s="62" t="s">
        <v>2254</v>
      </c>
      <c r="O177" s="164">
        <v>5000.0</v>
      </c>
      <c r="P177" s="164" t="s">
        <v>150</v>
      </c>
      <c r="Q177" s="164" t="s">
        <v>150</v>
      </c>
      <c r="R177" s="164" t="s">
        <v>150</v>
      </c>
      <c r="S177" s="164" t="s">
        <v>150</v>
      </c>
      <c r="T177" s="58" t="s">
        <v>2255</v>
      </c>
      <c r="U177" s="62" t="s">
        <v>2379</v>
      </c>
      <c r="V177" s="165" t="s">
        <v>2380</v>
      </c>
      <c r="W177" s="58" t="e">
        <v>#N/A</v>
      </c>
      <c r="X177" s="58"/>
    </row>
    <row r="178" hidden="1">
      <c r="A178" s="159">
        <v>172.0</v>
      </c>
      <c r="B178" s="159"/>
      <c r="C178" s="58" t="s">
        <v>2655</v>
      </c>
      <c r="D178" s="58" t="s">
        <v>2656</v>
      </c>
      <c r="E178" s="58" t="s">
        <v>2657</v>
      </c>
      <c r="F178" s="58" t="s">
        <v>2658</v>
      </c>
      <c r="G178" s="160"/>
      <c r="H178" s="160"/>
      <c r="I178" s="104">
        <v>500.0</v>
      </c>
      <c r="J178" s="149" t="str">
        <f t="shared" si="36"/>
        <v/>
      </c>
      <c r="K178" s="162">
        <v>44130.0</v>
      </c>
      <c r="L178" s="163" t="b">
        <v>0</v>
      </c>
      <c r="M178" s="37"/>
      <c r="N178" s="62" t="s">
        <v>2254</v>
      </c>
      <c r="O178" s="164">
        <v>500.0</v>
      </c>
      <c r="P178" s="164" t="s">
        <v>150</v>
      </c>
      <c r="Q178" s="164" t="s">
        <v>150</v>
      </c>
      <c r="R178" s="164" t="s">
        <v>150</v>
      </c>
      <c r="S178" s="164" t="s">
        <v>150</v>
      </c>
      <c r="T178" s="58" t="s">
        <v>2255</v>
      </c>
      <c r="U178" s="62" t="s">
        <v>104</v>
      </c>
      <c r="V178" s="62"/>
      <c r="W178" s="58" t="b">
        <v>1</v>
      </c>
      <c r="X178" s="58"/>
    </row>
    <row r="179" hidden="1">
      <c r="A179" s="159">
        <v>173.0</v>
      </c>
      <c r="B179" s="159"/>
      <c r="C179" s="58" t="s">
        <v>2659</v>
      </c>
      <c r="D179" s="58" t="s">
        <v>2660</v>
      </c>
      <c r="E179" s="58" t="s">
        <v>2661</v>
      </c>
      <c r="F179" s="58" t="s">
        <v>2662</v>
      </c>
      <c r="G179" s="160"/>
      <c r="H179" s="160"/>
      <c r="I179" s="104">
        <v>6072.0</v>
      </c>
      <c r="J179" s="149" t="str">
        <f t="shared" si="36"/>
        <v/>
      </c>
      <c r="K179" s="162">
        <v>44096.0</v>
      </c>
      <c r="L179" s="163" t="b">
        <v>0</v>
      </c>
      <c r="M179" s="169" t="s">
        <v>2317</v>
      </c>
      <c r="N179" s="62" t="s">
        <v>9</v>
      </c>
      <c r="O179" s="164" t="s">
        <v>150</v>
      </c>
      <c r="P179" s="164" t="s">
        <v>150</v>
      </c>
      <c r="Q179" s="164" t="s">
        <v>150</v>
      </c>
      <c r="R179" s="164">
        <v>6072.0</v>
      </c>
      <c r="S179" s="164" t="s">
        <v>150</v>
      </c>
      <c r="T179" s="58" t="s">
        <v>2255</v>
      </c>
      <c r="U179" s="62" t="s">
        <v>2663</v>
      </c>
      <c r="V179" s="165" t="s">
        <v>2664</v>
      </c>
      <c r="W179" s="58" t="e">
        <v>#N/A</v>
      </c>
      <c r="X179" s="58"/>
    </row>
    <row r="180">
      <c r="A180" s="159">
        <v>35.0</v>
      </c>
      <c r="B180" s="159"/>
      <c r="C180" s="166" t="s">
        <v>2665</v>
      </c>
      <c r="D180" s="62" t="s">
        <v>2251</v>
      </c>
      <c r="E180" s="58" t="s">
        <v>2665</v>
      </c>
      <c r="F180" s="58" t="s">
        <v>2253</v>
      </c>
      <c r="G180" s="58"/>
      <c r="H180" s="58"/>
      <c r="I180" s="104">
        <v>396.51</v>
      </c>
      <c r="J180" s="161">
        <f>IF(L180=TRUE,SUM(O180:S180),"")</f>
        <v>396.51</v>
      </c>
      <c r="K180" s="162">
        <v>43887.0</v>
      </c>
      <c r="L180" s="167" t="b">
        <v>1</v>
      </c>
      <c r="M180" s="88"/>
      <c r="N180" s="62" t="s">
        <v>9</v>
      </c>
      <c r="O180" s="164">
        <v>396.51</v>
      </c>
      <c r="P180" s="164" t="s">
        <v>150</v>
      </c>
      <c r="Q180" s="164" t="s">
        <v>150</v>
      </c>
      <c r="R180" s="164" t="s">
        <v>150</v>
      </c>
      <c r="S180" s="164" t="s">
        <v>150</v>
      </c>
      <c r="T180" s="58" t="s">
        <v>2255</v>
      </c>
      <c r="U180" s="62" t="s">
        <v>108</v>
      </c>
      <c r="V180" s="62"/>
      <c r="W180" s="58" t="b">
        <v>1</v>
      </c>
      <c r="X180" s="58"/>
    </row>
    <row r="181" hidden="1">
      <c r="A181" s="159">
        <v>175.0</v>
      </c>
      <c r="B181" s="159"/>
      <c r="C181" s="58" t="s">
        <v>2590</v>
      </c>
      <c r="D181" s="58" t="s">
        <v>2591</v>
      </c>
      <c r="E181" s="58" t="s">
        <v>2666</v>
      </c>
      <c r="F181" s="58" t="s">
        <v>2667</v>
      </c>
      <c r="G181" s="160"/>
      <c r="H181" s="160"/>
      <c r="I181" s="104">
        <v>5589.49</v>
      </c>
      <c r="J181" s="149" t="str">
        <f t="shared" ref="J181:J182" si="37">IF(L181=TRUE,I181,"")</f>
        <v/>
      </c>
      <c r="K181" s="162">
        <v>44131.0</v>
      </c>
      <c r="L181" s="62" t="b">
        <v>0</v>
      </c>
      <c r="M181" s="37"/>
      <c r="N181" s="62" t="s">
        <v>2254</v>
      </c>
      <c r="O181" s="164">
        <v>5589.49</v>
      </c>
      <c r="P181" s="164" t="s">
        <v>150</v>
      </c>
      <c r="Q181" s="164" t="s">
        <v>150</v>
      </c>
      <c r="R181" s="164" t="s">
        <v>150</v>
      </c>
      <c r="S181" s="164" t="s">
        <v>150</v>
      </c>
      <c r="T181" s="58" t="s">
        <v>2255</v>
      </c>
      <c r="U181" s="62" t="s">
        <v>104</v>
      </c>
      <c r="V181" s="62"/>
      <c r="W181" s="58" t="b">
        <v>1</v>
      </c>
      <c r="X181" s="58"/>
    </row>
    <row r="182" hidden="1">
      <c r="A182" s="159">
        <v>176.0</v>
      </c>
      <c r="B182" s="159"/>
      <c r="C182" s="58" t="s">
        <v>2668</v>
      </c>
      <c r="D182" s="58" t="s">
        <v>2669</v>
      </c>
      <c r="E182" s="58" t="s">
        <v>2670</v>
      </c>
      <c r="F182" s="58" t="s">
        <v>2671</v>
      </c>
      <c r="G182" s="160"/>
      <c r="H182" s="160"/>
      <c r="I182" s="104">
        <v>538.0</v>
      </c>
      <c r="J182" s="149" t="str">
        <f t="shared" si="37"/>
        <v/>
      </c>
      <c r="K182" s="162">
        <v>44133.0</v>
      </c>
      <c r="L182" s="62" t="b">
        <v>0</v>
      </c>
      <c r="M182" s="37"/>
      <c r="N182" s="62" t="s">
        <v>2254</v>
      </c>
      <c r="O182" s="164">
        <v>365.0</v>
      </c>
      <c r="P182" s="164" t="s">
        <v>150</v>
      </c>
      <c r="Q182" s="164" t="s">
        <v>150</v>
      </c>
      <c r="R182" s="164" t="s">
        <v>150</v>
      </c>
      <c r="S182" s="164" t="s">
        <v>150</v>
      </c>
      <c r="T182" s="58" t="s">
        <v>2255</v>
      </c>
      <c r="U182" s="62" t="s">
        <v>104</v>
      </c>
      <c r="V182" s="62"/>
      <c r="W182" s="58" t="b">
        <v>1</v>
      </c>
      <c r="X182" s="58"/>
    </row>
    <row r="183">
      <c r="A183" s="159">
        <v>36.0</v>
      </c>
      <c r="B183" s="159"/>
      <c r="C183" s="166" t="s">
        <v>2672</v>
      </c>
      <c r="D183" s="62" t="s">
        <v>2251</v>
      </c>
      <c r="E183" s="58" t="s">
        <v>2672</v>
      </c>
      <c r="F183" s="58" t="s">
        <v>2253</v>
      </c>
      <c r="G183" s="58"/>
      <c r="H183" s="58"/>
      <c r="I183" s="104">
        <v>550.37</v>
      </c>
      <c r="J183" s="161">
        <f t="shared" ref="J183:J184" si="38">IF(L183=TRUE,SUM(O183:S183),"")</f>
        <v>550.37</v>
      </c>
      <c r="K183" s="162">
        <v>43893.0</v>
      </c>
      <c r="L183" s="163" t="b">
        <v>1</v>
      </c>
      <c r="M183" s="88"/>
      <c r="N183" s="62" t="s">
        <v>9</v>
      </c>
      <c r="O183" s="164">
        <v>550.37</v>
      </c>
      <c r="P183" s="164" t="s">
        <v>150</v>
      </c>
      <c r="Q183" s="164" t="s">
        <v>150</v>
      </c>
      <c r="R183" s="164" t="s">
        <v>150</v>
      </c>
      <c r="S183" s="164" t="s">
        <v>150</v>
      </c>
      <c r="T183" s="58" t="s">
        <v>2255</v>
      </c>
      <c r="U183" s="58" t="s">
        <v>100</v>
      </c>
      <c r="V183" s="58"/>
      <c r="W183" s="58" t="b">
        <v>1</v>
      </c>
      <c r="X183" s="58"/>
    </row>
    <row r="184">
      <c r="A184" s="159">
        <v>38.0</v>
      </c>
      <c r="B184" s="159"/>
      <c r="C184" s="166" t="s">
        <v>2673</v>
      </c>
      <c r="D184" s="62" t="s">
        <v>2251</v>
      </c>
      <c r="E184" s="58" t="s">
        <v>2673</v>
      </c>
      <c r="F184" s="58" t="s">
        <v>2253</v>
      </c>
      <c r="G184" s="58"/>
      <c r="H184" s="58"/>
      <c r="I184" s="104">
        <v>300.9</v>
      </c>
      <c r="J184" s="161">
        <f t="shared" si="38"/>
        <v>300.9</v>
      </c>
      <c r="K184" s="162">
        <v>43894.0</v>
      </c>
      <c r="L184" s="163" t="b">
        <v>1</v>
      </c>
      <c r="M184" s="88"/>
      <c r="N184" s="62" t="s">
        <v>9</v>
      </c>
      <c r="O184" s="164">
        <v>300.9</v>
      </c>
      <c r="P184" s="164" t="s">
        <v>150</v>
      </c>
      <c r="Q184" s="164" t="s">
        <v>150</v>
      </c>
      <c r="R184" s="164" t="s">
        <v>150</v>
      </c>
      <c r="S184" s="164" t="s">
        <v>150</v>
      </c>
      <c r="T184" s="58" t="s">
        <v>2255</v>
      </c>
      <c r="U184" s="58" t="s">
        <v>100</v>
      </c>
      <c r="V184" s="58"/>
      <c r="W184" s="58" t="b">
        <v>1</v>
      </c>
      <c r="X184" s="58"/>
    </row>
    <row r="185" hidden="1">
      <c r="A185" s="159">
        <v>82.0</v>
      </c>
      <c r="B185" s="159"/>
      <c r="C185" s="58" t="s">
        <v>2382</v>
      </c>
      <c r="D185" s="58" t="s">
        <v>2282</v>
      </c>
      <c r="E185" s="58" t="s">
        <v>2674</v>
      </c>
      <c r="F185" s="58" t="s">
        <v>2675</v>
      </c>
      <c r="G185" s="58"/>
      <c r="H185" s="58"/>
      <c r="I185" s="104">
        <v>8750.0</v>
      </c>
      <c r="J185" s="161" t="str">
        <f>IF(L185=TRUE,I185,"")</f>
        <v/>
      </c>
      <c r="K185" s="162">
        <v>43983.0</v>
      </c>
      <c r="L185" s="163" t="b">
        <v>0</v>
      </c>
      <c r="M185" s="88"/>
      <c r="N185" s="62" t="s">
        <v>2254</v>
      </c>
      <c r="O185" s="164">
        <v>2000.0</v>
      </c>
      <c r="P185" s="164" t="s">
        <v>150</v>
      </c>
      <c r="Q185" s="164" t="s">
        <v>150</v>
      </c>
      <c r="R185" s="164" t="s">
        <v>150</v>
      </c>
      <c r="S185" s="164" t="s">
        <v>150</v>
      </c>
      <c r="T185" s="58" t="s">
        <v>2255</v>
      </c>
      <c r="U185" s="62" t="s">
        <v>2676</v>
      </c>
      <c r="V185" s="165" t="s">
        <v>2676</v>
      </c>
      <c r="W185" s="58" t="e">
        <v>#N/A</v>
      </c>
      <c r="X185" s="58"/>
    </row>
    <row r="186">
      <c r="A186" s="159">
        <v>40.0</v>
      </c>
      <c r="B186" s="159"/>
      <c r="C186" s="166" t="s">
        <v>2677</v>
      </c>
      <c r="D186" s="62" t="s">
        <v>2678</v>
      </c>
      <c r="E186" s="58" t="s">
        <v>2679</v>
      </c>
      <c r="F186" s="58" t="s">
        <v>2680</v>
      </c>
      <c r="G186" s="58"/>
      <c r="H186" s="58"/>
      <c r="I186" s="104">
        <v>27988.34</v>
      </c>
      <c r="J186" s="161">
        <f t="shared" ref="J186:J189" si="39">IF(L186=TRUE,SUM(O186:S186),"")</f>
        <v>27988.34</v>
      </c>
      <c r="K186" s="162">
        <v>43894.0</v>
      </c>
      <c r="L186" s="163" t="b">
        <v>1</v>
      </c>
      <c r="M186" s="88"/>
      <c r="N186" s="62" t="s">
        <v>2254</v>
      </c>
      <c r="O186" s="164">
        <v>27988.34</v>
      </c>
      <c r="P186" s="164" t="s">
        <v>150</v>
      </c>
      <c r="Q186" s="164" t="s">
        <v>150</v>
      </c>
      <c r="R186" s="164" t="s">
        <v>150</v>
      </c>
      <c r="S186" s="164" t="s">
        <v>150</v>
      </c>
      <c r="T186" s="58" t="s">
        <v>2255</v>
      </c>
      <c r="U186" s="58" t="s">
        <v>100</v>
      </c>
      <c r="V186" s="58"/>
      <c r="W186" s="58" t="b">
        <v>1</v>
      </c>
      <c r="X186" s="58"/>
    </row>
    <row r="187" hidden="1">
      <c r="A187" s="159">
        <v>181.0</v>
      </c>
      <c r="B187" s="159"/>
      <c r="C187" s="58" t="s">
        <v>2364</v>
      </c>
      <c r="D187" s="58" t="s">
        <v>2365</v>
      </c>
      <c r="E187" s="58" t="s">
        <v>2366</v>
      </c>
      <c r="F187" s="58" t="s">
        <v>2399</v>
      </c>
      <c r="G187" s="160"/>
      <c r="H187" s="160"/>
      <c r="I187" s="104">
        <v>2001.0</v>
      </c>
      <c r="J187" s="149" t="str">
        <f t="shared" si="39"/>
        <v/>
      </c>
      <c r="K187" s="162">
        <v>44123.0</v>
      </c>
      <c r="L187" s="62" t="b">
        <v>0</v>
      </c>
      <c r="M187" s="37"/>
      <c r="N187" s="62" t="s">
        <v>2254</v>
      </c>
      <c r="O187" s="164" t="s">
        <v>150</v>
      </c>
      <c r="P187" s="164" t="s">
        <v>150</v>
      </c>
      <c r="Q187" s="164" t="s">
        <v>150</v>
      </c>
      <c r="R187" s="164">
        <v>667.0</v>
      </c>
      <c r="S187" s="164" t="s">
        <v>150</v>
      </c>
      <c r="T187" s="58" t="s">
        <v>2255</v>
      </c>
      <c r="U187" s="62" t="s">
        <v>108</v>
      </c>
      <c r="V187" s="165" t="s">
        <v>2471</v>
      </c>
      <c r="W187" s="58" t="b">
        <v>1</v>
      </c>
      <c r="X187" s="58"/>
    </row>
    <row r="188">
      <c r="A188" s="159">
        <v>57.0</v>
      </c>
      <c r="B188" s="159"/>
      <c r="C188" s="136" t="s">
        <v>2403</v>
      </c>
      <c r="D188" s="62" t="s">
        <v>2404</v>
      </c>
      <c r="E188" s="58" t="s">
        <v>2681</v>
      </c>
      <c r="F188" s="58" t="s">
        <v>2682</v>
      </c>
      <c r="G188" s="58"/>
      <c r="H188" s="58"/>
      <c r="I188" s="104">
        <v>1600.0</v>
      </c>
      <c r="J188" s="161">
        <f t="shared" si="39"/>
        <v>1600</v>
      </c>
      <c r="K188" s="162">
        <v>43873.0</v>
      </c>
      <c r="L188" s="163" t="b">
        <v>1</v>
      </c>
      <c r="M188" s="88"/>
      <c r="N188" s="62" t="s">
        <v>2254</v>
      </c>
      <c r="O188" s="164">
        <v>1600.0</v>
      </c>
      <c r="P188" s="164" t="s">
        <v>150</v>
      </c>
      <c r="Q188" s="164" t="s">
        <v>150</v>
      </c>
      <c r="R188" s="164" t="s">
        <v>150</v>
      </c>
      <c r="S188" s="164" t="s">
        <v>150</v>
      </c>
      <c r="T188" s="58" t="s">
        <v>2255</v>
      </c>
      <c r="U188" s="62" t="s">
        <v>108</v>
      </c>
      <c r="V188" s="62"/>
      <c r="W188" s="58" t="b">
        <v>1</v>
      </c>
      <c r="X188" s="58"/>
    </row>
    <row r="189">
      <c r="A189" s="159">
        <v>58.0</v>
      </c>
      <c r="B189" s="159"/>
      <c r="C189" s="136" t="s">
        <v>2403</v>
      </c>
      <c r="D189" s="62" t="s">
        <v>2404</v>
      </c>
      <c r="E189" s="58" t="s">
        <v>2683</v>
      </c>
      <c r="F189" s="58" t="s">
        <v>2684</v>
      </c>
      <c r="G189" s="58"/>
      <c r="H189" s="58"/>
      <c r="I189" s="104">
        <v>800.0</v>
      </c>
      <c r="J189" s="161">
        <f t="shared" si="39"/>
        <v>800</v>
      </c>
      <c r="K189" s="162">
        <v>43878.0</v>
      </c>
      <c r="L189" s="167" t="b">
        <v>1</v>
      </c>
      <c r="M189" s="88"/>
      <c r="N189" s="62" t="s">
        <v>2254</v>
      </c>
      <c r="O189" s="164">
        <v>800.0</v>
      </c>
      <c r="P189" s="164" t="s">
        <v>150</v>
      </c>
      <c r="Q189" s="164" t="s">
        <v>150</v>
      </c>
      <c r="R189" s="164" t="s">
        <v>150</v>
      </c>
      <c r="S189" s="164" t="s">
        <v>150</v>
      </c>
      <c r="T189" s="58" t="s">
        <v>2255</v>
      </c>
      <c r="U189" s="58" t="s">
        <v>100</v>
      </c>
      <c r="V189" s="58"/>
      <c r="W189" s="58" t="b">
        <v>1</v>
      </c>
      <c r="X189" s="58"/>
    </row>
    <row r="190" hidden="1">
      <c r="A190" s="159">
        <v>183.0</v>
      </c>
      <c r="B190" s="159"/>
      <c r="C190" s="58" t="s">
        <v>2685</v>
      </c>
      <c r="D190" s="58" t="s">
        <v>2686</v>
      </c>
      <c r="E190" s="58" t="s">
        <v>2687</v>
      </c>
      <c r="F190" s="58" t="s">
        <v>2688</v>
      </c>
      <c r="G190" s="160"/>
      <c r="H190" s="160"/>
      <c r="I190" s="104">
        <v>250.12</v>
      </c>
      <c r="J190" s="149" t="str">
        <f>IF(L190=TRUE,I190,"")</f>
        <v/>
      </c>
      <c r="K190" s="162">
        <v>44131.0</v>
      </c>
      <c r="L190" s="62" t="b">
        <v>0</v>
      </c>
      <c r="M190" s="169" t="s">
        <v>2317</v>
      </c>
      <c r="N190" s="62" t="s">
        <v>2254</v>
      </c>
      <c r="O190" s="164">
        <v>250.12</v>
      </c>
      <c r="P190" s="164" t="s">
        <v>150</v>
      </c>
      <c r="Q190" s="164" t="s">
        <v>150</v>
      </c>
      <c r="R190" s="164" t="s">
        <v>150</v>
      </c>
      <c r="S190" s="164" t="s">
        <v>150</v>
      </c>
      <c r="T190" s="58" t="s">
        <v>2255</v>
      </c>
      <c r="U190" s="58" t="s">
        <v>2689</v>
      </c>
      <c r="V190" s="58"/>
      <c r="W190" s="58" t="b">
        <v>1</v>
      </c>
      <c r="X190" s="58"/>
    </row>
    <row r="191">
      <c r="A191" s="159">
        <v>60.0</v>
      </c>
      <c r="B191" s="159"/>
      <c r="C191" s="136" t="s">
        <v>2403</v>
      </c>
      <c r="D191" s="62" t="s">
        <v>2404</v>
      </c>
      <c r="E191" s="58" t="s">
        <v>2690</v>
      </c>
      <c r="F191" s="58" t="s">
        <v>2691</v>
      </c>
      <c r="G191" s="58"/>
      <c r="H191" s="58"/>
      <c r="I191" s="104">
        <v>700.0</v>
      </c>
      <c r="J191" s="161">
        <f t="shared" ref="J191:J192" si="40">IF(L191=TRUE,SUM(O191:S191),"")</f>
        <v>700</v>
      </c>
      <c r="K191" s="162">
        <v>43913.0</v>
      </c>
      <c r="L191" s="167" t="b">
        <v>1</v>
      </c>
      <c r="M191" s="88"/>
      <c r="N191" s="62" t="s">
        <v>2254</v>
      </c>
      <c r="O191" s="164">
        <v>700.0</v>
      </c>
      <c r="P191" s="164" t="s">
        <v>150</v>
      </c>
      <c r="Q191" s="164" t="s">
        <v>150</v>
      </c>
      <c r="R191" s="164" t="s">
        <v>150</v>
      </c>
      <c r="S191" s="164" t="s">
        <v>150</v>
      </c>
      <c r="T191" s="58" t="s">
        <v>2255</v>
      </c>
      <c r="U191" s="58" t="s">
        <v>100</v>
      </c>
      <c r="V191" s="58"/>
      <c r="W191" s="58" t="b">
        <v>1</v>
      </c>
      <c r="X191" s="58"/>
    </row>
    <row r="192">
      <c r="A192" s="159">
        <v>61.0</v>
      </c>
      <c r="B192" s="159"/>
      <c r="C192" s="136" t="s">
        <v>2403</v>
      </c>
      <c r="D192" s="62" t="s">
        <v>2404</v>
      </c>
      <c r="E192" s="58" t="s">
        <v>2692</v>
      </c>
      <c r="F192" s="58" t="s">
        <v>2693</v>
      </c>
      <c r="G192" s="58"/>
      <c r="H192" s="58"/>
      <c r="I192" s="104">
        <v>450.0</v>
      </c>
      <c r="J192" s="161">
        <f t="shared" si="40"/>
        <v>450</v>
      </c>
      <c r="K192" s="162">
        <v>43874.0</v>
      </c>
      <c r="L192" s="167" t="b">
        <v>1</v>
      </c>
      <c r="M192" s="88"/>
      <c r="N192" s="62" t="s">
        <v>2254</v>
      </c>
      <c r="O192" s="164">
        <v>450.0</v>
      </c>
      <c r="P192" s="164" t="s">
        <v>150</v>
      </c>
      <c r="Q192" s="164" t="s">
        <v>150</v>
      </c>
      <c r="R192" s="164" t="s">
        <v>150</v>
      </c>
      <c r="S192" s="164" t="s">
        <v>150</v>
      </c>
      <c r="T192" s="58" t="s">
        <v>2255</v>
      </c>
      <c r="U192" s="62" t="s">
        <v>104</v>
      </c>
      <c r="V192" s="62"/>
      <c r="W192" s="58" t="b">
        <v>1</v>
      </c>
      <c r="X192" s="58"/>
    </row>
    <row r="193" hidden="1">
      <c r="A193" s="159">
        <v>186.0</v>
      </c>
      <c r="B193" s="159"/>
      <c r="C193" s="58" t="s">
        <v>2382</v>
      </c>
      <c r="D193" s="58" t="s">
        <v>2282</v>
      </c>
      <c r="E193" s="58" t="s">
        <v>2283</v>
      </c>
      <c r="F193" s="58" t="s">
        <v>2694</v>
      </c>
      <c r="G193" s="160"/>
      <c r="H193" s="160"/>
      <c r="I193" s="104">
        <v>8750.0</v>
      </c>
      <c r="J193" s="149" t="str">
        <f t="shared" ref="J193:J194" si="41">IF(L193=TRUE,I193,"")</f>
        <v/>
      </c>
      <c r="K193" s="162">
        <v>44139.0</v>
      </c>
      <c r="L193" s="62" t="b">
        <v>0</v>
      </c>
      <c r="M193" s="37"/>
      <c r="N193" s="62" t="s">
        <v>2254</v>
      </c>
      <c r="O193" s="164">
        <v>2000.0</v>
      </c>
      <c r="P193" s="164" t="s">
        <v>150</v>
      </c>
      <c r="Q193" s="164" t="s">
        <v>150</v>
      </c>
      <c r="R193" s="164" t="s">
        <v>150</v>
      </c>
      <c r="S193" s="164" t="s">
        <v>150</v>
      </c>
      <c r="T193" s="58" t="s">
        <v>2255</v>
      </c>
      <c r="U193" s="62" t="s">
        <v>104</v>
      </c>
      <c r="V193" s="62"/>
      <c r="W193" s="58" t="b">
        <v>1</v>
      </c>
      <c r="X193" s="58"/>
    </row>
    <row r="194" hidden="1">
      <c r="A194" s="159">
        <v>187.0</v>
      </c>
      <c r="B194" s="159"/>
      <c r="C194" s="58" t="s">
        <v>2271</v>
      </c>
      <c r="D194" s="58" t="s">
        <v>2272</v>
      </c>
      <c r="E194" s="58" t="s">
        <v>2273</v>
      </c>
      <c r="F194" s="58" t="s">
        <v>2695</v>
      </c>
      <c r="G194" s="160"/>
      <c r="H194" s="160"/>
      <c r="I194" s="104">
        <v>780.0</v>
      </c>
      <c r="J194" s="149" t="str">
        <f t="shared" si="41"/>
        <v/>
      </c>
      <c r="K194" s="162">
        <v>44111.0</v>
      </c>
      <c r="L194" s="62" t="b">
        <v>0</v>
      </c>
      <c r="M194" s="37"/>
      <c r="N194" s="62" t="s">
        <v>2254</v>
      </c>
      <c r="O194" s="164">
        <v>97.5</v>
      </c>
      <c r="P194" s="164" t="s">
        <v>150</v>
      </c>
      <c r="Q194" s="164" t="s">
        <v>150</v>
      </c>
      <c r="R194" s="164" t="s">
        <v>150</v>
      </c>
      <c r="S194" s="164" t="s">
        <v>150</v>
      </c>
      <c r="T194" s="58" t="s">
        <v>2255</v>
      </c>
      <c r="U194" s="62" t="s">
        <v>2275</v>
      </c>
      <c r="V194" s="165" t="s">
        <v>2276</v>
      </c>
      <c r="W194" s="58" t="e">
        <v>#N/A</v>
      </c>
      <c r="X194" s="58"/>
    </row>
    <row r="195">
      <c r="A195" s="159">
        <v>174.0</v>
      </c>
      <c r="B195" s="159"/>
      <c r="C195" s="136" t="s">
        <v>2403</v>
      </c>
      <c r="D195" s="62" t="s">
        <v>2404</v>
      </c>
      <c r="E195" s="58" t="s">
        <v>2696</v>
      </c>
      <c r="F195" s="58" t="s">
        <v>2697</v>
      </c>
      <c r="G195" s="58"/>
      <c r="H195" s="58"/>
      <c r="I195" s="104">
        <v>1100.0</v>
      </c>
      <c r="J195" s="161">
        <f>IF(L195=TRUE,SUM(O195:S195),"")</f>
        <v>1100</v>
      </c>
      <c r="K195" s="162">
        <v>44117.0</v>
      </c>
      <c r="L195" s="167" t="b">
        <v>1</v>
      </c>
      <c r="M195" s="37"/>
      <c r="N195" s="62" t="s">
        <v>2254</v>
      </c>
      <c r="O195" s="164">
        <v>1100.0</v>
      </c>
      <c r="P195" s="164" t="s">
        <v>150</v>
      </c>
      <c r="Q195" s="164" t="s">
        <v>150</v>
      </c>
      <c r="R195" s="164" t="s">
        <v>150</v>
      </c>
      <c r="S195" s="164" t="s">
        <v>150</v>
      </c>
      <c r="T195" s="58" t="s">
        <v>2255</v>
      </c>
      <c r="U195" s="62" t="s">
        <v>108</v>
      </c>
      <c r="V195" s="62"/>
      <c r="W195" s="58" t="b">
        <v>1</v>
      </c>
      <c r="X195" s="58"/>
    </row>
    <row r="196" hidden="1">
      <c r="A196" s="159">
        <v>189.0</v>
      </c>
      <c r="B196" s="159"/>
      <c r="C196" s="58" t="s">
        <v>2698</v>
      </c>
      <c r="D196" s="58" t="s">
        <v>2699</v>
      </c>
      <c r="E196" s="58" t="s">
        <v>2700</v>
      </c>
      <c r="F196" s="58" t="s">
        <v>2701</v>
      </c>
      <c r="G196" s="160"/>
      <c r="H196" s="160"/>
      <c r="I196" s="104">
        <v>827.88</v>
      </c>
      <c r="J196" s="149" t="str">
        <f t="shared" ref="J196:J197" si="42">IF(L196=TRUE,I196,"")</f>
        <v/>
      </c>
      <c r="K196" s="162">
        <v>44113.0</v>
      </c>
      <c r="L196" s="62" t="b">
        <v>0</v>
      </c>
      <c r="M196" s="37"/>
      <c r="N196" s="62" t="s">
        <v>2254</v>
      </c>
      <c r="O196" s="164">
        <v>827.88</v>
      </c>
      <c r="P196" s="164" t="s">
        <v>150</v>
      </c>
      <c r="Q196" s="164" t="s">
        <v>150</v>
      </c>
      <c r="R196" s="164" t="s">
        <v>150</v>
      </c>
      <c r="S196" s="164" t="s">
        <v>150</v>
      </c>
      <c r="T196" s="58" t="s">
        <v>2255</v>
      </c>
      <c r="U196" s="58" t="s">
        <v>2368</v>
      </c>
      <c r="V196" s="150" t="s">
        <v>2368</v>
      </c>
      <c r="W196" s="58" t="e">
        <v>#N/A</v>
      </c>
      <c r="X196" s="58"/>
    </row>
    <row r="197" hidden="1">
      <c r="A197" s="159">
        <v>190.0</v>
      </c>
      <c r="B197" s="159"/>
      <c r="C197" s="58" t="s">
        <v>2320</v>
      </c>
      <c r="D197" s="58" t="s">
        <v>2321</v>
      </c>
      <c r="E197" s="58" t="s">
        <v>2477</v>
      </c>
      <c r="F197" s="58" t="s">
        <v>2702</v>
      </c>
      <c r="G197" s="160"/>
      <c r="H197" s="160"/>
      <c r="I197" s="104">
        <v>12626.68</v>
      </c>
      <c r="J197" s="149" t="str">
        <f t="shared" si="42"/>
        <v/>
      </c>
      <c r="K197" s="162">
        <v>44145.0</v>
      </c>
      <c r="L197" s="62" t="b">
        <v>0</v>
      </c>
      <c r="M197" s="37"/>
      <c r="N197" s="62" t="s">
        <v>2254</v>
      </c>
      <c r="O197" s="164">
        <v>3000.0</v>
      </c>
      <c r="P197" s="164" t="s">
        <v>150</v>
      </c>
      <c r="Q197" s="164" t="s">
        <v>150</v>
      </c>
      <c r="R197" s="164" t="s">
        <v>150</v>
      </c>
      <c r="S197" s="164" t="s">
        <v>150</v>
      </c>
      <c r="T197" s="58" t="s">
        <v>2255</v>
      </c>
      <c r="U197" s="62" t="s">
        <v>2379</v>
      </c>
      <c r="V197" s="165" t="s">
        <v>2380</v>
      </c>
      <c r="W197" s="58" t="e">
        <v>#N/A</v>
      </c>
      <c r="X197" s="58"/>
    </row>
    <row r="198">
      <c r="A198" s="159">
        <v>184.0</v>
      </c>
      <c r="B198" s="159"/>
      <c r="C198" s="136" t="s">
        <v>2403</v>
      </c>
      <c r="D198" s="62" t="s">
        <v>2404</v>
      </c>
      <c r="E198" s="58" t="s">
        <v>2703</v>
      </c>
      <c r="F198" s="58" t="s">
        <v>2704</v>
      </c>
      <c r="G198" s="58"/>
      <c r="H198" s="58"/>
      <c r="I198" s="104">
        <v>800.0</v>
      </c>
      <c r="J198" s="161">
        <f t="shared" ref="J198:J200" si="43">IF(L198=TRUE,SUM(O198:S198),"")</f>
        <v>800</v>
      </c>
      <c r="K198" s="162">
        <v>44138.0</v>
      </c>
      <c r="L198" s="62" t="b">
        <v>1</v>
      </c>
      <c r="M198" s="37"/>
      <c r="N198" s="62" t="s">
        <v>2254</v>
      </c>
      <c r="O198" s="164">
        <v>800.0</v>
      </c>
      <c r="P198" s="164" t="s">
        <v>150</v>
      </c>
      <c r="Q198" s="164" t="s">
        <v>150</v>
      </c>
      <c r="R198" s="164" t="s">
        <v>150</v>
      </c>
      <c r="S198" s="164" t="s">
        <v>150</v>
      </c>
      <c r="T198" s="58" t="s">
        <v>2255</v>
      </c>
      <c r="U198" s="62" t="s">
        <v>108</v>
      </c>
      <c r="V198" s="62"/>
      <c r="W198" s="58" t="b">
        <v>1</v>
      </c>
      <c r="X198" s="58"/>
    </row>
    <row r="199">
      <c r="A199" s="159">
        <v>171.0</v>
      </c>
      <c r="B199" s="159"/>
      <c r="C199" s="166" t="s">
        <v>2705</v>
      </c>
      <c r="D199" s="62" t="s">
        <v>2706</v>
      </c>
      <c r="E199" s="58" t="s">
        <v>218</v>
      </c>
      <c r="F199" s="58" t="s">
        <v>2707</v>
      </c>
      <c r="G199" s="58"/>
      <c r="H199" s="58"/>
      <c r="I199" s="104">
        <v>7733.71</v>
      </c>
      <c r="J199" s="161">
        <f t="shared" si="43"/>
        <v>330.16</v>
      </c>
      <c r="K199" s="162">
        <v>44131.0</v>
      </c>
      <c r="L199" s="163" t="b">
        <v>1</v>
      </c>
      <c r="M199" s="37"/>
      <c r="N199" s="62" t="s">
        <v>2254</v>
      </c>
      <c r="O199" s="164">
        <v>330.16</v>
      </c>
      <c r="P199" s="164" t="s">
        <v>150</v>
      </c>
      <c r="Q199" s="164" t="s">
        <v>150</v>
      </c>
      <c r="R199" s="164" t="s">
        <v>150</v>
      </c>
      <c r="S199" s="164" t="s">
        <v>150</v>
      </c>
      <c r="T199" s="58" t="s">
        <v>2255</v>
      </c>
      <c r="U199" s="62" t="s">
        <v>104</v>
      </c>
      <c r="V199" s="62"/>
      <c r="W199" s="58" t="b">
        <v>1</v>
      </c>
      <c r="X199" s="58"/>
    </row>
    <row r="200">
      <c r="A200" s="159">
        <v>17.0</v>
      </c>
      <c r="B200" s="159"/>
      <c r="C200" s="166" t="s">
        <v>2708</v>
      </c>
      <c r="D200" s="62" t="s">
        <v>2709</v>
      </c>
      <c r="E200" s="58" t="s">
        <v>2710</v>
      </c>
      <c r="F200" s="58" t="s">
        <v>2289</v>
      </c>
      <c r="G200" s="58"/>
      <c r="H200" s="58"/>
      <c r="I200" s="104">
        <v>21.11</v>
      </c>
      <c r="J200" s="161">
        <f t="shared" si="43"/>
        <v>21.11</v>
      </c>
      <c r="K200" s="162">
        <v>43864.0</v>
      </c>
      <c r="L200" s="167" t="b">
        <v>1</v>
      </c>
      <c r="M200" s="88"/>
      <c r="N200" s="62" t="s">
        <v>2254</v>
      </c>
      <c r="O200" s="164">
        <v>21.11</v>
      </c>
      <c r="P200" s="164" t="s">
        <v>150</v>
      </c>
      <c r="Q200" s="164" t="s">
        <v>150</v>
      </c>
      <c r="R200" s="164" t="s">
        <v>150</v>
      </c>
      <c r="S200" s="164" t="s">
        <v>150</v>
      </c>
      <c r="T200" s="58" t="s">
        <v>2255</v>
      </c>
      <c r="U200" s="58" t="s">
        <v>100</v>
      </c>
      <c r="V200" s="58"/>
      <c r="W200" s="58" t="b">
        <v>1</v>
      </c>
      <c r="X200" s="58"/>
    </row>
  </sheetData>
  <autoFilter ref="$A$5:$W$200">
    <filterColumn colId="9">
      <filters>
        <filter val="5,692.60"/>
        <filter val="9,094.48"/>
        <filter val="7,775.55"/>
        <filter val="4,000.00"/>
        <filter val="366.45"/>
        <filter val="3,000.00"/>
        <filter val="36.45"/>
        <filter val="10,690.33"/>
        <filter val="2,406.96"/>
        <filter val="297.57"/>
        <filter val="4,367.06"/>
        <filter val="397.70"/>
        <filter val="3,228.21"/>
        <filter val="1,610.80"/>
        <filter val="1,000.88"/>
        <filter val="282.79"/>
        <filter val="153.84"/>
        <filter val="138.00"/>
        <filter val="560.00"/>
        <filter val="362.90"/>
        <filter val="89.00"/>
        <filter val="1,115.74"/>
        <filter val="2,727.20"/>
        <filter val="1,787.27"/>
        <filter val="427.15"/>
        <filter val="2,668.00"/>
        <filter val="5,144.00"/>
        <filter val="825.00"/>
        <filter val="800.00"/>
        <filter val="10,256.32"/>
        <filter val="120.90"/>
        <filter val="700.00"/>
        <filter val="2,683.49"/>
        <filter val="19.00"/>
        <filter val="4,793.23"/>
        <filter val="2,662.77"/>
        <filter val="3,210.06"/>
        <filter val="1,482.19"/>
        <filter val="22.90"/>
        <filter val="194.35"/>
        <filter val="315.84"/>
        <filter val="1,839.91"/>
        <filter val="885.40"/>
        <filter val="11,896.52"/>
        <filter val="610.74"/>
        <filter val="7,100.00"/>
        <filter val="27,988.34"/>
        <filter val="8,879.65"/>
        <filter val="750.00"/>
        <filter val="213.23"/>
        <filter val="90.40"/>
        <filter val="66,285.43"/>
        <filter val="51.00"/>
        <filter val="612.00"/>
        <filter val="2,770.00"/>
        <filter val="3,600.00"/>
        <filter val="1,600.00"/>
        <filter val="1,360.19"/>
        <filter val="2,001.00"/>
        <filter val="444.56"/>
        <filter val="1,334.00"/>
        <filter val="552.00"/>
        <filter val="355.87"/>
        <filter val="300.90"/>
        <filter val="87.25"/>
        <filter val="630.81"/>
        <filter val="153.56"/>
        <filter val="3,759.24"/>
        <filter val="1,224.00"/>
        <filter val="105.55"/>
        <filter val="450.00"/>
        <filter val="2,141.58"/>
        <filter val="1,522.08"/>
        <filter val="406.43"/>
        <filter val="379.69"/>
        <filter val="69.62"/>
        <filter val="6,677.00"/>
        <filter val="802.32"/>
        <filter val="5,234.58"/>
        <filter val="25,200.00"/>
        <filter val="3,398.74"/>
        <filter val="8,232.84"/>
        <filter val="5,439.09"/>
        <filter val="122.60"/>
        <filter val="3,780.97"/>
        <filter val="358.08"/>
        <filter val="1,611.47"/>
        <filter val="3,078.03"/>
        <filter val="3,949.20"/>
        <filter val="667.00"/>
        <filter val="330.16"/>
        <filter val="2,560.59"/>
        <filter val="550.37"/>
        <filter val="678.00"/>
        <filter val="96.30"/>
        <filter val="2,794.65"/>
        <filter val="1,360.80"/>
        <filter val="2,960.25"/>
        <filter val="21.11"/>
        <filter val="2,454.88"/>
        <filter val="396.51"/>
        <filter val="1,100.00"/>
        <filter val="130.74"/>
      </filters>
    </filterColumn>
    <sortState ref="A5:W200">
      <sortCondition ref="C5:C200"/>
    </sortState>
  </autoFilter>
  <customSheetViews>
    <customSheetView guid="{677742FE-2131-43C5-B1D2-EB6F7E78FE10}" filter="1" showAutoFilter="1">
      <autoFilter ref="$A$5:$W$199">
        <filterColumn colId="22">
          <filters>
            <filter val="FALSE"/>
            <filter val="#N/A"/>
          </filters>
        </filterColumn>
        <filterColumn colId="11">
          <filters>
            <filter val="TRUE"/>
          </filters>
        </filterColumn>
      </autoFilter>
    </customSheetView>
    <customSheetView guid="{1E1FDDB0-AB52-4120-A515-9815C39E73B9}" filter="1" showAutoFilter="1">
      <autoFilter ref="$A$2:$W$105"/>
    </customSheetView>
  </customSheetView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